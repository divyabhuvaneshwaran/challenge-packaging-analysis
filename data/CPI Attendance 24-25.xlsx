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s List" sheetId="1" r:id="rId5"/>
    <sheet state="visible" name="Daily Attendance Report 24-25" sheetId="2" r:id="rId6"/>
    <sheet state="visible" name="Salary Calculation" sheetId="3" r:id="rId7"/>
    <sheet state="visible" name="Salary Transaction Details" sheetId="4" r:id="rId8"/>
    <sheet state="visible" name="Salary Slip" sheetId="5" r:id="rId9"/>
    <sheet state="visible" name="Increment of 25-26" sheetId="6" r:id="rId10"/>
  </sheets>
  <definedNames>
    <definedName hidden="1" localSheetId="2" name="_xlnm._FilterDatabase">'Salary Calculation'!$A$1:$V$999</definedName>
    <definedName hidden="1" localSheetId="3" name="_xlnm._FilterDatabase">'Salary Transaction Details'!$A$2:$G$1000</definedName>
  </definedNames>
  <calcPr/>
</workbook>
</file>

<file path=xl/sharedStrings.xml><?xml version="1.0" encoding="utf-8"?>
<sst xmlns="http://schemas.openxmlformats.org/spreadsheetml/2006/main" count="3536" uniqueCount="1162">
  <si>
    <t>Months</t>
  </si>
  <si>
    <t>Employee Code</t>
  </si>
  <si>
    <t>Name</t>
  </si>
  <si>
    <t>ESI Number</t>
  </si>
  <si>
    <t>Bank Name</t>
  </si>
  <si>
    <t>Account Number</t>
  </si>
  <si>
    <t>Total Wages 24 - 25</t>
  </si>
  <si>
    <t>No of Days in a Month 2024</t>
  </si>
  <si>
    <t>April</t>
  </si>
  <si>
    <t>AC 01</t>
  </si>
  <si>
    <t>BHUVANESWARAN</t>
  </si>
  <si>
    <t>CUB</t>
  </si>
  <si>
    <t>May</t>
  </si>
  <si>
    <t>PR 01</t>
  </si>
  <si>
    <t>VASANTHA</t>
  </si>
  <si>
    <t>DBS</t>
  </si>
  <si>
    <t>8131010000016959</t>
  </si>
  <si>
    <t>June</t>
  </si>
  <si>
    <t>PR 02</t>
  </si>
  <si>
    <t>GANESH</t>
  </si>
  <si>
    <t>8811010012054879</t>
  </si>
  <si>
    <t>July</t>
  </si>
  <si>
    <t>PR 03</t>
  </si>
  <si>
    <t>ADHIKARI BALIA</t>
  </si>
  <si>
    <t>8131010000018948</t>
  </si>
  <si>
    <t>August</t>
  </si>
  <si>
    <t>PR 04</t>
  </si>
  <si>
    <t>RUPESH</t>
  </si>
  <si>
    <t>8131010000020156</t>
  </si>
  <si>
    <t>September</t>
  </si>
  <si>
    <t>PR 05</t>
  </si>
  <si>
    <t>SANJAI BHAGAT</t>
  </si>
  <si>
    <t>8131010000021225</t>
  </si>
  <si>
    <t>October</t>
  </si>
  <si>
    <t>PR 06</t>
  </si>
  <si>
    <t>ARUMUGAM</t>
  </si>
  <si>
    <t>November</t>
  </si>
  <si>
    <t>PR 07</t>
  </si>
  <si>
    <t>AMMU</t>
  </si>
  <si>
    <t>IOB</t>
  </si>
  <si>
    <t>December</t>
  </si>
  <si>
    <t>PR 08</t>
  </si>
  <si>
    <t>REVATHI S</t>
  </si>
  <si>
    <t>8131010000016995</t>
  </si>
  <si>
    <t>January</t>
  </si>
  <si>
    <t>PR 09</t>
  </si>
  <si>
    <t>ABINAYA</t>
  </si>
  <si>
    <t>February</t>
  </si>
  <si>
    <t>PR 10</t>
  </si>
  <si>
    <t>ANITHA</t>
  </si>
  <si>
    <t>March</t>
  </si>
  <si>
    <t>PR 11</t>
  </si>
  <si>
    <t>KARTHICK</t>
  </si>
  <si>
    <t>PR 12</t>
  </si>
  <si>
    <t>PINU BAGH</t>
  </si>
  <si>
    <t>8131010000018814</t>
  </si>
  <si>
    <t>PR 13</t>
  </si>
  <si>
    <t>SAMSON</t>
  </si>
  <si>
    <t>PR 14</t>
  </si>
  <si>
    <t>REVATHI V</t>
  </si>
  <si>
    <t>PR 15</t>
  </si>
  <si>
    <t>BHAVANI</t>
  </si>
  <si>
    <t>PR 16</t>
  </si>
  <si>
    <t>VENKATESH</t>
  </si>
  <si>
    <t>AC 02</t>
  </si>
  <si>
    <t>SUNDARI</t>
  </si>
  <si>
    <t>8131010000016977</t>
  </si>
  <si>
    <t>AC 03</t>
  </si>
  <si>
    <t>LEELA</t>
  </si>
  <si>
    <t>8387010000017745</t>
  </si>
  <si>
    <t>DR 01</t>
  </si>
  <si>
    <t>Mathi</t>
  </si>
  <si>
    <t>8131010000016986</t>
  </si>
  <si>
    <t>PR 17</t>
  </si>
  <si>
    <t>MUKESH</t>
  </si>
  <si>
    <t>PR 18</t>
  </si>
  <si>
    <t>NAROTTAM</t>
  </si>
  <si>
    <t>PR 19</t>
  </si>
  <si>
    <t>SIDHESHWAR</t>
  </si>
  <si>
    <t>8131010000018939</t>
  </si>
  <si>
    <t>PR 20</t>
  </si>
  <si>
    <t>JAGABANDH</t>
  </si>
  <si>
    <t>8131010000018920</t>
  </si>
  <si>
    <t>PR 21</t>
  </si>
  <si>
    <t>LIPAN</t>
  </si>
  <si>
    <t>8131010000018957</t>
  </si>
  <si>
    <t>PR 22</t>
  </si>
  <si>
    <t>JISHU</t>
  </si>
  <si>
    <t>PR 23</t>
  </si>
  <si>
    <t>MADHAVAN</t>
  </si>
  <si>
    <t>PR 24</t>
  </si>
  <si>
    <t>NILAMANI</t>
  </si>
  <si>
    <t>SBI</t>
  </si>
  <si>
    <t>PR 25</t>
  </si>
  <si>
    <t>SAGAR</t>
  </si>
  <si>
    <t>PR 26</t>
  </si>
  <si>
    <t>CHINMAY PRADHAN</t>
  </si>
  <si>
    <t>PR 27</t>
  </si>
  <si>
    <t>PARSHU BAGH</t>
  </si>
  <si>
    <t>PR 28</t>
  </si>
  <si>
    <t>GANESH KISAN</t>
  </si>
  <si>
    <t>PR 29</t>
  </si>
  <si>
    <t>MADAN</t>
  </si>
  <si>
    <t>PR 30</t>
  </si>
  <si>
    <t>PRAKASH</t>
  </si>
  <si>
    <t>PR 31</t>
  </si>
  <si>
    <t xml:space="preserve">AMARNGTH KISAN </t>
  </si>
  <si>
    <t>PR 32</t>
  </si>
  <si>
    <t>RANJAN BAGH</t>
  </si>
  <si>
    <t>PR 33</t>
  </si>
  <si>
    <t>SURUBABU ANGRIA</t>
  </si>
  <si>
    <t>PR 34</t>
  </si>
  <si>
    <t>PANKAJ BAGH</t>
  </si>
  <si>
    <t>PR 35</t>
  </si>
  <si>
    <t>PRINCE BADRA</t>
  </si>
  <si>
    <t>PR 36</t>
  </si>
  <si>
    <t>DILL KUMAR</t>
  </si>
  <si>
    <t>Days Present / OT Hours</t>
  </si>
  <si>
    <t>M</t>
  </si>
  <si>
    <t>A</t>
  </si>
  <si>
    <t>OT HOURS</t>
  </si>
  <si>
    <t>Salary Slip No</t>
  </si>
  <si>
    <t>Month</t>
  </si>
  <si>
    <t>No of Days Name</t>
  </si>
  <si>
    <t>No of OT Name</t>
  </si>
  <si>
    <t>SALARY</t>
  </si>
  <si>
    <t>Date</t>
  </si>
  <si>
    <t>Total Wages 24-25</t>
  </si>
  <si>
    <t>Basic Pay</t>
  </si>
  <si>
    <t>HRA</t>
  </si>
  <si>
    <t>No Of Days In a Month</t>
  </si>
  <si>
    <t>No Of Days Present</t>
  </si>
  <si>
    <t>OT Hours</t>
  </si>
  <si>
    <t>Bonus</t>
  </si>
  <si>
    <t>Advance</t>
  </si>
  <si>
    <t>Gross Wages</t>
  </si>
  <si>
    <t>OT Amount</t>
  </si>
  <si>
    <t>Netpay</t>
  </si>
  <si>
    <t>ESI</t>
  </si>
  <si>
    <t>Total Salary</t>
  </si>
  <si>
    <t>CPIEMP01</t>
  </si>
  <si>
    <t>CPIEMP02</t>
  </si>
  <si>
    <t>CPIEMP03</t>
  </si>
  <si>
    <t>CPIEMP04</t>
  </si>
  <si>
    <t>CPIEMP05</t>
  </si>
  <si>
    <t>CPIEMP06</t>
  </si>
  <si>
    <t>CPIEMP07</t>
  </si>
  <si>
    <t>CPIEMP08</t>
  </si>
  <si>
    <t>CPIEMP09</t>
  </si>
  <si>
    <t>CPIEMP10</t>
  </si>
  <si>
    <t>CPIEMP11</t>
  </si>
  <si>
    <t>CPIEMP12</t>
  </si>
  <si>
    <t>CPIEMP13</t>
  </si>
  <si>
    <t>CPIEMP14</t>
  </si>
  <si>
    <t>CPIEMP15</t>
  </si>
  <si>
    <t>CPIEMP16</t>
  </si>
  <si>
    <t>CPIEMP17</t>
  </si>
  <si>
    <t>CPIEMP18</t>
  </si>
  <si>
    <t>CPIEMP19</t>
  </si>
  <si>
    <t>CPIEMP20</t>
  </si>
  <si>
    <t>CPIEMP21</t>
  </si>
  <si>
    <t>CPIEMP22</t>
  </si>
  <si>
    <t>CPIEMP23</t>
  </si>
  <si>
    <t>CPIEMP24</t>
  </si>
  <si>
    <t>CPIEMP25</t>
  </si>
  <si>
    <t>CPIEMP26</t>
  </si>
  <si>
    <t>CPIEMP27</t>
  </si>
  <si>
    <t>CPIEMP28</t>
  </si>
  <si>
    <t>CPIEMP29</t>
  </si>
  <si>
    <t>CPIEMP30</t>
  </si>
  <si>
    <t>CPIEMP31</t>
  </si>
  <si>
    <t>CPIEMP32</t>
  </si>
  <si>
    <t>CPIEMP33</t>
  </si>
  <si>
    <t>CPIEMP34</t>
  </si>
  <si>
    <t>CPIEMP35</t>
  </si>
  <si>
    <t>CPIEMP36</t>
  </si>
  <si>
    <t>CPIEMP37</t>
  </si>
  <si>
    <t>CPIEMP38</t>
  </si>
  <si>
    <t>CPIEMP39</t>
  </si>
  <si>
    <t>CPIEMP40</t>
  </si>
  <si>
    <t>CPIEMP41</t>
  </si>
  <si>
    <t>CPIEMP42</t>
  </si>
  <si>
    <t>CPIEMP43</t>
  </si>
  <si>
    <t>CPIEMP44</t>
  </si>
  <si>
    <t>CPIEMP45</t>
  </si>
  <si>
    <t>CPIEMP46</t>
  </si>
  <si>
    <t>CPIEMP47</t>
  </si>
  <si>
    <t>CPIEMP48</t>
  </si>
  <si>
    <t>CPIEMP49</t>
  </si>
  <si>
    <t>CPIEMP50</t>
  </si>
  <si>
    <t>CPIEMP51</t>
  </si>
  <si>
    <t>CPIEMP52</t>
  </si>
  <si>
    <t>CPIEMP53</t>
  </si>
  <si>
    <t>CPIEMP54</t>
  </si>
  <si>
    <t>CPIEMP55</t>
  </si>
  <si>
    <t>CPIEMP56</t>
  </si>
  <si>
    <t>CPIEMP57</t>
  </si>
  <si>
    <t>CPIEMP58</t>
  </si>
  <si>
    <t>CPIEMP59</t>
  </si>
  <si>
    <t>CPIEMP60</t>
  </si>
  <si>
    <t>CPIEMP61</t>
  </si>
  <si>
    <t>CPIEMP62</t>
  </si>
  <si>
    <t>CPIEMP63</t>
  </si>
  <si>
    <t>CPIEMP64</t>
  </si>
  <si>
    <t>CPIEMP65</t>
  </si>
  <si>
    <t>CPIEMP66</t>
  </si>
  <si>
    <t>CPIEMP67</t>
  </si>
  <si>
    <t>CPIEMP68</t>
  </si>
  <si>
    <t>CPIEMP69</t>
  </si>
  <si>
    <t>CPIEMP70</t>
  </si>
  <si>
    <t>CPIEMP71</t>
  </si>
  <si>
    <t>CPIEMP72</t>
  </si>
  <si>
    <t>CPIEMP73</t>
  </si>
  <si>
    <t>CPIEMP74</t>
  </si>
  <si>
    <t>CPIEMP75</t>
  </si>
  <si>
    <t>CPIEMP76</t>
  </si>
  <si>
    <t>CPIEMP77</t>
  </si>
  <si>
    <t>CPIEMP78</t>
  </si>
  <si>
    <t>CPIEMP79</t>
  </si>
  <si>
    <t>CPIEMP80</t>
  </si>
  <si>
    <t>CPIEMP81</t>
  </si>
  <si>
    <t>CPIEMP82</t>
  </si>
  <si>
    <t>CPIEMP83</t>
  </si>
  <si>
    <t>CPIEMP84</t>
  </si>
  <si>
    <t>CPIEMP85</t>
  </si>
  <si>
    <t>CPIEMP86</t>
  </si>
  <si>
    <t>CPIEMP87</t>
  </si>
  <si>
    <t>CPIEMP88</t>
  </si>
  <si>
    <t>CPIEMP89</t>
  </si>
  <si>
    <t>CPIEMP90</t>
  </si>
  <si>
    <t>CPIEMP91</t>
  </si>
  <si>
    <t>CPIEMP92</t>
  </si>
  <si>
    <t>CPIEMP93</t>
  </si>
  <si>
    <t>CPIEMP94</t>
  </si>
  <si>
    <t>CPIEMP95</t>
  </si>
  <si>
    <t>CPIEMP96</t>
  </si>
  <si>
    <t>CPIEMP97</t>
  </si>
  <si>
    <t>CPIEMP98</t>
  </si>
  <si>
    <t>CPIEMP99</t>
  </si>
  <si>
    <t>CPIEMP100</t>
  </si>
  <si>
    <t>CPIEMP101</t>
  </si>
  <si>
    <t>CPIEMP102</t>
  </si>
  <si>
    <t>CPIEMP103</t>
  </si>
  <si>
    <t>CPIEMP104</t>
  </si>
  <si>
    <t>CPIEMP105</t>
  </si>
  <si>
    <t>CPIEMP106</t>
  </si>
  <si>
    <t>CPIEMP107</t>
  </si>
  <si>
    <t>CPIEMP108</t>
  </si>
  <si>
    <t>CPIEMP109</t>
  </si>
  <si>
    <t>CPIEMP110</t>
  </si>
  <si>
    <t>CPIEMP111</t>
  </si>
  <si>
    <t>CPIEMP112</t>
  </si>
  <si>
    <t>CPIEMP113</t>
  </si>
  <si>
    <t>CPIEMP114</t>
  </si>
  <si>
    <t>CPIEMP115</t>
  </si>
  <si>
    <t>CPIEMP116</t>
  </si>
  <si>
    <t>CPIEMP117</t>
  </si>
  <si>
    <t>CPIEMP118</t>
  </si>
  <si>
    <t>CPIEMP119</t>
  </si>
  <si>
    <t>CPIEMP120</t>
  </si>
  <si>
    <t>CPIEMP121</t>
  </si>
  <si>
    <t>CPIEMP122</t>
  </si>
  <si>
    <t>CPIEMP123</t>
  </si>
  <si>
    <t>CPIEMP124</t>
  </si>
  <si>
    <t>CPIEMP125</t>
  </si>
  <si>
    <t>CPIEMP126</t>
  </si>
  <si>
    <t>CPIEMP127</t>
  </si>
  <si>
    <t>CPIEMP128</t>
  </si>
  <si>
    <t>CPIEMP129</t>
  </si>
  <si>
    <t>CPIEMP130</t>
  </si>
  <si>
    <t>CPIEMP131</t>
  </si>
  <si>
    <t>CPIEMP132</t>
  </si>
  <si>
    <t>CPIEMP133</t>
  </si>
  <si>
    <t>CPIEMP134</t>
  </si>
  <si>
    <t>CPIEMP135</t>
  </si>
  <si>
    <t>CPIEMP136</t>
  </si>
  <si>
    <t>CPIEMP137</t>
  </si>
  <si>
    <t>CPIEMP138</t>
  </si>
  <si>
    <t>CPIEMP139</t>
  </si>
  <si>
    <t>CPIEMP140</t>
  </si>
  <si>
    <t>CPIEMP141</t>
  </si>
  <si>
    <t>CPIEMP142</t>
  </si>
  <si>
    <t>CPIEMP143</t>
  </si>
  <si>
    <t>CPIEMP144</t>
  </si>
  <si>
    <t>CPIEMP145</t>
  </si>
  <si>
    <t>CPIEMP146</t>
  </si>
  <si>
    <t>CPIEMP147</t>
  </si>
  <si>
    <t>CPIEMP148</t>
  </si>
  <si>
    <t>CPIEMP149</t>
  </si>
  <si>
    <t>CPIEMP150</t>
  </si>
  <si>
    <t>CPIEMP151</t>
  </si>
  <si>
    <t>CPIEMP152</t>
  </si>
  <si>
    <t>CPIEMP153</t>
  </si>
  <si>
    <t>CPIEMP154</t>
  </si>
  <si>
    <t>CPIEMP155</t>
  </si>
  <si>
    <t>CPIEMP156</t>
  </si>
  <si>
    <t>CPIEMP157</t>
  </si>
  <si>
    <t>CPIEMP158</t>
  </si>
  <si>
    <t>CPIEMP159</t>
  </si>
  <si>
    <t>CPIEMP160</t>
  </si>
  <si>
    <t>CPIEMP161</t>
  </si>
  <si>
    <t>CPIEMP162</t>
  </si>
  <si>
    <t>CPIEMP163</t>
  </si>
  <si>
    <t>CPIEMP164</t>
  </si>
  <si>
    <t>CPIEMP165</t>
  </si>
  <si>
    <t>CPIEMP166</t>
  </si>
  <si>
    <t>CPIEMP167</t>
  </si>
  <si>
    <t>CPIEMP168</t>
  </si>
  <si>
    <t>CPIEMP169</t>
  </si>
  <si>
    <t>CPIEMP170</t>
  </si>
  <si>
    <t>CPIEMP171</t>
  </si>
  <si>
    <t>CPIEMP172</t>
  </si>
  <si>
    <t>CPIEMP173</t>
  </si>
  <si>
    <t>CPIEMP174</t>
  </si>
  <si>
    <t>CPIEMP175</t>
  </si>
  <si>
    <t>CPIEMP176</t>
  </si>
  <si>
    <t>CPIEMP177</t>
  </si>
  <si>
    <t>CPIEMP178</t>
  </si>
  <si>
    <t>CPIEMP179</t>
  </si>
  <si>
    <t>CPIEMP180</t>
  </si>
  <si>
    <t>CPIEMP181</t>
  </si>
  <si>
    <t>CPIEMP182</t>
  </si>
  <si>
    <t>CPIEMP183</t>
  </si>
  <si>
    <t>CPIEMP184</t>
  </si>
  <si>
    <t>CPIEMP185</t>
  </si>
  <si>
    <t>CPIEMP186</t>
  </si>
  <si>
    <t>CPIEMP187</t>
  </si>
  <si>
    <t>CPIEMP188</t>
  </si>
  <si>
    <t>CPIEMP189</t>
  </si>
  <si>
    <t>CPIEMP190</t>
  </si>
  <si>
    <t>CPIEMP191</t>
  </si>
  <si>
    <t>CPIEMP192</t>
  </si>
  <si>
    <t>CPIEMP193</t>
  </si>
  <si>
    <t>CPIEMP194</t>
  </si>
  <si>
    <t>CPIEMP195</t>
  </si>
  <si>
    <t>CPIEMP196</t>
  </si>
  <si>
    <t>CPIEMP197</t>
  </si>
  <si>
    <t>CPIEMP198</t>
  </si>
  <si>
    <t>CPIEMP199</t>
  </si>
  <si>
    <t>CPIEMP200</t>
  </si>
  <si>
    <t>CPIEMP201</t>
  </si>
  <si>
    <t>CPIEMP202</t>
  </si>
  <si>
    <t>CPIEMP203</t>
  </si>
  <si>
    <t>CPIEMP204</t>
  </si>
  <si>
    <t>CPIEMP205</t>
  </si>
  <si>
    <t>CPIEMP206</t>
  </si>
  <si>
    <t>CPIEMP207</t>
  </si>
  <si>
    <t>CPIEMP208</t>
  </si>
  <si>
    <t>CPIEMP209</t>
  </si>
  <si>
    <t>CPIEMP210</t>
  </si>
  <si>
    <t>CPIEMP211</t>
  </si>
  <si>
    <t>CPIEMP212</t>
  </si>
  <si>
    <t>CPIEMP213</t>
  </si>
  <si>
    <t>CPIEMP214</t>
  </si>
  <si>
    <t>CPIEMP215</t>
  </si>
  <si>
    <t>CPIEMP216</t>
  </si>
  <si>
    <t>CPIEMP217</t>
  </si>
  <si>
    <t>CPIEMP218</t>
  </si>
  <si>
    <t>CPIEMP219</t>
  </si>
  <si>
    <t>CPIEMP220</t>
  </si>
  <si>
    <t>CPIEMP221</t>
  </si>
  <si>
    <t>CPIEMP222</t>
  </si>
  <si>
    <t>CPIEMP223</t>
  </si>
  <si>
    <t>CPIEMP224</t>
  </si>
  <si>
    <t>CPIEMP225</t>
  </si>
  <si>
    <t>CPIEMP226</t>
  </si>
  <si>
    <t>CPIEMP227</t>
  </si>
  <si>
    <t>CPIEMP228</t>
  </si>
  <si>
    <t>CPIEMP229</t>
  </si>
  <si>
    <t>CPIEMP230</t>
  </si>
  <si>
    <t>CPIEMP231</t>
  </si>
  <si>
    <t>CPIEMP232</t>
  </si>
  <si>
    <t>CPIEMP233</t>
  </si>
  <si>
    <t>CPIEMP234</t>
  </si>
  <si>
    <t>CPIEMP235</t>
  </si>
  <si>
    <t>CPIEMP236</t>
  </si>
  <si>
    <t>CPIEMP237</t>
  </si>
  <si>
    <t>CPIEMP238</t>
  </si>
  <si>
    <t>CPIEMP239</t>
  </si>
  <si>
    <t>CPIEMP240</t>
  </si>
  <si>
    <t>CPIEMP241</t>
  </si>
  <si>
    <t>CPIEMP242</t>
  </si>
  <si>
    <t>CPIEMP243</t>
  </si>
  <si>
    <t>CPIEMP244</t>
  </si>
  <si>
    <t>CPIEMP245</t>
  </si>
  <si>
    <t>CPIEMP246</t>
  </si>
  <si>
    <t>CPIEMP247</t>
  </si>
  <si>
    <t>CPIEMP248</t>
  </si>
  <si>
    <t>CPIEMP249</t>
  </si>
  <si>
    <t>CPIEMP250</t>
  </si>
  <si>
    <t>CPIEMP251</t>
  </si>
  <si>
    <t>CPIEMP252</t>
  </si>
  <si>
    <t>CPIEMP253</t>
  </si>
  <si>
    <t>CPIEMP254</t>
  </si>
  <si>
    <t>CPIEMP255</t>
  </si>
  <si>
    <t>CPIEMP256</t>
  </si>
  <si>
    <t>CPIEMP257</t>
  </si>
  <si>
    <t>CPIEMP258</t>
  </si>
  <si>
    <t>CPIEMP259</t>
  </si>
  <si>
    <t>CPIEMP260</t>
  </si>
  <si>
    <t>CPIEMP261</t>
  </si>
  <si>
    <t>CPIEMP262</t>
  </si>
  <si>
    <t>CPIEMP263</t>
  </si>
  <si>
    <t>CPIEMP264</t>
  </si>
  <si>
    <t>CPIEMP265</t>
  </si>
  <si>
    <t>CPIEMP266</t>
  </si>
  <si>
    <t>CPIEMP267</t>
  </si>
  <si>
    <t>CPIEMP268</t>
  </si>
  <si>
    <t>CPIEMP269</t>
  </si>
  <si>
    <t>CPIEMP270</t>
  </si>
  <si>
    <t>CPIEMP271</t>
  </si>
  <si>
    <t>CPIEMP272</t>
  </si>
  <si>
    <t>CPIEMP273</t>
  </si>
  <si>
    <t>CPIEMP274</t>
  </si>
  <si>
    <t>CPIEMP275</t>
  </si>
  <si>
    <t>CPIEMP276</t>
  </si>
  <si>
    <t>CPIEMP277</t>
  </si>
  <si>
    <t>CPIEMP278</t>
  </si>
  <si>
    <t>CPIEMP279</t>
  </si>
  <si>
    <t>CPIEMP280</t>
  </si>
  <si>
    <t>CPIEMP281</t>
  </si>
  <si>
    <t>CPIEMP282</t>
  </si>
  <si>
    <t>CPIEMP283</t>
  </si>
  <si>
    <t>CPIEMP284</t>
  </si>
  <si>
    <t>CPIEMP285</t>
  </si>
  <si>
    <t>CPIEMP286</t>
  </si>
  <si>
    <t>CPIEMP287</t>
  </si>
  <si>
    <t>CPIEMP288</t>
  </si>
  <si>
    <t>CPIEMP289</t>
  </si>
  <si>
    <t>CPIEMP290</t>
  </si>
  <si>
    <t>CPIEMP291</t>
  </si>
  <si>
    <t>CPIEMP292</t>
  </si>
  <si>
    <t>CPIEMP293</t>
  </si>
  <si>
    <t>CPIEMP294</t>
  </si>
  <si>
    <t>CPIEMP295</t>
  </si>
  <si>
    <t>CPIEMP296</t>
  </si>
  <si>
    <t>CPIEMP297</t>
  </si>
  <si>
    <t>CPIEMP298</t>
  </si>
  <si>
    <t>CPIEMP299</t>
  </si>
  <si>
    <t>CPIEMP300</t>
  </si>
  <si>
    <t>CPIEMP301</t>
  </si>
  <si>
    <t>CPIEMP302</t>
  </si>
  <si>
    <t>CPIEMP303</t>
  </si>
  <si>
    <t>CPIEMP304</t>
  </si>
  <si>
    <t>CPIEMP305</t>
  </si>
  <si>
    <t>CPIEMP306</t>
  </si>
  <si>
    <t>CPIEMP307</t>
  </si>
  <si>
    <t>CPIEMP308</t>
  </si>
  <si>
    <t>CPIEMP309</t>
  </si>
  <si>
    <t>CPIEMP310</t>
  </si>
  <si>
    <t>CPIEMP311</t>
  </si>
  <si>
    <t>CPIEMP312</t>
  </si>
  <si>
    <t>CPIEMP313</t>
  </si>
  <si>
    <t>CPIEMP314</t>
  </si>
  <si>
    <t>CPIEMP315</t>
  </si>
  <si>
    <t>CPIEMP316</t>
  </si>
  <si>
    <t>CPIEMP317</t>
  </si>
  <si>
    <t>CPIEMP318</t>
  </si>
  <si>
    <t>CPIEMP319</t>
  </si>
  <si>
    <t>CPIEMP320</t>
  </si>
  <si>
    <t>CPIEMP321</t>
  </si>
  <si>
    <t>CPIEMP322</t>
  </si>
  <si>
    <t>CPIEMP323</t>
  </si>
  <si>
    <t>CPIEMP324</t>
  </si>
  <si>
    <t>CPIEMP325</t>
  </si>
  <si>
    <t>CPIEMP326</t>
  </si>
  <si>
    <t>CPIEMP327</t>
  </si>
  <si>
    <t>CPIEMP328</t>
  </si>
  <si>
    <t>CPIEMP329</t>
  </si>
  <si>
    <t>CPIEMP330</t>
  </si>
  <si>
    <t>CPIEMP331</t>
  </si>
  <si>
    <t>CPIEMP332</t>
  </si>
  <si>
    <t>CPIEMP333</t>
  </si>
  <si>
    <t>CPIEMP334</t>
  </si>
  <si>
    <t>CPIEMP335</t>
  </si>
  <si>
    <t>CPIEMP336</t>
  </si>
  <si>
    <t>CPIEMP337</t>
  </si>
  <si>
    <t>CPIEMP338</t>
  </si>
  <si>
    <t>CPIEMP339</t>
  </si>
  <si>
    <t>CPIEMP340</t>
  </si>
  <si>
    <t>CPIEMP341</t>
  </si>
  <si>
    <t>CPIEMP342</t>
  </si>
  <si>
    <t>CPIEMP343</t>
  </si>
  <si>
    <t>CPIEMP344</t>
  </si>
  <si>
    <t>CPIEMP345</t>
  </si>
  <si>
    <t>CPIEMP346</t>
  </si>
  <si>
    <t>CPIEMP347</t>
  </si>
  <si>
    <t>CPIEMP348</t>
  </si>
  <si>
    <t>CPIEMP349</t>
  </si>
  <si>
    <t>CPIEMP350</t>
  </si>
  <si>
    <t>CPIEMP351</t>
  </si>
  <si>
    <t>CPIEMP352</t>
  </si>
  <si>
    <t>CPIEMP353</t>
  </si>
  <si>
    <t>CPIEMP354</t>
  </si>
  <si>
    <t>CPIEMP355</t>
  </si>
  <si>
    <t>CPIEMP356</t>
  </si>
  <si>
    <t>CPIEMP357</t>
  </si>
  <si>
    <t>CPIEMP358</t>
  </si>
  <si>
    <t>CPIEMP359</t>
  </si>
  <si>
    <t>CPIEMP360</t>
  </si>
  <si>
    <t>CPIEMP361</t>
  </si>
  <si>
    <t>CPIEMP362</t>
  </si>
  <si>
    <t>CPIEMP363</t>
  </si>
  <si>
    <t>CPIEMP364</t>
  </si>
  <si>
    <t>CPIEMP365</t>
  </si>
  <si>
    <t>CPIEMP366</t>
  </si>
  <si>
    <t>CPIEMP367</t>
  </si>
  <si>
    <t>CPIEMP368</t>
  </si>
  <si>
    <t>CPIEMP369</t>
  </si>
  <si>
    <t>CPIEMP370</t>
  </si>
  <si>
    <t>CPIEMP371</t>
  </si>
  <si>
    <t>CPIEMP372</t>
  </si>
  <si>
    <t>CPIEMP373</t>
  </si>
  <si>
    <t>CPIEMP374</t>
  </si>
  <si>
    <t>CPIEMP375</t>
  </si>
  <si>
    <t>CPIEMP376</t>
  </si>
  <si>
    <t>CPIEMP377</t>
  </si>
  <si>
    <t>CPIEMP378</t>
  </si>
  <si>
    <t>CPIEMP379</t>
  </si>
  <si>
    <t>CPIEMP380</t>
  </si>
  <si>
    <t>CPIEMP381</t>
  </si>
  <si>
    <t>CPIEMP382</t>
  </si>
  <si>
    <t>CPIEMP383</t>
  </si>
  <si>
    <t>CPIEMP384</t>
  </si>
  <si>
    <t>CPIEMP385</t>
  </si>
  <si>
    <t>CPIEMP386</t>
  </si>
  <si>
    <t>CPIEMP387</t>
  </si>
  <si>
    <t>CPIEMP388</t>
  </si>
  <si>
    <t>CPIEMP389</t>
  </si>
  <si>
    <t>CPIEMP390</t>
  </si>
  <si>
    <t>CPIEMP391</t>
  </si>
  <si>
    <t>CPIEMP392</t>
  </si>
  <si>
    <t>CPIEMP393</t>
  </si>
  <si>
    <t>CPIEMP394</t>
  </si>
  <si>
    <t>CPIEMP395</t>
  </si>
  <si>
    <t>CPIEMP396</t>
  </si>
  <si>
    <t>CPIEMP397</t>
  </si>
  <si>
    <t>CPIEMP398</t>
  </si>
  <si>
    <t>CPIEMP399</t>
  </si>
  <si>
    <t>CPIEMP400</t>
  </si>
  <si>
    <t>CPIEMP401</t>
  </si>
  <si>
    <t>CPIEMP402</t>
  </si>
  <si>
    <t>CPIEMP403</t>
  </si>
  <si>
    <t>CPIEMP404</t>
  </si>
  <si>
    <t>CPIEMP405</t>
  </si>
  <si>
    <t>CPIEMP406</t>
  </si>
  <si>
    <t>CPIEMP407</t>
  </si>
  <si>
    <t>CPIEMP408</t>
  </si>
  <si>
    <t>CPIEMP409</t>
  </si>
  <si>
    <t>CPIEMP410</t>
  </si>
  <si>
    <t>CPIEMP411</t>
  </si>
  <si>
    <t>CPIEMP412</t>
  </si>
  <si>
    <t>CPIEMP413</t>
  </si>
  <si>
    <t>CPIEMP414</t>
  </si>
  <si>
    <t>CPIEMP415</t>
  </si>
  <si>
    <t>CPIEMP416</t>
  </si>
  <si>
    <t>CPIEMP417</t>
  </si>
  <si>
    <t>CPIEMP418</t>
  </si>
  <si>
    <t>CPIEMP419</t>
  </si>
  <si>
    <t>CPIEMP420</t>
  </si>
  <si>
    <t>CPIEMP421</t>
  </si>
  <si>
    <t>CPIEMP422</t>
  </si>
  <si>
    <t>CPIEMP423</t>
  </si>
  <si>
    <t>CPIEMP424</t>
  </si>
  <si>
    <t>CPIEMP425</t>
  </si>
  <si>
    <t>CPIEMP426</t>
  </si>
  <si>
    <t>CPIEMP427</t>
  </si>
  <si>
    <t>CPIEMP428</t>
  </si>
  <si>
    <t>CPIEMP429</t>
  </si>
  <si>
    <t>CPIEMP430</t>
  </si>
  <si>
    <t>CPIEMP431</t>
  </si>
  <si>
    <t>CPIEMP432</t>
  </si>
  <si>
    <t>CPIEMP433</t>
  </si>
  <si>
    <t>CPIEMP434</t>
  </si>
  <si>
    <t>CPIEMP435</t>
  </si>
  <si>
    <t>CPIEMP436</t>
  </si>
  <si>
    <t>CPIEMP437</t>
  </si>
  <si>
    <t>CPIEMP438</t>
  </si>
  <si>
    <t>CPIEMP439</t>
  </si>
  <si>
    <t>CPIEMP440</t>
  </si>
  <si>
    <t>CPIEMP441</t>
  </si>
  <si>
    <t>CPIEMP442</t>
  </si>
  <si>
    <t>CPIEMP443</t>
  </si>
  <si>
    <t>CPIEMP444</t>
  </si>
  <si>
    <t>CPIEMP445</t>
  </si>
  <si>
    <t>CPIEMP446</t>
  </si>
  <si>
    <t>CPIEMP447</t>
  </si>
  <si>
    <t>CPIEMP448</t>
  </si>
  <si>
    <t>CPIEMP449</t>
  </si>
  <si>
    <t>CPIEMP450</t>
  </si>
  <si>
    <t>CPIEMP451</t>
  </si>
  <si>
    <t>CPIEMP452</t>
  </si>
  <si>
    <t>CPIEMP453</t>
  </si>
  <si>
    <t>CPIEMP454</t>
  </si>
  <si>
    <t>CPIEMP455</t>
  </si>
  <si>
    <t>CPIEMP456</t>
  </si>
  <si>
    <t>CPIEMP457</t>
  </si>
  <si>
    <t>CPIEMP458</t>
  </si>
  <si>
    <t>CPIEMP459</t>
  </si>
  <si>
    <t>CPIEMP460</t>
  </si>
  <si>
    <t>CPIEMP461</t>
  </si>
  <si>
    <t>CPIEMP462</t>
  </si>
  <si>
    <t>CPIEMP463</t>
  </si>
  <si>
    <t>CPIEMP464</t>
  </si>
  <si>
    <t>CPIEMP465</t>
  </si>
  <si>
    <t>CPIEMP466</t>
  </si>
  <si>
    <t>CPIEMP467</t>
  </si>
  <si>
    <t>CPIEMP468</t>
  </si>
  <si>
    <t>CPIEMP469</t>
  </si>
  <si>
    <t>CPIEMP470</t>
  </si>
  <si>
    <t>CPIEMP471</t>
  </si>
  <si>
    <t>CPIEMP472</t>
  </si>
  <si>
    <t>CPIEMP473</t>
  </si>
  <si>
    <t>CPIEMP474</t>
  </si>
  <si>
    <t>CPIEMP475</t>
  </si>
  <si>
    <t>CPIEMP476</t>
  </si>
  <si>
    <t>CPIEMP477</t>
  </si>
  <si>
    <t>CPIEMP478</t>
  </si>
  <si>
    <t>CPIEMP479</t>
  </si>
  <si>
    <t>CPIEMP480</t>
  </si>
  <si>
    <t>CPIEMP481</t>
  </si>
  <si>
    <t>CPIEMP482</t>
  </si>
  <si>
    <t>CPIEMP483</t>
  </si>
  <si>
    <t>CPIEMP484</t>
  </si>
  <si>
    <t>CPIEMP485</t>
  </si>
  <si>
    <t>CPIEMP486</t>
  </si>
  <si>
    <t>CPIEMP487</t>
  </si>
  <si>
    <t>CPIEMP488</t>
  </si>
  <si>
    <t>CPIEMP489</t>
  </si>
  <si>
    <t>CPIEMP490</t>
  </si>
  <si>
    <t>CPIEMP491</t>
  </si>
  <si>
    <t>CPIEMP492</t>
  </si>
  <si>
    <t>CPIEMP493</t>
  </si>
  <si>
    <t>CPIEMP494</t>
  </si>
  <si>
    <t>CPIEMP495</t>
  </si>
  <si>
    <t>CPIEMP496</t>
  </si>
  <si>
    <t>CPIEMP497</t>
  </si>
  <si>
    <t>CPIEMP498</t>
  </si>
  <si>
    <t>CPIEMP499</t>
  </si>
  <si>
    <t>CPIEMP500</t>
  </si>
  <si>
    <t>CPIEMP501</t>
  </si>
  <si>
    <t>CPIEMP502</t>
  </si>
  <si>
    <t>CPIEMP503</t>
  </si>
  <si>
    <t>CPIEMP504</t>
  </si>
  <si>
    <t>CPIEMP505</t>
  </si>
  <si>
    <t>CPIEMP506</t>
  </si>
  <si>
    <t>CPIEMP507</t>
  </si>
  <si>
    <t>CPIEMP508</t>
  </si>
  <si>
    <t>CPIEMP509</t>
  </si>
  <si>
    <t>CPIEMP510</t>
  </si>
  <si>
    <t>CPIEMP511</t>
  </si>
  <si>
    <t>CPIEMP512</t>
  </si>
  <si>
    <t>CPIEMP513</t>
  </si>
  <si>
    <t>CPIEMP514</t>
  </si>
  <si>
    <t>CPIEMP515</t>
  </si>
  <si>
    <t>CPIEMP516</t>
  </si>
  <si>
    <t>CPIEMP517</t>
  </si>
  <si>
    <t>CPIEMP518</t>
  </si>
  <si>
    <t>CPIEMP519</t>
  </si>
  <si>
    <t>CPIEMP520</t>
  </si>
  <si>
    <t>CPIEMP521</t>
  </si>
  <si>
    <t>CPIEMP522</t>
  </si>
  <si>
    <t>CPIEMP523</t>
  </si>
  <si>
    <t>CPIEMP524</t>
  </si>
  <si>
    <t>CPIEMP525</t>
  </si>
  <si>
    <t>CPIEMP526</t>
  </si>
  <si>
    <t>CPIEMP527</t>
  </si>
  <si>
    <t>CPIEMP528</t>
  </si>
  <si>
    <t>CPIEMP529</t>
  </si>
  <si>
    <t>CPIEMP530</t>
  </si>
  <si>
    <t>CPIEMP531</t>
  </si>
  <si>
    <t>CPIEMP532</t>
  </si>
  <si>
    <t>CPIEMP533</t>
  </si>
  <si>
    <t>CPIEMP534</t>
  </si>
  <si>
    <t>CPIEMP535</t>
  </si>
  <si>
    <t>CPIEMP536</t>
  </si>
  <si>
    <t>CPIEMP537</t>
  </si>
  <si>
    <t>CPIEMP538</t>
  </si>
  <si>
    <t>CPIEMP539</t>
  </si>
  <si>
    <t>CPIEMP540</t>
  </si>
  <si>
    <t>CPIEMP541</t>
  </si>
  <si>
    <t>CPIEMP542</t>
  </si>
  <si>
    <t>CPIEMP543</t>
  </si>
  <si>
    <t>CPIEMP544</t>
  </si>
  <si>
    <t>CPIEMP545</t>
  </si>
  <si>
    <t>CPIEMP546</t>
  </si>
  <si>
    <t>CPIEMP547</t>
  </si>
  <si>
    <t>CPIEMP548</t>
  </si>
  <si>
    <t>CPIEMP549</t>
  </si>
  <si>
    <t>CPIEMP550</t>
  </si>
  <si>
    <t>CPIEMP551</t>
  </si>
  <si>
    <t>CPIEMP552</t>
  </si>
  <si>
    <t>CPIEMP553</t>
  </si>
  <si>
    <t>CPIEMP554</t>
  </si>
  <si>
    <t>CPIEMP555</t>
  </si>
  <si>
    <t>CPIEMP556</t>
  </si>
  <si>
    <t>CPIEMP557</t>
  </si>
  <si>
    <t>CPIEMP558</t>
  </si>
  <si>
    <t>CPIEMP559</t>
  </si>
  <si>
    <t>CPIEMP560</t>
  </si>
  <si>
    <t>CPIEMP561</t>
  </si>
  <si>
    <t>CPIEMP562</t>
  </si>
  <si>
    <t>CPIEMP563</t>
  </si>
  <si>
    <t>CPIEMP564</t>
  </si>
  <si>
    <t>CPIEMP565</t>
  </si>
  <si>
    <t>CPIEMP566</t>
  </si>
  <si>
    <t>CPIEMP567</t>
  </si>
  <si>
    <t>CPIEMP568</t>
  </si>
  <si>
    <t>CPIEMP569</t>
  </si>
  <si>
    <t>CPIEMP570</t>
  </si>
  <si>
    <t>CPIEMP571</t>
  </si>
  <si>
    <t>CPIEMP572</t>
  </si>
  <si>
    <t>CPIEMP573</t>
  </si>
  <si>
    <t>CPIEMP574</t>
  </si>
  <si>
    <t>CPIEMP575</t>
  </si>
  <si>
    <t>CPIEMP576</t>
  </si>
  <si>
    <t>CPIEMP577</t>
  </si>
  <si>
    <t>CPIEMP578</t>
  </si>
  <si>
    <t>CPIEMP579</t>
  </si>
  <si>
    <t>CPIEMP580</t>
  </si>
  <si>
    <t>CPIEMP581</t>
  </si>
  <si>
    <t>CPIEMP582</t>
  </si>
  <si>
    <t>CPIEMP583</t>
  </si>
  <si>
    <t>CPIEMP584</t>
  </si>
  <si>
    <t>CPIEMP585</t>
  </si>
  <si>
    <t>CPIEMP586</t>
  </si>
  <si>
    <t>CPIEMP587</t>
  </si>
  <si>
    <t>CPIEMP588</t>
  </si>
  <si>
    <t>CPIEMP589</t>
  </si>
  <si>
    <t>CPIEMP590</t>
  </si>
  <si>
    <t>CPIEMP591</t>
  </si>
  <si>
    <t>CPIEMP592</t>
  </si>
  <si>
    <t>CPIEMP593</t>
  </si>
  <si>
    <t>CPIEMP594</t>
  </si>
  <si>
    <t>CPIEMP595</t>
  </si>
  <si>
    <t>CPIEMP596</t>
  </si>
  <si>
    <t>CPIEMP597</t>
  </si>
  <si>
    <t>CPIEMP598</t>
  </si>
  <si>
    <t>CPIEMP599</t>
  </si>
  <si>
    <t>CPIEMP600</t>
  </si>
  <si>
    <t>CPIEMP601</t>
  </si>
  <si>
    <t>CPIEMP602</t>
  </si>
  <si>
    <t>CPIEMP603</t>
  </si>
  <si>
    <t>CPIEMP604</t>
  </si>
  <si>
    <t>CPIEMP605</t>
  </si>
  <si>
    <t>CPIEMP606</t>
  </si>
  <si>
    <t>CPIEMP607</t>
  </si>
  <si>
    <t>CPIEMP608</t>
  </si>
  <si>
    <t>CPIEMP609</t>
  </si>
  <si>
    <t>CPIEMP610</t>
  </si>
  <si>
    <t>CPIEMP611</t>
  </si>
  <si>
    <t>CPIEMP612</t>
  </si>
  <si>
    <t>CPIEMP613</t>
  </si>
  <si>
    <t>CPIEMP614</t>
  </si>
  <si>
    <t>CPIEMP615</t>
  </si>
  <si>
    <t>CPIEMP616</t>
  </si>
  <si>
    <t>CPIEMP617</t>
  </si>
  <si>
    <t>CPIEMP618</t>
  </si>
  <si>
    <t>CPIEMP619</t>
  </si>
  <si>
    <t>CPIEMP620</t>
  </si>
  <si>
    <t>CPIEMP621</t>
  </si>
  <si>
    <t>CPIEMP622</t>
  </si>
  <si>
    <t>CPIEMP623</t>
  </si>
  <si>
    <t>CPIEMP624</t>
  </si>
  <si>
    <t>CPIEMP625</t>
  </si>
  <si>
    <t>CPIEMP626</t>
  </si>
  <si>
    <t>CPIEMP627</t>
  </si>
  <si>
    <t>CPIEMP628</t>
  </si>
  <si>
    <t>CPIEMP629</t>
  </si>
  <si>
    <t>CPIEMP630</t>
  </si>
  <si>
    <t>CPIEMP631</t>
  </si>
  <si>
    <t>CPIEMP632</t>
  </si>
  <si>
    <t>CPIEMP633</t>
  </si>
  <si>
    <t>CPIEMP634</t>
  </si>
  <si>
    <t>CPIEMP635</t>
  </si>
  <si>
    <t>CPIEMP636</t>
  </si>
  <si>
    <t>CPIEMP637</t>
  </si>
  <si>
    <t>CPIEMP638</t>
  </si>
  <si>
    <t>CPIEMP639</t>
  </si>
  <si>
    <t>CPIEMP640</t>
  </si>
  <si>
    <t>CPIEMP641</t>
  </si>
  <si>
    <t>CPIEMP642</t>
  </si>
  <si>
    <t>CPIEMP643</t>
  </si>
  <si>
    <t>CPIEMP644</t>
  </si>
  <si>
    <t>CPIEMP645</t>
  </si>
  <si>
    <t>CPIEMP646</t>
  </si>
  <si>
    <t>CPIEMP647</t>
  </si>
  <si>
    <t>CPIEMP648</t>
  </si>
  <si>
    <t>CPIEMP649</t>
  </si>
  <si>
    <t>CPIEMP650</t>
  </si>
  <si>
    <t>CPIEMP651</t>
  </si>
  <si>
    <t>CPIEMP652</t>
  </si>
  <si>
    <t>CPIEMP653</t>
  </si>
  <si>
    <t>CPIEMP654</t>
  </si>
  <si>
    <t>CPIEMP655</t>
  </si>
  <si>
    <t>CPIEMP656</t>
  </si>
  <si>
    <t>CPIEMP657</t>
  </si>
  <si>
    <t>CPIEMP658</t>
  </si>
  <si>
    <t>CPIEMP659</t>
  </si>
  <si>
    <t>CPIEMP660</t>
  </si>
  <si>
    <t>CPIEMP661</t>
  </si>
  <si>
    <t>CPIEMP662</t>
  </si>
  <si>
    <t>CPIEMP663</t>
  </si>
  <si>
    <t>CPIEMP664</t>
  </si>
  <si>
    <t>CPIEMP665</t>
  </si>
  <si>
    <t>CPIEMP666</t>
  </si>
  <si>
    <t>CPIEMP667</t>
  </si>
  <si>
    <t>CPIEMP668</t>
  </si>
  <si>
    <t>CPIEMP669</t>
  </si>
  <si>
    <t>CPIEMP670</t>
  </si>
  <si>
    <t>CPIEMP671</t>
  </si>
  <si>
    <t>CPIEMP672</t>
  </si>
  <si>
    <t>CPIEMP673</t>
  </si>
  <si>
    <t>CPIEMP674</t>
  </si>
  <si>
    <t>CPIEMP675</t>
  </si>
  <si>
    <t>CPIEMP676</t>
  </si>
  <si>
    <t>CPIEMP677</t>
  </si>
  <si>
    <t>CPIEMP678</t>
  </si>
  <si>
    <t>CPIEMP679</t>
  </si>
  <si>
    <t>CPIEMP680</t>
  </si>
  <si>
    <t>CPIEMP681</t>
  </si>
  <si>
    <t>CPIEMP682</t>
  </si>
  <si>
    <t>CPIEMP683</t>
  </si>
  <si>
    <t>CPIEMP684</t>
  </si>
  <si>
    <t>CPIEMP685</t>
  </si>
  <si>
    <t>CPIEMP686</t>
  </si>
  <si>
    <t>CPIEMP687</t>
  </si>
  <si>
    <t>CPIEMP688</t>
  </si>
  <si>
    <t>CPIEMP689</t>
  </si>
  <si>
    <t>CPIEMP690</t>
  </si>
  <si>
    <t>CPIEMP691</t>
  </si>
  <si>
    <t>CPIEMP692</t>
  </si>
  <si>
    <t>CPIEMP693</t>
  </si>
  <si>
    <t>CPIEMP694</t>
  </si>
  <si>
    <t>CPIEMP695</t>
  </si>
  <si>
    <t>CPIEMP696</t>
  </si>
  <si>
    <t>CPIEMP697</t>
  </si>
  <si>
    <t>CPIEMP698</t>
  </si>
  <si>
    <t>CPIEMP699</t>
  </si>
  <si>
    <t>CPIEMP700</t>
  </si>
  <si>
    <t>CPIEMP701</t>
  </si>
  <si>
    <t>CPIEMP702</t>
  </si>
  <si>
    <t>CPIEMP703</t>
  </si>
  <si>
    <t>CPIEMP704</t>
  </si>
  <si>
    <t>CPIEMP705</t>
  </si>
  <si>
    <t>CPIEMP706</t>
  </si>
  <si>
    <t>CPIEMP707</t>
  </si>
  <si>
    <t>CPIEMP708</t>
  </si>
  <si>
    <t>CPIEMP709</t>
  </si>
  <si>
    <t>CPIEMP710</t>
  </si>
  <si>
    <t>CPIEMP711</t>
  </si>
  <si>
    <t>CPIEMP712</t>
  </si>
  <si>
    <t>CPIEMP713</t>
  </si>
  <si>
    <t>CPIEMP714</t>
  </si>
  <si>
    <t>CPIEMP715</t>
  </si>
  <si>
    <t>CPIEMP716</t>
  </si>
  <si>
    <t>CPIEMP717</t>
  </si>
  <si>
    <t>CPIEMP718</t>
  </si>
  <si>
    <t>CPIEMP719</t>
  </si>
  <si>
    <t>CPIEMP720</t>
  </si>
  <si>
    <t>CPIEMP721</t>
  </si>
  <si>
    <t>CPIEMP722</t>
  </si>
  <si>
    <t>CPIEMP723</t>
  </si>
  <si>
    <t>CPIEMP724</t>
  </si>
  <si>
    <t>CPIEMP725</t>
  </si>
  <si>
    <t>CPIEMP726</t>
  </si>
  <si>
    <t>CPIEMP727</t>
  </si>
  <si>
    <t>CPIEMP728</t>
  </si>
  <si>
    <t>CPIEMP729</t>
  </si>
  <si>
    <t>CPIEMP730</t>
  </si>
  <si>
    <t>CPIEMP731</t>
  </si>
  <si>
    <t>CPIEMP732</t>
  </si>
  <si>
    <t>CPIEMP733</t>
  </si>
  <si>
    <t>CPIEMP734</t>
  </si>
  <si>
    <t>CPIEMP735</t>
  </si>
  <si>
    <t>CPIEMP736</t>
  </si>
  <si>
    <t>CPIEMP737</t>
  </si>
  <si>
    <t>CPIEMP738</t>
  </si>
  <si>
    <t>CPIEMP739</t>
  </si>
  <si>
    <t>CPIEMP740</t>
  </si>
  <si>
    <t>CPIEMP741</t>
  </si>
  <si>
    <t>CPIEMP742</t>
  </si>
  <si>
    <t>CPIEMP743</t>
  </si>
  <si>
    <t>CPIEMP744</t>
  </si>
  <si>
    <t>CPIEMP745</t>
  </si>
  <si>
    <t>CPIEMP746</t>
  </si>
  <si>
    <t>CPIEMP747</t>
  </si>
  <si>
    <t>CPIEMP748</t>
  </si>
  <si>
    <t>CPIEMP749</t>
  </si>
  <si>
    <t>CPIEMP750</t>
  </si>
  <si>
    <t>CPIEMP751</t>
  </si>
  <si>
    <t>CPIEMP752</t>
  </si>
  <si>
    <t>CPIEMP753</t>
  </si>
  <si>
    <t>CPIEMP754</t>
  </si>
  <si>
    <t>CPIEMP755</t>
  </si>
  <si>
    <t>CPIEMP756</t>
  </si>
  <si>
    <t>CPIEMP757</t>
  </si>
  <si>
    <t>CPIEMP758</t>
  </si>
  <si>
    <t>CPIEMP759</t>
  </si>
  <si>
    <t>CPIEMP760</t>
  </si>
  <si>
    <t>CPIEMP761</t>
  </si>
  <si>
    <t>CPIEMP762</t>
  </si>
  <si>
    <t>CPIEMP763</t>
  </si>
  <si>
    <t>CPIEMP764</t>
  </si>
  <si>
    <t>CPIEMP765</t>
  </si>
  <si>
    <t>CPIEMP766</t>
  </si>
  <si>
    <t>CPIEMP767</t>
  </si>
  <si>
    <t>CPIEMP768</t>
  </si>
  <si>
    <t>CPIEMP769</t>
  </si>
  <si>
    <t>CPIEMP770</t>
  </si>
  <si>
    <t>CPIEMP771</t>
  </si>
  <si>
    <t>CPIEMP772</t>
  </si>
  <si>
    <t>CPIEMP773</t>
  </si>
  <si>
    <t>CPIEMP774</t>
  </si>
  <si>
    <t>CPIEMP775</t>
  </si>
  <si>
    <t>CPIEMP776</t>
  </si>
  <si>
    <t>CPIEMP777</t>
  </si>
  <si>
    <t>CPIEMP778</t>
  </si>
  <si>
    <t>CPIEMP779</t>
  </si>
  <si>
    <t>CPIEMP780</t>
  </si>
  <si>
    <t>CPIEMP781</t>
  </si>
  <si>
    <t>CPIEMP782</t>
  </si>
  <si>
    <t>CPIEMP783</t>
  </si>
  <si>
    <t>CPIEMP784</t>
  </si>
  <si>
    <t>CPIEMP785</t>
  </si>
  <si>
    <t>CPIEMP786</t>
  </si>
  <si>
    <t>CPIEMP787</t>
  </si>
  <si>
    <t>CPIEMP788</t>
  </si>
  <si>
    <t>CPIEMP789</t>
  </si>
  <si>
    <t>CPIEMP790</t>
  </si>
  <si>
    <t>CPIEMP791</t>
  </si>
  <si>
    <t>CPIEMP792</t>
  </si>
  <si>
    <t>CPIEMP793</t>
  </si>
  <si>
    <t>CPIEMP794</t>
  </si>
  <si>
    <t>CPIEMP795</t>
  </si>
  <si>
    <t>CPIEMP796</t>
  </si>
  <si>
    <t>CPIEMP797</t>
  </si>
  <si>
    <t>CPIEMP798</t>
  </si>
  <si>
    <t>CPIEMP799</t>
  </si>
  <si>
    <t>CPIEMP800</t>
  </si>
  <si>
    <t>CPIEMP801</t>
  </si>
  <si>
    <t>CPIEMP802</t>
  </si>
  <si>
    <t>CPIEMP803</t>
  </si>
  <si>
    <t>CPIEMP804</t>
  </si>
  <si>
    <t>CPIEMP805</t>
  </si>
  <si>
    <t>CPIEMP806</t>
  </si>
  <si>
    <t>CPIEMP807</t>
  </si>
  <si>
    <t>CPIEMP808</t>
  </si>
  <si>
    <t>CPIEMP809</t>
  </si>
  <si>
    <t>CPIEMP810</t>
  </si>
  <si>
    <t>CPIEMP811</t>
  </si>
  <si>
    <t>CPIEMP812</t>
  </si>
  <si>
    <t>CPIEMP813</t>
  </si>
  <si>
    <t>CPIEMP814</t>
  </si>
  <si>
    <t>CPIEMP815</t>
  </si>
  <si>
    <t>CPIEMP816</t>
  </si>
  <si>
    <t>CPIEMP817</t>
  </si>
  <si>
    <t>CPIEMP818</t>
  </si>
  <si>
    <t>CPIEMP819</t>
  </si>
  <si>
    <t>CPIEMP820</t>
  </si>
  <si>
    <t>CPIEMP821</t>
  </si>
  <si>
    <t>CPIEMP822</t>
  </si>
  <si>
    <t>CPIEMP823</t>
  </si>
  <si>
    <t>CPIEMP824</t>
  </si>
  <si>
    <t>CPIEMP825</t>
  </si>
  <si>
    <t>CPIEMP826</t>
  </si>
  <si>
    <t>CPIEMP827</t>
  </si>
  <si>
    <t>CPIEMP828</t>
  </si>
  <si>
    <t>CPIEMP829</t>
  </si>
  <si>
    <t>CPIEMP830</t>
  </si>
  <si>
    <t>CPIEMP831</t>
  </si>
  <si>
    <t>CPIEMP832</t>
  </si>
  <si>
    <t>CPIEMP833</t>
  </si>
  <si>
    <t>CPIEMP834</t>
  </si>
  <si>
    <t>CPIEMP835</t>
  </si>
  <si>
    <t>CPIEMP836</t>
  </si>
  <si>
    <t>CPIEMP837</t>
  </si>
  <si>
    <t>CPIEMP838</t>
  </si>
  <si>
    <t>CPIEMP839</t>
  </si>
  <si>
    <t>CPIEMP840</t>
  </si>
  <si>
    <t>CPIEMP841</t>
  </si>
  <si>
    <t>CPIEMP842</t>
  </si>
  <si>
    <t>CPIEMP843</t>
  </si>
  <si>
    <t>CPIEMP844</t>
  </si>
  <si>
    <t>CPIEMP845</t>
  </si>
  <si>
    <t>CPIEMP846</t>
  </si>
  <si>
    <t>CPIEMP847</t>
  </si>
  <si>
    <t>CPIEMP848</t>
  </si>
  <si>
    <t>CPIEMP849</t>
  </si>
  <si>
    <t>CPIEMP850</t>
  </si>
  <si>
    <t>CPIEMP851</t>
  </si>
  <si>
    <t>CPIEMP852</t>
  </si>
  <si>
    <t>CPIEMP853</t>
  </si>
  <si>
    <t>CPIEMP854</t>
  </si>
  <si>
    <t>CPIEMP855</t>
  </si>
  <si>
    <t>CPIEMP856</t>
  </si>
  <si>
    <t>CPIEMP857</t>
  </si>
  <si>
    <t>CPIEMP858</t>
  </si>
  <si>
    <t>CPIEMP859</t>
  </si>
  <si>
    <t>CPIEMP860</t>
  </si>
  <si>
    <t>CPIEMP861</t>
  </si>
  <si>
    <t>CPIEMP862</t>
  </si>
  <si>
    <t>CPIEMP863</t>
  </si>
  <si>
    <t>CPIEMP864</t>
  </si>
  <si>
    <t>CPIEMP865</t>
  </si>
  <si>
    <t>CPIEMP866</t>
  </si>
  <si>
    <t>CPIEMP867</t>
  </si>
  <si>
    <t>CPIEMP868</t>
  </si>
  <si>
    <t>CPIEMP869</t>
  </si>
  <si>
    <t>CPIEMP870</t>
  </si>
  <si>
    <t>CPIEMP871</t>
  </si>
  <si>
    <t>CPIEMP872</t>
  </si>
  <si>
    <t>CPIEMP873</t>
  </si>
  <si>
    <t>CPIEMP874</t>
  </si>
  <si>
    <t>CPIEMP875</t>
  </si>
  <si>
    <t>CPIEMP876</t>
  </si>
  <si>
    <t>CPIEMP877</t>
  </si>
  <si>
    <t>CPIEMP878</t>
  </si>
  <si>
    <t>CPIEMP879</t>
  </si>
  <si>
    <t>CPIEMP880</t>
  </si>
  <si>
    <t>CPIEMP881</t>
  </si>
  <si>
    <t>CPIEMP882</t>
  </si>
  <si>
    <t>CPIEMP883</t>
  </si>
  <si>
    <t>CPIEMP884</t>
  </si>
  <si>
    <t>CPIEMP885</t>
  </si>
  <si>
    <t>CPIEMP886</t>
  </si>
  <si>
    <t>CPIEMP887</t>
  </si>
  <si>
    <t>CPIEMP888</t>
  </si>
  <si>
    <t>CPIEMP889</t>
  </si>
  <si>
    <t>CPIEMP890</t>
  </si>
  <si>
    <t>CPIEMP891</t>
  </si>
  <si>
    <t>CPIEMP892</t>
  </si>
  <si>
    <t>CPIEMP893</t>
  </si>
  <si>
    <t>CPIEMP894</t>
  </si>
  <si>
    <t>CPIEMP895</t>
  </si>
  <si>
    <t>CPIEMP896</t>
  </si>
  <si>
    <t>CPIEMP897</t>
  </si>
  <si>
    <t>CPIEMP898</t>
  </si>
  <si>
    <t>CPIEMP899</t>
  </si>
  <si>
    <t>CPIEMP900</t>
  </si>
  <si>
    <t>CPIEMP901</t>
  </si>
  <si>
    <t>CPIEMP902</t>
  </si>
  <si>
    <t>CPIEMP903</t>
  </si>
  <si>
    <t>CPIEMP904</t>
  </si>
  <si>
    <t>CPIEMP905</t>
  </si>
  <si>
    <t>CPIEMP906</t>
  </si>
  <si>
    <t>CPIEMP907</t>
  </si>
  <si>
    <t>CPIEMP908</t>
  </si>
  <si>
    <t>CPIEMP909</t>
  </si>
  <si>
    <t>CPIEMP910</t>
  </si>
  <si>
    <t>CPIEMP911</t>
  </si>
  <si>
    <t>CPIEMP912</t>
  </si>
  <si>
    <t>CPIEMP913</t>
  </si>
  <si>
    <t>CPIEMP914</t>
  </si>
  <si>
    <t>CPIEMP915</t>
  </si>
  <si>
    <t>CPIEMP916</t>
  </si>
  <si>
    <t>CPIEMP917</t>
  </si>
  <si>
    <t>CPIEMP918</t>
  </si>
  <si>
    <t>CPIEMP919</t>
  </si>
  <si>
    <t>CPIEMP920</t>
  </si>
  <si>
    <t>CPIEMP921</t>
  </si>
  <si>
    <t>CPIEMP922</t>
  </si>
  <si>
    <t>CPIEMP923</t>
  </si>
  <si>
    <t>CPIEMP924</t>
  </si>
  <si>
    <t>CPIEMP925</t>
  </si>
  <si>
    <t>CPIEMP926</t>
  </si>
  <si>
    <t>CPIEMP927</t>
  </si>
  <si>
    <t>CPIEMP928</t>
  </si>
  <si>
    <t>CPIEMP929</t>
  </si>
  <si>
    <t>CPIEMP930</t>
  </si>
  <si>
    <t>CPIEMP931</t>
  </si>
  <si>
    <t>CPIEMP932</t>
  </si>
  <si>
    <t>CPIEMP933</t>
  </si>
  <si>
    <t>CPIEMP934</t>
  </si>
  <si>
    <t>CPIEMP935</t>
  </si>
  <si>
    <t>CPIEMP936</t>
  </si>
  <si>
    <t>CPIEMP937</t>
  </si>
  <si>
    <t>CPIEMP938</t>
  </si>
  <si>
    <t>CPIEMP939</t>
  </si>
  <si>
    <t>CPIEMP940</t>
  </si>
  <si>
    <t>CPIEMP941</t>
  </si>
  <si>
    <t>CPIEMP942</t>
  </si>
  <si>
    <t>CPIEMP943</t>
  </si>
  <si>
    <t>CPIEMP944</t>
  </si>
  <si>
    <t>CPIEMP945</t>
  </si>
  <si>
    <t>CPIEMP946</t>
  </si>
  <si>
    <t>CPIEMP947</t>
  </si>
  <si>
    <t>CPIEMP948</t>
  </si>
  <si>
    <t>CPIEMP949</t>
  </si>
  <si>
    <t>CPIEMP950</t>
  </si>
  <si>
    <t>CPIEMP951</t>
  </si>
  <si>
    <t>CPIEMP952</t>
  </si>
  <si>
    <t>CPIEMP953</t>
  </si>
  <si>
    <t>CPIEMP954</t>
  </si>
  <si>
    <t>CPIEMP955</t>
  </si>
  <si>
    <t>CPIEMP956</t>
  </si>
  <si>
    <t>CPIEMP957</t>
  </si>
  <si>
    <t>CPIEMP958</t>
  </si>
  <si>
    <t>CPIEMP959</t>
  </si>
  <si>
    <t>CPIEMP960</t>
  </si>
  <si>
    <t>CPIEMP961</t>
  </si>
  <si>
    <t>CPIEMP962</t>
  </si>
  <si>
    <t>CPIEMP963</t>
  </si>
  <si>
    <t>CPIEMP964</t>
  </si>
  <si>
    <t>CPIEMP965</t>
  </si>
  <si>
    <t>CPIEMP966</t>
  </si>
  <si>
    <t>CPIEMP967</t>
  </si>
  <si>
    <t>CPIEMP968</t>
  </si>
  <si>
    <t>CPIEMP969</t>
  </si>
  <si>
    <t>CPIEMP970</t>
  </si>
  <si>
    <t>CPIEMP971</t>
  </si>
  <si>
    <t>CPIEMP972</t>
  </si>
  <si>
    <t>CPIEMP973</t>
  </si>
  <si>
    <t>CPIEMP974</t>
  </si>
  <si>
    <t>CPIEMP975</t>
  </si>
  <si>
    <t>CPIEMP976</t>
  </si>
  <si>
    <t>CPIEMP977</t>
  </si>
  <si>
    <t>CPIEMP978</t>
  </si>
  <si>
    <t>CPIEMP979</t>
  </si>
  <si>
    <t>CPIEMP980</t>
  </si>
  <si>
    <t>CPIEMP981</t>
  </si>
  <si>
    <t>CPIEMP982</t>
  </si>
  <si>
    <t>CPIEMP983</t>
  </si>
  <si>
    <t>CPIEMP984</t>
  </si>
  <si>
    <t>CPIEMP985</t>
  </si>
  <si>
    <t>CPIEMP986</t>
  </si>
  <si>
    <t>CPIEMP987</t>
  </si>
  <si>
    <t>CPIEMP988</t>
  </si>
  <si>
    <t>CPIEMP989</t>
  </si>
  <si>
    <t>CPIEMP990</t>
  </si>
  <si>
    <t>CPIEMP991</t>
  </si>
  <si>
    <t>CPIEMP992</t>
  </si>
  <si>
    <t>CPIEMP993</t>
  </si>
  <si>
    <t>CPIEMP994</t>
  </si>
  <si>
    <t>CPIEMP995</t>
  </si>
  <si>
    <t>CPIEMP996</t>
  </si>
  <si>
    <t>CPIEMP997</t>
  </si>
  <si>
    <t>CPIEMP998</t>
  </si>
  <si>
    <t>NetPay</t>
  </si>
  <si>
    <t>Status</t>
  </si>
  <si>
    <r>
      <rPr>
        <rFont val="docs-Nunito"/>
        <color rgb="FF000000"/>
      </rPr>
      <t>CPIEMP01</t>
    </r>
  </si>
  <si>
    <t>Paid</t>
  </si>
  <si>
    <t>Rejected</t>
  </si>
  <si>
    <t>Other Bank</t>
  </si>
  <si>
    <t>Challenge Packaging Industries</t>
  </si>
  <si>
    <t xml:space="preserve">Payslip For the </t>
  </si>
  <si>
    <t>DAYS</t>
  </si>
  <si>
    <t>Employee Name</t>
  </si>
  <si>
    <t>Paid / Present Days</t>
  </si>
  <si>
    <t>Absent Days</t>
  </si>
  <si>
    <t xml:space="preserve">Earnigns </t>
  </si>
  <si>
    <t>Amount</t>
  </si>
  <si>
    <t>Deductions</t>
  </si>
  <si>
    <t>Basic</t>
  </si>
  <si>
    <t>Salary Advance</t>
  </si>
  <si>
    <t>OT Payment</t>
  </si>
  <si>
    <t>Total Payment</t>
  </si>
  <si>
    <t>Total Deduction</t>
  </si>
  <si>
    <t>NET PAY</t>
  </si>
  <si>
    <t>INR</t>
  </si>
  <si>
    <t>Emp Id</t>
  </si>
  <si>
    <t>Total Present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</si>
</sst>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yy"/>
    <numFmt numFmtId="165" formatCode="mmmm yyyy"/>
    <numFmt numFmtId="166" formatCode="[$₹]#,##0.00"/>
    <numFmt numFmtId="167" formatCode="dd&quot;/&quot;mm&quot;/&quot;yyyy"/>
    <numFmt numFmtId="168" formatCode="[$INR ₹]#,##0.00"/>
    <numFmt numFmtId="169" formatCode="[$$]#,##0.00"/>
  </numFmts>
  <fonts count="33">
    <font>
      <sz val="10.0"/>
      <color rgb="FF000000"/>
      <name val="Arial"/>
      <scheme val="minor"/>
    </font>
    <font>
      <b/>
      <sz val="12.0"/>
      <color rgb="FFFFFFFF"/>
      <name val="Calibri"/>
    </font>
    <font>
      <sz val="10.0"/>
      <color theme="1"/>
      <name val="Calibri"/>
    </font>
    <font>
      <color theme="1"/>
      <name val="Calibri"/>
    </font>
    <font>
      <sz val="12.0"/>
      <color theme="1"/>
      <name val="Calibri"/>
    </font>
    <font>
      <sz val="12.0"/>
      <color rgb="FF000000"/>
      <name val="Calibri"/>
    </font>
    <font>
      <strike/>
      <sz val="10.0"/>
      <color theme="1"/>
      <name val="Calibri"/>
    </font>
    <font>
      <strike/>
      <color theme="1"/>
      <name val="Calibri"/>
    </font>
    <font>
      <strike/>
      <sz val="12.0"/>
      <color theme="1"/>
      <name val="Calibri"/>
    </font>
    <font>
      <sz val="22.0"/>
      <color rgb="FFFFFFFF"/>
      <name val="Calibri"/>
    </font>
    <font/>
    <font>
      <sz val="11.0"/>
      <color rgb="FFFFFFFF"/>
      <name val="Calibri"/>
    </font>
    <font>
      <sz val="24.0"/>
      <color rgb="FFFFFFFF"/>
      <name val="Calibri"/>
    </font>
    <font>
      <b/>
      <sz val="12.0"/>
      <color theme="1"/>
      <name val="Calibri"/>
    </font>
    <font>
      <b/>
      <sz val="11.0"/>
      <color theme="1"/>
      <name val="Calibri"/>
    </font>
    <font>
      <b/>
      <sz val="10.0"/>
      <color rgb="FFFFFFFF"/>
      <name val="Calibri"/>
    </font>
    <font>
      <sz val="10.0"/>
      <color rgb="FFFFFFFF"/>
      <name val="Calibri"/>
    </font>
    <font>
      <sz val="11.0"/>
      <color theme="1"/>
      <name val="Calibri"/>
    </font>
    <font>
      <b/>
      <color rgb="FFFFFFFF"/>
      <name val="Calibri"/>
    </font>
    <font>
      <color rgb="FFFFFFFF"/>
      <name val="Calibri"/>
    </font>
    <font>
      <color theme="0"/>
      <name val="Calibri"/>
    </font>
    <font>
      <color theme="1"/>
      <name val="Arial"/>
      <scheme val="minor"/>
    </font>
    <font>
      <sz val="10.0"/>
      <color rgb="FF000000"/>
      <name val="Calibri"/>
    </font>
    <font>
      <sz val="9.0"/>
      <color rgb="FF000000"/>
      <name val="Calibri"/>
    </font>
    <font>
      <b/>
      <color rgb="FFFFFFFF"/>
      <name val="Arial"/>
      <scheme val="minor"/>
    </font>
    <font>
      <color theme="1"/>
      <name val="Arial"/>
    </font>
    <font>
      <b/>
      <sz val="28.0"/>
      <color theme="1"/>
      <name val="Arial"/>
    </font>
    <font>
      <sz val="15.0"/>
      <color theme="1"/>
      <name val="Arial"/>
    </font>
    <font>
      <b/>
      <sz val="26.0"/>
      <color theme="1"/>
      <name val="Arial"/>
    </font>
    <font>
      <b/>
      <sz val="21.0"/>
      <color theme="1"/>
      <name val="Arial"/>
    </font>
    <font>
      <b/>
      <sz val="17.0"/>
      <color theme="1"/>
      <name val="Arial"/>
    </font>
    <font>
      <b/>
      <sz val="13.0"/>
      <color theme="1"/>
      <name val="Arial"/>
    </font>
    <font>
      <sz val="13.0"/>
      <color theme="1"/>
      <name val="Arial"/>
    </font>
  </fonts>
  <fills count="10">
    <fill>
      <patternFill patternType="none"/>
    </fill>
    <fill>
      <patternFill patternType="lightGray"/>
    </fill>
    <fill>
      <patternFill patternType="solid">
        <fgColor theme="7"/>
        <bgColor theme="7"/>
      </patternFill>
    </fill>
    <fill>
      <patternFill patternType="solid">
        <fgColor rgb="FF3D85C6"/>
        <bgColor rgb="FF3D85C6"/>
      </patternFill>
    </fill>
    <fill>
      <patternFill patternType="solid">
        <fgColor theme="0"/>
        <bgColor theme="0"/>
      </patternFill>
    </fill>
    <fill>
      <patternFill patternType="solid">
        <fgColor rgb="FFFFFFFF"/>
        <bgColor rgb="FFFFFFFF"/>
      </patternFill>
    </fill>
    <fill>
      <patternFill patternType="solid">
        <fgColor rgb="FFE06666"/>
        <bgColor rgb="FFE06666"/>
      </patternFill>
    </fill>
    <fill>
      <patternFill patternType="solid">
        <fgColor rgb="FFF4CCCC"/>
        <bgColor rgb="FFF4CCCC"/>
      </patternFill>
    </fill>
    <fill>
      <patternFill patternType="solid">
        <fgColor rgb="FFB7E1CD"/>
        <bgColor rgb="FFB7E1CD"/>
      </patternFill>
    </fill>
    <fill>
      <patternFill patternType="solid">
        <fgColor rgb="FFD9D2E9"/>
        <bgColor rgb="FFD9D2E9"/>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left" vertical="bottom"/>
    </xf>
    <xf borderId="0" fillId="0" fontId="3" numFmtId="0" xfId="0" applyAlignment="1" applyFont="1">
      <alignment horizontal="center" readingOrder="0" shrinkToFit="0" vertical="center" wrapText="1"/>
    </xf>
    <xf borderId="0" fillId="0" fontId="4" numFmtId="0" xfId="0" applyAlignment="1" applyFont="1">
      <alignment horizontal="left" readingOrder="0" vertical="bottom"/>
    </xf>
    <xf borderId="0" fillId="0" fontId="3" numFmtId="0" xfId="0" applyAlignment="1" applyFont="1">
      <alignment horizontal="center" vertical="center"/>
    </xf>
    <xf borderId="0" fillId="0" fontId="5" numFmtId="0" xfId="0" applyAlignment="1" applyFont="1">
      <alignment horizontal="center" readingOrder="0" shrinkToFit="0" vertical="center" wrapText="0"/>
    </xf>
    <xf borderId="0" fillId="0" fontId="5" numFmtId="0" xfId="0" applyAlignment="1" applyFont="1">
      <alignment horizontal="left" readingOrder="0" shrinkToFit="0" vertical="center" wrapText="0"/>
    </xf>
    <xf borderId="0" fillId="0" fontId="3" numFmtId="0" xfId="0" applyAlignment="1" applyFont="1">
      <alignment horizontal="center" vertical="bottom"/>
    </xf>
    <xf borderId="0" fillId="0" fontId="4" numFmtId="0" xfId="0" applyAlignment="1" applyFont="1">
      <alignment horizontal="center" vertical="bottom"/>
    </xf>
    <xf borderId="0" fillId="0" fontId="4" numFmtId="0" xfId="0" applyAlignment="1" applyFont="1">
      <alignment horizontal="center" vertical="center"/>
    </xf>
    <xf borderId="0" fillId="0" fontId="4" numFmtId="0" xfId="0" applyAlignment="1" applyFont="1">
      <alignment horizontal="left" vertical="center"/>
    </xf>
    <xf borderId="0" fillId="0" fontId="4" numFmtId="0" xfId="0" applyAlignment="1" applyFont="1">
      <alignment horizontal="left" readingOrder="0" vertical="center"/>
    </xf>
    <xf borderId="0" fillId="0" fontId="3" numFmtId="0" xfId="0" applyAlignment="1" applyFont="1">
      <alignment horizontal="center" readingOrder="0"/>
    </xf>
    <xf borderId="0" fillId="0" fontId="6" numFmtId="0" xfId="0" applyAlignment="1" applyFont="1">
      <alignment horizontal="center" readingOrder="0" vertical="center"/>
    </xf>
    <xf borderId="0" fillId="0" fontId="7" numFmtId="0" xfId="0" applyAlignment="1" applyFont="1">
      <alignment horizontal="center" vertical="center"/>
    </xf>
    <xf borderId="0" fillId="0" fontId="8" numFmtId="0" xfId="0" applyAlignment="1" applyFont="1">
      <alignment horizontal="left" vertical="center"/>
    </xf>
    <xf borderId="0" fillId="0" fontId="7" numFmtId="0" xfId="0" applyAlignment="1" applyFont="1">
      <alignment horizontal="center" readingOrder="0" shrinkToFit="0" vertical="center" wrapText="1"/>
    </xf>
    <xf borderId="0" fillId="0" fontId="3" numFmtId="0" xfId="0" applyFont="1"/>
    <xf borderId="0" fillId="0" fontId="2" numFmtId="0" xfId="0" applyAlignment="1" applyFont="1">
      <alignment horizontal="center" readingOrder="0" shrinkToFit="0" vertical="center" wrapText="1"/>
    </xf>
    <xf borderId="0" fillId="0" fontId="6" numFmtId="0" xfId="0" applyAlignment="1" applyFont="1">
      <alignment horizontal="center" vertical="center"/>
    </xf>
    <xf borderId="0" fillId="0" fontId="8" numFmtId="0" xfId="0" applyAlignment="1" applyFont="1">
      <alignment horizontal="center" vertical="center"/>
    </xf>
    <xf borderId="0" fillId="0" fontId="6" numFmtId="0" xfId="0" applyAlignment="1" applyFont="1">
      <alignment horizontal="center" readingOrder="0" shrinkToFit="0" vertical="center" wrapText="1"/>
    </xf>
    <xf borderId="0" fillId="0" fontId="4" numFmtId="49" xfId="0" applyAlignment="1" applyFont="1" applyNumberFormat="1">
      <alignment horizontal="left" readingOrder="0" vertical="center"/>
    </xf>
    <xf borderId="0" fillId="0" fontId="2" numFmtId="0" xfId="0" applyAlignment="1" applyFont="1">
      <alignment horizontal="center" shrinkToFit="0" vertical="center" wrapText="1"/>
    </xf>
    <xf borderId="0" fillId="2" fontId="9" numFmtId="164" xfId="0" applyAlignment="1" applyFont="1" applyNumberFormat="1">
      <alignment horizontal="left" readingOrder="0" vertical="center"/>
    </xf>
    <xf borderId="1" fillId="2" fontId="9" numFmtId="164" xfId="0" applyAlignment="1" applyBorder="1" applyFont="1" applyNumberFormat="1">
      <alignment horizontal="left" readingOrder="0" vertical="center"/>
    </xf>
    <xf borderId="2" fillId="2" fontId="9" numFmtId="165" xfId="0" applyAlignment="1" applyBorder="1" applyFont="1" applyNumberFormat="1">
      <alignment horizontal="left" readingOrder="0" vertical="center"/>
    </xf>
    <xf borderId="3" fillId="0" fontId="10" numFmtId="0" xfId="0" applyBorder="1" applyFont="1"/>
    <xf borderId="1" fillId="2" fontId="11" numFmtId="0" xfId="0" applyAlignment="1" applyBorder="1" applyFont="1">
      <alignment horizontal="left" readingOrder="0" vertical="center"/>
    </xf>
    <xf borderId="2" fillId="2" fontId="12" numFmtId="0" xfId="0" applyAlignment="1" applyBorder="1" applyFont="1">
      <alignment horizontal="center" readingOrder="0" shrinkToFit="0" vertical="center" wrapText="1"/>
    </xf>
    <xf borderId="2" fillId="2" fontId="9" numFmtId="165" xfId="0" applyAlignment="1" applyBorder="1" applyFont="1" applyNumberFormat="1">
      <alignment horizontal="center" readingOrder="0" vertical="center"/>
    </xf>
    <xf borderId="1" fillId="2" fontId="12" numFmtId="0" xfId="0" applyAlignment="1" applyBorder="1" applyFont="1">
      <alignment horizontal="center" readingOrder="0" shrinkToFit="0" vertical="center" wrapText="1"/>
    </xf>
    <xf borderId="0" fillId="0" fontId="13" numFmtId="164" xfId="0" applyAlignment="1" applyFont="1" applyNumberFormat="1">
      <alignment horizontal="center" readingOrder="0" shrinkToFit="0" vertical="center" wrapText="1"/>
    </xf>
    <xf borderId="1" fillId="0" fontId="13" numFmtId="164" xfId="0" applyAlignment="1" applyBorder="1" applyFont="1" applyNumberForma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0" fillId="3" fontId="15" numFmtId="0" xfId="0" applyAlignment="1" applyFill="1" applyFont="1">
      <alignment horizontal="center" readingOrder="0"/>
    </xf>
    <xf borderId="1" fillId="3" fontId="15" numFmtId="0" xfId="0" applyAlignment="1" applyBorder="1" applyFont="1">
      <alignment horizontal="center" readingOrder="0"/>
    </xf>
    <xf borderId="1" fillId="3" fontId="16" numFmtId="0" xfId="0" applyAlignment="1" applyBorder="1" applyFont="1">
      <alignment horizontal="center"/>
    </xf>
    <xf borderId="1" fillId="0" fontId="17" numFmtId="0" xfId="0" applyAlignment="1" applyBorder="1" applyFont="1">
      <alignment horizontal="center" readingOrder="0" vertical="center"/>
    </xf>
    <xf borderId="1" fillId="0" fontId="3" numFmtId="0" xfId="0" applyAlignment="1" applyBorder="1" applyFont="1">
      <alignment horizontal="center" readingOrder="0" vertical="center"/>
    </xf>
    <xf borderId="0" fillId="0" fontId="2" numFmtId="164" xfId="0" applyAlignment="1" applyFont="1" applyNumberFormat="1">
      <alignment horizontal="center" readingOrder="0" vertical="center"/>
    </xf>
    <xf borderId="1" fillId="0" fontId="2" numFmtId="164" xfId="0" applyAlignment="1" applyBorder="1" applyFont="1" applyNumberFormat="1">
      <alignment horizontal="center" readingOrder="0" vertical="center"/>
    </xf>
    <xf borderId="2" fillId="0" fontId="2" numFmtId="0" xfId="0" applyAlignment="1" applyBorder="1" applyFont="1">
      <alignment horizontal="center" readingOrder="0" vertical="center"/>
    </xf>
    <xf borderId="2" fillId="0" fontId="3" numFmtId="0" xfId="0" applyAlignment="1" applyBorder="1" applyFont="1">
      <alignment horizontal="center" readingOrder="0" vertical="center"/>
    </xf>
    <xf borderId="1" fillId="3" fontId="16" numFmtId="0" xfId="0" applyAlignment="1" applyBorder="1" applyFont="1">
      <alignment horizontal="center" readingOrder="0"/>
    </xf>
    <xf borderId="2" fillId="0" fontId="17" numFmtId="0" xfId="0" applyAlignment="1" applyBorder="1" applyFont="1">
      <alignment horizontal="center" readingOrder="0" vertical="center"/>
    </xf>
    <xf borderId="4" fillId="0" fontId="10" numFmtId="0" xfId="0" applyBorder="1" applyFont="1"/>
    <xf borderId="1" fillId="0" fontId="3" numFmtId="0" xfId="0" applyAlignment="1" applyBorder="1" applyFont="1">
      <alignment horizontal="center" readingOrder="0"/>
    </xf>
    <xf borderId="2" fillId="4" fontId="3" numFmtId="0" xfId="0" applyAlignment="1" applyBorder="1" applyFill="1" applyFont="1">
      <alignment horizontal="center" readingOrder="0" vertical="center"/>
    </xf>
    <xf borderId="0" fillId="2" fontId="9" numFmtId="164" xfId="0" applyAlignment="1" applyFont="1" applyNumberFormat="1">
      <alignment horizontal="center" readingOrder="0" vertical="center"/>
    </xf>
    <xf borderId="1" fillId="2" fontId="9" numFmtId="164" xfId="0" applyAlignment="1" applyBorder="1" applyFont="1" applyNumberFormat="1">
      <alignment horizontal="center" readingOrder="0" vertical="center"/>
    </xf>
    <xf borderId="1" fillId="2" fontId="11" numFmtId="0" xfId="0" applyAlignment="1" applyBorder="1" applyFont="1">
      <alignment horizontal="center" readingOrder="0" vertical="center"/>
    </xf>
    <xf borderId="2" fillId="0" fontId="3" numFmtId="0" xfId="0" applyAlignment="1" applyBorder="1" applyFont="1">
      <alignment horizontal="center" readingOrder="0"/>
    </xf>
    <xf borderId="2" fillId="0" fontId="3" numFmtId="0" xfId="0" applyAlignment="1" applyBorder="1" applyFont="1">
      <alignment horizontal="center"/>
    </xf>
    <xf borderId="1" fillId="0" fontId="3" numFmtId="0" xfId="0" applyAlignment="1" applyBorder="1" applyFont="1">
      <alignment horizontal="center"/>
    </xf>
    <xf borderId="2" fillId="5" fontId="3" numFmtId="0" xfId="0" applyAlignment="1" applyBorder="1" applyFill="1" applyFont="1">
      <alignment horizontal="center"/>
    </xf>
    <xf borderId="2" fillId="4" fontId="3" numFmtId="0" xfId="0" applyAlignment="1" applyBorder="1" applyFont="1">
      <alignment horizontal="center"/>
    </xf>
    <xf borderId="2" fillId="4" fontId="3" numFmtId="0" xfId="0" applyAlignment="1" applyBorder="1" applyFont="1">
      <alignment horizontal="center" readingOrder="0"/>
    </xf>
    <xf borderId="1" fillId="6" fontId="17" numFmtId="0" xfId="0" applyAlignment="1" applyBorder="1" applyFill="1" applyFont="1">
      <alignment horizontal="center" readingOrder="0" vertical="center"/>
    </xf>
    <xf borderId="0" fillId="3" fontId="18" numFmtId="164" xfId="0" applyAlignment="1" applyFont="1" applyNumberFormat="1">
      <alignment horizontal="center" vertical="bottom"/>
    </xf>
    <xf borderId="1" fillId="3" fontId="18" numFmtId="0" xfId="0" applyAlignment="1" applyBorder="1" applyFont="1">
      <alignment horizontal="center" readingOrder="0" vertical="bottom"/>
    </xf>
    <xf borderId="1" fillId="3" fontId="19" numFmtId="0" xfId="0" applyAlignment="1" applyBorder="1" applyFont="1">
      <alignment horizontal="center" readingOrder="0" vertical="bottom"/>
    </xf>
    <xf borderId="1" fillId="3" fontId="20" numFmtId="0" xfId="0" applyAlignment="1" applyBorder="1" applyFont="1">
      <alignment horizontal="center" vertical="bottom"/>
    </xf>
    <xf borderId="1" fillId="7" fontId="17" numFmtId="0" xfId="0" applyAlignment="1" applyBorder="1" applyFill="1" applyFont="1">
      <alignment horizontal="center"/>
    </xf>
    <xf borderId="0" fillId="0" fontId="3" numFmtId="164" xfId="0" applyAlignment="1" applyFont="1" applyNumberFormat="1">
      <alignment horizontal="center"/>
    </xf>
    <xf borderId="1" fillId="0" fontId="3" numFmtId="164" xfId="0" applyBorder="1" applyFont="1" applyNumberFormat="1"/>
    <xf borderId="2" fillId="0" fontId="3" numFmtId="0" xfId="0" applyAlignment="1" applyBorder="1" applyFont="1">
      <alignment horizontal="center"/>
    </xf>
    <xf borderId="2" fillId="0" fontId="3" numFmtId="0" xfId="0" applyAlignment="1" applyBorder="1" applyFont="1">
      <alignment readingOrder="0" vertical="bottom"/>
    </xf>
    <xf borderId="2" fillId="0" fontId="3" numFmtId="0" xfId="0" applyAlignment="1" applyBorder="1" applyFont="1">
      <alignment horizontal="center" readingOrder="0" vertical="bottom"/>
    </xf>
    <xf borderId="2" fillId="0" fontId="3" numFmtId="0" xfId="0" applyAlignment="1" applyBorder="1" applyFont="1">
      <alignment vertical="bottom"/>
    </xf>
    <xf borderId="1" fillId="3" fontId="20" numFmtId="0" xfId="0" applyAlignment="1" applyBorder="1" applyFont="1">
      <alignment horizontal="center" readingOrder="0" vertical="bottom"/>
    </xf>
    <xf borderId="2" fillId="0" fontId="3" numFmtId="0" xfId="0" applyAlignment="1" applyBorder="1" applyFont="1">
      <alignment horizontal="center" vertical="bottom"/>
    </xf>
    <xf borderId="1" fillId="0" fontId="2" numFmtId="0" xfId="0" applyAlignment="1" applyBorder="1" applyFont="1">
      <alignment horizontal="center" readingOrder="0" vertical="center"/>
    </xf>
    <xf borderId="1" fillId="0" fontId="3" numFmtId="0" xfId="0" applyAlignment="1" applyBorder="1" applyFont="1">
      <alignment horizontal="center" vertical="center"/>
    </xf>
    <xf borderId="1" fillId="0" fontId="17" numFmtId="0" xfId="0" applyAlignment="1" applyBorder="1" applyFont="1">
      <alignment horizontal="center" vertical="center"/>
    </xf>
    <xf borderId="2" fillId="0" fontId="21" numFmtId="0" xfId="0" applyBorder="1" applyFont="1"/>
    <xf borderId="2" fillId="0" fontId="21" numFmtId="0" xfId="0" applyAlignment="1" applyBorder="1" applyFont="1">
      <alignment horizontal="center" readingOrder="0"/>
    </xf>
    <xf borderId="2" fillId="0" fontId="21" numFmtId="0" xfId="0" applyAlignment="1" applyBorder="1" applyFont="1">
      <alignment readingOrder="0"/>
    </xf>
    <xf borderId="2" fillId="0" fontId="21" numFmtId="0" xfId="0" applyAlignment="1" applyBorder="1" applyFont="1">
      <alignment horizontal="center"/>
    </xf>
    <xf borderId="0" fillId="0" fontId="3" numFmtId="164" xfId="0" applyAlignment="1" applyFont="1" applyNumberFormat="1">
      <alignment horizontal="center" vertical="center"/>
    </xf>
    <xf borderId="1" fillId="0" fontId="3" numFmtId="164" xfId="0" applyAlignment="1" applyBorder="1" applyFont="1" applyNumberFormat="1">
      <alignment horizontal="center" vertical="center"/>
    </xf>
    <xf borderId="0" fillId="2" fontId="1" numFmtId="0" xfId="0" applyAlignment="1" applyFont="1">
      <alignment horizontal="left"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bottom" wrapText="1"/>
    </xf>
    <xf borderId="0" fillId="0" fontId="3" numFmtId="166" xfId="0" applyAlignment="1" applyFont="1" applyNumberFormat="1">
      <alignment horizontal="center" shrinkToFit="0" vertical="center" wrapText="1"/>
    </xf>
    <xf borderId="0" fillId="0" fontId="3" numFmtId="167" xfId="0" applyAlignment="1" applyFont="1" applyNumberFormat="1">
      <alignment horizontal="center" readingOrder="0" shrinkToFit="0" vertical="center" wrapText="1"/>
    </xf>
    <xf borderId="0" fillId="5" fontId="22" numFmtId="49" xfId="0" applyAlignment="1" applyFont="1" applyNumberFormat="1">
      <alignment horizontal="left" shrinkToFit="0" vertical="center" wrapText="1"/>
    </xf>
    <xf borderId="0" fillId="5" fontId="23" numFmtId="166" xfId="0" applyAlignment="1" applyFont="1" applyNumberFormat="1">
      <alignment horizontal="center" readingOrder="0" shrinkToFit="0" vertical="center" wrapText="1"/>
    </xf>
    <xf borderId="0" fillId="5" fontId="23" numFmtId="166" xfId="0" applyAlignment="1" applyFont="1" applyNumberFormat="1">
      <alignment horizontal="center" shrinkToFit="0" vertical="center" wrapText="1"/>
    </xf>
    <xf borderId="0" fillId="8" fontId="3" numFmtId="0" xfId="0" applyAlignment="1" applyFill="1" applyFont="1">
      <alignment horizontal="center" readingOrder="0" shrinkToFit="0" vertical="center" wrapText="1"/>
    </xf>
    <xf borderId="0" fillId="0" fontId="3" numFmtId="165" xfId="0" applyAlignment="1" applyFont="1" applyNumberFormat="1">
      <alignment horizontal="center" readingOrder="0" shrinkToFit="0" vertical="bottom" wrapText="1"/>
    </xf>
    <xf borderId="0" fillId="0" fontId="3" numFmtId="167" xfId="0" applyAlignment="1" applyFont="1" applyNumberFormat="1">
      <alignment horizontal="center" shrinkToFit="0" vertical="center" wrapText="1"/>
    </xf>
    <xf borderId="0" fillId="4" fontId="3"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21" numFmtId="0" xfId="0" applyAlignment="1" applyFont="1">
      <alignment horizontal="center" shrinkToFit="0" vertical="center" wrapText="1"/>
    </xf>
    <xf borderId="0" fillId="2" fontId="24" numFmtId="0" xfId="0" applyAlignment="1" applyFont="1">
      <alignment horizontal="center" readingOrder="0" shrinkToFit="0" vertical="center" wrapText="1"/>
    </xf>
    <xf borderId="0" fillId="2" fontId="24" numFmtId="2" xfId="0" applyAlignment="1" applyFont="1" applyNumberFormat="1">
      <alignment horizontal="center" readingOrder="0" shrinkToFit="0" vertical="center" wrapText="1"/>
    </xf>
    <xf borderId="0" fillId="0" fontId="21" numFmtId="0" xfId="0" applyAlignment="1" applyFont="1">
      <alignment horizontal="center" readingOrder="0"/>
    </xf>
    <xf borderId="0" fillId="0" fontId="21" numFmtId="0" xfId="0" applyAlignment="1" applyFont="1">
      <alignment horizontal="center"/>
    </xf>
    <xf borderId="0" fillId="0" fontId="21" numFmtId="168" xfId="0" applyAlignment="1" applyFont="1" applyNumberFormat="1">
      <alignment horizontal="center"/>
    </xf>
    <xf borderId="0" fillId="4" fontId="21" numFmtId="0" xfId="0" applyAlignment="1" applyFont="1">
      <alignment horizontal="center" readingOrder="0"/>
    </xf>
    <xf borderId="0" fillId="4" fontId="21" numFmtId="0" xfId="0" applyAlignment="1" applyFont="1">
      <alignment horizontal="center"/>
    </xf>
    <xf borderId="0" fillId="4" fontId="21" numFmtId="0" xfId="0" applyAlignment="1" applyFont="1">
      <alignment horizontal="center" shrinkToFit="0" vertical="center" wrapText="1"/>
    </xf>
    <xf borderId="0" fillId="4" fontId="21" numFmtId="168" xfId="0" applyAlignment="1" applyFont="1" applyNumberFormat="1">
      <alignment horizontal="center"/>
    </xf>
    <xf borderId="0" fillId="4" fontId="21" numFmtId="0" xfId="0" applyAlignment="1" applyFont="1">
      <alignment horizontal="center" readingOrder="0" shrinkToFit="0" vertical="center" wrapText="1"/>
    </xf>
    <xf borderId="0" fillId="0" fontId="25" numFmtId="0" xfId="0" applyAlignment="1" applyFont="1">
      <alignment horizontal="center" vertical="center"/>
    </xf>
    <xf borderId="5" fillId="0" fontId="26" numFmtId="0" xfId="0" applyAlignment="1" applyBorder="1" applyFont="1">
      <alignment horizontal="center" readingOrder="0" vertical="center"/>
    </xf>
    <xf borderId="6" fillId="0" fontId="10" numFmtId="0" xfId="0" applyBorder="1" applyFont="1"/>
    <xf borderId="7" fillId="0" fontId="10" numFmtId="0" xfId="0" applyBorder="1" applyFont="1"/>
    <xf borderId="0" fillId="5" fontId="27" numFmtId="0" xfId="0" applyAlignment="1" applyFont="1">
      <alignment horizontal="center" readingOrder="0" vertical="center"/>
    </xf>
    <xf borderId="8" fillId="0" fontId="10" numFmtId="0" xfId="0" applyBorder="1" applyFont="1"/>
    <xf borderId="9" fillId="0" fontId="10" numFmtId="0" xfId="0" applyBorder="1" applyFont="1"/>
    <xf borderId="0" fillId="0" fontId="27" numFmtId="0" xfId="0" applyAlignment="1" applyFont="1">
      <alignment horizontal="center" readingOrder="0" vertical="center"/>
    </xf>
    <xf borderId="10" fillId="0" fontId="10" numFmtId="0" xfId="0" applyBorder="1" applyFont="1"/>
    <xf borderId="11" fillId="0" fontId="10" numFmtId="0" xfId="0" applyBorder="1" applyFont="1"/>
    <xf borderId="12" fillId="0" fontId="10" numFmtId="0" xfId="0" applyBorder="1" applyFont="1"/>
    <xf borderId="0" fillId="0" fontId="25" numFmtId="0" xfId="0" applyAlignment="1" applyFont="1">
      <alignment horizontal="center"/>
    </xf>
    <xf borderId="5" fillId="0" fontId="25" numFmtId="0" xfId="0" applyAlignment="1" applyBorder="1" applyFont="1">
      <alignment horizontal="center" vertical="center"/>
    </xf>
    <xf borderId="5" fillId="9" fontId="28" numFmtId="0" xfId="0" applyAlignment="1" applyBorder="1" applyFill="1" applyFont="1">
      <alignment horizontal="center" readingOrder="0" shrinkToFit="0" vertical="center" wrapText="1"/>
    </xf>
    <xf borderId="2" fillId="0" fontId="29" numFmtId="0" xfId="0" applyAlignment="1" applyBorder="1" applyFont="1">
      <alignment horizontal="right" readingOrder="0" shrinkToFit="0" vertical="center" wrapText="0"/>
    </xf>
    <xf borderId="1" fillId="0" fontId="29" numFmtId="0" xfId="0" applyAlignment="1" applyBorder="1" applyFont="1">
      <alignment horizontal="left" readingOrder="0" vertical="center"/>
    </xf>
    <xf borderId="1" fillId="0" fontId="30" numFmtId="0" xfId="0" applyAlignment="1" applyBorder="1" applyFont="1">
      <alignment horizontal="center" vertical="center"/>
    </xf>
    <xf borderId="2" fillId="0" fontId="31" numFmtId="0" xfId="0" applyAlignment="1" applyBorder="1" applyFont="1">
      <alignment horizontal="center" readingOrder="0" shrinkToFit="0" vertical="center" wrapText="1"/>
    </xf>
    <xf borderId="2" fillId="0" fontId="32" numFmtId="0" xfId="0" applyAlignment="1" applyBorder="1" applyFont="1">
      <alignment horizontal="center" vertical="center"/>
    </xf>
    <xf borderId="2" fillId="0" fontId="32" numFmtId="0" xfId="0" applyAlignment="1" applyBorder="1" applyFont="1">
      <alignment horizontal="center" readingOrder="0" vertical="center"/>
    </xf>
    <xf borderId="5" fillId="0" fontId="31" numFmtId="0" xfId="0" applyAlignment="1" applyBorder="1" applyFont="1">
      <alignment horizontal="center" readingOrder="0" shrinkToFit="0" vertical="center" wrapText="1"/>
    </xf>
    <xf borderId="1" fillId="0" fontId="32" numFmtId="168" xfId="0" applyAlignment="1" applyBorder="1" applyFont="1" applyNumberFormat="1">
      <alignment horizontal="center" vertical="center"/>
    </xf>
    <xf borderId="1" fillId="0" fontId="32" numFmtId="0" xfId="0" applyAlignment="1" applyBorder="1" applyFont="1">
      <alignment horizontal="center" vertical="center"/>
    </xf>
    <xf borderId="1" fillId="0" fontId="25" numFmtId="0" xfId="0" applyAlignment="1" applyBorder="1" applyFont="1">
      <alignment horizontal="center" readingOrder="0" vertical="center"/>
    </xf>
    <xf borderId="2" fillId="0" fontId="32" numFmtId="168" xfId="0" applyAlignment="1" applyBorder="1" applyFont="1" applyNumberFormat="1">
      <alignment horizontal="center" vertical="center"/>
    </xf>
    <xf borderId="1" fillId="0" fontId="32" numFmtId="0" xfId="0" applyAlignment="1" applyBorder="1" applyFont="1">
      <alignment horizontal="center" vertical="center"/>
    </xf>
    <xf borderId="1" fillId="0" fontId="32" numFmtId="168" xfId="0" applyAlignment="1" applyBorder="1" applyFont="1" applyNumberFormat="1">
      <alignment horizontal="center" vertical="center"/>
    </xf>
    <xf borderId="2" fillId="0" fontId="25" numFmtId="0" xfId="0" applyAlignment="1" applyBorder="1" applyFont="1">
      <alignment horizontal="center" vertical="center"/>
    </xf>
    <xf borderId="1" fillId="0" fontId="25" numFmtId="0" xfId="0" applyAlignment="1" applyBorder="1" applyFont="1">
      <alignment horizontal="center" vertical="center"/>
    </xf>
    <xf borderId="5" fillId="0" fontId="32" numFmtId="168" xfId="0" applyAlignment="1" applyBorder="1" applyFont="1" applyNumberFormat="1">
      <alignment horizontal="center" vertical="center"/>
    </xf>
    <xf borderId="5" fillId="0" fontId="31" numFmtId="168" xfId="0" applyAlignment="1" applyBorder="1" applyFont="1" applyNumberFormat="1">
      <alignment horizontal="center" vertical="center"/>
    </xf>
    <xf borderId="1" fillId="0" fontId="21" numFmtId="0" xfId="0" applyAlignment="1" applyBorder="1" applyFont="1">
      <alignment readingOrder="0"/>
    </xf>
    <xf borderId="5" fillId="0" fontId="32" numFmtId="168" xfId="0" applyAlignment="1" applyBorder="1" applyFont="1" applyNumberFormat="1">
      <alignment horizontal="center" shrinkToFit="0" vertical="center" wrapText="1"/>
    </xf>
    <xf borderId="0" fillId="0" fontId="24" numFmtId="0" xfId="0" applyAlignment="1" applyFont="1">
      <alignment horizontal="center" readingOrder="0" shrinkToFit="0" vertical="center" wrapText="1"/>
    </xf>
    <xf borderId="0" fillId="0" fontId="3" numFmtId="169" xfId="0" applyAlignment="1" applyFont="1" applyNumberFormat="1">
      <alignment horizontal="center" shrinkToFit="0" vertical="center" wrapText="1"/>
    </xf>
  </cellXfs>
  <cellStyles count="1">
    <cellStyle xfId="0" name="Normal" builtinId="0"/>
  </cellStyles>
  <dxfs count="11">
    <dxf>
      <font/>
      <fill>
        <patternFill patternType="solid">
          <fgColor rgb="FFB7E1CD"/>
          <bgColor rgb="FFB7E1CD"/>
        </patternFill>
      </fill>
      <border/>
    </dxf>
    <dxf>
      <font/>
      <fill>
        <patternFill patternType="solid">
          <fgColor rgb="FFB6D7A8"/>
          <bgColor rgb="FFB6D7A8"/>
        </patternFill>
      </fill>
      <border/>
    </dxf>
    <dxf>
      <font/>
      <fill>
        <patternFill patternType="solid">
          <fgColor rgb="FFF4CCCC"/>
          <bgColor rgb="FFF4CCCC"/>
        </patternFill>
      </fill>
      <border/>
    </dxf>
    <dxf>
      <font/>
      <fill>
        <patternFill patternType="solid">
          <fgColor rgb="FFEA9999"/>
          <bgColor rgb="FFEA9999"/>
        </patternFill>
      </fill>
      <border/>
    </dxf>
    <dxf>
      <font>
        <color rgb="FFFFFFFF"/>
      </font>
      <fill>
        <patternFill patternType="solid">
          <fgColor rgb="FFFFFFFF"/>
          <bgColor rgb="FFFFFFFF"/>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4A7D6"/>
          <bgColor rgb="FFB4A7D6"/>
        </patternFill>
      </fill>
      <border/>
    </dxf>
    <dxf>
      <font>
        <color rgb="FFE06666"/>
      </font>
      <fill>
        <patternFill patternType="solid">
          <fgColor rgb="FFFFFFFF"/>
          <bgColor rgb="FFFFFFFF"/>
        </patternFill>
      </fill>
      <border/>
    </dxf>
  </dxfs>
  <tableStyles count="1">
    <tableStyle count="3" pivot="0" name="Salary Slip-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24050" cy="819150"/>
    <xdr:sp>
      <xdr:nvSpPr>
        <xdr:cNvPr id="3" name="Shape 3"/>
        <xdr:cNvSpPr/>
      </xdr:nvSpPr>
      <xdr:spPr>
        <a:xfrm>
          <a:off x="-166775" y="-86725"/>
          <a:ext cx="3392400" cy="1461000"/>
        </a:xfrm>
        <a:prstGeom prst="bevel">
          <a:avLst>
            <a:gd fmla="val 12500" name="adj"/>
          </a:avLst>
        </a:prstGeom>
        <a:gradFill>
          <a:gsLst>
            <a:gs pos="0">
              <a:srgbClr val="DBD4EB"/>
            </a:gs>
            <a:gs pos="100000">
              <a:srgbClr val="9080BB"/>
            </a:gs>
          </a:gsLst>
          <a:lin ang="5400012"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200"/>
            <a:t>Salary Slip No</a:t>
          </a:r>
          <a:endParaRPr b="1" sz="3200"/>
        </a:p>
      </xdr:txBody>
    </xdr:sp>
    <xdr:clientData fLocksWithSheet="0"/>
  </xdr:oneCellAnchor>
  <xdr:oneCellAnchor>
    <xdr:from>
      <xdr:col>0</xdr:col>
      <xdr:colOff>0</xdr:colOff>
      <xdr:row>4</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B3" displayName="Table_1" name="Table_1" id="1">
  <tableColumns count="2">
    <tableColumn name="Column1" id="1"/>
    <tableColumn name="Column2" id="2"/>
  </tableColumns>
  <tableStyleInfo name="Salary Slip-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1.13"/>
    <col customWidth="1" min="3" max="3" width="27.88"/>
    <col customWidth="1" min="4" max="4" width="12.0"/>
    <col customWidth="1" min="5" max="5" width="16.63"/>
    <col customWidth="1" min="6" max="6" width="25.25"/>
    <col customWidth="1" min="7" max="7" width="19.0"/>
    <col customWidth="1" min="9" max="9" width="17.88"/>
    <col customWidth="1" min="10" max="10" width="16.25"/>
  </cols>
  <sheetData>
    <row r="1">
      <c r="A1" s="1" t="s">
        <v>0</v>
      </c>
      <c r="B1" s="1" t="s">
        <v>1</v>
      </c>
      <c r="C1" s="1" t="s">
        <v>2</v>
      </c>
      <c r="D1" s="1" t="s">
        <v>3</v>
      </c>
      <c r="E1" s="1" t="s">
        <v>4</v>
      </c>
      <c r="F1" s="1" t="s">
        <v>5</v>
      </c>
      <c r="G1" s="2" t="s">
        <v>6</v>
      </c>
      <c r="H1" s="2" t="s">
        <v>7</v>
      </c>
      <c r="I1" s="3"/>
      <c r="J1" s="3"/>
      <c r="K1" s="3"/>
      <c r="L1" s="3"/>
      <c r="M1" s="3"/>
      <c r="N1" s="3"/>
      <c r="O1" s="3"/>
      <c r="P1" s="3"/>
      <c r="Q1" s="3"/>
      <c r="R1" s="3"/>
      <c r="S1" s="3"/>
      <c r="T1" s="3"/>
      <c r="U1" s="3"/>
      <c r="V1" s="3"/>
      <c r="W1" s="3"/>
      <c r="X1" s="3"/>
      <c r="Y1" s="3"/>
      <c r="Z1" s="3"/>
      <c r="AA1" s="3"/>
      <c r="AB1" s="3"/>
    </row>
    <row r="2">
      <c r="A2" s="4" t="s">
        <v>8</v>
      </c>
      <c r="B2" s="4" t="s">
        <v>9</v>
      </c>
      <c r="C2" s="4" t="s">
        <v>10</v>
      </c>
      <c r="D2" s="5"/>
      <c r="E2" s="6" t="s">
        <v>11</v>
      </c>
      <c r="F2" s="7">
        <v>5.00101011548924E14</v>
      </c>
      <c r="G2" s="8">
        <v>60000.0</v>
      </c>
      <c r="H2" s="4">
        <v>30.0</v>
      </c>
      <c r="I2" s="3"/>
      <c r="J2" s="3"/>
      <c r="K2" s="3"/>
      <c r="L2" s="3"/>
      <c r="M2" s="3"/>
      <c r="N2" s="3"/>
      <c r="O2" s="3"/>
      <c r="P2" s="3"/>
      <c r="Q2" s="3"/>
      <c r="R2" s="3"/>
      <c r="S2" s="3"/>
      <c r="T2" s="3"/>
      <c r="U2" s="3"/>
      <c r="V2" s="3"/>
      <c r="W2" s="3"/>
      <c r="X2" s="3"/>
      <c r="Y2" s="3"/>
      <c r="Z2" s="3"/>
      <c r="AA2" s="3"/>
      <c r="AB2" s="3"/>
    </row>
    <row r="3">
      <c r="A3" s="4" t="s">
        <v>12</v>
      </c>
      <c r="B3" s="4" t="s">
        <v>13</v>
      </c>
      <c r="C3" s="4" t="s">
        <v>14</v>
      </c>
      <c r="D3" s="5"/>
      <c r="E3" s="6" t="s">
        <v>15</v>
      </c>
      <c r="F3" s="9" t="s">
        <v>16</v>
      </c>
      <c r="G3" s="8">
        <v>12000.0</v>
      </c>
      <c r="H3" s="4">
        <v>31.0</v>
      </c>
      <c r="I3" s="3"/>
      <c r="J3" s="3"/>
      <c r="K3" s="3"/>
      <c r="L3" s="3"/>
      <c r="M3" s="3"/>
      <c r="N3" s="3"/>
      <c r="O3" s="3"/>
      <c r="P3" s="3"/>
      <c r="Q3" s="3"/>
      <c r="R3" s="3"/>
      <c r="S3" s="3"/>
      <c r="T3" s="3"/>
      <c r="U3" s="3"/>
      <c r="V3" s="3"/>
      <c r="W3" s="3"/>
      <c r="X3" s="3"/>
      <c r="Y3" s="3"/>
      <c r="Z3" s="3"/>
      <c r="AA3" s="3"/>
      <c r="AB3" s="3"/>
    </row>
    <row r="4">
      <c r="A4" s="4" t="s">
        <v>17</v>
      </c>
      <c r="B4" s="4" t="s">
        <v>18</v>
      </c>
      <c r="C4" s="4" t="s">
        <v>19</v>
      </c>
      <c r="D4" s="10"/>
      <c r="E4" s="6" t="s">
        <v>15</v>
      </c>
      <c r="F4" s="9" t="s">
        <v>20</v>
      </c>
      <c r="G4" s="8">
        <v>17500.0</v>
      </c>
      <c r="H4" s="4">
        <v>30.0</v>
      </c>
      <c r="I4" s="3"/>
      <c r="J4" s="3"/>
      <c r="K4" s="3"/>
      <c r="L4" s="3"/>
      <c r="M4" s="3"/>
      <c r="N4" s="3"/>
      <c r="O4" s="3"/>
      <c r="P4" s="3"/>
      <c r="Q4" s="3"/>
      <c r="R4" s="3"/>
      <c r="S4" s="3"/>
      <c r="T4" s="3"/>
      <c r="U4" s="3"/>
      <c r="V4" s="3"/>
      <c r="W4" s="3"/>
      <c r="X4" s="3"/>
      <c r="Y4" s="3"/>
      <c r="Z4" s="3"/>
      <c r="AA4" s="3"/>
      <c r="AB4" s="3"/>
    </row>
    <row r="5">
      <c r="A5" s="4" t="s">
        <v>21</v>
      </c>
      <c r="B5" s="4" t="s">
        <v>22</v>
      </c>
      <c r="C5" s="4" t="s">
        <v>23</v>
      </c>
      <c r="D5" s="5"/>
      <c r="E5" s="11" t="s">
        <v>15</v>
      </c>
      <c r="F5" s="9" t="s">
        <v>24</v>
      </c>
      <c r="G5" s="8">
        <v>12000.0</v>
      </c>
      <c r="H5" s="4">
        <v>31.0</v>
      </c>
      <c r="I5" s="3"/>
      <c r="J5" s="3"/>
      <c r="K5" s="3"/>
      <c r="L5" s="3"/>
      <c r="M5" s="3"/>
      <c r="N5" s="3"/>
      <c r="O5" s="3"/>
      <c r="P5" s="3"/>
      <c r="Q5" s="3"/>
      <c r="R5" s="3"/>
      <c r="S5" s="3"/>
      <c r="T5" s="3"/>
      <c r="U5" s="3"/>
      <c r="V5" s="3"/>
      <c r="W5" s="3"/>
      <c r="X5" s="3"/>
      <c r="Y5" s="3"/>
      <c r="Z5" s="3"/>
      <c r="AA5" s="3"/>
      <c r="AB5" s="3"/>
    </row>
    <row r="6">
      <c r="A6" s="4" t="s">
        <v>25</v>
      </c>
      <c r="B6" s="4" t="s">
        <v>26</v>
      </c>
      <c r="C6" s="4" t="s">
        <v>27</v>
      </c>
      <c r="D6" s="5"/>
      <c r="E6" s="11" t="s">
        <v>15</v>
      </c>
      <c r="F6" s="12" t="s">
        <v>28</v>
      </c>
      <c r="G6" s="8">
        <v>12000.0</v>
      </c>
      <c r="H6" s="4">
        <v>31.0</v>
      </c>
      <c r="I6" s="13"/>
      <c r="J6" s="14"/>
      <c r="K6" s="3"/>
      <c r="L6" s="3"/>
      <c r="M6" s="3"/>
      <c r="N6" s="3"/>
      <c r="O6" s="3"/>
      <c r="P6" s="3"/>
      <c r="Q6" s="3"/>
      <c r="R6" s="3"/>
      <c r="S6" s="3"/>
      <c r="T6" s="3"/>
      <c r="U6" s="3"/>
      <c r="V6" s="3"/>
      <c r="W6" s="3"/>
      <c r="X6" s="3"/>
      <c r="Y6" s="3"/>
      <c r="Z6" s="3"/>
      <c r="AA6" s="3"/>
      <c r="AB6" s="3"/>
    </row>
    <row r="7">
      <c r="A7" s="4" t="s">
        <v>29</v>
      </c>
      <c r="B7" s="4" t="s">
        <v>30</v>
      </c>
      <c r="C7" s="4" t="s">
        <v>31</v>
      </c>
      <c r="D7" s="5"/>
      <c r="E7" s="11" t="s">
        <v>15</v>
      </c>
      <c r="F7" s="12" t="s">
        <v>32</v>
      </c>
      <c r="G7" s="8">
        <v>12000.0</v>
      </c>
      <c r="H7" s="4">
        <v>30.0</v>
      </c>
      <c r="I7" s="13"/>
      <c r="J7" s="13"/>
      <c r="K7" s="3"/>
      <c r="L7" s="3"/>
      <c r="M7" s="3"/>
      <c r="N7" s="3"/>
      <c r="O7" s="3"/>
      <c r="P7" s="3"/>
      <c r="Q7" s="3"/>
      <c r="R7" s="3"/>
      <c r="S7" s="3"/>
      <c r="T7" s="3"/>
      <c r="U7" s="3"/>
      <c r="V7" s="3"/>
      <c r="W7" s="3"/>
      <c r="X7" s="3"/>
      <c r="Y7" s="3"/>
      <c r="Z7" s="3"/>
      <c r="AA7" s="3"/>
      <c r="AB7" s="3"/>
    </row>
    <row r="8">
      <c r="A8" s="4" t="s">
        <v>33</v>
      </c>
      <c r="B8" s="4" t="s">
        <v>34</v>
      </c>
      <c r="C8" s="4" t="s">
        <v>35</v>
      </c>
      <c r="D8" s="10"/>
      <c r="E8" s="15"/>
      <c r="F8" s="16"/>
      <c r="G8" s="8">
        <v>19000.0</v>
      </c>
      <c r="H8" s="4">
        <v>31.0</v>
      </c>
      <c r="I8" s="13"/>
      <c r="J8" s="14"/>
      <c r="K8" s="3"/>
      <c r="L8" s="3"/>
      <c r="M8" s="3"/>
      <c r="N8" s="3"/>
      <c r="O8" s="3"/>
      <c r="P8" s="3"/>
      <c r="Q8" s="3"/>
      <c r="R8" s="3"/>
      <c r="S8" s="3"/>
      <c r="T8" s="3"/>
      <c r="U8" s="3"/>
      <c r="V8" s="3"/>
      <c r="W8" s="3"/>
      <c r="X8" s="3"/>
      <c r="Y8" s="3"/>
      <c r="Z8" s="3"/>
      <c r="AA8" s="3"/>
      <c r="AB8" s="3"/>
    </row>
    <row r="9">
      <c r="A9" s="4" t="s">
        <v>36</v>
      </c>
      <c r="B9" s="4" t="s">
        <v>37</v>
      </c>
      <c r="C9" s="4" t="s">
        <v>38</v>
      </c>
      <c r="D9" s="10"/>
      <c r="E9" s="6" t="s">
        <v>39</v>
      </c>
      <c r="F9" s="17">
        <v>6.5801000040238E13</v>
      </c>
      <c r="G9" s="8">
        <v>9500.0</v>
      </c>
      <c r="H9" s="4">
        <v>30.0</v>
      </c>
      <c r="I9" s="13"/>
      <c r="J9" s="14"/>
      <c r="K9" s="3"/>
      <c r="L9" s="3"/>
      <c r="M9" s="3"/>
      <c r="N9" s="3"/>
      <c r="O9" s="3"/>
      <c r="P9" s="3"/>
      <c r="Q9" s="3"/>
      <c r="R9" s="3"/>
      <c r="S9" s="3"/>
      <c r="T9" s="3"/>
      <c r="U9" s="3"/>
      <c r="V9" s="3"/>
      <c r="W9" s="3"/>
      <c r="X9" s="3"/>
      <c r="Y9" s="3"/>
      <c r="Z9" s="3"/>
      <c r="AA9" s="3"/>
      <c r="AB9" s="3"/>
    </row>
    <row r="10">
      <c r="A10" s="4" t="s">
        <v>40</v>
      </c>
      <c r="B10" s="4" t="s">
        <v>41</v>
      </c>
      <c r="C10" s="4" t="s">
        <v>42</v>
      </c>
      <c r="D10" s="5"/>
      <c r="E10" s="11" t="s">
        <v>15</v>
      </c>
      <c r="F10" s="12" t="s">
        <v>43</v>
      </c>
      <c r="G10" s="8">
        <v>9500.0</v>
      </c>
      <c r="H10" s="4">
        <v>31.0</v>
      </c>
      <c r="I10" s="13"/>
      <c r="J10" s="14"/>
      <c r="K10" s="3"/>
      <c r="L10" s="3"/>
      <c r="M10" s="3"/>
      <c r="N10" s="3"/>
      <c r="O10" s="3"/>
      <c r="P10" s="3"/>
      <c r="Q10" s="3"/>
      <c r="R10" s="3"/>
      <c r="S10" s="3"/>
      <c r="T10" s="3"/>
      <c r="U10" s="3"/>
      <c r="V10" s="3"/>
      <c r="W10" s="3"/>
      <c r="X10" s="3"/>
      <c r="Y10" s="3"/>
      <c r="Z10" s="3"/>
      <c r="AA10" s="3"/>
      <c r="AB10" s="3"/>
    </row>
    <row r="11">
      <c r="A11" s="4" t="s">
        <v>44</v>
      </c>
      <c r="B11" s="4" t="s">
        <v>45</v>
      </c>
      <c r="C11" s="4" t="s">
        <v>46</v>
      </c>
      <c r="D11" s="5"/>
      <c r="E11" s="11"/>
      <c r="F11" s="12"/>
      <c r="G11" s="8">
        <v>9000.0</v>
      </c>
      <c r="H11" s="4">
        <v>31.0</v>
      </c>
      <c r="I11" s="13"/>
      <c r="J11" s="14"/>
      <c r="K11" s="3"/>
      <c r="L11" s="3"/>
      <c r="M11" s="3"/>
      <c r="N11" s="3"/>
      <c r="O11" s="3"/>
      <c r="P11" s="3"/>
      <c r="Q11" s="3"/>
      <c r="R11" s="3"/>
      <c r="S11" s="3"/>
      <c r="T11" s="3"/>
      <c r="U11" s="3"/>
      <c r="V11" s="3"/>
      <c r="W11" s="3"/>
      <c r="X11" s="3"/>
      <c r="Y11" s="3"/>
      <c r="Z11" s="3"/>
      <c r="AA11" s="3"/>
      <c r="AB11" s="3"/>
    </row>
    <row r="12">
      <c r="A12" s="4" t="s">
        <v>47</v>
      </c>
      <c r="B12" s="4" t="s">
        <v>48</v>
      </c>
      <c r="C12" s="4" t="s">
        <v>49</v>
      </c>
      <c r="D12" s="5"/>
      <c r="E12" s="10"/>
      <c r="F12" s="16"/>
      <c r="G12" s="8">
        <v>9000.0</v>
      </c>
      <c r="H12" s="4">
        <v>28.0</v>
      </c>
      <c r="I12" s="13"/>
      <c r="J12" s="14"/>
      <c r="K12" s="3"/>
      <c r="L12" s="3"/>
      <c r="M12" s="3"/>
      <c r="N12" s="3"/>
      <c r="O12" s="3"/>
      <c r="P12" s="3"/>
      <c r="Q12" s="3"/>
      <c r="R12" s="3"/>
      <c r="S12" s="3"/>
      <c r="T12" s="3"/>
      <c r="U12" s="3"/>
      <c r="V12" s="3"/>
      <c r="W12" s="3"/>
      <c r="X12" s="3"/>
      <c r="Y12" s="3"/>
      <c r="Z12" s="3"/>
      <c r="AA12" s="3"/>
      <c r="AB12" s="3"/>
    </row>
    <row r="13">
      <c r="A13" s="18" t="s">
        <v>50</v>
      </c>
      <c r="B13" s="19" t="s">
        <v>51</v>
      </c>
      <c r="C13" s="19" t="s">
        <v>52</v>
      </c>
      <c r="D13" s="20"/>
      <c r="E13" s="20"/>
      <c r="F13" s="21"/>
      <c r="G13" s="22">
        <v>8000.0</v>
      </c>
      <c r="H13" s="4">
        <v>31.0</v>
      </c>
      <c r="I13" s="13"/>
      <c r="J13" s="14"/>
      <c r="K13" s="3"/>
      <c r="L13" s="3"/>
      <c r="M13" s="3"/>
      <c r="N13" s="3"/>
      <c r="O13" s="3"/>
      <c r="P13" s="3"/>
      <c r="Q13" s="3"/>
      <c r="R13" s="3"/>
      <c r="S13" s="3"/>
      <c r="T13" s="3"/>
      <c r="U13" s="3"/>
      <c r="V13" s="3"/>
      <c r="W13" s="3"/>
      <c r="X13" s="3"/>
      <c r="Y13" s="3"/>
      <c r="Z13" s="3"/>
      <c r="AA13" s="3"/>
      <c r="AB13" s="3"/>
    </row>
    <row r="14">
      <c r="A14" s="23"/>
      <c r="B14" s="4" t="s">
        <v>53</v>
      </c>
      <c r="C14" s="4" t="s">
        <v>54</v>
      </c>
      <c r="D14" s="3"/>
      <c r="E14" s="6" t="s">
        <v>15</v>
      </c>
      <c r="F14" s="17" t="s">
        <v>55</v>
      </c>
      <c r="G14" s="24">
        <v>11000.0</v>
      </c>
      <c r="H14" s="3"/>
      <c r="I14" s="13"/>
      <c r="J14" s="14"/>
      <c r="K14" s="3"/>
      <c r="L14" s="3"/>
      <c r="M14" s="3"/>
      <c r="N14" s="3"/>
      <c r="O14" s="3"/>
      <c r="P14" s="3"/>
      <c r="Q14" s="3"/>
      <c r="R14" s="3"/>
      <c r="S14" s="3"/>
      <c r="T14" s="3"/>
      <c r="U14" s="3"/>
      <c r="V14" s="3"/>
      <c r="W14" s="3"/>
      <c r="X14" s="3"/>
      <c r="Y14" s="3"/>
      <c r="Z14" s="3"/>
      <c r="AA14" s="3"/>
      <c r="AB14" s="3"/>
    </row>
    <row r="15">
      <c r="A15" s="4"/>
      <c r="B15" s="4" t="s">
        <v>56</v>
      </c>
      <c r="C15" s="4" t="s">
        <v>57</v>
      </c>
      <c r="D15" s="3"/>
      <c r="E15" s="15"/>
      <c r="F15" s="16"/>
      <c r="G15" s="24">
        <v>10500.0</v>
      </c>
      <c r="H15" s="3"/>
      <c r="I15" s="13"/>
      <c r="J15" s="13"/>
      <c r="K15" s="3"/>
      <c r="L15" s="3"/>
      <c r="M15" s="3"/>
      <c r="N15" s="3"/>
      <c r="O15" s="3"/>
      <c r="P15" s="3"/>
      <c r="Q15" s="3"/>
      <c r="R15" s="3"/>
      <c r="S15" s="3"/>
      <c r="T15" s="3"/>
      <c r="U15" s="3"/>
      <c r="V15" s="3"/>
      <c r="W15" s="3"/>
      <c r="X15" s="3"/>
      <c r="Y15" s="3"/>
      <c r="Z15" s="3"/>
      <c r="AA15" s="3"/>
      <c r="AB15" s="3"/>
    </row>
    <row r="16">
      <c r="A16" s="4"/>
      <c r="B16" s="4" t="s">
        <v>58</v>
      </c>
      <c r="C16" s="4" t="s">
        <v>59</v>
      </c>
      <c r="D16" s="3"/>
      <c r="E16" s="15"/>
      <c r="F16" s="16"/>
      <c r="G16" s="24">
        <v>9000.0</v>
      </c>
      <c r="H16" s="3"/>
      <c r="I16" s="13"/>
      <c r="J16" s="14"/>
      <c r="K16" s="3"/>
      <c r="L16" s="3"/>
      <c r="M16" s="3"/>
      <c r="N16" s="3"/>
      <c r="O16" s="3"/>
      <c r="P16" s="3"/>
      <c r="Q16" s="3"/>
      <c r="R16" s="3"/>
      <c r="S16" s="3"/>
      <c r="T16" s="3"/>
      <c r="U16" s="3"/>
      <c r="V16" s="3"/>
      <c r="W16" s="3"/>
      <c r="X16" s="3"/>
      <c r="Y16" s="3"/>
      <c r="Z16" s="3"/>
      <c r="AA16" s="3"/>
      <c r="AB16" s="3"/>
    </row>
    <row r="17">
      <c r="A17" s="23"/>
      <c r="B17" s="4" t="s">
        <v>60</v>
      </c>
      <c r="C17" s="4" t="s">
        <v>61</v>
      </c>
      <c r="D17" s="3"/>
      <c r="E17" s="15"/>
      <c r="F17" s="16"/>
      <c r="G17" s="24">
        <v>9000.0</v>
      </c>
      <c r="H17" s="3"/>
      <c r="I17" s="13"/>
      <c r="J17" s="13"/>
      <c r="K17" s="3"/>
      <c r="L17" s="3"/>
      <c r="M17" s="3"/>
      <c r="N17" s="3"/>
      <c r="O17" s="3"/>
      <c r="P17" s="3"/>
      <c r="Q17" s="3"/>
      <c r="R17" s="3"/>
      <c r="S17" s="3"/>
      <c r="T17" s="3"/>
      <c r="U17" s="3"/>
      <c r="V17" s="3"/>
      <c r="W17" s="3"/>
      <c r="X17" s="3"/>
      <c r="Y17" s="3"/>
      <c r="Z17" s="3"/>
      <c r="AA17" s="3"/>
      <c r="AB17" s="3"/>
    </row>
    <row r="18">
      <c r="A18" s="19"/>
      <c r="B18" s="19" t="s">
        <v>62</v>
      </c>
      <c r="C18" s="19" t="s">
        <v>63</v>
      </c>
      <c r="D18" s="25"/>
      <c r="E18" s="26"/>
      <c r="F18" s="21"/>
      <c r="G18" s="27">
        <v>8000.0</v>
      </c>
      <c r="H18" s="3"/>
      <c r="I18" s="13"/>
      <c r="J18" s="14"/>
      <c r="K18" s="3"/>
      <c r="L18" s="3"/>
      <c r="M18" s="3"/>
      <c r="N18" s="3"/>
      <c r="O18" s="3"/>
      <c r="P18" s="3"/>
      <c r="Q18" s="3"/>
      <c r="R18" s="3"/>
      <c r="S18" s="3"/>
      <c r="T18" s="3"/>
      <c r="U18" s="3"/>
      <c r="V18" s="3"/>
      <c r="W18" s="3"/>
      <c r="X18" s="3"/>
      <c r="Y18" s="3"/>
      <c r="Z18" s="3"/>
      <c r="AA18" s="3"/>
      <c r="AB18" s="3"/>
    </row>
    <row r="19">
      <c r="A19" s="4"/>
      <c r="B19" s="4" t="s">
        <v>64</v>
      </c>
      <c r="C19" s="4" t="s">
        <v>65</v>
      </c>
      <c r="D19" s="3"/>
      <c r="E19" s="6" t="s">
        <v>15</v>
      </c>
      <c r="F19" s="9" t="s">
        <v>66</v>
      </c>
      <c r="G19" s="24">
        <v>18000.0</v>
      </c>
      <c r="H19" s="3"/>
      <c r="I19" s="3"/>
      <c r="J19" s="3"/>
      <c r="K19" s="3"/>
      <c r="L19" s="3"/>
      <c r="M19" s="3"/>
      <c r="N19" s="3"/>
      <c r="O19" s="3"/>
      <c r="P19" s="3"/>
      <c r="Q19" s="3"/>
      <c r="R19" s="3"/>
      <c r="S19" s="3"/>
      <c r="T19" s="3"/>
      <c r="U19" s="3"/>
      <c r="V19" s="3"/>
      <c r="W19" s="3"/>
      <c r="X19" s="3"/>
      <c r="Y19" s="3"/>
      <c r="Z19" s="3"/>
      <c r="AA19" s="3"/>
      <c r="AB19" s="3"/>
    </row>
    <row r="20">
      <c r="A20" s="4"/>
      <c r="B20" s="4" t="s">
        <v>67</v>
      </c>
      <c r="C20" s="4" t="s">
        <v>68</v>
      </c>
      <c r="D20" s="3"/>
      <c r="E20" s="6" t="s">
        <v>15</v>
      </c>
      <c r="F20" s="17" t="s">
        <v>69</v>
      </c>
      <c r="G20" s="24">
        <v>13000.0</v>
      </c>
      <c r="H20" s="3"/>
      <c r="I20" s="3"/>
      <c r="J20" s="3"/>
      <c r="K20" s="3"/>
      <c r="L20" s="3"/>
      <c r="M20" s="3"/>
      <c r="N20" s="3"/>
      <c r="O20" s="3"/>
      <c r="P20" s="3"/>
      <c r="Q20" s="3"/>
      <c r="R20" s="3"/>
      <c r="S20" s="3"/>
      <c r="T20" s="3"/>
      <c r="U20" s="3"/>
      <c r="V20" s="3"/>
      <c r="W20" s="3"/>
      <c r="X20" s="3"/>
      <c r="Y20" s="3"/>
      <c r="Z20" s="3"/>
      <c r="AA20" s="3"/>
      <c r="AB20" s="3"/>
    </row>
    <row r="21">
      <c r="A21" s="4"/>
      <c r="B21" s="4" t="s">
        <v>70</v>
      </c>
      <c r="C21" s="4" t="s">
        <v>71</v>
      </c>
      <c r="D21" s="3"/>
      <c r="E21" s="6" t="s">
        <v>15</v>
      </c>
      <c r="F21" s="9" t="s">
        <v>72</v>
      </c>
      <c r="G21" s="24">
        <v>20000.0</v>
      </c>
      <c r="H21" s="3"/>
      <c r="I21" s="3"/>
      <c r="J21" s="3"/>
      <c r="K21" s="3"/>
      <c r="L21" s="3"/>
      <c r="M21" s="3"/>
      <c r="N21" s="3"/>
      <c r="O21" s="3"/>
      <c r="P21" s="3"/>
      <c r="Q21" s="3"/>
      <c r="R21" s="3"/>
      <c r="S21" s="3"/>
      <c r="T21" s="3"/>
      <c r="U21" s="3"/>
      <c r="V21" s="3"/>
      <c r="W21" s="3"/>
      <c r="X21" s="3"/>
      <c r="Y21" s="3"/>
      <c r="Z21" s="3"/>
      <c r="AA21" s="3"/>
      <c r="AB21" s="3"/>
    </row>
    <row r="22">
      <c r="A22" s="19"/>
      <c r="B22" s="19" t="s">
        <v>73</v>
      </c>
      <c r="C22" s="19" t="s">
        <v>74</v>
      </c>
      <c r="D22" s="25"/>
      <c r="E22" s="26"/>
      <c r="F22" s="21"/>
      <c r="G22" s="27">
        <v>9250.0</v>
      </c>
      <c r="H22" s="3"/>
      <c r="I22" s="3"/>
      <c r="J22" s="3"/>
      <c r="K22" s="3"/>
      <c r="L22" s="3"/>
      <c r="M22" s="3"/>
      <c r="N22" s="3"/>
      <c r="O22" s="3"/>
      <c r="P22" s="3"/>
      <c r="Q22" s="3"/>
      <c r="R22" s="3"/>
      <c r="S22" s="3"/>
      <c r="T22" s="3"/>
      <c r="U22" s="3"/>
      <c r="V22" s="3"/>
      <c r="W22" s="3"/>
      <c r="X22" s="3"/>
      <c r="Y22" s="3"/>
      <c r="Z22" s="3"/>
      <c r="AA22" s="3"/>
      <c r="AB22" s="3"/>
    </row>
    <row r="23">
      <c r="A23" s="4"/>
      <c r="B23" s="4" t="s">
        <v>75</v>
      </c>
      <c r="C23" s="4" t="s">
        <v>76</v>
      </c>
      <c r="D23" s="3"/>
      <c r="E23" s="15"/>
      <c r="F23" s="16"/>
      <c r="G23" s="24">
        <v>11000.0</v>
      </c>
      <c r="H23" s="3"/>
      <c r="I23" s="3"/>
      <c r="J23" s="3"/>
      <c r="K23" s="3"/>
      <c r="L23" s="3"/>
      <c r="M23" s="3"/>
      <c r="N23" s="3"/>
      <c r="O23" s="3"/>
      <c r="P23" s="3"/>
      <c r="Q23" s="3"/>
      <c r="R23" s="3"/>
      <c r="S23" s="3"/>
      <c r="T23" s="3"/>
      <c r="U23" s="3"/>
      <c r="V23" s="3"/>
      <c r="W23" s="3"/>
      <c r="X23" s="3"/>
      <c r="Y23" s="3"/>
      <c r="Z23" s="3"/>
      <c r="AA23" s="3"/>
      <c r="AB23" s="3"/>
    </row>
    <row r="24">
      <c r="A24" s="4"/>
      <c r="B24" s="4" t="s">
        <v>77</v>
      </c>
      <c r="C24" s="4" t="s">
        <v>78</v>
      </c>
      <c r="D24" s="3"/>
      <c r="E24" s="6" t="s">
        <v>15</v>
      </c>
      <c r="F24" s="17" t="s">
        <v>79</v>
      </c>
      <c r="G24" s="24">
        <v>10500.0</v>
      </c>
      <c r="H24" s="3"/>
      <c r="I24" s="3"/>
      <c r="J24" s="3"/>
      <c r="K24" s="3"/>
      <c r="L24" s="3"/>
      <c r="M24" s="3"/>
      <c r="N24" s="3"/>
      <c r="O24" s="3"/>
      <c r="P24" s="3"/>
      <c r="Q24" s="3"/>
      <c r="R24" s="3"/>
      <c r="S24" s="3"/>
      <c r="T24" s="3"/>
      <c r="U24" s="3"/>
      <c r="V24" s="3"/>
      <c r="W24" s="3"/>
      <c r="X24" s="3"/>
      <c r="Y24" s="3"/>
      <c r="Z24" s="3"/>
      <c r="AA24" s="3"/>
      <c r="AB24" s="3"/>
    </row>
    <row r="25">
      <c r="A25" s="4"/>
      <c r="B25" s="4" t="s">
        <v>80</v>
      </c>
      <c r="C25" s="4" t="s">
        <v>81</v>
      </c>
      <c r="D25" s="3"/>
      <c r="E25" s="6" t="s">
        <v>15</v>
      </c>
      <c r="F25" s="28" t="s">
        <v>82</v>
      </c>
      <c r="G25" s="24">
        <v>12000.0</v>
      </c>
      <c r="H25" s="3"/>
      <c r="I25" s="3"/>
      <c r="J25" s="3"/>
      <c r="K25" s="3"/>
      <c r="L25" s="3"/>
      <c r="M25" s="3"/>
      <c r="N25" s="3"/>
      <c r="O25" s="3"/>
      <c r="P25" s="3"/>
      <c r="Q25" s="3"/>
      <c r="R25" s="3"/>
      <c r="S25" s="3"/>
      <c r="T25" s="3"/>
      <c r="U25" s="3"/>
      <c r="V25" s="3"/>
      <c r="W25" s="3"/>
      <c r="X25" s="3"/>
      <c r="Y25" s="3"/>
      <c r="Z25" s="3"/>
      <c r="AA25" s="3"/>
      <c r="AB25" s="3"/>
    </row>
    <row r="26">
      <c r="A26" s="4"/>
      <c r="B26" s="4" t="s">
        <v>83</v>
      </c>
      <c r="C26" s="4" t="s">
        <v>84</v>
      </c>
      <c r="D26" s="3"/>
      <c r="E26" s="6" t="s">
        <v>15</v>
      </c>
      <c r="F26" s="9" t="s">
        <v>85</v>
      </c>
      <c r="G26" s="24">
        <v>12000.0</v>
      </c>
      <c r="H26" s="3"/>
      <c r="I26" s="3"/>
      <c r="J26" s="3"/>
      <c r="K26" s="3"/>
      <c r="L26" s="3"/>
      <c r="M26" s="3"/>
      <c r="N26" s="3"/>
      <c r="O26" s="3"/>
      <c r="P26" s="3"/>
      <c r="Q26" s="3"/>
      <c r="R26" s="3"/>
      <c r="S26" s="3"/>
      <c r="T26" s="3"/>
      <c r="U26" s="3"/>
      <c r="V26" s="3"/>
      <c r="W26" s="3"/>
      <c r="X26" s="3"/>
      <c r="Y26" s="3"/>
      <c r="Z26" s="3"/>
      <c r="AA26" s="3"/>
      <c r="AB26" s="3"/>
    </row>
    <row r="27">
      <c r="A27" s="4"/>
      <c r="B27" s="4" t="s">
        <v>86</v>
      </c>
      <c r="C27" s="4" t="s">
        <v>87</v>
      </c>
      <c r="D27" s="3"/>
      <c r="E27" s="15"/>
      <c r="F27" s="16"/>
      <c r="G27" s="24">
        <v>10000.0</v>
      </c>
      <c r="H27" s="3"/>
      <c r="I27" s="3"/>
      <c r="J27" s="3"/>
      <c r="K27" s="3"/>
      <c r="L27" s="3"/>
      <c r="M27" s="3"/>
      <c r="N27" s="3"/>
      <c r="O27" s="3"/>
      <c r="P27" s="3"/>
      <c r="Q27" s="3"/>
      <c r="R27" s="3"/>
      <c r="S27" s="3"/>
      <c r="T27" s="3"/>
      <c r="U27" s="3"/>
      <c r="V27" s="3"/>
      <c r="W27" s="3"/>
      <c r="X27" s="3"/>
      <c r="Y27" s="3"/>
      <c r="Z27" s="3"/>
      <c r="AA27" s="3"/>
      <c r="AB27" s="3"/>
    </row>
    <row r="28">
      <c r="A28" s="4"/>
      <c r="B28" s="4" t="s">
        <v>88</v>
      </c>
      <c r="C28" s="4" t="s">
        <v>89</v>
      </c>
      <c r="D28" s="3"/>
      <c r="E28" s="15"/>
      <c r="F28" s="16"/>
      <c r="G28" s="24">
        <v>10000.0</v>
      </c>
      <c r="H28" s="3"/>
      <c r="I28" s="3"/>
      <c r="J28" s="3"/>
      <c r="K28" s="3"/>
      <c r="L28" s="3"/>
      <c r="M28" s="3"/>
      <c r="N28" s="3"/>
      <c r="O28" s="3"/>
      <c r="P28" s="3"/>
      <c r="Q28" s="3"/>
      <c r="R28" s="3"/>
      <c r="S28" s="3"/>
      <c r="T28" s="3"/>
      <c r="U28" s="3"/>
      <c r="V28" s="3"/>
      <c r="W28" s="3"/>
      <c r="X28" s="3"/>
      <c r="Y28" s="3"/>
      <c r="Z28" s="3"/>
      <c r="AA28" s="3"/>
      <c r="AB28" s="3"/>
    </row>
    <row r="29">
      <c r="A29" s="4"/>
      <c r="B29" s="4" t="s">
        <v>90</v>
      </c>
      <c r="C29" s="4" t="s">
        <v>91</v>
      </c>
      <c r="D29" s="3"/>
      <c r="E29" s="6" t="s">
        <v>92</v>
      </c>
      <c r="F29" s="17">
        <v>3.8254473147E10</v>
      </c>
      <c r="G29" s="24">
        <v>11000.0</v>
      </c>
      <c r="H29" s="3"/>
      <c r="I29" s="3"/>
      <c r="J29" s="3"/>
      <c r="K29" s="3"/>
      <c r="L29" s="3"/>
      <c r="M29" s="3"/>
      <c r="N29" s="3"/>
      <c r="O29" s="3"/>
      <c r="P29" s="3"/>
      <c r="Q29" s="3"/>
      <c r="R29" s="3"/>
      <c r="S29" s="3"/>
      <c r="T29" s="3"/>
      <c r="U29" s="3"/>
      <c r="V29" s="3"/>
      <c r="W29" s="3"/>
      <c r="X29" s="3"/>
      <c r="Y29" s="3"/>
      <c r="Z29" s="3"/>
      <c r="AA29" s="3"/>
      <c r="AB29" s="3"/>
    </row>
    <row r="30">
      <c r="A30" s="4"/>
      <c r="B30" s="4" t="s">
        <v>93</v>
      </c>
      <c r="C30" s="4" t="s">
        <v>94</v>
      </c>
      <c r="D30" s="3"/>
      <c r="E30" s="15"/>
      <c r="F30" s="16"/>
      <c r="G30" s="24">
        <v>16000.0</v>
      </c>
      <c r="H30" s="3"/>
      <c r="I30" s="3"/>
      <c r="J30" s="3"/>
      <c r="K30" s="3"/>
      <c r="L30" s="3"/>
      <c r="M30" s="3"/>
      <c r="N30" s="3"/>
      <c r="O30" s="3"/>
      <c r="P30" s="3"/>
      <c r="Q30" s="3"/>
      <c r="R30" s="3"/>
      <c r="S30" s="3"/>
      <c r="T30" s="3"/>
      <c r="U30" s="3"/>
      <c r="V30" s="3"/>
      <c r="W30" s="3"/>
      <c r="X30" s="3"/>
      <c r="Y30" s="3"/>
      <c r="Z30" s="3"/>
      <c r="AA30" s="3"/>
      <c r="AB30" s="3"/>
    </row>
    <row r="31">
      <c r="A31" s="4"/>
      <c r="B31" s="4" t="s">
        <v>95</v>
      </c>
      <c r="C31" s="4" t="s">
        <v>96</v>
      </c>
      <c r="D31" s="3"/>
      <c r="E31" s="6"/>
      <c r="F31" s="16"/>
      <c r="G31" s="24">
        <v>10000.0</v>
      </c>
      <c r="H31" s="3"/>
      <c r="I31" s="3"/>
      <c r="J31" s="3"/>
      <c r="K31" s="3"/>
      <c r="L31" s="3"/>
      <c r="M31" s="3"/>
      <c r="N31" s="3"/>
      <c r="O31" s="3"/>
      <c r="P31" s="3"/>
      <c r="Q31" s="3"/>
      <c r="R31" s="3"/>
      <c r="S31" s="3"/>
      <c r="T31" s="3"/>
      <c r="U31" s="3"/>
      <c r="V31" s="3"/>
      <c r="W31" s="3"/>
      <c r="X31" s="3"/>
      <c r="Y31" s="3"/>
      <c r="Z31" s="3"/>
      <c r="AA31" s="3"/>
      <c r="AB31" s="3"/>
    </row>
    <row r="32">
      <c r="A32" s="4"/>
      <c r="B32" s="4" t="s">
        <v>97</v>
      </c>
      <c r="C32" s="4" t="s">
        <v>98</v>
      </c>
      <c r="D32" s="3"/>
      <c r="E32" s="6" t="s">
        <v>92</v>
      </c>
      <c r="F32" s="17">
        <v>4.0653547928E10</v>
      </c>
      <c r="G32" s="24">
        <v>12000.0</v>
      </c>
      <c r="H32" s="3"/>
      <c r="I32" s="3"/>
      <c r="J32" s="3"/>
      <c r="K32" s="3"/>
      <c r="L32" s="3"/>
      <c r="M32" s="3"/>
      <c r="N32" s="3"/>
      <c r="O32" s="3"/>
      <c r="P32" s="3"/>
      <c r="Q32" s="3"/>
      <c r="R32" s="3"/>
      <c r="S32" s="3"/>
      <c r="T32" s="3"/>
      <c r="U32" s="3"/>
      <c r="V32" s="3"/>
      <c r="W32" s="3"/>
      <c r="X32" s="3"/>
      <c r="Y32" s="3"/>
      <c r="Z32" s="3"/>
      <c r="AA32" s="3"/>
      <c r="AB32" s="3"/>
    </row>
    <row r="33">
      <c r="A33" s="4"/>
      <c r="B33" s="4" t="s">
        <v>99</v>
      </c>
      <c r="C33" s="4" t="s">
        <v>100</v>
      </c>
      <c r="D33" s="3"/>
      <c r="E33" s="3"/>
      <c r="F33" s="16"/>
      <c r="G33" s="24">
        <v>10000.0</v>
      </c>
      <c r="H33" s="3"/>
      <c r="I33" s="3"/>
      <c r="J33" s="3"/>
      <c r="K33" s="3"/>
      <c r="L33" s="3"/>
      <c r="M33" s="3"/>
      <c r="N33" s="3"/>
      <c r="O33" s="3"/>
      <c r="P33" s="3"/>
      <c r="Q33" s="3"/>
      <c r="R33" s="3"/>
      <c r="S33" s="3"/>
      <c r="T33" s="3"/>
      <c r="U33" s="3"/>
      <c r="V33" s="3"/>
      <c r="W33" s="3"/>
      <c r="X33" s="3"/>
      <c r="Y33" s="3"/>
      <c r="Z33" s="3"/>
      <c r="AA33" s="3"/>
      <c r="AB33" s="3"/>
    </row>
    <row r="34">
      <c r="A34" s="4"/>
      <c r="B34" s="4" t="s">
        <v>101</v>
      </c>
      <c r="C34" s="4" t="s">
        <v>102</v>
      </c>
      <c r="D34" s="3"/>
      <c r="E34" s="3"/>
      <c r="F34" s="16"/>
      <c r="G34" s="24">
        <v>14000.0</v>
      </c>
      <c r="H34" s="3"/>
      <c r="I34" s="3"/>
      <c r="J34" s="3"/>
      <c r="K34" s="3"/>
      <c r="L34" s="3"/>
      <c r="M34" s="3"/>
      <c r="N34" s="3"/>
      <c r="O34" s="3"/>
      <c r="P34" s="3"/>
      <c r="Q34" s="3"/>
      <c r="R34" s="3"/>
      <c r="S34" s="3"/>
      <c r="T34" s="3"/>
      <c r="U34" s="3"/>
      <c r="V34" s="3"/>
      <c r="W34" s="3"/>
      <c r="X34" s="3"/>
      <c r="Y34" s="3"/>
      <c r="Z34" s="3"/>
      <c r="AA34" s="3"/>
      <c r="AB34" s="3"/>
    </row>
    <row r="35">
      <c r="A35" s="4"/>
      <c r="B35" s="4" t="s">
        <v>103</v>
      </c>
      <c r="C35" s="4" t="s">
        <v>104</v>
      </c>
      <c r="D35" s="3"/>
      <c r="E35" s="3"/>
      <c r="F35" s="16"/>
      <c r="G35" s="24">
        <v>10000.0</v>
      </c>
      <c r="H35" s="3"/>
      <c r="I35" s="3"/>
      <c r="J35" s="3"/>
      <c r="K35" s="3"/>
      <c r="L35" s="3"/>
      <c r="M35" s="3"/>
      <c r="N35" s="3"/>
      <c r="O35" s="3"/>
      <c r="P35" s="3"/>
      <c r="Q35" s="3"/>
      <c r="R35" s="3"/>
      <c r="S35" s="3"/>
      <c r="T35" s="3"/>
      <c r="U35" s="3"/>
      <c r="V35" s="3"/>
      <c r="W35" s="3"/>
      <c r="X35" s="3"/>
      <c r="Y35" s="3"/>
      <c r="Z35" s="3"/>
      <c r="AA35" s="3"/>
      <c r="AB35" s="3"/>
    </row>
    <row r="36">
      <c r="A36" s="4"/>
      <c r="B36" s="4" t="s">
        <v>105</v>
      </c>
      <c r="C36" s="4" t="s">
        <v>106</v>
      </c>
      <c r="D36" s="3"/>
      <c r="E36" s="3"/>
      <c r="F36" s="16"/>
      <c r="G36" s="24">
        <v>11000.0</v>
      </c>
      <c r="H36" s="3"/>
      <c r="I36" s="4"/>
      <c r="J36" s="4"/>
      <c r="K36" s="4"/>
      <c r="L36" s="3"/>
      <c r="M36" s="3"/>
      <c r="N36" s="3"/>
      <c r="O36" s="3"/>
      <c r="P36" s="3"/>
      <c r="Q36" s="3"/>
      <c r="R36" s="3"/>
      <c r="S36" s="3"/>
      <c r="T36" s="3"/>
      <c r="U36" s="3"/>
      <c r="V36" s="3"/>
      <c r="W36" s="3"/>
      <c r="X36" s="3"/>
      <c r="Y36" s="3"/>
      <c r="Z36" s="3"/>
      <c r="AA36" s="3"/>
      <c r="AB36" s="3"/>
    </row>
    <row r="37">
      <c r="A37" s="4"/>
      <c r="B37" s="4" t="s">
        <v>107</v>
      </c>
      <c r="C37" s="4" t="s">
        <v>108</v>
      </c>
      <c r="D37" s="3"/>
      <c r="E37" s="3"/>
      <c r="F37" s="16"/>
      <c r="G37" s="24">
        <v>10000.0</v>
      </c>
      <c r="H37" s="3"/>
      <c r="I37" s="4"/>
      <c r="J37" s="4"/>
      <c r="K37" s="4"/>
      <c r="L37" s="3"/>
      <c r="M37" s="3"/>
      <c r="N37" s="3"/>
      <c r="O37" s="3"/>
      <c r="P37" s="3"/>
      <c r="Q37" s="3"/>
      <c r="R37" s="3"/>
      <c r="S37" s="3"/>
      <c r="T37" s="3"/>
      <c r="U37" s="3"/>
      <c r="V37" s="3"/>
      <c r="W37" s="3"/>
      <c r="X37" s="3"/>
      <c r="Y37" s="3"/>
      <c r="Z37" s="3"/>
      <c r="AA37" s="3"/>
      <c r="AB37" s="3"/>
    </row>
    <row r="38">
      <c r="A38" s="4"/>
      <c r="B38" s="4" t="s">
        <v>109</v>
      </c>
      <c r="C38" s="4" t="s">
        <v>110</v>
      </c>
      <c r="D38" s="3"/>
      <c r="E38" s="3"/>
      <c r="F38" s="16"/>
      <c r="G38" s="24">
        <v>10000.0</v>
      </c>
      <c r="H38" s="3"/>
      <c r="I38" s="4"/>
      <c r="J38" s="4"/>
      <c r="K38" s="4"/>
      <c r="L38" s="3"/>
      <c r="M38" s="3"/>
      <c r="N38" s="3"/>
      <c r="O38" s="3"/>
      <c r="P38" s="3"/>
      <c r="Q38" s="3"/>
      <c r="R38" s="3"/>
      <c r="S38" s="3"/>
      <c r="T38" s="3"/>
      <c r="U38" s="3"/>
      <c r="V38" s="3"/>
      <c r="W38" s="3"/>
      <c r="X38" s="3"/>
      <c r="Y38" s="3"/>
      <c r="Z38" s="3"/>
      <c r="AA38" s="3"/>
      <c r="AB38" s="3"/>
    </row>
    <row r="39">
      <c r="A39" s="4"/>
      <c r="B39" s="4" t="s">
        <v>111</v>
      </c>
      <c r="C39" s="4" t="s">
        <v>112</v>
      </c>
      <c r="D39" s="3"/>
      <c r="E39" s="3"/>
      <c r="F39" s="16"/>
      <c r="G39" s="24">
        <v>10000.0</v>
      </c>
      <c r="H39" s="3"/>
      <c r="I39" s="4"/>
      <c r="J39" s="4"/>
      <c r="K39" s="4"/>
      <c r="L39" s="3"/>
      <c r="M39" s="3"/>
      <c r="N39" s="3"/>
      <c r="O39" s="3"/>
      <c r="P39" s="3"/>
      <c r="Q39" s="3"/>
      <c r="R39" s="3"/>
      <c r="S39" s="3"/>
      <c r="T39" s="3"/>
      <c r="U39" s="3"/>
      <c r="V39" s="3"/>
      <c r="W39" s="3"/>
      <c r="X39" s="3"/>
      <c r="Y39" s="3"/>
      <c r="Z39" s="3"/>
      <c r="AA39" s="3"/>
      <c r="AB39" s="3"/>
    </row>
    <row r="40">
      <c r="A40" s="4"/>
      <c r="B40" s="4" t="s">
        <v>113</v>
      </c>
      <c r="C40" s="4" t="s">
        <v>114</v>
      </c>
      <c r="D40" s="3"/>
      <c r="E40" s="3"/>
      <c r="F40" s="16"/>
      <c r="G40" s="24">
        <v>10000.0</v>
      </c>
      <c r="H40" s="3"/>
      <c r="I40" s="4"/>
      <c r="J40" s="4"/>
      <c r="K40" s="4"/>
      <c r="L40" s="3"/>
      <c r="M40" s="3"/>
      <c r="N40" s="3"/>
      <c r="O40" s="3"/>
      <c r="P40" s="3"/>
      <c r="Q40" s="3"/>
      <c r="R40" s="3"/>
      <c r="S40" s="3"/>
      <c r="T40" s="3"/>
      <c r="U40" s="3"/>
      <c r="V40" s="3"/>
      <c r="W40" s="3"/>
      <c r="X40" s="3"/>
      <c r="Y40" s="3"/>
      <c r="Z40" s="3"/>
      <c r="AA40" s="3"/>
      <c r="AB40" s="3"/>
    </row>
    <row r="41">
      <c r="A41" s="4"/>
      <c r="B41" s="4" t="s">
        <v>115</v>
      </c>
      <c r="C41" s="4" t="s">
        <v>116</v>
      </c>
      <c r="D41" s="3"/>
      <c r="E41" s="3"/>
      <c r="F41" s="16"/>
      <c r="G41" s="24">
        <v>10000.0</v>
      </c>
      <c r="H41" s="3"/>
      <c r="I41" s="4"/>
      <c r="J41" s="4"/>
      <c r="K41" s="4"/>
      <c r="L41" s="3"/>
      <c r="M41" s="3"/>
      <c r="N41" s="3"/>
      <c r="O41" s="3"/>
      <c r="P41" s="3"/>
      <c r="Q41" s="3"/>
      <c r="R41" s="3"/>
      <c r="S41" s="3"/>
      <c r="T41" s="3"/>
      <c r="U41" s="3"/>
      <c r="V41" s="3"/>
      <c r="W41" s="3"/>
      <c r="X41" s="3"/>
      <c r="Y41" s="3"/>
      <c r="Z41" s="3"/>
      <c r="AA41" s="3"/>
      <c r="AB41" s="3"/>
    </row>
    <row r="42">
      <c r="A42" s="4"/>
      <c r="B42" s="4"/>
      <c r="C42" s="4"/>
      <c r="D42" s="3"/>
      <c r="E42" s="3"/>
      <c r="F42" s="16"/>
      <c r="G42" s="29"/>
      <c r="H42" s="3"/>
      <c r="I42" s="4"/>
      <c r="J42" s="4"/>
      <c r="K42" s="4"/>
      <c r="L42" s="3"/>
      <c r="M42" s="3"/>
      <c r="N42" s="3"/>
      <c r="O42" s="3"/>
      <c r="P42" s="3"/>
      <c r="Q42" s="3"/>
      <c r="R42" s="3"/>
      <c r="S42" s="3"/>
      <c r="T42" s="3"/>
      <c r="U42" s="3"/>
      <c r="V42" s="3"/>
      <c r="W42" s="3"/>
      <c r="X42" s="3"/>
      <c r="Y42" s="3"/>
      <c r="Z42" s="3"/>
      <c r="AA42" s="3"/>
      <c r="AB42" s="3"/>
    </row>
    <row r="43">
      <c r="A43" s="4"/>
      <c r="B43" s="4"/>
      <c r="C43" s="4"/>
      <c r="D43" s="3"/>
      <c r="E43" s="3"/>
      <c r="F43" s="16"/>
      <c r="G43" s="29"/>
      <c r="H43" s="3"/>
      <c r="I43" s="4"/>
      <c r="J43" s="4"/>
      <c r="K43" s="4"/>
      <c r="L43" s="3"/>
      <c r="M43" s="3"/>
      <c r="N43" s="3"/>
      <c r="O43" s="3"/>
      <c r="P43" s="3"/>
      <c r="Q43" s="3"/>
      <c r="R43" s="3"/>
      <c r="S43" s="3"/>
      <c r="T43" s="3"/>
      <c r="U43" s="3"/>
      <c r="V43" s="3"/>
      <c r="W43" s="3"/>
      <c r="X43" s="3"/>
      <c r="Y43" s="3"/>
      <c r="Z43" s="3"/>
      <c r="AA43" s="3"/>
      <c r="AB43" s="3"/>
    </row>
    <row r="44">
      <c r="A44" s="4"/>
      <c r="B44" s="4"/>
      <c r="C44" s="4"/>
      <c r="D44" s="3"/>
      <c r="E44" s="3"/>
      <c r="F44" s="16"/>
      <c r="G44" s="29"/>
      <c r="H44" s="3"/>
      <c r="I44" s="4"/>
      <c r="J44" s="4"/>
      <c r="K44" s="4"/>
      <c r="L44" s="3"/>
      <c r="M44" s="3"/>
      <c r="N44" s="3"/>
      <c r="O44" s="3"/>
      <c r="P44" s="3"/>
      <c r="Q44" s="3"/>
      <c r="R44" s="3"/>
      <c r="S44" s="3"/>
      <c r="T44" s="3"/>
      <c r="U44" s="3"/>
      <c r="V44" s="3"/>
      <c r="W44" s="3"/>
      <c r="X44" s="3"/>
      <c r="Y44" s="3"/>
      <c r="Z44" s="3"/>
      <c r="AA44" s="3"/>
      <c r="AB44" s="3"/>
    </row>
    <row r="45">
      <c r="A45" s="4"/>
      <c r="B45" s="4"/>
      <c r="C45" s="4"/>
      <c r="D45" s="3"/>
      <c r="E45" s="3"/>
      <c r="F45" s="16"/>
      <c r="G45" s="29"/>
      <c r="H45" s="3"/>
      <c r="I45" s="4"/>
      <c r="J45" s="4"/>
      <c r="K45" s="4"/>
      <c r="L45" s="3"/>
      <c r="M45" s="3"/>
      <c r="N45" s="3"/>
      <c r="O45" s="3"/>
      <c r="P45" s="3"/>
      <c r="Q45" s="3"/>
      <c r="R45" s="3"/>
      <c r="S45" s="3"/>
      <c r="T45" s="3"/>
      <c r="U45" s="3"/>
      <c r="V45" s="3"/>
      <c r="W45" s="3"/>
      <c r="X45" s="3"/>
      <c r="Y45" s="3"/>
      <c r="Z45" s="3"/>
      <c r="AA45" s="3"/>
      <c r="AB45" s="3"/>
    </row>
    <row r="46">
      <c r="A46" s="4"/>
      <c r="B46" s="4"/>
      <c r="C46" s="4"/>
      <c r="D46" s="3"/>
      <c r="E46" s="3"/>
      <c r="F46" s="16"/>
      <c r="G46" s="29"/>
      <c r="H46" s="3"/>
      <c r="I46" s="4"/>
      <c r="J46" s="4"/>
      <c r="K46" s="4"/>
      <c r="L46" s="3"/>
      <c r="M46" s="3"/>
      <c r="N46" s="3"/>
      <c r="O46" s="3"/>
      <c r="P46" s="3"/>
      <c r="Q46" s="3"/>
      <c r="R46" s="3"/>
      <c r="S46" s="3"/>
      <c r="T46" s="3"/>
      <c r="U46" s="3"/>
      <c r="V46" s="3"/>
      <c r="W46" s="3"/>
      <c r="X46" s="3"/>
      <c r="Y46" s="3"/>
      <c r="Z46" s="3"/>
      <c r="AA46" s="3"/>
      <c r="AB46" s="3"/>
    </row>
    <row r="47">
      <c r="A47" s="4"/>
      <c r="B47" s="4"/>
      <c r="C47" s="4"/>
      <c r="D47" s="3"/>
      <c r="E47" s="3"/>
      <c r="F47" s="16"/>
      <c r="G47" s="29"/>
      <c r="H47" s="3"/>
      <c r="I47" s="4"/>
      <c r="J47" s="4"/>
      <c r="K47" s="4"/>
      <c r="L47" s="3"/>
      <c r="M47" s="3"/>
      <c r="N47" s="3"/>
      <c r="O47" s="3"/>
      <c r="P47" s="3"/>
      <c r="Q47" s="3"/>
      <c r="R47" s="3"/>
      <c r="S47" s="3"/>
      <c r="T47" s="3"/>
      <c r="U47" s="3"/>
      <c r="V47" s="3"/>
      <c r="W47" s="3"/>
      <c r="X47" s="3"/>
      <c r="Y47" s="3"/>
      <c r="Z47" s="3"/>
      <c r="AA47" s="3"/>
      <c r="AB47" s="3"/>
    </row>
    <row r="48">
      <c r="A48" s="4"/>
      <c r="B48" s="4"/>
      <c r="C48" s="4"/>
      <c r="D48" s="3"/>
      <c r="E48" s="3"/>
      <c r="F48" s="16"/>
      <c r="G48" s="29"/>
      <c r="H48" s="3"/>
      <c r="I48" s="4"/>
      <c r="J48" s="4"/>
      <c r="K48" s="4"/>
      <c r="L48" s="3"/>
      <c r="M48" s="3"/>
      <c r="N48" s="3"/>
      <c r="O48" s="3"/>
      <c r="P48" s="3"/>
      <c r="Q48" s="3"/>
      <c r="R48" s="3"/>
      <c r="S48" s="3"/>
      <c r="T48" s="3"/>
      <c r="U48" s="3"/>
      <c r="V48" s="3"/>
      <c r="W48" s="3"/>
      <c r="X48" s="3"/>
      <c r="Y48" s="3"/>
      <c r="Z48" s="3"/>
      <c r="AA48" s="3"/>
      <c r="AB48" s="3"/>
    </row>
    <row r="49">
      <c r="A49" s="4"/>
      <c r="B49" s="4"/>
      <c r="C49" s="4"/>
      <c r="D49" s="3"/>
      <c r="E49" s="3"/>
      <c r="F49" s="16"/>
      <c r="G49" s="29"/>
      <c r="H49" s="3"/>
      <c r="I49" s="4"/>
      <c r="J49" s="4"/>
      <c r="K49" s="4"/>
      <c r="L49" s="3"/>
      <c r="M49" s="3"/>
      <c r="N49" s="3"/>
      <c r="O49" s="3"/>
      <c r="P49" s="3"/>
      <c r="Q49" s="3"/>
      <c r="R49" s="3"/>
      <c r="S49" s="3"/>
      <c r="T49" s="3"/>
      <c r="U49" s="3"/>
      <c r="V49" s="3"/>
      <c r="W49" s="3"/>
      <c r="X49" s="3"/>
      <c r="Y49" s="3"/>
      <c r="Z49" s="3"/>
      <c r="AA49" s="3"/>
      <c r="AB49" s="3"/>
    </row>
    <row r="50">
      <c r="A50" s="4"/>
      <c r="B50" s="4"/>
      <c r="C50" s="4"/>
      <c r="D50" s="3"/>
      <c r="E50" s="3"/>
      <c r="F50" s="16"/>
      <c r="G50" s="29"/>
      <c r="H50" s="3"/>
      <c r="I50" s="4"/>
      <c r="J50" s="4"/>
      <c r="K50" s="4"/>
      <c r="L50" s="3"/>
      <c r="M50" s="3"/>
      <c r="N50" s="3"/>
      <c r="O50" s="3"/>
      <c r="P50" s="3"/>
      <c r="Q50" s="3"/>
      <c r="R50" s="3"/>
      <c r="S50" s="3"/>
      <c r="T50" s="3"/>
      <c r="U50" s="3"/>
      <c r="V50" s="3"/>
      <c r="W50" s="3"/>
      <c r="X50" s="3"/>
      <c r="Y50" s="3"/>
      <c r="Z50" s="3"/>
      <c r="AA50" s="3"/>
      <c r="AB50" s="3"/>
    </row>
    <row r="51">
      <c r="A51" s="4"/>
      <c r="B51" s="4"/>
      <c r="C51" s="4"/>
      <c r="D51" s="3"/>
      <c r="E51" s="3"/>
      <c r="F51" s="16"/>
      <c r="G51" s="29"/>
      <c r="H51" s="3"/>
      <c r="I51" s="4"/>
      <c r="J51" s="4"/>
      <c r="K51" s="4"/>
      <c r="L51" s="3"/>
      <c r="M51" s="3"/>
      <c r="N51" s="3"/>
      <c r="O51" s="3"/>
      <c r="P51" s="3"/>
      <c r="Q51" s="3"/>
      <c r="R51" s="3"/>
      <c r="S51" s="3"/>
      <c r="T51" s="3"/>
      <c r="U51" s="3"/>
      <c r="V51" s="3"/>
      <c r="W51" s="3"/>
      <c r="X51" s="3"/>
      <c r="Y51" s="3"/>
      <c r="Z51" s="3"/>
      <c r="AA51" s="3"/>
      <c r="AB51" s="3"/>
    </row>
    <row r="52">
      <c r="A52" s="4"/>
      <c r="B52" s="4"/>
      <c r="C52" s="4"/>
      <c r="D52" s="3"/>
      <c r="E52" s="3"/>
      <c r="F52" s="16"/>
      <c r="G52" s="29"/>
      <c r="H52" s="3"/>
      <c r="I52" s="4"/>
      <c r="J52" s="4"/>
      <c r="K52" s="4"/>
      <c r="L52" s="3"/>
      <c r="M52" s="3"/>
      <c r="N52" s="3"/>
      <c r="O52" s="3"/>
      <c r="P52" s="3"/>
      <c r="Q52" s="3"/>
      <c r="R52" s="3"/>
      <c r="S52" s="3"/>
      <c r="T52" s="3"/>
      <c r="U52" s="3"/>
      <c r="V52" s="3"/>
      <c r="W52" s="3"/>
      <c r="X52" s="3"/>
      <c r="Y52" s="3"/>
      <c r="Z52" s="3"/>
      <c r="AA52" s="3"/>
      <c r="AB52" s="3"/>
    </row>
    <row r="53">
      <c r="A53" s="4"/>
      <c r="B53" s="4"/>
      <c r="C53" s="4"/>
      <c r="D53" s="3"/>
      <c r="E53" s="3"/>
      <c r="F53" s="16"/>
      <c r="G53" s="29"/>
      <c r="H53" s="3"/>
      <c r="I53" s="4"/>
      <c r="J53" s="4"/>
      <c r="K53" s="4"/>
      <c r="L53" s="3"/>
      <c r="M53" s="3"/>
      <c r="N53" s="3"/>
      <c r="O53" s="3"/>
      <c r="P53" s="3"/>
      <c r="Q53" s="3"/>
      <c r="R53" s="3"/>
      <c r="S53" s="3"/>
      <c r="T53" s="3"/>
      <c r="U53" s="3"/>
      <c r="V53" s="3"/>
      <c r="W53" s="3"/>
      <c r="X53" s="3"/>
      <c r="Y53" s="3"/>
      <c r="Z53" s="3"/>
      <c r="AA53" s="3"/>
      <c r="AB53" s="3"/>
    </row>
    <row r="54">
      <c r="A54" s="4"/>
      <c r="B54" s="4"/>
      <c r="C54" s="4"/>
      <c r="D54" s="3"/>
      <c r="E54" s="3"/>
      <c r="F54" s="16"/>
      <c r="G54" s="29"/>
      <c r="H54" s="3"/>
      <c r="I54" s="4"/>
      <c r="J54" s="4"/>
      <c r="K54" s="4"/>
      <c r="L54" s="3"/>
      <c r="M54" s="3"/>
      <c r="N54" s="3"/>
      <c r="O54" s="3"/>
      <c r="P54" s="3"/>
      <c r="Q54" s="3"/>
      <c r="R54" s="3"/>
      <c r="S54" s="3"/>
      <c r="T54" s="3"/>
      <c r="U54" s="3"/>
      <c r="V54" s="3"/>
      <c r="W54" s="3"/>
      <c r="X54" s="3"/>
      <c r="Y54" s="3"/>
      <c r="Z54" s="3"/>
      <c r="AA54" s="3"/>
      <c r="AB54" s="3"/>
    </row>
    <row r="55">
      <c r="A55" s="4"/>
      <c r="B55" s="4"/>
      <c r="C55" s="4"/>
      <c r="D55" s="3"/>
      <c r="E55" s="3"/>
      <c r="F55" s="16"/>
      <c r="G55" s="29"/>
      <c r="H55" s="3"/>
      <c r="I55" s="4"/>
      <c r="J55" s="4"/>
      <c r="K55" s="4"/>
      <c r="L55" s="3"/>
      <c r="M55" s="3"/>
      <c r="N55" s="3"/>
      <c r="O55" s="3"/>
      <c r="P55" s="3"/>
      <c r="Q55" s="3"/>
      <c r="R55" s="3"/>
      <c r="S55" s="3"/>
      <c r="T55" s="3"/>
      <c r="U55" s="3"/>
      <c r="V55" s="3"/>
      <c r="W55" s="3"/>
      <c r="X55" s="3"/>
      <c r="Y55" s="3"/>
      <c r="Z55" s="3"/>
      <c r="AA55" s="3"/>
      <c r="AB55" s="3"/>
    </row>
    <row r="56">
      <c r="A56" s="4"/>
      <c r="B56" s="4"/>
      <c r="C56" s="4"/>
      <c r="D56" s="3"/>
      <c r="E56" s="3"/>
      <c r="F56" s="16"/>
      <c r="G56" s="29"/>
      <c r="H56" s="3"/>
      <c r="I56" s="4"/>
      <c r="J56" s="4"/>
      <c r="K56" s="4"/>
      <c r="L56" s="3"/>
      <c r="M56" s="3"/>
      <c r="N56" s="3"/>
      <c r="O56" s="3"/>
      <c r="P56" s="3"/>
      <c r="Q56" s="3"/>
      <c r="R56" s="3"/>
      <c r="S56" s="3"/>
      <c r="T56" s="3"/>
      <c r="U56" s="3"/>
      <c r="V56" s="3"/>
      <c r="W56" s="3"/>
      <c r="X56" s="3"/>
      <c r="Y56" s="3"/>
      <c r="Z56" s="3"/>
      <c r="AA56" s="3"/>
      <c r="AB56" s="3"/>
    </row>
    <row r="57">
      <c r="A57" s="4"/>
      <c r="B57" s="4"/>
      <c r="C57" s="4"/>
      <c r="D57" s="3"/>
      <c r="E57" s="3"/>
      <c r="F57" s="16"/>
      <c r="G57" s="29"/>
      <c r="H57" s="3"/>
      <c r="I57" s="4"/>
      <c r="J57" s="4"/>
      <c r="K57" s="4"/>
      <c r="L57" s="3"/>
      <c r="M57" s="3"/>
      <c r="N57" s="3"/>
      <c r="O57" s="3"/>
      <c r="P57" s="3"/>
      <c r="Q57" s="3"/>
      <c r="R57" s="3"/>
      <c r="S57" s="3"/>
      <c r="T57" s="3"/>
      <c r="U57" s="3"/>
      <c r="V57" s="3"/>
      <c r="W57" s="3"/>
      <c r="X57" s="3"/>
      <c r="Y57" s="3"/>
      <c r="Z57" s="3"/>
      <c r="AA57" s="3"/>
      <c r="AB57" s="3"/>
    </row>
    <row r="58">
      <c r="A58" s="4"/>
      <c r="B58" s="4"/>
      <c r="C58" s="4"/>
      <c r="D58" s="3"/>
      <c r="E58" s="3"/>
      <c r="F58" s="16"/>
      <c r="G58" s="29"/>
      <c r="H58" s="3"/>
      <c r="I58" s="4"/>
      <c r="J58" s="4"/>
      <c r="K58" s="4"/>
      <c r="L58" s="3"/>
      <c r="M58" s="3"/>
      <c r="N58" s="3"/>
      <c r="O58" s="3"/>
      <c r="P58" s="3"/>
      <c r="Q58" s="3"/>
      <c r="R58" s="3"/>
      <c r="S58" s="3"/>
      <c r="T58" s="3"/>
      <c r="U58" s="3"/>
      <c r="V58" s="3"/>
      <c r="W58" s="3"/>
      <c r="X58" s="3"/>
      <c r="Y58" s="3"/>
      <c r="Z58" s="3"/>
      <c r="AA58" s="3"/>
      <c r="AB58" s="3"/>
    </row>
    <row r="59">
      <c r="A59" s="4"/>
      <c r="B59" s="4"/>
      <c r="C59" s="4"/>
      <c r="D59" s="3"/>
      <c r="E59" s="3"/>
      <c r="F59" s="16"/>
      <c r="G59" s="29"/>
      <c r="H59" s="3"/>
      <c r="I59" s="4"/>
      <c r="J59" s="4"/>
      <c r="K59" s="4"/>
      <c r="L59" s="3"/>
      <c r="M59" s="3"/>
      <c r="N59" s="3"/>
      <c r="O59" s="3"/>
      <c r="P59" s="3"/>
      <c r="Q59" s="3"/>
      <c r="R59" s="3"/>
      <c r="S59" s="3"/>
      <c r="T59" s="3"/>
      <c r="U59" s="3"/>
      <c r="V59" s="3"/>
      <c r="W59" s="3"/>
      <c r="X59" s="3"/>
      <c r="Y59" s="3"/>
      <c r="Z59" s="3"/>
      <c r="AA59" s="3"/>
      <c r="AB59" s="3"/>
    </row>
    <row r="60">
      <c r="A60" s="4"/>
      <c r="B60" s="4"/>
      <c r="C60" s="4"/>
      <c r="D60" s="3"/>
      <c r="E60" s="3"/>
      <c r="F60" s="16"/>
      <c r="G60" s="29"/>
      <c r="H60" s="3"/>
      <c r="I60" s="4"/>
      <c r="J60" s="4"/>
      <c r="K60" s="4"/>
      <c r="L60" s="3"/>
      <c r="M60" s="3"/>
      <c r="N60" s="3"/>
      <c r="O60" s="3"/>
      <c r="P60" s="3"/>
      <c r="Q60" s="3"/>
      <c r="R60" s="3"/>
      <c r="S60" s="3"/>
      <c r="T60" s="3"/>
      <c r="U60" s="3"/>
      <c r="V60" s="3"/>
      <c r="W60" s="3"/>
      <c r="X60" s="3"/>
      <c r="Y60" s="3"/>
      <c r="Z60" s="3"/>
      <c r="AA60" s="3"/>
      <c r="AB60" s="3"/>
    </row>
    <row r="61">
      <c r="A61" s="4"/>
      <c r="B61" s="4"/>
      <c r="C61" s="4"/>
      <c r="D61" s="3"/>
      <c r="E61" s="3"/>
      <c r="F61" s="16"/>
      <c r="G61" s="29"/>
      <c r="H61" s="3"/>
      <c r="I61" s="4"/>
      <c r="J61" s="4"/>
      <c r="K61" s="4"/>
      <c r="L61" s="3"/>
      <c r="M61" s="3"/>
      <c r="N61" s="3"/>
      <c r="O61" s="3"/>
      <c r="P61" s="3"/>
      <c r="Q61" s="3"/>
      <c r="R61" s="3"/>
      <c r="S61" s="3"/>
      <c r="T61" s="3"/>
      <c r="U61" s="3"/>
      <c r="V61" s="3"/>
      <c r="W61" s="3"/>
      <c r="X61" s="3"/>
      <c r="Y61" s="3"/>
      <c r="Z61" s="3"/>
      <c r="AA61" s="3"/>
      <c r="AB61" s="3"/>
    </row>
    <row r="62">
      <c r="A62" s="4"/>
      <c r="B62" s="4"/>
      <c r="C62" s="4"/>
      <c r="D62" s="3"/>
      <c r="E62" s="3"/>
      <c r="F62" s="16"/>
      <c r="G62" s="29"/>
      <c r="H62" s="3"/>
      <c r="I62" s="4"/>
      <c r="J62" s="4"/>
      <c r="K62" s="4"/>
      <c r="L62" s="3"/>
      <c r="M62" s="3"/>
      <c r="N62" s="3"/>
      <c r="O62" s="3"/>
      <c r="P62" s="3"/>
      <c r="Q62" s="3"/>
      <c r="R62" s="3"/>
      <c r="S62" s="3"/>
      <c r="T62" s="3"/>
      <c r="U62" s="3"/>
      <c r="V62" s="3"/>
      <c r="W62" s="3"/>
      <c r="X62" s="3"/>
      <c r="Y62" s="3"/>
      <c r="Z62" s="3"/>
      <c r="AA62" s="3"/>
      <c r="AB62" s="3"/>
    </row>
    <row r="63">
      <c r="A63" s="4"/>
      <c r="B63" s="4"/>
      <c r="C63" s="4"/>
      <c r="D63" s="3"/>
      <c r="E63" s="3"/>
      <c r="F63" s="16"/>
      <c r="G63" s="29"/>
      <c r="H63" s="3"/>
      <c r="I63" s="4"/>
      <c r="J63" s="4"/>
      <c r="K63" s="4"/>
      <c r="L63" s="3"/>
      <c r="M63" s="3"/>
      <c r="N63" s="3"/>
      <c r="O63" s="3"/>
      <c r="P63" s="3"/>
      <c r="Q63" s="3"/>
      <c r="R63" s="3"/>
      <c r="S63" s="3"/>
      <c r="T63" s="3"/>
      <c r="U63" s="3"/>
      <c r="V63" s="3"/>
      <c r="W63" s="3"/>
      <c r="X63" s="3"/>
      <c r="Y63" s="3"/>
      <c r="Z63" s="3"/>
      <c r="AA63" s="3"/>
      <c r="AB63" s="3"/>
    </row>
    <row r="64">
      <c r="A64" s="4"/>
      <c r="B64" s="4"/>
      <c r="C64" s="4"/>
      <c r="D64" s="3"/>
      <c r="E64" s="3"/>
      <c r="F64" s="16"/>
      <c r="G64" s="29"/>
      <c r="H64" s="3"/>
      <c r="I64" s="4"/>
      <c r="J64" s="3"/>
      <c r="K64" s="3"/>
      <c r="L64" s="3"/>
      <c r="M64" s="3"/>
      <c r="N64" s="3"/>
      <c r="O64" s="3"/>
      <c r="P64" s="3"/>
      <c r="Q64" s="3"/>
      <c r="R64" s="3"/>
      <c r="S64" s="3"/>
      <c r="T64" s="3"/>
      <c r="U64" s="3"/>
      <c r="V64" s="3"/>
      <c r="W64" s="3"/>
      <c r="X64" s="3"/>
      <c r="Y64" s="3"/>
      <c r="Z64" s="3"/>
      <c r="AA64" s="3"/>
      <c r="AB64" s="3"/>
    </row>
    <row r="65">
      <c r="A65" s="4"/>
      <c r="B65" s="4"/>
      <c r="C65" s="4"/>
      <c r="D65" s="3"/>
      <c r="E65" s="3"/>
      <c r="F65" s="16"/>
      <c r="G65" s="29"/>
      <c r="H65" s="3"/>
      <c r="I65" s="3"/>
      <c r="J65" s="3"/>
      <c r="K65" s="3"/>
      <c r="L65" s="3"/>
      <c r="M65" s="3"/>
      <c r="N65" s="3"/>
      <c r="O65" s="3"/>
      <c r="P65" s="3"/>
      <c r="Q65" s="3"/>
      <c r="R65" s="3"/>
      <c r="S65" s="3"/>
      <c r="T65" s="3"/>
      <c r="U65" s="3"/>
      <c r="V65" s="3"/>
      <c r="W65" s="3"/>
      <c r="X65" s="3"/>
      <c r="Y65" s="3"/>
      <c r="Z65" s="3"/>
      <c r="AA65" s="3"/>
      <c r="AB65" s="3"/>
    </row>
    <row r="66">
      <c r="A66" s="4"/>
      <c r="B66" s="4"/>
      <c r="C66" s="4"/>
      <c r="D66" s="3"/>
      <c r="E66" s="3"/>
      <c r="F66" s="16"/>
      <c r="G66" s="29"/>
      <c r="H66" s="3"/>
      <c r="I66" s="3"/>
      <c r="J66" s="3"/>
      <c r="K66" s="3"/>
      <c r="L66" s="3"/>
      <c r="M66" s="3"/>
      <c r="N66" s="3"/>
      <c r="O66" s="3"/>
      <c r="P66" s="3"/>
      <c r="Q66" s="3"/>
      <c r="R66" s="3"/>
      <c r="S66" s="3"/>
      <c r="T66" s="3"/>
      <c r="U66" s="3"/>
      <c r="V66" s="3"/>
      <c r="W66" s="3"/>
      <c r="X66" s="3"/>
      <c r="Y66" s="3"/>
      <c r="Z66" s="3"/>
      <c r="AA66" s="3"/>
      <c r="AB66" s="3"/>
    </row>
    <row r="67">
      <c r="A67" s="4"/>
      <c r="B67" s="4"/>
      <c r="C67" s="4"/>
      <c r="D67" s="3"/>
      <c r="E67" s="3"/>
      <c r="F67" s="16"/>
      <c r="G67" s="29"/>
      <c r="H67" s="3"/>
      <c r="I67" s="3"/>
      <c r="J67" s="3"/>
      <c r="K67" s="3"/>
      <c r="L67" s="3"/>
      <c r="M67" s="3"/>
      <c r="N67" s="3"/>
      <c r="O67" s="3"/>
      <c r="P67" s="3"/>
      <c r="Q67" s="3"/>
      <c r="R67" s="3"/>
      <c r="S67" s="3"/>
      <c r="T67" s="3"/>
      <c r="U67" s="3"/>
      <c r="V67" s="3"/>
      <c r="W67" s="3"/>
      <c r="X67" s="3"/>
      <c r="Y67" s="3"/>
      <c r="Z67" s="3"/>
      <c r="AA67" s="3"/>
      <c r="AB67" s="3"/>
    </row>
    <row r="68">
      <c r="A68" s="4"/>
      <c r="B68" s="4"/>
      <c r="C68" s="4"/>
      <c r="D68" s="3"/>
      <c r="E68" s="3"/>
      <c r="F68" s="16"/>
      <c r="G68" s="29"/>
      <c r="H68" s="3"/>
      <c r="I68" s="3"/>
      <c r="J68" s="3"/>
      <c r="K68" s="3"/>
      <c r="L68" s="3"/>
      <c r="M68" s="3"/>
      <c r="N68" s="3"/>
      <c r="O68" s="3"/>
      <c r="P68" s="3"/>
      <c r="Q68" s="3"/>
      <c r="R68" s="3"/>
      <c r="S68" s="3"/>
      <c r="T68" s="3"/>
      <c r="U68" s="3"/>
      <c r="V68" s="3"/>
      <c r="W68" s="3"/>
      <c r="X68" s="3"/>
      <c r="Y68" s="3"/>
      <c r="Z68" s="3"/>
      <c r="AA68" s="3"/>
      <c r="AB68" s="3"/>
    </row>
    <row r="69">
      <c r="A69" s="4"/>
      <c r="B69" s="4"/>
      <c r="C69" s="4"/>
      <c r="D69" s="3"/>
      <c r="E69" s="3"/>
      <c r="F69" s="16"/>
      <c r="G69" s="29"/>
      <c r="H69" s="3"/>
      <c r="I69" s="3"/>
      <c r="J69" s="3"/>
      <c r="K69" s="3"/>
      <c r="L69" s="3"/>
      <c r="M69" s="3"/>
      <c r="N69" s="3"/>
      <c r="O69" s="3"/>
      <c r="P69" s="3"/>
      <c r="Q69" s="3"/>
      <c r="R69" s="3"/>
      <c r="S69" s="3"/>
      <c r="T69" s="3"/>
      <c r="U69" s="3"/>
      <c r="V69" s="3"/>
      <c r="W69" s="3"/>
      <c r="X69" s="3"/>
      <c r="Y69" s="3"/>
      <c r="Z69" s="3"/>
      <c r="AA69" s="3"/>
      <c r="AB69" s="3"/>
    </row>
    <row r="70">
      <c r="A70" s="4"/>
      <c r="B70" s="4"/>
      <c r="C70" s="4"/>
      <c r="D70" s="3"/>
      <c r="E70" s="3"/>
      <c r="F70" s="16"/>
      <c r="G70" s="29"/>
      <c r="H70" s="3"/>
      <c r="I70" s="3"/>
      <c r="J70" s="3"/>
      <c r="K70" s="3"/>
      <c r="L70" s="3"/>
      <c r="M70" s="3"/>
      <c r="N70" s="3"/>
      <c r="O70" s="3"/>
      <c r="P70" s="3"/>
      <c r="Q70" s="3"/>
      <c r="R70" s="3"/>
      <c r="S70" s="3"/>
      <c r="T70" s="3"/>
      <c r="U70" s="3"/>
      <c r="V70" s="3"/>
      <c r="W70" s="3"/>
      <c r="X70" s="3"/>
      <c r="Y70" s="3"/>
      <c r="Z70" s="3"/>
      <c r="AA70" s="3"/>
      <c r="AB70" s="3"/>
    </row>
    <row r="71">
      <c r="A71" s="4"/>
      <c r="B71" s="4"/>
      <c r="C71" s="4"/>
      <c r="D71" s="3"/>
      <c r="E71" s="3"/>
      <c r="F71" s="16"/>
      <c r="G71" s="29"/>
      <c r="H71" s="3"/>
      <c r="I71" s="3"/>
      <c r="J71" s="3"/>
      <c r="K71" s="3"/>
      <c r="L71" s="3"/>
      <c r="M71" s="3"/>
      <c r="N71" s="3"/>
      <c r="O71" s="3"/>
      <c r="P71" s="3"/>
      <c r="Q71" s="3"/>
      <c r="R71" s="3"/>
      <c r="S71" s="3"/>
      <c r="T71" s="3"/>
      <c r="U71" s="3"/>
      <c r="V71" s="3"/>
      <c r="W71" s="3"/>
      <c r="X71" s="3"/>
      <c r="Y71" s="3"/>
      <c r="Z71" s="3"/>
      <c r="AA71" s="3"/>
      <c r="AB71" s="3"/>
    </row>
    <row r="72">
      <c r="A72" s="4"/>
      <c r="B72" s="4"/>
      <c r="C72" s="4"/>
      <c r="D72" s="3"/>
      <c r="E72" s="3"/>
      <c r="F72" s="16"/>
      <c r="G72" s="29"/>
      <c r="H72" s="3"/>
      <c r="I72" s="3"/>
      <c r="J72" s="3"/>
      <c r="K72" s="3"/>
      <c r="L72" s="3"/>
      <c r="M72" s="3"/>
      <c r="N72" s="3"/>
      <c r="O72" s="3"/>
      <c r="P72" s="3"/>
      <c r="Q72" s="3"/>
      <c r="R72" s="3"/>
      <c r="S72" s="3"/>
      <c r="T72" s="3"/>
      <c r="U72" s="3"/>
      <c r="V72" s="3"/>
      <c r="W72" s="3"/>
      <c r="X72" s="3"/>
      <c r="Y72" s="3"/>
      <c r="Z72" s="3"/>
      <c r="AA72" s="3"/>
      <c r="AB72" s="3"/>
    </row>
    <row r="73">
      <c r="A73" s="4"/>
      <c r="B73" s="4"/>
      <c r="C73" s="4"/>
      <c r="D73" s="3"/>
      <c r="E73" s="3"/>
      <c r="F73" s="16"/>
      <c r="G73" s="29"/>
      <c r="H73" s="3"/>
      <c r="I73" s="3"/>
      <c r="J73" s="3"/>
      <c r="K73" s="3"/>
      <c r="L73" s="3"/>
      <c r="M73" s="3"/>
      <c r="N73" s="3"/>
      <c r="O73" s="3"/>
      <c r="P73" s="3"/>
      <c r="Q73" s="3"/>
      <c r="R73" s="3"/>
      <c r="S73" s="3"/>
      <c r="T73" s="3"/>
      <c r="U73" s="3"/>
      <c r="V73" s="3"/>
      <c r="W73" s="3"/>
      <c r="X73" s="3"/>
      <c r="Y73" s="3"/>
      <c r="Z73" s="3"/>
      <c r="AA73" s="3"/>
      <c r="AB73" s="3"/>
    </row>
    <row r="74">
      <c r="A74" s="4"/>
      <c r="B74" s="4"/>
      <c r="C74" s="4"/>
      <c r="D74" s="3"/>
      <c r="E74" s="3"/>
      <c r="F74" s="16"/>
      <c r="G74" s="29"/>
      <c r="H74" s="3"/>
      <c r="I74" s="3"/>
      <c r="J74" s="3"/>
      <c r="K74" s="3"/>
      <c r="L74" s="3"/>
      <c r="M74" s="3"/>
      <c r="N74" s="3"/>
      <c r="O74" s="3"/>
      <c r="P74" s="3"/>
      <c r="Q74" s="3"/>
      <c r="R74" s="3"/>
      <c r="S74" s="3"/>
      <c r="T74" s="3"/>
      <c r="U74" s="3"/>
      <c r="V74" s="3"/>
      <c r="W74" s="3"/>
      <c r="X74" s="3"/>
      <c r="Y74" s="3"/>
      <c r="Z74" s="3"/>
      <c r="AA74" s="3"/>
      <c r="AB74" s="3"/>
    </row>
    <row r="75">
      <c r="A75" s="4"/>
      <c r="B75" s="4"/>
      <c r="C75" s="4"/>
      <c r="D75" s="3"/>
      <c r="E75" s="3"/>
      <c r="F75" s="16"/>
      <c r="G75" s="29"/>
      <c r="H75" s="3"/>
      <c r="I75" s="3"/>
      <c r="J75" s="3"/>
      <c r="K75" s="3"/>
      <c r="L75" s="3"/>
      <c r="M75" s="3"/>
      <c r="N75" s="3"/>
      <c r="O75" s="3"/>
      <c r="P75" s="3"/>
      <c r="Q75" s="3"/>
      <c r="R75" s="3"/>
      <c r="S75" s="3"/>
      <c r="T75" s="3"/>
      <c r="U75" s="3"/>
      <c r="V75" s="3"/>
      <c r="W75" s="3"/>
      <c r="X75" s="3"/>
      <c r="Y75" s="3"/>
      <c r="Z75" s="3"/>
      <c r="AA75" s="3"/>
      <c r="AB75" s="3"/>
    </row>
    <row r="76">
      <c r="A76" s="4"/>
      <c r="B76" s="4"/>
      <c r="C76" s="4"/>
      <c r="D76" s="3"/>
      <c r="E76" s="3"/>
      <c r="F76" s="16"/>
      <c r="G76" s="29"/>
      <c r="H76" s="3"/>
      <c r="I76" s="3"/>
      <c r="J76" s="3"/>
      <c r="K76" s="3"/>
      <c r="L76" s="3"/>
      <c r="M76" s="3"/>
      <c r="N76" s="3"/>
      <c r="O76" s="3"/>
      <c r="P76" s="3"/>
      <c r="Q76" s="3"/>
      <c r="R76" s="3"/>
      <c r="S76" s="3"/>
      <c r="T76" s="3"/>
      <c r="U76" s="3"/>
      <c r="V76" s="3"/>
      <c r="W76" s="3"/>
      <c r="X76" s="3"/>
      <c r="Y76" s="3"/>
      <c r="Z76" s="3"/>
      <c r="AA76" s="3"/>
      <c r="AB76" s="3"/>
    </row>
    <row r="77">
      <c r="A77" s="4"/>
      <c r="B77" s="4"/>
      <c r="C77" s="4"/>
      <c r="D77" s="3"/>
      <c r="E77" s="3"/>
      <c r="F77" s="16"/>
      <c r="G77" s="29"/>
      <c r="H77" s="3"/>
      <c r="I77" s="3"/>
      <c r="J77" s="3"/>
      <c r="K77" s="3"/>
      <c r="L77" s="3"/>
      <c r="M77" s="3"/>
      <c r="N77" s="3"/>
      <c r="O77" s="3"/>
      <c r="P77" s="3"/>
      <c r="Q77" s="3"/>
      <c r="R77" s="3"/>
      <c r="S77" s="3"/>
      <c r="T77" s="3"/>
      <c r="U77" s="3"/>
      <c r="V77" s="3"/>
      <c r="W77" s="3"/>
      <c r="X77" s="3"/>
      <c r="Y77" s="3"/>
      <c r="Z77" s="3"/>
      <c r="AA77" s="3"/>
      <c r="AB77" s="3"/>
    </row>
    <row r="78">
      <c r="A78" s="4"/>
      <c r="B78" s="4"/>
      <c r="C78" s="4"/>
      <c r="D78" s="3"/>
      <c r="E78" s="3"/>
      <c r="F78" s="16"/>
      <c r="G78" s="29"/>
      <c r="H78" s="3"/>
      <c r="I78" s="3"/>
      <c r="J78" s="3"/>
      <c r="K78" s="3"/>
      <c r="L78" s="3"/>
      <c r="M78" s="3"/>
      <c r="N78" s="3"/>
      <c r="O78" s="3"/>
      <c r="P78" s="3"/>
      <c r="Q78" s="3"/>
      <c r="R78" s="3"/>
      <c r="S78" s="3"/>
      <c r="T78" s="3"/>
      <c r="U78" s="3"/>
      <c r="V78" s="3"/>
      <c r="W78" s="3"/>
      <c r="X78" s="3"/>
      <c r="Y78" s="3"/>
      <c r="Z78" s="3"/>
      <c r="AA78" s="3"/>
      <c r="AB78" s="3"/>
    </row>
    <row r="79">
      <c r="A79" s="4"/>
      <c r="B79" s="4"/>
      <c r="C79" s="4"/>
      <c r="D79" s="3"/>
      <c r="E79" s="3"/>
      <c r="F79" s="16"/>
      <c r="G79" s="29"/>
      <c r="H79" s="3"/>
      <c r="I79" s="3"/>
      <c r="J79" s="3"/>
      <c r="K79" s="3"/>
      <c r="L79" s="3"/>
      <c r="M79" s="3"/>
      <c r="N79" s="3"/>
      <c r="O79" s="3"/>
      <c r="P79" s="3"/>
      <c r="Q79" s="3"/>
      <c r="R79" s="3"/>
      <c r="S79" s="3"/>
      <c r="T79" s="3"/>
      <c r="U79" s="3"/>
      <c r="V79" s="3"/>
      <c r="W79" s="3"/>
      <c r="X79" s="3"/>
      <c r="Y79" s="3"/>
      <c r="Z79" s="3"/>
      <c r="AA79" s="3"/>
      <c r="AB79" s="3"/>
    </row>
    <row r="80">
      <c r="A80" s="4"/>
      <c r="B80" s="4"/>
      <c r="C80" s="4"/>
      <c r="D80" s="3"/>
      <c r="E80" s="3"/>
      <c r="F80" s="16"/>
      <c r="G80" s="29"/>
      <c r="H80" s="3"/>
      <c r="I80" s="3"/>
      <c r="J80" s="3"/>
      <c r="K80" s="3"/>
      <c r="L80" s="3"/>
      <c r="M80" s="3"/>
      <c r="N80" s="3"/>
      <c r="O80" s="3"/>
      <c r="P80" s="3"/>
      <c r="Q80" s="3"/>
      <c r="R80" s="3"/>
      <c r="S80" s="3"/>
      <c r="T80" s="3"/>
      <c r="U80" s="3"/>
      <c r="V80" s="3"/>
      <c r="W80" s="3"/>
      <c r="X80" s="3"/>
      <c r="Y80" s="3"/>
      <c r="Z80" s="3"/>
      <c r="AA80" s="3"/>
      <c r="AB80" s="3"/>
    </row>
    <row r="81">
      <c r="A81" s="4"/>
      <c r="B81" s="4"/>
      <c r="C81" s="4"/>
      <c r="D81" s="3"/>
      <c r="E81" s="3"/>
      <c r="F81" s="16"/>
      <c r="G81" s="29"/>
      <c r="H81" s="3"/>
      <c r="I81" s="3"/>
      <c r="J81" s="3"/>
      <c r="K81" s="3"/>
      <c r="L81" s="3"/>
      <c r="M81" s="3"/>
      <c r="N81" s="3"/>
      <c r="O81" s="3"/>
      <c r="P81" s="3"/>
      <c r="Q81" s="3"/>
      <c r="R81" s="3"/>
      <c r="S81" s="3"/>
      <c r="T81" s="3"/>
      <c r="U81" s="3"/>
      <c r="V81" s="3"/>
      <c r="W81" s="3"/>
      <c r="X81" s="3"/>
      <c r="Y81" s="3"/>
      <c r="Z81" s="3"/>
      <c r="AA81" s="3"/>
      <c r="AB81" s="3"/>
    </row>
    <row r="82">
      <c r="A82" s="4"/>
      <c r="B82" s="4"/>
      <c r="C82" s="4"/>
      <c r="D82" s="3"/>
      <c r="E82" s="3"/>
      <c r="F82" s="16"/>
      <c r="G82" s="29"/>
      <c r="H82" s="3"/>
      <c r="I82" s="3"/>
      <c r="J82" s="3"/>
      <c r="K82" s="3"/>
      <c r="L82" s="3"/>
      <c r="M82" s="3"/>
      <c r="N82" s="3"/>
      <c r="O82" s="3"/>
      <c r="P82" s="3"/>
      <c r="Q82" s="3"/>
      <c r="R82" s="3"/>
      <c r="S82" s="3"/>
      <c r="T82" s="3"/>
      <c r="U82" s="3"/>
      <c r="V82" s="3"/>
      <c r="W82" s="3"/>
      <c r="X82" s="3"/>
      <c r="Y82" s="3"/>
      <c r="Z82" s="3"/>
      <c r="AA82" s="3"/>
      <c r="AB82" s="3"/>
    </row>
    <row r="83">
      <c r="A83" s="4"/>
      <c r="B83" s="4"/>
      <c r="C83" s="4"/>
      <c r="D83" s="3"/>
      <c r="E83" s="3"/>
      <c r="F83" s="16"/>
      <c r="G83" s="29"/>
      <c r="H83" s="3"/>
      <c r="I83" s="3"/>
      <c r="J83" s="3"/>
      <c r="K83" s="3"/>
      <c r="L83" s="3"/>
      <c r="M83" s="3"/>
      <c r="N83" s="3"/>
      <c r="O83" s="3"/>
      <c r="P83" s="3"/>
      <c r="Q83" s="3"/>
      <c r="R83" s="3"/>
      <c r="S83" s="3"/>
      <c r="T83" s="3"/>
      <c r="U83" s="3"/>
      <c r="V83" s="3"/>
      <c r="W83" s="3"/>
      <c r="X83" s="3"/>
      <c r="Y83" s="3"/>
      <c r="Z83" s="3"/>
      <c r="AA83" s="3"/>
      <c r="AB83" s="3"/>
    </row>
    <row r="84">
      <c r="A84" s="4"/>
      <c r="B84" s="4"/>
      <c r="C84" s="4"/>
      <c r="D84" s="3"/>
      <c r="E84" s="3"/>
      <c r="F84" s="16"/>
      <c r="G84" s="29"/>
      <c r="H84" s="3"/>
      <c r="I84" s="3"/>
      <c r="J84" s="3"/>
      <c r="K84" s="3"/>
      <c r="L84" s="3"/>
      <c r="M84" s="3"/>
      <c r="N84" s="3"/>
      <c r="O84" s="3"/>
      <c r="P84" s="3"/>
      <c r="Q84" s="3"/>
      <c r="R84" s="3"/>
      <c r="S84" s="3"/>
      <c r="T84" s="3"/>
      <c r="U84" s="3"/>
      <c r="V84" s="3"/>
      <c r="W84" s="3"/>
      <c r="X84" s="3"/>
      <c r="Y84" s="3"/>
      <c r="Z84" s="3"/>
      <c r="AA84" s="3"/>
      <c r="AB84" s="3"/>
    </row>
    <row r="85">
      <c r="A85" s="4"/>
      <c r="B85" s="4"/>
      <c r="C85" s="4"/>
      <c r="D85" s="3"/>
      <c r="E85" s="3"/>
      <c r="F85" s="16"/>
      <c r="G85" s="29"/>
      <c r="H85" s="3"/>
      <c r="I85" s="3"/>
      <c r="J85" s="3"/>
      <c r="K85" s="3"/>
      <c r="L85" s="3"/>
      <c r="M85" s="3"/>
      <c r="N85" s="3"/>
      <c r="O85" s="3"/>
      <c r="P85" s="3"/>
      <c r="Q85" s="3"/>
      <c r="R85" s="3"/>
      <c r="S85" s="3"/>
      <c r="T85" s="3"/>
      <c r="U85" s="3"/>
      <c r="V85" s="3"/>
      <c r="W85" s="3"/>
      <c r="X85" s="3"/>
      <c r="Y85" s="3"/>
      <c r="Z85" s="3"/>
      <c r="AA85" s="3"/>
      <c r="AB85" s="3"/>
    </row>
    <row r="86">
      <c r="A86" s="4"/>
      <c r="B86" s="4"/>
      <c r="C86" s="4"/>
      <c r="D86" s="3"/>
      <c r="E86" s="3"/>
      <c r="F86" s="16"/>
      <c r="G86" s="29"/>
      <c r="H86" s="3"/>
      <c r="I86" s="3"/>
      <c r="J86" s="3"/>
      <c r="K86" s="3"/>
      <c r="L86" s="3"/>
      <c r="M86" s="3"/>
      <c r="N86" s="3"/>
      <c r="O86" s="3"/>
      <c r="P86" s="3"/>
      <c r="Q86" s="3"/>
      <c r="R86" s="3"/>
      <c r="S86" s="3"/>
      <c r="T86" s="3"/>
      <c r="U86" s="3"/>
      <c r="V86" s="3"/>
      <c r="W86" s="3"/>
      <c r="X86" s="3"/>
      <c r="Y86" s="3"/>
      <c r="Z86" s="3"/>
      <c r="AA86" s="3"/>
      <c r="AB86" s="3"/>
    </row>
    <row r="87">
      <c r="A87" s="4"/>
      <c r="B87" s="4"/>
      <c r="C87" s="4"/>
      <c r="D87" s="3"/>
      <c r="E87" s="3"/>
      <c r="F87" s="16"/>
      <c r="G87" s="29"/>
      <c r="H87" s="3"/>
      <c r="I87" s="3"/>
      <c r="J87" s="3"/>
      <c r="K87" s="3"/>
      <c r="L87" s="3"/>
      <c r="M87" s="3"/>
      <c r="N87" s="3"/>
      <c r="O87" s="3"/>
      <c r="P87" s="3"/>
      <c r="Q87" s="3"/>
      <c r="R87" s="3"/>
      <c r="S87" s="3"/>
      <c r="T87" s="3"/>
      <c r="U87" s="3"/>
      <c r="V87" s="3"/>
      <c r="W87" s="3"/>
      <c r="X87" s="3"/>
      <c r="Y87" s="3"/>
      <c r="Z87" s="3"/>
      <c r="AA87" s="3"/>
      <c r="AB87" s="3"/>
    </row>
    <row r="88">
      <c r="A88" s="4"/>
      <c r="B88" s="4"/>
      <c r="C88" s="4"/>
      <c r="D88" s="3"/>
      <c r="E88" s="3"/>
      <c r="F88" s="16"/>
      <c r="G88" s="29"/>
      <c r="H88" s="3"/>
      <c r="I88" s="3"/>
      <c r="J88" s="3"/>
      <c r="K88" s="3"/>
      <c r="L88" s="3"/>
      <c r="M88" s="3"/>
      <c r="N88" s="3"/>
      <c r="O88" s="3"/>
      <c r="P88" s="3"/>
      <c r="Q88" s="3"/>
      <c r="R88" s="3"/>
      <c r="S88" s="3"/>
      <c r="T88" s="3"/>
      <c r="U88" s="3"/>
      <c r="V88" s="3"/>
      <c r="W88" s="3"/>
      <c r="X88" s="3"/>
      <c r="Y88" s="3"/>
      <c r="Z88" s="3"/>
      <c r="AA88" s="3"/>
      <c r="AB88" s="3"/>
    </row>
    <row r="89">
      <c r="A89" s="4"/>
      <c r="B89" s="4"/>
      <c r="C89" s="4"/>
      <c r="D89" s="3"/>
      <c r="E89" s="3"/>
      <c r="F89" s="16"/>
      <c r="G89" s="29"/>
      <c r="H89" s="3"/>
      <c r="I89" s="3"/>
      <c r="J89" s="3"/>
      <c r="K89" s="3"/>
      <c r="L89" s="3"/>
      <c r="M89" s="3"/>
      <c r="N89" s="3"/>
      <c r="O89" s="3"/>
      <c r="P89" s="3"/>
      <c r="Q89" s="3"/>
      <c r="R89" s="3"/>
      <c r="S89" s="3"/>
      <c r="T89" s="3"/>
      <c r="U89" s="3"/>
      <c r="V89" s="3"/>
      <c r="W89" s="3"/>
      <c r="X89" s="3"/>
      <c r="Y89" s="3"/>
      <c r="Z89" s="3"/>
      <c r="AA89" s="3"/>
      <c r="AB89" s="3"/>
    </row>
    <row r="90">
      <c r="A90" s="4"/>
      <c r="B90" s="4"/>
      <c r="C90" s="4"/>
      <c r="D90" s="3"/>
      <c r="E90" s="3"/>
      <c r="F90" s="16"/>
      <c r="G90" s="29"/>
      <c r="H90" s="3"/>
      <c r="I90" s="3"/>
      <c r="J90" s="3"/>
      <c r="K90" s="3"/>
      <c r="L90" s="3"/>
      <c r="M90" s="3"/>
      <c r="N90" s="3"/>
      <c r="O90" s="3"/>
      <c r="P90" s="3"/>
      <c r="Q90" s="3"/>
      <c r="R90" s="3"/>
      <c r="S90" s="3"/>
      <c r="T90" s="3"/>
      <c r="U90" s="3"/>
      <c r="V90" s="3"/>
      <c r="W90" s="3"/>
      <c r="X90" s="3"/>
      <c r="Y90" s="3"/>
      <c r="Z90" s="3"/>
      <c r="AA90" s="3"/>
      <c r="AB90" s="3"/>
    </row>
    <row r="91">
      <c r="A91" s="4"/>
      <c r="B91" s="4"/>
      <c r="C91" s="4"/>
      <c r="D91" s="3"/>
      <c r="E91" s="3"/>
      <c r="F91" s="16"/>
      <c r="G91" s="29"/>
      <c r="H91" s="3"/>
      <c r="I91" s="3"/>
      <c r="J91" s="3"/>
      <c r="K91" s="3"/>
      <c r="L91" s="3"/>
      <c r="M91" s="3"/>
      <c r="N91" s="3"/>
      <c r="O91" s="3"/>
      <c r="P91" s="3"/>
      <c r="Q91" s="3"/>
      <c r="R91" s="3"/>
      <c r="S91" s="3"/>
      <c r="T91" s="3"/>
      <c r="U91" s="3"/>
      <c r="V91" s="3"/>
      <c r="W91" s="3"/>
      <c r="X91" s="3"/>
      <c r="Y91" s="3"/>
      <c r="Z91" s="3"/>
      <c r="AA91" s="3"/>
      <c r="AB91" s="3"/>
    </row>
    <row r="92">
      <c r="A92" s="4"/>
      <c r="B92" s="4"/>
      <c r="C92" s="4"/>
      <c r="D92" s="3"/>
      <c r="E92" s="3"/>
      <c r="F92" s="16"/>
      <c r="G92" s="29"/>
      <c r="H92" s="3"/>
      <c r="I92" s="3"/>
      <c r="J92" s="3"/>
      <c r="K92" s="3"/>
      <c r="L92" s="3"/>
      <c r="M92" s="3"/>
      <c r="N92" s="3"/>
      <c r="O92" s="3"/>
      <c r="P92" s="3"/>
      <c r="Q92" s="3"/>
      <c r="R92" s="3"/>
      <c r="S92" s="3"/>
      <c r="T92" s="3"/>
      <c r="U92" s="3"/>
      <c r="V92" s="3"/>
      <c r="W92" s="3"/>
      <c r="X92" s="3"/>
      <c r="Y92" s="3"/>
      <c r="Z92" s="3"/>
      <c r="AA92" s="3"/>
      <c r="AB92" s="3"/>
    </row>
    <row r="93">
      <c r="A93" s="4"/>
      <c r="B93" s="4"/>
      <c r="C93" s="4"/>
      <c r="D93" s="3"/>
      <c r="E93" s="3"/>
      <c r="F93" s="16"/>
      <c r="G93" s="29"/>
      <c r="H93" s="3"/>
      <c r="I93" s="3"/>
      <c r="J93" s="3"/>
      <c r="K93" s="3"/>
      <c r="L93" s="3"/>
      <c r="M93" s="3"/>
      <c r="N93" s="3"/>
      <c r="O93" s="3"/>
      <c r="P93" s="3"/>
      <c r="Q93" s="3"/>
      <c r="R93" s="3"/>
      <c r="S93" s="3"/>
      <c r="T93" s="3"/>
      <c r="U93" s="3"/>
      <c r="V93" s="3"/>
      <c r="W93" s="3"/>
      <c r="X93" s="3"/>
      <c r="Y93" s="3"/>
      <c r="Z93" s="3"/>
      <c r="AA93" s="3"/>
      <c r="AB93" s="3"/>
    </row>
    <row r="94">
      <c r="A94" s="4"/>
      <c r="B94" s="4"/>
      <c r="C94" s="4"/>
      <c r="D94" s="3"/>
      <c r="E94" s="3"/>
      <c r="F94" s="16"/>
      <c r="G94" s="29"/>
      <c r="H94" s="3"/>
      <c r="I94" s="3"/>
      <c r="J94" s="3"/>
      <c r="K94" s="3"/>
      <c r="L94" s="3"/>
      <c r="M94" s="3"/>
      <c r="N94" s="3"/>
      <c r="O94" s="3"/>
      <c r="P94" s="3"/>
      <c r="Q94" s="3"/>
      <c r="R94" s="3"/>
      <c r="S94" s="3"/>
      <c r="T94" s="3"/>
      <c r="U94" s="3"/>
      <c r="V94" s="3"/>
      <c r="W94" s="3"/>
      <c r="X94" s="3"/>
      <c r="Y94" s="3"/>
      <c r="Z94" s="3"/>
      <c r="AA94" s="3"/>
      <c r="AB94" s="3"/>
    </row>
    <row r="95">
      <c r="A95" s="4"/>
      <c r="B95" s="4"/>
      <c r="C95" s="4"/>
      <c r="D95" s="3"/>
      <c r="E95" s="3"/>
      <c r="F95" s="16"/>
      <c r="G95" s="29"/>
      <c r="H95" s="3"/>
      <c r="I95" s="3"/>
      <c r="J95" s="3"/>
      <c r="K95" s="3"/>
      <c r="L95" s="3"/>
      <c r="M95" s="3"/>
      <c r="N95" s="3"/>
      <c r="O95" s="3"/>
      <c r="P95" s="3"/>
      <c r="Q95" s="3"/>
      <c r="R95" s="3"/>
      <c r="S95" s="3"/>
      <c r="T95" s="3"/>
      <c r="U95" s="3"/>
      <c r="V95" s="3"/>
      <c r="W95" s="3"/>
      <c r="X95" s="3"/>
      <c r="Y95" s="3"/>
      <c r="Z95" s="3"/>
      <c r="AA95" s="3"/>
      <c r="AB95" s="3"/>
    </row>
    <row r="96">
      <c r="A96" s="4"/>
      <c r="B96" s="4"/>
      <c r="C96" s="4"/>
      <c r="D96" s="3"/>
      <c r="E96" s="3"/>
      <c r="F96" s="16"/>
      <c r="G96" s="29"/>
      <c r="H96" s="3"/>
      <c r="I96" s="3"/>
      <c r="J96" s="3"/>
      <c r="K96" s="3"/>
      <c r="L96" s="3"/>
      <c r="M96" s="3"/>
      <c r="N96" s="3"/>
      <c r="O96" s="3"/>
      <c r="P96" s="3"/>
      <c r="Q96" s="3"/>
      <c r="R96" s="3"/>
      <c r="S96" s="3"/>
      <c r="T96" s="3"/>
      <c r="U96" s="3"/>
      <c r="V96" s="3"/>
      <c r="W96" s="3"/>
      <c r="X96" s="3"/>
      <c r="Y96" s="3"/>
      <c r="Z96" s="3"/>
      <c r="AA96" s="3"/>
      <c r="AB96" s="3"/>
    </row>
    <row r="97">
      <c r="A97" s="4"/>
      <c r="B97" s="4"/>
      <c r="C97" s="4"/>
      <c r="D97" s="3"/>
      <c r="E97" s="3"/>
      <c r="F97" s="16"/>
      <c r="G97" s="29"/>
      <c r="H97" s="3"/>
      <c r="I97" s="3"/>
      <c r="J97" s="3"/>
      <c r="K97" s="3"/>
      <c r="L97" s="3"/>
      <c r="M97" s="3"/>
      <c r="N97" s="3"/>
      <c r="O97" s="3"/>
      <c r="P97" s="3"/>
      <c r="Q97" s="3"/>
      <c r="R97" s="3"/>
      <c r="S97" s="3"/>
      <c r="T97" s="3"/>
      <c r="U97" s="3"/>
      <c r="V97" s="3"/>
      <c r="W97" s="3"/>
      <c r="X97" s="3"/>
      <c r="Y97" s="3"/>
      <c r="Z97" s="3"/>
      <c r="AA97" s="3"/>
      <c r="AB97" s="3"/>
    </row>
    <row r="98">
      <c r="A98" s="4"/>
      <c r="B98" s="4"/>
      <c r="C98" s="4"/>
      <c r="D98" s="3"/>
      <c r="E98" s="3"/>
      <c r="F98" s="16"/>
      <c r="G98" s="29"/>
      <c r="H98" s="3"/>
      <c r="I98" s="3"/>
      <c r="J98" s="3"/>
      <c r="K98" s="3"/>
      <c r="L98" s="3"/>
      <c r="M98" s="3"/>
      <c r="N98" s="3"/>
      <c r="O98" s="3"/>
      <c r="P98" s="3"/>
      <c r="Q98" s="3"/>
      <c r="R98" s="3"/>
      <c r="S98" s="3"/>
      <c r="T98" s="3"/>
      <c r="U98" s="3"/>
      <c r="V98" s="3"/>
      <c r="W98" s="3"/>
      <c r="X98" s="3"/>
      <c r="Y98" s="3"/>
      <c r="Z98" s="3"/>
      <c r="AA98" s="3"/>
      <c r="AB98" s="3"/>
    </row>
    <row r="99">
      <c r="A99" s="4"/>
      <c r="B99" s="4"/>
      <c r="C99" s="4"/>
      <c r="D99" s="3"/>
      <c r="E99" s="3"/>
      <c r="F99" s="16"/>
      <c r="G99" s="29"/>
      <c r="H99" s="3"/>
      <c r="I99" s="3"/>
      <c r="J99" s="3"/>
      <c r="K99" s="3"/>
      <c r="L99" s="3"/>
      <c r="M99" s="3"/>
      <c r="N99" s="3"/>
      <c r="O99" s="3"/>
      <c r="P99" s="3"/>
      <c r="Q99" s="3"/>
      <c r="R99" s="3"/>
      <c r="S99" s="3"/>
      <c r="T99" s="3"/>
      <c r="U99" s="3"/>
      <c r="V99" s="3"/>
      <c r="W99" s="3"/>
      <c r="X99" s="3"/>
      <c r="Y99" s="3"/>
      <c r="Z99" s="3"/>
      <c r="AA99" s="3"/>
      <c r="AB99" s="3"/>
    </row>
    <row r="100">
      <c r="A100" s="4"/>
      <c r="B100" s="4"/>
      <c r="C100" s="4"/>
      <c r="D100" s="3"/>
      <c r="E100" s="3"/>
      <c r="F100" s="16"/>
      <c r="G100" s="29"/>
      <c r="H100" s="3"/>
      <c r="I100" s="3"/>
      <c r="J100" s="3"/>
      <c r="K100" s="3"/>
      <c r="L100" s="3"/>
      <c r="M100" s="3"/>
      <c r="N100" s="3"/>
      <c r="O100" s="3"/>
      <c r="P100" s="3"/>
      <c r="Q100" s="3"/>
      <c r="R100" s="3"/>
      <c r="S100" s="3"/>
      <c r="T100" s="3"/>
      <c r="U100" s="3"/>
      <c r="V100" s="3"/>
      <c r="W100" s="3"/>
      <c r="X100" s="3"/>
      <c r="Y100" s="3"/>
      <c r="Z100" s="3"/>
      <c r="AA100" s="3"/>
      <c r="AB100" s="3"/>
    </row>
    <row r="101">
      <c r="A101" s="4"/>
      <c r="B101" s="4"/>
      <c r="C101" s="4"/>
      <c r="D101" s="3"/>
      <c r="E101" s="3"/>
      <c r="F101" s="16"/>
      <c r="G101" s="29"/>
      <c r="H101" s="3"/>
      <c r="I101" s="3"/>
      <c r="J101" s="3"/>
      <c r="K101" s="3"/>
      <c r="L101" s="3"/>
      <c r="M101" s="3"/>
      <c r="N101" s="3"/>
      <c r="O101" s="3"/>
      <c r="P101" s="3"/>
      <c r="Q101" s="3"/>
      <c r="R101" s="3"/>
      <c r="S101" s="3"/>
      <c r="T101" s="3"/>
      <c r="U101" s="3"/>
      <c r="V101" s="3"/>
      <c r="W101" s="3"/>
      <c r="X101" s="3"/>
      <c r="Y101" s="3"/>
      <c r="Z101" s="3"/>
      <c r="AA101" s="3"/>
      <c r="AB101" s="3"/>
    </row>
    <row r="102">
      <c r="A102" s="4"/>
      <c r="B102" s="4"/>
      <c r="C102" s="4"/>
      <c r="D102" s="3"/>
      <c r="E102" s="3"/>
      <c r="F102" s="16"/>
      <c r="G102" s="29"/>
      <c r="H102" s="3"/>
      <c r="I102" s="3"/>
      <c r="J102" s="3"/>
      <c r="K102" s="3"/>
      <c r="L102" s="3"/>
      <c r="M102" s="3"/>
      <c r="N102" s="3"/>
      <c r="O102" s="3"/>
      <c r="P102" s="3"/>
      <c r="Q102" s="3"/>
      <c r="R102" s="3"/>
      <c r="S102" s="3"/>
      <c r="T102" s="3"/>
      <c r="U102" s="3"/>
      <c r="V102" s="3"/>
      <c r="W102" s="3"/>
      <c r="X102" s="3"/>
      <c r="Y102" s="3"/>
      <c r="Z102" s="3"/>
      <c r="AA102" s="3"/>
      <c r="AB102" s="3"/>
    </row>
    <row r="103">
      <c r="A103" s="4"/>
      <c r="B103" s="4"/>
      <c r="C103" s="4"/>
      <c r="D103" s="3"/>
      <c r="E103" s="3"/>
      <c r="F103" s="16"/>
      <c r="G103" s="29"/>
      <c r="H103" s="3"/>
      <c r="I103" s="3"/>
      <c r="J103" s="3"/>
      <c r="K103" s="3"/>
      <c r="L103" s="3"/>
      <c r="M103" s="3"/>
      <c r="N103" s="3"/>
      <c r="O103" s="3"/>
      <c r="P103" s="3"/>
      <c r="Q103" s="3"/>
      <c r="R103" s="3"/>
      <c r="S103" s="3"/>
      <c r="T103" s="3"/>
      <c r="U103" s="3"/>
      <c r="V103" s="3"/>
      <c r="W103" s="3"/>
      <c r="X103" s="3"/>
      <c r="Y103" s="3"/>
      <c r="Z103" s="3"/>
      <c r="AA103" s="3"/>
      <c r="AB103" s="3"/>
    </row>
    <row r="104">
      <c r="A104" s="4"/>
      <c r="B104" s="4"/>
      <c r="C104" s="4"/>
      <c r="D104" s="3"/>
      <c r="E104" s="3"/>
      <c r="F104" s="16"/>
      <c r="G104" s="29"/>
      <c r="H104" s="3"/>
      <c r="I104" s="3"/>
      <c r="J104" s="3"/>
      <c r="K104" s="3"/>
      <c r="L104" s="3"/>
      <c r="M104" s="3"/>
      <c r="N104" s="3"/>
      <c r="O104" s="3"/>
      <c r="P104" s="3"/>
      <c r="Q104" s="3"/>
      <c r="R104" s="3"/>
      <c r="S104" s="3"/>
      <c r="T104" s="3"/>
      <c r="U104" s="3"/>
      <c r="V104" s="3"/>
      <c r="W104" s="3"/>
      <c r="X104" s="3"/>
      <c r="Y104" s="3"/>
      <c r="Z104" s="3"/>
      <c r="AA104" s="3"/>
      <c r="AB104" s="3"/>
    </row>
    <row r="105">
      <c r="A105" s="4"/>
      <c r="B105" s="4"/>
      <c r="C105" s="4"/>
      <c r="D105" s="3"/>
      <c r="E105" s="3"/>
      <c r="F105" s="16"/>
      <c r="G105" s="29"/>
      <c r="H105" s="3"/>
      <c r="I105" s="3"/>
      <c r="J105" s="3"/>
      <c r="K105" s="3"/>
      <c r="L105" s="3"/>
      <c r="M105" s="3"/>
      <c r="N105" s="3"/>
      <c r="O105" s="3"/>
      <c r="P105" s="3"/>
      <c r="Q105" s="3"/>
      <c r="R105" s="3"/>
      <c r="S105" s="3"/>
      <c r="T105" s="3"/>
      <c r="U105" s="3"/>
      <c r="V105" s="3"/>
      <c r="W105" s="3"/>
      <c r="X105" s="3"/>
      <c r="Y105" s="3"/>
      <c r="Z105" s="3"/>
      <c r="AA105" s="3"/>
      <c r="AB105" s="3"/>
    </row>
    <row r="106">
      <c r="A106" s="4"/>
      <c r="B106" s="4"/>
      <c r="C106" s="4"/>
      <c r="D106" s="3"/>
      <c r="E106" s="3"/>
      <c r="F106" s="16"/>
      <c r="G106" s="29"/>
      <c r="H106" s="3"/>
      <c r="I106" s="3"/>
      <c r="J106" s="3"/>
      <c r="K106" s="3"/>
      <c r="L106" s="3"/>
      <c r="M106" s="3"/>
      <c r="N106" s="3"/>
      <c r="O106" s="3"/>
      <c r="P106" s="3"/>
      <c r="Q106" s="3"/>
      <c r="R106" s="3"/>
      <c r="S106" s="3"/>
      <c r="T106" s="3"/>
      <c r="U106" s="3"/>
      <c r="V106" s="3"/>
      <c r="W106" s="3"/>
      <c r="X106" s="3"/>
      <c r="Y106" s="3"/>
      <c r="Z106" s="3"/>
      <c r="AA106" s="3"/>
      <c r="AB106" s="3"/>
    </row>
    <row r="107">
      <c r="A107" s="4"/>
      <c r="B107" s="4"/>
      <c r="C107" s="4"/>
      <c r="D107" s="3"/>
      <c r="E107" s="3"/>
      <c r="F107" s="16"/>
      <c r="G107" s="29"/>
      <c r="H107" s="3"/>
      <c r="I107" s="3"/>
      <c r="J107" s="3"/>
      <c r="K107" s="3"/>
      <c r="L107" s="3"/>
      <c r="M107" s="3"/>
      <c r="N107" s="3"/>
      <c r="O107" s="3"/>
      <c r="P107" s="3"/>
      <c r="Q107" s="3"/>
      <c r="R107" s="3"/>
      <c r="S107" s="3"/>
      <c r="T107" s="3"/>
      <c r="U107" s="3"/>
      <c r="V107" s="3"/>
      <c r="W107" s="3"/>
      <c r="X107" s="3"/>
      <c r="Y107" s="3"/>
      <c r="Z107" s="3"/>
      <c r="AA107" s="3"/>
      <c r="AB107" s="3"/>
    </row>
    <row r="108">
      <c r="A108" s="4"/>
      <c r="B108" s="4"/>
      <c r="C108" s="4"/>
      <c r="D108" s="3"/>
      <c r="E108" s="3"/>
      <c r="F108" s="16"/>
      <c r="G108" s="29"/>
      <c r="H108" s="3"/>
      <c r="I108" s="3"/>
      <c r="J108" s="3"/>
      <c r="K108" s="3"/>
      <c r="L108" s="3"/>
      <c r="M108" s="3"/>
      <c r="N108" s="3"/>
      <c r="O108" s="3"/>
      <c r="P108" s="3"/>
      <c r="Q108" s="3"/>
      <c r="R108" s="3"/>
      <c r="S108" s="3"/>
      <c r="T108" s="3"/>
      <c r="U108" s="3"/>
      <c r="V108" s="3"/>
      <c r="W108" s="3"/>
      <c r="X108" s="3"/>
      <c r="Y108" s="3"/>
      <c r="Z108" s="3"/>
      <c r="AA108" s="3"/>
      <c r="AB108" s="3"/>
    </row>
    <row r="109">
      <c r="A109" s="4"/>
      <c r="B109" s="4"/>
      <c r="C109" s="4"/>
      <c r="D109" s="3"/>
      <c r="E109" s="3"/>
      <c r="F109" s="16"/>
      <c r="G109" s="29"/>
      <c r="H109" s="3"/>
      <c r="I109" s="3"/>
      <c r="J109" s="3"/>
      <c r="K109" s="3"/>
      <c r="L109" s="3"/>
      <c r="M109" s="3"/>
      <c r="N109" s="3"/>
      <c r="O109" s="3"/>
      <c r="P109" s="3"/>
      <c r="Q109" s="3"/>
      <c r="R109" s="3"/>
      <c r="S109" s="3"/>
      <c r="T109" s="3"/>
      <c r="U109" s="3"/>
      <c r="V109" s="3"/>
      <c r="W109" s="3"/>
      <c r="X109" s="3"/>
      <c r="Y109" s="3"/>
      <c r="Z109" s="3"/>
      <c r="AA109" s="3"/>
      <c r="AB109" s="3"/>
    </row>
    <row r="110">
      <c r="A110" s="4"/>
      <c r="B110" s="4"/>
      <c r="C110" s="4"/>
      <c r="D110" s="3"/>
      <c r="E110" s="3"/>
      <c r="F110" s="16"/>
      <c r="G110" s="29"/>
      <c r="H110" s="3"/>
      <c r="I110" s="3"/>
      <c r="J110" s="3"/>
      <c r="K110" s="3"/>
      <c r="L110" s="3"/>
      <c r="M110" s="3"/>
      <c r="N110" s="3"/>
      <c r="O110" s="3"/>
      <c r="P110" s="3"/>
      <c r="Q110" s="3"/>
      <c r="R110" s="3"/>
      <c r="S110" s="3"/>
      <c r="T110" s="3"/>
      <c r="U110" s="3"/>
      <c r="V110" s="3"/>
      <c r="W110" s="3"/>
      <c r="X110" s="3"/>
      <c r="Y110" s="3"/>
      <c r="Z110" s="3"/>
      <c r="AA110" s="3"/>
      <c r="AB110" s="3"/>
    </row>
    <row r="111">
      <c r="A111" s="4"/>
      <c r="B111" s="4"/>
      <c r="C111" s="4"/>
      <c r="D111" s="3"/>
      <c r="E111" s="3"/>
      <c r="F111" s="16"/>
      <c r="G111" s="29"/>
      <c r="H111" s="3"/>
      <c r="I111" s="3"/>
      <c r="J111" s="3"/>
      <c r="K111" s="3"/>
      <c r="L111" s="3"/>
      <c r="M111" s="3"/>
      <c r="N111" s="3"/>
      <c r="O111" s="3"/>
      <c r="P111" s="3"/>
      <c r="Q111" s="3"/>
      <c r="R111" s="3"/>
      <c r="S111" s="3"/>
      <c r="T111" s="3"/>
      <c r="U111" s="3"/>
      <c r="V111" s="3"/>
      <c r="W111" s="3"/>
      <c r="X111" s="3"/>
      <c r="Y111" s="3"/>
      <c r="Z111" s="3"/>
      <c r="AA111" s="3"/>
      <c r="AB111" s="3"/>
    </row>
    <row r="112">
      <c r="A112" s="4"/>
      <c r="B112" s="4"/>
      <c r="C112" s="4"/>
      <c r="D112" s="3"/>
      <c r="E112" s="3"/>
      <c r="F112" s="16"/>
      <c r="G112" s="29"/>
      <c r="H112" s="3"/>
      <c r="I112" s="3"/>
      <c r="J112" s="3"/>
      <c r="K112" s="3"/>
      <c r="L112" s="3"/>
      <c r="M112" s="3"/>
      <c r="N112" s="3"/>
      <c r="O112" s="3"/>
      <c r="P112" s="3"/>
      <c r="Q112" s="3"/>
      <c r="R112" s="3"/>
      <c r="S112" s="3"/>
      <c r="T112" s="3"/>
      <c r="U112" s="3"/>
      <c r="V112" s="3"/>
      <c r="W112" s="3"/>
      <c r="X112" s="3"/>
      <c r="Y112" s="3"/>
      <c r="Z112" s="3"/>
      <c r="AA112" s="3"/>
      <c r="AB112" s="3"/>
    </row>
    <row r="113">
      <c r="A113" s="4"/>
      <c r="B113" s="4"/>
      <c r="C113" s="4"/>
      <c r="D113" s="3"/>
      <c r="E113" s="3"/>
      <c r="F113" s="16"/>
      <c r="G113" s="29"/>
      <c r="H113" s="3"/>
      <c r="I113" s="3"/>
      <c r="J113" s="3"/>
      <c r="K113" s="3"/>
      <c r="L113" s="3"/>
      <c r="M113" s="3"/>
      <c r="N113" s="3"/>
      <c r="O113" s="3"/>
      <c r="P113" s="3"/>
      <c r="Q113" s="3"/>
      <c r="R113" s="3"/>
      <c r="S113" s="3"/>
      <c r="T113" s="3"/>
      <c r="U113" s="3"/>
      <c r="V113" s="3"/>
      <c r="W113" s="3"/>
      <c r="X113" s="3"/>
      <c r="Y113" s="3"/>
      <c r="Z113" s="3"/>
      <c r="AA113" s="3"/>
      <c r="AB113" s="3"/>
    </row>
    <row r="114">
      <c r="A114" s="4"/>
      <c r="B114" s="4"/>
      <c r="C114" s="4"/>
      <c r="D114" s="3"/>
      <c r="E114" s="3"/>
      <c r="F114" s="16"/>
      <c r="G114" s="29"/>
      <c r="H114" s="3"/>
      <c r="I114" s="3"/>
      <c r="J114" s="3"/>
      <c r="K114" s="3"/>
      <c r="L114" s="3"/>
      <c r="M114" s="3"/>
      <c r="N114" s="3"/>
      <c r="O114" s="3"/>
      <c r="P114" s="3"/>
      <c r="Q114" s="3"/>
      <c r="R114" s="3"/>
      <c r="S114" s="3"/>
      <c r="T114" s="3"/>
      <c r="U114" s="3"/>
      <c r="V114" s="3"/>
      <c r="W114" s="3"/>
      <c r="X114" s="3"/>
      <c r="Y114" s="3"/>
      <c r="Z114" s="3"/>
      <c r="AA114" s="3"/>
      <c r="AB114" s="3"/>
    </row>
    <row r="115">
      <c r="A115" s="4"/>
      <c r="B115" s="4"/>
      <c r="C115" s="4"/>
      <c r="D115" s="3"/>
      <c r="E115" s="3"/>
      <c r="F115" s="16"/>
      <c r="G115" s="29"/>
      <c r="H115" s="3"/>
      <c r="I115" s="3"/>
      <c r="J115" s="3"/>
      <c r="K115" s="3"/>
      <c r="L115" s="3"/>
      <c r="M115" s="3"/>
      <c r="N115" s="3"/>
      <c r="O115" s="3"/>
      <c r="P115" s="3"/>
      <c r="Q115" s="3"/>
      <c r="R115" s="3"/>
      <c r="S115" s="3"/>
      <c r="T115" s="3"/>
      <c r="U115" s="3"/>
      <c r="V115" s="3"/>
      <c r="W115" s="3"/>
      <c r="X115" s="3"/>
      <c r="Y115" s="3"/>
      <c r="Z115" s="3"/>
      <c r="AA115" s="3"/>
      <c r="AB115" s="3"/>
    </row>
    <row r="116">
      <c r="A116" s="4"/>
      <c r="B116" s="4"/>
      <c r="C116" s="4"/>
      <c r="D116" s="3"/>
      <c r="E116" s="3"/>
      <c r="F116" s="16"/>
      <c r="G116" s="29"/>
      <c r="H116" s="3"/>
      <c r="I116" s="3"/>
      <c r="J116" s="3"/>
      <c r="K116" s="3"/>
      <c r="L116" s="3"/>
      <c r="M116" s="3"/>
      <c r="N116" s="3"/>
      <c r="O116" s="3"/>
      <c r="P116" s="3"/>
      <c r="Q116" s="3"/>
      <c r="R116" s="3"/>
      <c r="S116" s="3"/>
      <c r="T116" s="3"/>
      <c r="U116" s="3"/>
      <c r="V116" s="3"/>
      <c r="W116" s="3"/>
      <c r="X116" s="3"/>
      <c r="Y116" s="3"/>
      <c r="Z116" s="3"/>
      <c r="AA116" s="3"/>
      <c r="AB116" s="3"/>
    </row>
    <row r="117">
      <c r="A117" s="4"/>
      <c r="B117" s="4"/>
      <c r="C117" s="4"/>
      <c r="D117" s="3"/>
      <c r="E117" s="3"/>
      <c r="F117" s="16"/>
      <c r="G117" s="29"/>
      <c r="H117" s="3"/>
      <c r="I117" s="3"/>
      <c r="J117" s="3"/>
      <c r="K117" s="3"/>
      <c r="L117" s="3"/>
      <c r="M117" s="3"/>
      <c r="N117" s="3"/>
      <c r="O117" s="3"/>
      <c r="P117" s="3"/>
      <c r="Q117" s="3"/>
      <c r="R117" s="3"/>
      <c r="S117" s="3"/>
      <c r="T117" s="3"/>
      <c r="U117" s="3"/>
      <c r="V117" s="3"/>
      <c r="W117" s="3"/>
      <c r="X117" s="3"/>
      <c r="Y117" s="3"/>
      <c r="Z117" s="3"/>
      <c r="AA117" s="3"/>
      <c r="AB117" s="3"/>
    </row>
    <row r="118">
      <c r="A118" s="4"/>
      <c r="B118" s="4"/>
      <c r="C118" s="4"/>
      <c r="D118" s="3"/>
      <c r="E118" s="3"/>
      <c r="F118" s="16"/>
      <c r="G118" s="29"/>
      <c r="H118" s="3"/>
      <c r="I118" s="3"/>
      <c r="J118" s="3"/>
      <c r="K118" s="3"/>
      <c r="L118" s="3"/>
      <c r="M118" s="3"/>
      <c r="N118" s="3"/>
      <c r="O118" s="3"/>
      <c r="P118" s="3"/>
      <c r="Q118" s="3"/>
      <c r="R118" s="3"/>
      <c r="S118" s="3"/>
      <c r="T118" s="3"/>
      <c r="U118" s="3"/>
      <c r="V118" s="3"/>
      <c r="W118" s="3"/>
      <c r="X118" s="3"/>
      <c r="Y118" s="3"/>
      <c r="Z118" s="3"/>
      <c r="AA118" s="3"/>
      <c r="AB118" s="3"/>
    </row>
    <row r="119">
      <c r="A119" s="4"/>
      <c r="B119" s="4"/>
      <c r="C119" s="4"/>
      <c r="D119" s="3"/>
      <c r="E119" s="3"/>
      <c r="F119" s="16"/>
      <c r="G119" s="29"/>
      <c r="H119" s="3"/>
      <c r="I119" s="3"/>
      <c r="J119" s="3"/>
      <c r="K119" s="3"/>
      <c r="L119" s="3"/>
      <c r="M119" s="3"/>
      <c r="N119" s="3"/>
      <c r="O119" s="3"/>
      <c r="P119" s="3"/>
      <c r="Q119" s="3"/>
      <c r="R119" s="3"/>
      <c r="S119" s="3"/>
      <c r="T119" s="3"/>
      <c r="U119" s="3"/>
      <c r="V119" s="3"/>
      <c r="W119" s="3"/>
      <c r="X119" s="3"/>
      <c r="Y119" s="3"/>
      <c r="Z119" s="3"/>
      <c r="AA119" s="3"/>
      <c r="AB119" s="3"/>
    </row>
    <row r="120">
      <c r="A120" s="4"/>
      <c r="B120" s="4"/>
      <c r="C120" s="4"/>
      <c r="D120" s="3"/>
      <c r="E120" s="3"/>
      <c r="F120" s="16"/>
      <c r="G120" s="29"/>
      <c r="H120" s="3"/>
      <c r="I120" s="3"/>
      <c r="J120" s="3"/>
      <c r="K120" s="3"/>
      <c r="L120" s="3"/>
      <c r="M120" s="3"/>
      <c r="N120" s="3"/>
      <c r="O120" s="3"/>
      <c r="P120" s="3"/>
      <c r="Q120" s="3"/>
      <c r="R120" s="3"/>
      <c r="S120" s="3"/>
      <c r="T120" s="3"/>
      <c r="U120" s="3"/>
      <c r="V120" s="3"/>
      <c r="W120" s="3"/>
      <c r="X120" s="3"/>
      <c r="Y120" s="3"/>
      <c r="Z120" s="3"/>
      <c r="AA120" s="3"/>
      <c r="AB120" s="3"/>
    </row>
    <row r="121">
      <c r="A121" s="4"/>
      <c r="B121" s="4"/>
      <c r="C121" s="4"/>
      <c r="D121" s="3"/>
      <c r="E121" s="3"/>
      <c r="F121" s="16"/>
      <c r="G121" s="29"/>
      <c r="H121" s="3"/>
      <c r="I121" s="3"/>
      <c r="J121" s="3"/>
      <c r="K121" s="3"/>
      <c r="L121" s="3"/>
      <c r="M121" s="3"/>
      <c r="N121" s="3"/>
      <c r="O121" s="3"/>
      <c r="P121" s="3"/>
      <c r="Q121" s="3"/>
      <c r="R121" s="3"/>
      <c r="S121" s="3"/>
      <c r="T121" s="3"/>
      <c r="U121" s="3"/>
      <c r="V121" s="3"/>
      <c r="W121" s="3"/>
      <c r="X121" s="3"/>
      <c r="Y121" s="3"/>
      <c r="Z121" s="3"/>
      <c r="AA121" s="3"/>
      <c r="AB121" s="3"/>
    </row>
    <row r="122">
      <c r="A122" s="4"/>
      <c r="B122" s="4"/>
      <c r="C122" s="4"/>
      <c r="D122" s="3"/>
      <c r="E122" s="3"/>
      <c r="F122" s="16"/>
      <c r="G122" s="29"/>
      <c r="H122" s="3"/>
      <c r="I122" s="3"/>
      <c r="J122" s="3"/>
      <c r="K122" s="3"/>
      <c r="L122" s="3"/>
      <c r="M122" s="3"/>
      <c r="N122" s="3"/>
      <c r="O122" s="3"/>
      <c r="P122" s="3"/>
      <c r="Q122" s="3"/>
      <c r="R122" s="3"/>
      <c r="S122" s="3"/>
      <c r="T122" s="3"/>
      <c r="U122" s="3"/>
      <c r="V122" s="3"/>
      <c r="W122" s="3"/>
      <c r="X122" s="3"/>
      <c r="Y122" s="3"/>
      <c r="Z122" s="3"/>
      <c r="AA122" s="3"/>
      <c r="AB122" s="3"/>
    </row>
    <row r="123">
      <c r="A123" s="4"/>
      <c r="B123" s="4"/>
      <c r="C123" s="4"/>
      <c r="D123" s="3"/>
      <c r="E123" s="3"/>
      <c r="F123" s="16"/>
      <c r="G123" s="29"/>
      <c r="H123" s="3"/>
      <c r="I123" s="3"/>
      <c r="J123" s="3"/>
      <c r="K123" s="3"/>
      <c r="L123" s="3"/>
      <c r="M123" s="3"/>
      <c r="N123" s="3"/>
      <c r="O123" s="3"/>
      <c r="P123" s="3"/>
      <c r="Q123" s="3"/>
      <c r="R123" s="3"/>
      <c r="S123" s="3"/>
      <c r="T123" s="3"/>
      <c r="U123" s="3"/>
      <c r="V123" s="3"/>
      <c r="W123" s="3"/>
      <c r="X123" s="3"/>
      <c r="Y123" s="3"/>
      <c r="Z123" s="3"/>
      <c r="AA123" s="3"/>
      <c r="AB123" s="3"/>
    </row>
    <row r="124">
      <c r="A124" s="4"/>
      <c r="B124" s="4"/>
      <c r="C124" s="4"/>
      <c r="D124" s="3"/>
      <c r="E124" s="3"/>
      <c r="F124" s="16"/>
      <c r="G124" s="29"/>
      <c r="H124" s="3"/>
      <c r="I124" s="3"/>
      <c r="J124" s="3"/>
      <c r="K124" s="3"/>
      <c r="L124" s="3"/>
      <c r="M124" s="3"/>
      <c r="N124" s="3"/>
      <c r="O124" s="3"/>
      <c r="P124" s="3"/>
      <c r="Q124" s="3"/>
      <c r="R124" s="3"/>
      <c r="S124" s="3"/>
      <c r="T124" s="3"/>
      <c r="U124" s="3"/>
      <c r="V124" s="3"/>
      <c r="W124" s="3"/>
      <c r="X124" s="3"/>
      <c r="Y124" s="3"/>
      <c r="Z124" s="3"/>
      <c r="AA124" s="3"/>
      <c r="AB124" s="3"/>
    </row>
    <row r="125">
      <c r="A125" s="4"/>
      <c r="B125" s="4"/>
      <c r="C125" s="4"/>
      <c r="D125" s="3"/>
      <c r="E125" s="3"/>
      <c r="F125" s="16"/>
      <c r="G125" s="29"/>
      <c r="H125" s="3"/>
      <c r="I125" s="3"/>
      <c r="J125" s="3"/>
      <c r="K125" s="3"/>
      <c r="L125" s="3"/>
      <c r="M125" s="3"/>
      <c r="N125" s="3"/>
      <c r="O125" s="3"/>
      <c r="P125" s="3"/>
      <c r="Q125" s="3"/>
      <c r="R125" s="3"/>
      <c r="S125" s="3"/>
      <c r="T125" s="3"/>
      <c r="U125" s="3"/>
      <c r="V125" s="3"/>
      <c r="W125" s="3"/>
      <c r="X125" s="3"/>
      <c r="Y125" s="3"/>
      <c r="Z125" s="3"/>
      <c r="AA125" s="3"/>
      <c r="AB125" s="3"/>
    </row>
    <row r="126">
      <c r="A126" s="4"/>
      <c r="B126" s="4"/>
      <c r="C126" s="4"/>
      <c r="D126" s="3"/>
      <c r="E126" s="3"/>
      <c r="F126" s="16"/>
      <c r="G126" s="29"/>
      <c r="H126" s="3"/>
      <c r="I126" s="3"/>
      <c r="J126" s="3"/>
      <c r="K126" s="3"/>
      <c r="L126" s="3"/>
      <c r="M126" s="3"/>
      <c r="N126" s="3"/>
      <c r="O126" s="3"/>
      <c r="P126" s="3"/>
      <c r="Q126" s="3"/>
      <c r="R126" s="3"/>
      <c r="S126" s="3"/>
      <c r="T126" s="3"/>
      <c r="U126" s="3"/>
      <c r="V126" s="3"/>
      <c r="W126" s="3"/>
      <c r="X126" s="3"/>
      <c r="Y126" s="3"/>
      <c r="Z126" s="3"/>
      <c r="AA126" s="3"/>
      <c r="AB126" s="3"/>
    </row>
    <row r="127">
      <c r="A127" s="4"/>
      <c r="B127" s="4"/>
      <c r="C127" s="4"/>
      <c r="D127" s="3"/>
      <c r="E127" s="3"/>
      <c r="F127" s="16"/>
      <c r="G127" s="29"/>
      <c r="H127" s="3"/>
      <c r="I127" s="3"/>
      <c r="J127" s="3"/>
      <c r="K127" s="3"/>
      <c r="L127" s="3"/>
      <c r="M127" s="3"/>
      <c r="N127" s="3"/>
      <c r="O127" s="3"/>
      <c r="P127" s="3"/>
      <c r="Q127" s="3"/>
      <c r="R127" s="3"/>
      <c r="S127" s="3"/>
      <c r="T127" s="3"/>
      <c r="U127" s="3"/>
      <c r="V127" s="3"/>
      <c r="W127" s="3"/>
      <c r="X127" s="3"/>
      <c r="Y127" s="3"/>
      <c r="Z127" s="3"/>
      <c r="AA127" s="3"/>
      <c r="AB127" s="3"/>
    </row>
    <row r="128">
      <c r="A128" s="4"/>
      <c r="B128" s="4"/>
      <c r="C128" s="4"/>
      <c r="D128" s="3"/>
      <c r="E128" s="3"/>
      <c r="F128" s="16"/>
      <c r="G128" s="29"/>
      <c r="H128" s="3"/>
      <c r="I128" s="3"/>
      <c r="J128" s="3"/>
      <c r="K128" s="3"/>
      <c r="L128" s="3"/>
      <c r="M128" s="3"/>
      <c r="N128" s="3"/>
      <c r="O128" s="3"/>
      <c r="P128" s="3"/>
      <c r="Q128" s="3"/>
      <c r="R128" s="3"/>
      <c r="S128" s="3"/>
      <c r="T128" s="3"/>
      <c r="U128" s="3"/>
      <c r="V128" s="3"/>
      <c r="W128" s="3"/>
      <c r="X128" s="3"/>
      <c r="Y128" s="3"/>
      <c r="Z128" s="3"/>
      <c r="AA128" s="3"/>
      <c r="AB128" s="3"/>
    </row>
    <row r="129">
      <c r="A129" s="4"/>
      <c r="B129" s="4"/>
      <c r="C129" s="4"/>
      <c r="D129" s="3"/>
      <c r="E129" s="3"/>
      <c r="F129" s="16"/>
      <c r="G129" s="29"/>
      <c r="H129" s="3"/>
      <c r="I129" s="3"/>
      <c r="J129" s="3"/>
      <c r="K129" s="3"/>
      <c r="L129" s="3"/>
      <c r="M129" s="3"/>
      <c r="N129" s="3"/>
      <c r="O129" s="3"/>
      <c r="P129" s="3"/>
      <c r="Q129" s="3"/>
      <c r="R129" s="3"/>
      <c r="S129" s="3"/>
      <c r="T129" s="3"/>
      <c r="U129" s="3"/>
      <c r="V129" s="3"/>
      <c r="W129" s="3"/>
      <c r="X129" s="3"/>
      <c r="Y129" s="3"/>
      <c r="Z129" s="3"/>
      <c r="AA129" s="3"/>
      <c r="AB129" s="3"/>
    </row>
    <row r="130">
      <c r="A130" s="4"/>
      <c r="B130" s="4"/>
      <c r="C130" s="4"/>
      <c r="D130" s="3"/>
      <c r="E130" s="3"/>
      <c r="F130" s="16"/>
      <c r="G130" s="29"/>
      <c r="H130" s="3"/>
      <c r="I130" s="3"/>
      <c r="J130" s="3"/>
      <c r="K130" s="3"/>
      <c r="L130" s="3"/>
      <c r="M130" s="3"/>
      <c r="N130" s="3"/>
      <c r="O130" s="3"/>
      <c r="P130" s="3"/>
      <c r="Q130" s="3"/>
      <c r="R130" s="3"/>
      <c r="S130" s="3"/>
      <c r="T130" s="3"/>
      <c r="U130" s="3"/>
      <c r="V130" s="3"/>
      <c r="W130" s="3"/>
      <c r="X130" s="3"/>
      <c r="Y130" s="3"/>
      <c r="Z130" s="3"/>
      <c r="AA130" s="3"/>
      <c r="AB130" s="3"/>
    </row>
    <row r="131">
      <c r="A131" s="4"/>
      <c r="B131" s="4"/>
      <c r="C131" s="4"/>
      <c r="D131" s="3"/>
      <c r="E131" s="3"/>
      <c r="F131" s="16"/>
      <c r="G131" s="29"/>
      <c r="H131" s="3"/>
      <c r="I131" s="3"/>
      <c r="J131" s="3"/>
      <c r="K131" s="3"/>
      <c r="L131" s="3"/>
      <c r="M131" s="3"/>
      <c r="N131" s="3"/>
      <c r="O131" s="3"/>
      <c r="P131" s="3"/>
      <c r="Q131" s="3"/>
      <c r="R131" s="3"/>
      <c r="S131" s="3"/>
      <c r="T131" s="3"/>
      <c r="U131" s="3"/>
      <c r="V131" s="3"/>
      <c r="W131" s="3"/>
      <c r="X131" s="3"/>
      <c r="Y131" s="3"/>
      <c r="Z131" s="3"/>
      <c r="AA131" s="3"/>
      <c r="AB131" s="3"/>
    </row>
    <row r="132">
      <c r="A132" s="4"/>
      <c r="B132" s="4"/>
      <c r="C132" s="4"/>
      <c r="D132" s="3"/>
      <c r="E132" s="3"/>
      <c r="F132" s="16"/>
      <c r="G132" s="29"/>
      <c r="H132" s="3"/>
      <c r="I132" s="3"/>
      <c r="J132" s="3"/>
      <c r="K132" s="3"/>
      <c r="L132" s="3"/>
      <c r="M132" s="3"/>
      <c r="N132" s="3"/>
      <c r="O132" s="3"/>
      <c r="P132" s="3"/>
      <c r="Q132" s="3"/>
      <c r="R132" s="3"/>
      <c r="S132" s="3"/>
      <c r="T132" s="3"/>
      <c r="U132" s="3"/>
      <c r="V132" s="3"/>
      <c r="W132" s="3"/>
      <c r="X132" s="3"/>
      <c r="Y132" s="3"/>
      <c r="Z132" s="3"/>
      <c r="AA132" s="3"/>
      <c r="AB132" s="3"/>
    </row>
    <row r="133">
      <c r="A133" s="4"/>
      <c r="B133" s="4"/>
      <c r="C133" s="4"/>
      <c r="D133" s="3"/>
      <c r="E133" s="3"/>
      <c r="F133" s="16"/>
      <c r="G133" s="29"/>
      <c r="H133" s="3"/>
      <c r="I133" s="3"/>
      <c r="J133" s="3"/>
      <c r="K133" s="3"/>
      <c r="L133" s="3"/>
      <c r="M133" s="3"/>
      <c r="N133" s="3"/>
      <c r="O133" s="3"/>
      <c r="P133" s="3"/>
      <c r="Q133" s="3"/>
      <c r="R133" s="3"/>
      <c r="S133" s="3"/>
      <c r="T133" s="3"/>
      <c r="U133" s="3"/>
      <c r="V133" s="3"/>
      <c r="W133" s="3"/>
      <c r="X133" s="3"/>
      <c r="Y133" s="3"/>
      <c r="Z133" s="3"/>
      <c r="AA133" s="3"/>
      <c r="AB133" s="3"/>
    </row>
    <row r="134">
      <c r="A134" s="4"/>
      <c r="B134" s="4"/>
      <c r="C134" s="4"/>
      <c r="D134" s="3"/>
      <c r="E134" s="3"/>
      <c r="F134" s="16"/>
      <c r="G134" s="29"/>
      <c r="H134" s="3"/>
      <c r="I134" s="3"/>
      <c r="J134" s="3"/>
      <c r="K134" s="3"/>
      <c r="L134" s="3"/>
      <c r="M134" s="3"/>
      <c r="N134" s="3"/>
      <c r="O134" s="3"/>
      <c r="P134" s="3"/>
      <c r="Q134" s="3"/>
      <c r="R134" s="3"/>
      <c r="S134" s="3"/>
      <c r="T134" s="3"/>
      <c r="U134" s="3"/>
      <c r="V134" s="3"/>
      <c r="W134" s="3"/>
      <c r="X134" s="3"/>
      <c r="Y134" s="3"/>
      <c r="Z134" s="3"/>
      <c r="AA134" s="3"/>
      <c r="AB134" s="3"/>
    </row>
    <row r="135">
      <c r="A135" s="4"/>
      <c r="B135" s="4"/>
      <c r="C135" s="4"/>
      <c r="D135" s="3"/>
      <c r="E135" s="3"/>
      <c r="F135" s="16"/>
      <c r="G135" s="29"/>
      <c r="H135" s="3"/>
      <c r="I135" s="3"/>
      <c r="J135" s="3"/>
      <c r="K135" s="3"/>
      <c r="L135" s="3"/>
      <c r="M135" s="3"/>
      <c r="N135" s="3"/>
      <c r="O135" s="3"/>
      <c r="P135" s="3"/>
      <c r="Q135" s="3"/>
      <c r="R135" s="3"/>
      <c r="S135" s="3"/>
      <c r="T135" s="3"/>
      <c r="U135" s="3"/>
      <c r="V135" s="3"/>
      <c r="W135" s="3"/>
      <c r="X135" s="3"/>
      <c r="Y135" s="3"/>
      <c r="Z135" s="3"/>
      <c r="AA135" s="3"/>
      <c r="AB135" s="3"/>
    </row>
    <row r="136">
      <c r="A136" s="4"/>
      <c r="B136" s="4"/>
      <c r="C136" s="4"/>
      <c r="D136" s="3"/>
      <c r="E136" s="3"/>
      <c r="F136" s="16"/>
      <c r="G136" s="29"/>
      <c r="H136" s="3"/>
      <c r="I136" s="3"/>
      <c r="J136" s="3"/>
      <c r="K136" s="3"/>
      <c r="L136" s="3"/>
      <c r="M136" s="3"/>
      <c r="N136" s="3"/>
      <c r="O136" s="3"/>
      <c r="P136" s="3"/>
      <c r="Q136" s="3"/>
      <c r="R136" s="3"/>
      <c r="S136" s="3"/>
      <c r="T136" s="3"/>
      <c r="U136" s="3"/>
      <c r="V136" s="3"/>
      <c r="W136" s="3"/>
      <c r="X136" s="3"/>
      <c r="Y136" s="3"/>
      <c r="Z136" s="3"/>
      <c r="AA136" s="3"/>
      <c r="AB136" s="3"/>
    </row>
    <row r="137">
      <c r="A137" s="4"/>
      <c r="B137" s="4"/>
      <c r="C137" s="4"/>
      <c r="D137" s="3"/>
      <c r="E137" s="3"/>
      <c r="F137" s="16"/>
      <c r="G137" s="29"/>
      <c r="H137" s="3"/>
      <c r="I137" s="3"/>
      <c r="J137" s="3"/>
      <c r="K137" s="3"/>
      <c r="L137" s="3"/>
      <c r="M137" s="3"/>
      <c r="N137" s="3"/>
      <c r="O137" s="3"/>
      <c r="P137" s="3"/>
      <c r="Q137" s="3"/>
      <c r="R137" s="3"/>
      <c r="S137" s="3"/>
      <c r="T137" s="3"/>
      <c r="U137" s="3"/>
      <c r="V137" s="3"/>
      <c r="W137" s="3"/>
      <c r="X137" s="3"/>
      <c r="Y137" s="3"/>
      <c r="Z137" s="3"/>
      <c r="AA137" s="3"/>
      <c r="AB137" s="3"/>
    </row>
    <row r="138">
      <c r="A138" s="4"/>
      <c r="B138" s="4"/>
      <c r="C138" s="4"/>
      <c r="D138" s="3"/>
      <c r="E138" s="3"/>
      <c r="F138" s="16"/>
      <c r="G138" s="29"/>
      <c r="H138" s="3"/>
      <c r="I138" s="3"/>
      <c r="J138" s="3"/>
      <c r="K138" s="3"/>
      <c r="L138" s="3"/>
      <c r="M138" s="3"/>
      <c r="N138" s="3"/>
      <c r="O138" s="3"/>
      <c r="P138" s="3"/>
      <c r="Q138" s="3"/>
      <c r="R138" s="3"/>
      <c r="S138" s="3"/>
      <c r="T138" s="3"/>
      <c r="U138" s="3"/>
      <c r="V138" s="3"/>
      <c r="W138" s="3"/>
      <c r="X138" s="3"/>
      <c r="Y138" s="3"/>
      <c r="Z138" s="3"/>
      <c r="AA138" s="3"/>
      <c r="AB138" s="3"/>
    </row>
    <row r="139">
      <c r="A139" s="4"/>
      <c r="B139" s="4"/>
      <c r="C139" s="4"/>
      <c r="D139" s="3"/>
      <c r="E139" s="3"/>
      <c r="F139" s="16"/>
      <c r="G139" s="29"/>
      <c r="H139" s="3"/>
      <c r="I139" s="3"/>
      <c r="J139" s="3"/>
      <c r="K139" s="3"/>
      <c r="L139" s="3"/>
      <c r="M139" s="3"/>
      <c r="N139" s="3"/>
      <c r="O139" s="3"/>
      <c r="P139" s="3"/>
      <c r="Q139" s="3"/>
      <c r="R139" s="3"/>
      <c r="S139" s="3"/>
      <c r="T139" s="3"/>
      <c r="U139" s="3"/>
      <c r="V139" s="3"/>
      <c r="W139" s="3"/>
      <c r="X139" s="3"/>
      <c r="Y139" s="3"/>
      <c r="Z139" s="3"/>
      <c r="AA139" s="3"/>
      <c r="AB139" s="3"/>
    </row>
    <row r="140">
      <c r="A140" s="4"/>
      <c r="B140" s="4"/>
      <c r="C140" s="4"/>
      <c r="D140" s="3"/>
      <c r="E140" s="3"/>
      <c r="F140" s="16"/>
      <c r="G140" s="29"/>
      <c r="H140" s="3"/>
      <c r="I140" s="3"/>
      <c r="J140" s="3"/>
      <c r="K140" s="3"/>
      <c r="L140" s="3"/>
      <c r="M140" s="3"/>
      <c r="N140" s="3"/>
      <c r="O140" s="3"/>
      <c r="P140" s="3"/>
      <c r="Q140" s="3"/>
      <c r="R140" s="3"/>
      <c r="S140" s="3"/>
      <c r="T140" s="3"/>
      <c r="U140" s="3"/>
      <c r="V140" s="3"/>
      <c r="W140" s="3"/>
      <c r="X140" s="3"/>
      <c r="Y140" s="3"/>
      <c r="Z140" s="3"/>
      <c r="AA140" s="3"/>
      <c r="AB140" s="3"/>
    </row>
    <row r="141">
      <c r="A141" s="4"/>
      <c r="B141" s="4"/>
      <c r="C141" s="4"/>
      <c r="D141" s="3"/>
      <c r="E141" s="3"/>
      <c r="F141" s="16"/>
      <c r="G141" s="29"/>
      <c r="H141" s="3"/>
      <c r="I141" s="3"/>
      <c r="J141" s="3"/>
      <c r="K141" s="3"/>
      <c r="L141" s="3"/>
      <c r="M141" s="3"/>
      <c r="N141" s="3"/>
      <c r="O141" s="3"/>
      <c r="P141" s="3"/>
      <c r="Q141" s="3"/>
      <c r="R141" s="3"/>
      <c r="S141" s="3"/>
      <c r="T141" s="3"/>
      <c r="U141" s="3"/>
      <c r="V141" s="3"/>
      <c r="W141" s="3"/>
      <c r="X141" s="3"/>
      <c r="Y141" s="3"/>
      <c r="Z141" s="3"/>
      <c r="AA141" s="3"/>
      <c r="AB141" s="3"/>
    </row>
    <row r="142">
      <c r="A142" s="4"/>
      <c r="B142" s="4"/>
      <c r="C142" s="4"/>
      <c r="D142" s="3"/>
      <c r="E142" s="3"/>
      <c r="F142" s="16"/>
      <c r="G142" s="29"/>
      <c r="H142" s="3"/>
      <c r="I142" s="3"/>
      <c r="J142" s="3"/>
      <c r="K142" s="3"/>
      <c r="L142" s="3"/>
      <c r="M142" s="3"/>
      <c r="N142" s="3"/>
      <c r="O142" s="3"/>
      <c r="P142" s="3"/>
      <c r="Q142" s="3"/>
      <c r="R142" s="3"/>
      <c r="S142" s="3"/>
      <c r="T142" s="3"/>
      <c r="U142" s="3"/>
      <c r="V142" s="3"/>
      <c r="W142" s="3"/>
      <c r="X142" s="3"/>
      <c r="Y142" s="3"/>
      <c r="Z142" s="3"/>
      <c r="AA142" s="3"/>
      <c r="AB142" s="3"/>
    </row>
    <row r="143">
      <c r="A143" s="4"/>
      <c r="B143" s="4"/>
      <c r="C143" s="4"/>
      <c r="D143" s="3"/>
      <c r="E143" s="3"/>
      <c r="F143" s="16"/>
      <c r="G143" s="29"/>
      <c r="H143" s="3"/>
      <c r="I143" s="3"/>
      <c r="J143" s="3"/>
      <c r="K143" s="3"/>
      <c r="L143" s="3"/>
      <c r="M143" s="3"/>
      <c r="N143" s="3"/>
      <c r="O143" s="3"/>
      <c r="P143" s="3"/>
      <c r="Q143" s="3"/>
      <c r="R143" s="3"/>
      <c r="S143" s="3"/>
      <c r="T143" s="3"/>
      <c r="U143" s="3"/>
      <c r="V143" s="3"/>
      <c r="W143" s="3"/>
      <c r="X143" s="3"/>
      <c r="Y143" s="3"/>
      <c r="Z143" s="3"/>
      <c r="AA143" s="3"/>
      <c r="AB143" s="3"/>
    </row>
    <row r="144">
      <c r="A144" s="4"/>
      <c r="B144" s="4"/>
      <c r="C144" s="4"/>
      <c r="D144" s="3"/>
      <c r="E144" s="3"/>
      <c r="F144" s="16"/>
      <c r="G144" s="29"/>
      <c r="H144" s="3"/>
      <c r="I144" s="3"/>
      <c r="J144" s="3"/>
      <c r="K144" s="3"/>
      <c r="L144" s="3"/>
      <c r="M144" s="3"/>
      <c r="N144" s="3"/>
      <c r="O144" s="3"/>
      <c r="P144" s="3"/>
      <c r="Q144" s="3"/>
      <c r="R144" s="3"/>
      <c r="S144" s="3"/>
      <c r="T144" s="3"/>
      <c r="U144" s="3"/>
      <c r="V144" s="3"/>
      <c r="W144" s="3"/>
      <c r="X144" s="3"/>
      <c r="Y144" s="3"/>
      <c r="Z144" s="3"/>
      <c r="AA144" s="3"/>
      <c r="AB144" s="3"/>
    </row>
    <row r="145">
      <c r="A145" s="4"/>
      <c r="B145" s="4"/>
      <c r="C145" s="4"/>
      <c r="D145" s="3"/>
      <c r="E145" s="3"/>
      <c r="F145" s="16"/>
      <c r="G145" s="29"/>
      <c r="H145" s="3"/>
      <c r="I145" s="3"/>
      <c r="J145" s="3"/>
      <c r="K145" s="3"/>
      <c r="L145" s="3"/>
      <c r="M145" s="3"/>
      <c r="N145" s="3"/>
      <c r="O145" s="3"/>
      <c r="P145" s="3"/>
      <c r="Q145" s="3"/>
      <c r="R145" s="3"/>
      <c r="S145" s="3"/>
      <c r="T145" s="3"/>
      <c r="U145" s="3"/>
      <c r="V145" s="3"/>
      <c r="W145" s="3"/>
      <c r="X145" s="3"/>
      <c r="Y145" s="3"/>
      <c r="Z145" s="3"/>
      <c r="AA145" s="3"/>
      <c r="AB145" s="3"/>
    </row>
    <row r="146">
      <c r="A146" s="4"/>
      <c r="B146" s="4"/>
      <c r="C146" s="4"/>
      <c r="D146" s="3"/>
      <c r="E146" s="3"/>
      <c r="F146" s="16"/>
      <c r="G146" s="29"/>
      <c r="H146" s="3"/>
      <c r="I146" s="3"/>
      <c r="J146" s="3"/>
      <c r="K146" s="3"/>
      <c r="L146" s="3"/>
      <c r="M146" s="3"/>
      <c r="N146" s="3"/>
      <c r="O146" s="3"/>
      <c r="P146" s="3"/>
      <c r="Q146" s="3"/>
      <c r="R146" s="3"/>
      <c r="S146" s="3"/>
      <c r="T146" s="3"/>
      <c r="U146" s="3"/>
      <c r="V146" s="3"/>
      <c r="W146" s="3"/>
      <c r="X146" s="3"/>
      <c r="Y146" s="3"/>
      <c r="Z146" s="3"/>
      <c r="AA146" s="3"/>
      <c r="AB146" s="3"/>
    </row>
    <row r="147">
      <c r="A147" s="4"/>
      <c r="B147" s="4"/>
      <c r="C147" s="4"/>
      <c r="D147" s="3"/>
      <c r="E147" s="3"/>
      <c r="F147" s="16"/>
      <c r="G147" s="29"/>
      <c r="H147" s="3"/>
      <c r="I147" s="3"/>
      <c r="J147" s="3"/>
      <c r="K147" s="3"/>
      <c r="L147" s="3"/>
      <c r="M147" s="3"/>
      <c r="N147" s="3"/>
      <c r="O147" s="3"/>
      <c r="P147" s="3"/>
      <c r="Q147" s="3"/>
      <c r="R147" s="3"/>
      <c r="S147" s="3"/>
      <c r="T147" s="3"/>
      <c r="U147" s="3"/>
      <c r="V147" s="3"/>
      <c r="W147" s="3"/>
      <c r="X147" s="3"/>
      <c r="Y147" s="3"/>
      <c r="Z147" s="3"/>
      <c r="AA147" s="3"/>
      <c r="AB147" s="3"/>
    </row>
    <row r="148">
      <c r="A148" s="4"/>
      <c r="B148" s="4"/>
      <c r="C148" s="4"/>
      <c r="D148" s="3"/>
      <c r="E148" s="3"/>
      <c r="F148" s="16"/>
      <c r="G148" s="29"/>
      <c r="H148" s="3"/>
      <c r="I148" s="3"/>
      <c r="J148" s="3"/>
      <c r="K148" s="3"/>
      <c r="L148" s="3"/>
      <c r="M148" s="3"/>
      <c r="N148" s="3"/>
      <c r="O148" s="3"/>
      <c r="P148" s="3"/>
      <c r="Q148" s="3"/>
      <c r="R148" s="3"/>
      <c r="S148" s="3"/>
      <c r="T148" s="3"/>
      <c r="U148" s="3"/>
      <c r="V148" s="3"/>
      <c r="W148" s="3"/>
      <c r="X148" s="3"/>
      <c r="Y148" s="3"/>
      <c r="Z148" s="3"/>
      <c r="AA148" s="3"/>
      <c r="AB148" s="3"/>
    </row>
    <row r="149">
      <c r="A149" s="4"/>
      <c r="B149" s="4"/>
      <c r="C149" s="4"/>
      <c r="D149" s="3"/>
      <c r="E149" s="3"/>
      <c r="F149" s="16"/>
      <c r="G149" s="29"/>
      <c r="H149" s="3"/>
      <c r="I149" s="3"/>
      <c r="J149" s="3"/>
      <c r="K149" s="3"/>
      <c r="L149" s="3"/>
      <c r="M149" s="3"/>
      <c r="N149" s="3"/>
      <c r="O149" s="3"/>
      <c r="P149" s="3"/>
      <c r="Q149" s="3"/>
      <c r="R149" s="3"/>
      <c r="S149" s="3"/>
      <c r="T149" s="3"/>
      <c r="U149" s="3"/>
      <c r="V149" s="3"/>
      <c r="W149" s="3"/>
      <c r="X149" s="3"/>
      <c r="Y149" s="3"/>
      <c r="Z149" s="3"/>
      <c r="AA149" s="3"/>
      <c r="AB149" s="3"/>
    </row>
    <row r="150">
      <c r="A150" s="4"/>
      <c r="B150" s="4"/>
      <c r="C150" s="4"/>
      <c r="D150" s="3"/>
      <c r="E150" s="3"/>
      <c r="F150" s="16"/>
      <c r="G150" s="29"/>
      <c r="H150" s="3"/>
      <c r="I150" s="3"/>
      <c r="J150" s="3"/>
      <c r="K150" s="3"/>
      <c r="L150" s="3"/>
      <c r="M150" s="3"/>
      <c r="N150" s="3"/>
      <c r="O150" s="3"/>
      <c r="P150" s="3"/>
      <c r="Q150" s="3"/>
      <c r="R150" s="3"/>
      <c r="S150" s="3"/>
      <c r="T150" s="3"/>
      <c r="U150" s="3"/>
      <c r="V150" s="3"/>
      <c r="W150" s="3"/>
      <c r="X150" s="3"/>
      <c r="Y150" s="3"/>
      <c r="Z150" s="3"/>
      <c r="AA150" s="3"/>
      <c r="AB150" s="3"/>
    </row>
    <row r="151">
      <c r="A151" s="4"/>
      <c r="B151" s="4"/>
      <c r="C151" s="4"/>
      <c r="D151" s="3"/>
      <c r="E151" s="3"/>
      <c r="F151" s="16"/>
      <c r="G151" s="29"/>
      <c r="H151" s="3"/>
      <c r="I151" s="3"/>
      <c r="J151" s="3"/>
      <c r="K151" s="3"/>
      <c r="L151" s="3"/>
      <c r="M151" s="3"/>
      <c r="N151" s="3"/>
      <c r="O151" s="3"/>
      <c r="P151" s="3"/>
      <c r="Q151" s="3"/>
      <c r="R151" s="3"/>
      <c r="S151" s="3"/>
      <c r="T151" s="3"/>
      <c r="U151" s="3"/>
      <c r="V151" s="3"/>
      <c r="W151" s="3"/>
      <c r="X151" s="3"/>
      <c r="Y151" s="3"/>
      <c r="Z151" s="3"/>
      <c r="AA151" s="3"/>
      <c r="AB151" s="3"/>
    </row>
    <row r="152">
      <c r="A152" s="4"/>
      <c r="B152" s="4"/>
      <c r="C152" s="4"/>
      <c r="D152" s="3"/>
      <c r="E152" s="3"/>
      <c r="F152" s="16"/>
      <c r="G152" s="29"/>
      <c r="H152" s="3"/>
      <c r="I152" s="3"/>
      <c r="J152" s="3"/>
      <c r="K152" s="3"/>
      <c r="L152" s="3"/>
      <c r="M152" s="3"/>
      <c r="N152" s="3"/>
      <c r="O152" s="3"/>
      <c r="P152" s="3"/>
      <c r="Q152" s="3"/>
      <c r="R152" s="3"/>
      <c r="S152" s="3"/>
      <c r="T152" s="3"/>
      <c r="U152" s="3"/>
      <c r="V152" s="3"/>
      <c r="W152" s="3"/>
      <c r="X152" s="3"/>
      <c r="Y152" s="3"/>
      <c r="Z152" s="3"/>
      <c r="AA152" s="3"/>
      <c r="AB152" s="3"/>
    </row>
    <row r="153">
      <c r="A153" s="4"/>
      <c r="B153" s="4"/>
      <c r="C153" s="4"/>
      <c r="D153" s="3"/>
      <c r="E153" s="3"/>
      <c r="F153" s="16"/>
      <c r="G153" s="29"/>
      <c r="H153" s="3"/>
      <c r="I153" s="3"/>
      <c r="J153" s="3"/>
      <c r="K153" s="3"/>
      <c r="L153" s="3"/>
      <c r="M153" s="3"/>
      <c r="N153" s="3"/>
      <c r="O153" s="3"/>
      <c r="P153" s="3"/>
      <c r="Q153" s="3"/>
      <c r="R153" s="3"/>
      <c r="S153" s="3"/>
      <c r="T153" s="3"/>
      <c r="U153" s="3"/>
      <c r="V153" s="3"/>
      <c r="W153" s="3"/>
      <c r="X153" s="3"/>
      <c r="Y153" s="3"/>
      <c r="Z153" s="3"/>
      <c r="AA153" s="3"/>
      <c r="AB153" s="3"/>
    </row>
    <row r="154">
      <c r="A154" s="4"/>
      <c r="B154" s="4"/>
      <c r="C154" s="4"/>
      <c r="D154" s="3"/>
      <c r="E154" s="3"/>
      <c r="F154" s="16"/>
      <c r="G154" s="29"/>
      <c r="H154" s="3"/>
      <c r="I154" s="3"/>
      <c r="J154" s="3"/>
      <c r="K154" s="3"/>
      <c r="L154" s="3"/>
      <c r="M154" s="3"/>
      <c r="N154" s="3"/>
      <c r="O154" s="3"/>
      <c r="P154" s="3"/>
      <c r="Q154" s="3"/>
      <c r="R154" s="3"/>
      <c r="S154" s="3"/>
      <c r="T154" s="3"/>
      <c r="U154" s="3"/>
      <c r="V154" s="3"/>
      <c r="W154" s="3"/>
      <c r="X154" s="3"/>
      <c r="Y154" s="3"/>
      <c r="Z154" s="3"/>
      <c r="AA154" s="3"/>
      <c r="AB154" s="3"/>
    </row>
    <row r="155">
      <c r="A155" s="4"/>
      <c r="B155" s="4"/>
      <c r="C155" s="4"/>
      <c r="D155" s="3"/>
      <c r="E155" s="3"/>
      <c r="F155" s="16"/>
      <c r="G155" s="29"/>
      <c r="H155" s="3"/>
      <c r="I155" s="3"/>
      <c r="J155" s="3"/>
      <c r="K155" s="3"/>
      <c r="L155" s="3"/>
      <c r="M155" s="3"/>
      <c r="N155" s="3"/>
      <c r="O155" s="3"/>
      <c r="P155" s="3"/>
      <c r="Q155" s="3"/>
      <c r="R155" s="3"/>
      <c r="S155" s="3"/>
      <c r="T155" s="3"/>
      <c r="U155" s="3"/>
      <c r="V155" s="3"/>
      <c r="W155" s="3"/>
      <c r="X155" s="3"/>
      <c r="Y155" s="3"/>
      <c r="Z155" s="3"/>
      <c r="AA155" s="3"/>
      <c r="AB155" s="3"/>
    </row>
    <row r="156">
      <c r="A156" s="4"/>
      <c r="B156" s="4"/>
      <c r="C156" s="4"/>
      <c r="D156" s="3"/>
      <c r="E156" s="3"/>
      <c r="F156" s="16"/>
      <c r="G156" s="29"/>
      <c r="H156" s="3"/>
      <c r="I156" s="3"/>
      <c r="J156" s="3"/>
      <c r="K156" s="3"/>
      <c r="L156" s="3"/>
      <c r="M156" s="3"/>
      <c r="N156" s="3"/>
      <c r="O156" s="3"/>
      <c r="P156" s="3"/>
      <c r="Q156" s="3"/>
      <c r="R156" s="3"/>
      <c r="S156" s="3"/>
      <c r="T156" s="3"/>
      <c r="U156" s="3"/>
      <c r="V156" s="3"/>
      <c r="W156" s="3"/>
      <c r="X156" s="3"/>
      <c r="Y156" s="3"/>
      <c r="Z156" s="3"/>
      <c r="AA156" s="3"/>
      <c r="AB156" s="3"/>
    </row>
    <row r="157">
      <c r="A157" s="4"/>
      <c r="B157" s="4"/>
      <c r="C157" s="4"/>
      <c r="D157" s="3"/>
      <c r="E157" s="3"/>
      <c r="F157" s="16"/>
      <c r="G157" s="29"/>
      <c r="H157" s="3"/>
      <c r="I157" s="3"/>
      <c r="J157" s="3"/>
      <c r="K157" s="3"/>
      <c r="L157" s="3"/>
      <c r="M157" s="3"/>
      <c r="N157" s="3"/>
      <c r="O157" s="3"/>
      <c r="P157" s="3"/>
      <c r="Q157" s="3"/>
      <c r="R157" s="3"/>
      <c r="S157" s="3"/>
      <c r="T157" s="3"/>
      <c r="U157" s="3"/>
      <c r="V157" s="3"/>
      <c r="W157" s="3"/>
      <c r="X157" s="3"/>
      <c r="Y157" s="3"/>
      <c r="Z157" s="3"/>
      <c r="AA157" s="3"/>
      <c r="AB157" s="3"/>
    </row>
    <row r="158">
      <c r="A158" s="4"/>
      <c r="B158" s="4"/>
      <c r="C158" s="4"/>
      <c r="D158" s="3"/>
      <c r="E158" s="3"/>
      <c r="F158" s="16"/>
      <c r="G158" s="29"/>
      <c r="H158" s="3"/>
      <c r="I158" s="3"/>
      <c r="J158" s="3"/>
      <c r="K158" s="3"/>
      <c r="L158" s="3"/>
      <c r="M158" s="3"/>
      <c r="N158" s="3"/>
      <c r="O158" s="3"/>
      <c r="P158" s="3"/>
      <c r="Q158" s="3"/>
      <c r="R158" s="3"/>
      <c r="S158" s="3"/>
      <c r="T158" s="3"/>
      <c r="U158" s="3"/>
      <c r="V158" s="3"/>
      <c r="W158" s="3"/>
      <c r="X158" s="3"/>
      <c r="Y158" s="3"/>
      <c r="Z158" s="3"/>
      <c r="AA158" s="3"/>
      <c r="AB158" s="3"/>
    </row>
    <row r="159">
      <c r="A159" s="4"/>
      <c r="B159" s="4"/>
      <c r="C159" s="4"/>
      <c r="D159" s="3"/>
      <c r="E159" s="3"/>
      <c r="F159" s="16"/>
      <c r="G159" s="29"/>
      <c r="H159" s="3"/>
      <c r="I159" s="3"/>
      <c r="J159" s="3"/>
      <c r="K159" s="3"/>
      <c r="L159" s="3"/>
      <c r="M159" s="3"/>
      <c r="N159" s="3"/>
      <c r="O159" s="3"/>
      <c r="P159" s="3"/>
      <c r="Q159" s="3"/>
      <c r="R159" s="3"/>
      <c r="S159" s="3"/>
      <c r="T159" s="3"/>
      <c r="U159" s="3"/>
      <c r="V159" s="3"/>
      <c r="W159" s="3"/>
      <c r="X159" s="3"/>
      <c r="Y159" s="3"/>
      <c r="Z159" s="3"/>
      <c r="AA159" s="3"/>
      <c r="AB159" s="3"/>
    </row>
    <row r="160">
      <c r="A160" s="4"/>
      <c r="B160" s="4"/>
      <c r="C160" s="4"/>
      <c r="D160" s="3"/>
      <c r="E160" s="3"/>
      <c r="F160" s="16"/>
      <c r="G160" s="29"/>
      <c r="H160" s="3"/>
      <c r="I160" s="3"/>
      <c r="J160" s="3"/>
      <c r="K160" s="3"/>
      <c r="L160" s="3"/>
      <c r="M160" s="3"/>
      <c r="N160" s="3"/>
      <c r="O160" s="3"/>
      <c r="P160" s="3"/>
      <c r="Q160" s="3"/>
      <c r="R160" s="3"/>
      <c r="S160" s="3"/>
      <c r="T160" s="3"/>
      <c r="U160" s="3"/>
      <c r="V160" s="3"/>
      <c r="W160" s="3"/>
      <c r="X160" s="3"/>
      <c r="Y160" s="3"/>
      <c r="Z160" s="3"/>
      <c r="AA160" s="3"/>
      <c r="AB160" s="3"/>
    </row>
    <row r="161">
      <c r="A161" s="4"/>
      <c r="B161" s="4"/>
      <c r="C161" s="4"/>
      <c r="D161" s="3"/>
      <c r="E161" s="3"/>
      <c r="F161" s="16"/>
      <c r="G161" s="29"/>
      <c r="H161" s="3"/>
      <c r="I161" s="3"/>
      <c r="J161" s="3"/>
      <c r="K161" s="3"/>
      <c r="L161" s="3"/>
      <c r="M161" s="3"/>
      <c r="N161" s="3"/>
      <c r="O161" s="3"/>
      <c r="P161" s="3"/>
      <c r="Q161" s="3"/>
      <c r="R161" s="3"/>
      <c r="S161" s="3"/>
      <c r="T161" s="3"/>
      <c r="U161" s="3"/>
      <c r="V161" s="3"/>
      <c r="W161" s="3"/>
      <c r="X161" s="3"/>
      <c r="Y161" s="3"/>
      <c r="Z161" s="3"/>
      <c r="AA161" s="3"/>
      <c r="AB161" s="3"/>
    </row>
    <row r="162">
      <c r="A162" s="4"/>
      <c r="B162" s="4"/>
      <c r="C162" s="4"/>
      <c r="D162" s="3"/>
      <c r="E162" s="3"/>
      <c r="F162" s="16"/>
      <c r="G162" s="29"/>
      <c r="H162" s="3"/>
      <c r="I162" s="3"/>
      <c r="J162" s="3"/>
      <c r="K162" s="3"/>
      <c r="L162" s="3"/>
      <c r="M162" s="3"/>
      <c r="N162" s="3"/>
      <c r="O162" s="3"/>
      <c r="P162" s="3"/>
      <c r="Q162" s="3"/>
      <c r="R162" s="3"/>
      <c r="S162" s="3"/>
      <c r="T162" s="3"/>
      <c r="U162" s="3"/>
      <c r="V162" s="3"/>
      <c r="W162" s="3"/>
      <c r="X162" s="3"/>
      <c r="Y162" s="3"/>
      <c r="Z162" s="3"/>
      <c r="AA162" s="3"/>
      <c r="AB162" s="3"/>
    </row>
    <row r="163">
      <c r="A163" s="4"/>
      <c r="B163" s="4"/>
      <c r="C163" s="4"/>
      <c r="D163" s="3"/>
      <c r="E163" s="3"/>
      <c r="F163" s="16"/>
      <c r="G163" s="29"/>
      <c r="H163" s="3"/>
      <c r="I163" s="3"/>
      <c r="J163" s="3"/>
      <c r="K163" s="3"/>
      <c r="L163" s="3"/>
      <c r="M163" s="3"/>
      <c r="N163" s="3"/>
      <c r="O163" s="3"/>
      <c r="P163" s="3"/>
      <c r="Q163" s="3"/>
      <c r="R163" s="3"/>
      <c r="S163" s="3"/>
      <c r="T163" s="3"/>
      <c r="U163" s="3"/>
      <c r="V163" s="3"/>
      <c r="W163" s="3"/>
      <c r="X163" s="3"/>
      <c r="Y163" s="3"/>
      <c r="Z163" s="3"/>
      <c r="AA163" s="3"/>
      <c r="AB163" s="3"/>
    </row>
    <row r="164">
      <c r="A164" s="4"/>
      <c r="B164" s="4"/>
      <c r="C164" s="4"/>
      <c r="D164" s="3"/>
      <c r="E164" s="3"/>
      <c r="F164" s="16"/>
      <c r="G164" s="29"/>
      <c r="H164" s="3"/>
      <c r="I164" s="3"/>
      <c r="J164" s="3"/>
      <c r="K164" s="3"/>
      <c r="L164" s="3"/>
      <c r="M164" s="3"/>
      <c r="N164" s="3"/>
      <c r="O164" s="3"/>
      <c r="P164" s="3"/>
      <c r="Q164" s="3"/>
      <c r="R164" s="3"/>
      <c r="S164" s="3"/>
      <c r="T164" s="3"/>
      <c r="U164" s="3"/>
      <c r="V164" s="3"/>
      <c r="W164" s="3"/>
      <c r="X164" s="3"/>
      <c r="Y164" s="3"/>
      <c r="Z164" s="3"/>
      <c r="AA164" s="3"/>
      <c r="AB164" s="3"/>
    </row>
    <row r="165">
      <c r="A165" s="4"/>
      <c r="B165" s="4"/>
      <c r="C165" s="4"/>
      <c r="D165" s="3"/>
      <c r="E165" s="3"/>
      <c r="F165" s="16"/>
      <c r="G165" s="29"/>
      <c r="H165" s="3"/>
      <c r="I165" s="3"/>
      <c r="J165" s="3"/>
      <c r="K165" s="3"/>
      <c r="L165" s="3"/>
      <c r="M165" s="3"/>
      <c r="N165" s="3"/>
      <c r="O165" s="3"/>
      <c r="P165" s="3"/>
      <c r="Q165" s="3"/>
      <c r="R165" s="3"/>
      <c r="S165" s="3"/>
      <c r="T165" s="3"/>
      <c r="U165" s="3"/>
      <c r="V165" s="3"/>
      <c r="W165" s="3"/>
      <c r="X165" s="3"/>
      <c r="Y165" s="3"/>
      <c r="Z165" s="3"/>
      <c r="AA165" s="3"/>
      <c r="AB165" s="3"/>
    </row>
    <row r="166">
      <c r="A166" s="4"/>
      <c r="B166" s="4"/>
      <c r="C166" s="4"/>
      <c r="D166" s="3"/>
      <c r="E166" s="3"/>
      <c r="F166" s="16"/>
      <c r="G166" s="29"/>
      <c r="H166" s="3"/>
      <c r="I166" s="3"/>
      <c r="J166" s="3"/>
      <c r="K166" s="3"/>
      <c r="L166" s="3"/>
      <c r="M166" s="3"/>
      <c r="N166" s="3"/>
      <c r="O166" s="3"/>
      <c r="P166" s="3"/>
      <c r="Q166" s="3"/>
      <c r="R166" s="3"/>
      <c r="S166" s="3"/>
      <c r="T166" s="3"/>
      <c r="U166" s="3"/>
      <c r="V166" s="3"/>
      <c r="W166" s="3"/>
      <c r="X166" s="3"/>
      <c r="Y166" s="3"/>
      <c r="Z166" s="3"/>
      <c r="AA166" s="3"/>
      <c r="AB166" s="3"/>
    </row>
    <row r="167">
      <c r="A167" s="4"/>
      <c r="B167" s="4"/>
      <c r="C167" s="4"/>
      <c r="D167" s="3"/>
      <c r="E167" s="3"/>
      <c r="F167" s="16"/>
      <c r="G167" s="29"/>
      <c r="H167" s="3"/>
      <c r="I167" s="3"/>
      <c r="J167" s="3"/>
      <c r="K167" s="3"/>
      <c r="L167" s="3"/>
      <c r="M167" s="3"/>
      <c r="N167" s="3"/>
      <c r="O167" s="3"/>
      <c r="P167" s="3"/>
      <c r="Q167" s="3"/>
      <c r="R167" s="3"/>
      <c r="S167" s="3"/>
      <c r="T167" s="3"/>
      <c r="U167" s="3"/>
      <c r="V167" s="3"/>
      <c r="W167" s="3"/>
      <c r="X167" s="3"/>
      <c r="Y167" s="3"/>
      <c r="Z167" s="3"/>
      <c r="AA167" s="3"/>
      <c r="AB167" s="3"/>
    </row>
    <row r="168">
      <c r="A168" s="4"/>
      <c r="B168" s="4"/>
      <c r="C168" s="4"/>
      <c r="D168" s="3"/>
      <c r="E168" s="3"/>
      <c r="F168" s="16"/>
      <c r="G168" s="29"/>
      <c r="H168" s="3"/>
      <c r="I168" s="3"/>
      <c r="J168" s="3"/>
      <c r="K168" s="3"/>
      <c r="L168" s="3"/>
      <c r="M168" s="3"/>
      <c r="N168" s="3"/>
      <c r="O168" s="3"/>
      <c r="P168" s="3"/>
      <c r="Q168" s="3"/>
      <c r="R168" s="3"/>
      <c r="S168" s="3"/>
      <c r="T168" s="3"/>
      <c r="U168" s="3"/>
      <c r="V168" s="3"/>
      <c r="W168" s="3"/>
      <c r="X168" s="3"/>
      <c r="Y168" s="3"/>
      <c r="Z168" s="3"/>
      <c r="AA168" s="3"/>
      <c r="AB168" s="3"/>
    </row>
    <row r="169">
      <c r="A169" s="4"/>
      <c r="B169" s="4"/>
      <c r="C169" s="4"/>
      <c r="D169" s="3"/>
      <c r="E169" s="3"/>
      <c r="F169" s="16"/>
      <c r="G169" s="29"/>
      <c r="H169" s="3"/>
      <c r="I169" s="3"/>
      <c r="J169" s="3"/>
      <c r="K169" s="3"/>
      <c r="L169" s="3"/>
      <c r="M169" s="3"/>
      <c r="N169" s="3"/>
      <c r="O169" s="3"/>
      <c r="P169" s="3"/>
      <c r="Q169" s="3"/>
      <c r="R169" s="3"/>
      <c r="S169" s="3"/>
      <c r="T169" s="3"/>
      <c r="U169" s="3"/>
      <c r="V169" s="3"/>
      <c r="W169" s="3"/>
      <c r="X169" s="3"/>
      <c r="Y169" s="3"/>
      <c r="Z169" s="3"/>
      <c r="AA169" s="3"/>
      <c r="AB169" s="3"/>
    </row>
    <row r="170">
      <c r="A170" s="4"/>
      <c r="B170" s="4"/>
      <c r="C170" s="4"/>
      <c r="D170" s="3"/>
      <c r="E170" s="3"/>
      <c r="F170" s="16"/>
      <c r="G170" s="29"/>
      <c r="H170" s="3"/>
      <c r="I170" s="3"/>
      <c r="J170" s="3"/>
      <c r="K170" s="3"/>
      <c r="L170" s="3"/>
      <c r="M170" s="3"/>
      <c r="N170" s="3"/>
      <c r="O170" s="3"/>
      <c r="P170" s="3"/>
      <c r="Q170" s="3"/>
      <c r="R170" s="3"/>
      <c r="S170" s="3"/>
      <c r="T170" s="3"/>
      <c r="U170" s="3"/>
      <c r="V170" s="3"/>
      <c r="W170" s="3"/>
      <c r="X170" s="3"/>
      <c r="Y170" s="3"/>
      <c r="Z170" s="3"/>
      <c r="AA170" s="3"/>
      <c r="AB170" s="3"/>
    </row>
    <row r="171">
      <c r="A171" s="4"/>
      <c r="B171" s="4"/>
      <c r="C171" s="4"/>
      <c r="D171" s="3"/>
      <c r="E171" s="3"/>
      <c r="F171" s="16"/>
      <c r="G171" s="29"/>
      <c r="H171" s="3"/>
      <c r="I171" s="3"/>
      <c r="J171" s="3"/>
      <c r="K171" s="3"/>
      <c r="L171" s="3"/>
      <c r="M171" s="3"/>
      <c r="N171" s="3"/>
      <c r="O171" s="3"/>
      <c r="P171" s="3"/>
      <c r="Q171" s="3"/>
      <c r="R171" s="3"/>
      <c r="S171" s="3"/>
      <c r="T171" s="3"/>
      <c r="U171" s="3"/>
      <c r="V171" s="3"/>
      <c r="W171" s="3"/>
      <c r="X171" s="3"/>
      <c r="Y171" s="3"/>
      <c r="Z171" s="3"/>
      <c r="AA171" s="3"/>
      <c r="AB171" s="3"/>
    </row>
    <row r="172">
      <c r="A172" s="4"/>
      <c r="B172" s="4"/>
      <c r="C172" s="4"/>
      <c r="D172" s="3"/>
      <c r="E172" s="3"/>
      <c r="F172" s="16"/>
      <c r="G172" s="29"/>
      <c r="H172" s="3"/>
      <c r="I172" s="3"/>
      <c r="J172" s="3"/>
      <c r="K172" s="3"/>
      <c r="L172" s="3"/>
      <c r="M172" s="3"/>
      <c r="N172" s="3"/>
      <c r="O172" s="3"/>
      <c r="P172" s="3"/>
      <c r="Q172" s="3"/>
      <c r="R172" s="3"/>
      <c r="S172" s="3"/>
      <c r="T172" s="3"/>
      <c r="U172" s="3"/>
      <c r="V172" s="3"/>
      <c r="W172" s="3"/>
      <c r="X172" s="3"/>
      <c r="Y172" s="3"/>
      <c r="Z172" s="3"/>
      <c r="AA172" s="3"/>
      <c r="AB172" s="3"/>
    </row>
    <row r="173">
      <c r="A173" s="4"/>
      <c r="B173" s="4"/>
      <c r="C173" s="4"/>
      <c r="D173" s="3"/>
      <c r="E173" s="3"/>
      <c r="F173" s="16"/>
      <c r="G173" s="29"/>
      <c r="H173" s="3"/>
      <c r="I173" s="3"/>
      <c r="J173" s="3"/>
      <c r="K173" s="3"/>
      <c r="L173" s="3"/>
      <c r="M173" s="3"/>
      <c r="N173" s="3"/>
      <c r="O173" s="3"/>
      <c r="P173" s="3"/>
      <c r="Q173" s="3"/>
      <c r="R173" s="3"/>
      <c r="S173" s="3"/>
      <c r="T173" s="3"/>
      <c r="U173" s="3"/>
      <c r="V173" s="3"/>
      <c r="W173" s="3"/>
      <c r="X173" s="3"/>
      <c r="Y173" s="3"/>
      <c r="Z173" s="3"/>
      <c r="AA173" s="3"/>
      <c r="AB173" s="3"/>
    </row>
    <row r="174">
      <c r="A174" s="4"/>
      <c r="B174" s="4"/>
      <c r="C174" s="4"/>
      <c r="D174" s="3"/>
      <c r="E174" s="3"/>
      <c r="F174" s="16"/>
      <c r="G174" s="29"/>
      <c r="H174" s="3"/>
      <c r="I174" s="3"/>
      <c r="J174" s="3"/>
      <c r="K174" s="3"/>
      <c r="L174" s="3"/>
      <c r="M174" s="3"/>
      <c r="N174" s="3"/>
      <c r="O174" s="3"/>
      <c r="P174" s="3"/>
      <c r="Q174" s="3"/>
      <c r="R174" s="3"/>
      <c r="S174" s="3"/>
      <c r="T174" s="3"/>
      <c r="U174" s="3"/>
      <c r="V174" s="3"/>
      <c r="W174" s="3"/>
      <c r="X174" s="3"/>
      <c r="Y174" s="3"/>
      <c r="Z174" s="3"/>
      <c r="AA174" s="3"/>
      <c r="AB174" s="3"/>
    </row>
    <row r="175">
      <c r="A175" s="4"/>
      <c r="B175" s="4"/>
      <c r="C175" s="4"/>
      <c r="D175" s="3"/>
      <c r="E175" s="3"/>
      <c r="F175" s="16"/>
      <c r="G175" s="29"/>
      <c r="H175" s="3"/>
      <c r="I175" s="3"/>
      <c r="J175" s="3"/>
      <c r="K175" s="3"/>
      <c r="L175" s="3"/>
      <c r="M175" s="3"/>
      <c r="N175" s="3"/>
      <c r="O175" s="3"/>
      <c r="P175" s="3"/>
      <c r="Q175" s="3"/>
      <c r="R175" s="3"/>
      <c r="S175" s="3"/>
      <c r="T175" s="3"/>
      <c r="U175" s="3"/>
      <c r="V175" s="3"/>
      <c r="W175" s="3"/>
      <c r="X175" s="3"/>
      <c r="Y175" s="3"/>
      <c r="Z175" s="3"/>
      <c r="AA175" s="3"/>
      <c r="AB175" s="3"/>
    </row>
    <row r="176">
      <c r="A176" s="4"/>
      <c r="B176" s="4"/>
      <c r="C176" s="4"/>
      <c r="D176" s="3"/>
      <c r="E176" s="3"/>
      <c r="F176" s="16"/>
      <c r="G176" s="29"/>
      <c r="H176" s="3"/>
      <c r="I176" s="3"/>
      <c r="J176" s="3"/>
      <c r="K176" s="3"/>
      <c r="L176" s="3"/>
      <c r="M176" s="3"/>
      <c r="N176" s="3"/>
      <c r="O176" s="3"/>
      <c r="P176" s="3"/>
      <c r="Q176" s="3"/>
      <c r="R176" s="3"/>
      <c r="S176" s="3"/>
      <c r="T176" s="3"/>
      <c r="U176" s="3"/>
      <c r="V176" s="3"/>
      <c r="W176" s="3"/>
      <c r="X176" s="3"/>
      <c r="Y176" s="3"/>
      <c r="Z176" s="3"/>
      <c r="AA176" s="3"/>
      <c r="AB176" s="3"/>
    </row>
    <row r="177">
      <c r="A177" s="4"/>
      <c r="B177" s="4"/>
      <c r="C177" s="4"/>
      <c r="D177" s="3"/>
      <c r="E177" s="3"/>
      <c r="F177" s="16"/>
      <c r="G177" s="29"/>
      <c r="H177" s="3"/>
      <c r="I177" s="3"/>
      <c r="J177" s="3"/>
      <c r="K177" s="3"/>
      <c r="L177" s="3"/>
      <c r="M177" s="3"/>
      <c r="N177" s="3"/>
      <c r="O177" s="3"/>
      <c r="P177" s="3"/>
      <c r="Q177" s="3"/>
      <c r="R177" s="3"/>
      <c r="S177" s="3"/>
      <c r="T177" s="3"/>
      <c r="U177" s="3"/>
      <c r="V177" s="3"/>
      <c r="W177" s="3"/>
      <c r="X177" s="3"/>
      <c r="Y177" s="3"/>
      <c r="Z177" s="3"/>
      <c r="AA177" s="3"/>
      <c r="AB177" s="3"/>
    </row>
    <row r="178">
      <c r="A178" s="4"/>
      <c r="B178" s="4"/>
      <c r="C178" s="4"/>
      <c r="D178" s="3"/>
      <c r="E178" s="3"/>
      <c r="F178" s="16"/>
      <c r="G178" s="29"/>
      <c r="H178" s="3"/>
      <c r="I178" s="3"/>
      <c r="J178" s="3"/>
      <c r="K178" s="3"/>
      <c r="L178" s="3"/>
      <c r="M178" s="3"/>
      <c r="N178" s="3"/>
      <c r="O178" s="3"/>
      <c r="P178" s="3"/>
      <c r="Q178" s="3"/>
      <c r="R178" s="3"/>
      <c r="S178" s="3"/>
      <c r="T178" s="3"/>
      <c r="U178" s="3"/>
      <c r="V178" s="3"/>
      <c r="W178" s="3"/>
      <c r="X178" s="3"/>
      <c r="Y178" s="3"/>
      <c r="Z178" s="3"/>
      <c r="AA178" s="3"/>
      <c r="AB178" s="3"/>
    </row>
    <row r="179">
      <c r="A179" s="4"/>
      <c r="B179" s="4"/>
      <c r="C179" s="4"/>
      <c r="D179" s="3"/>
      <c r="E179" s="3"/>
      <c r="F179" s="16"/>
      <c r="G179" s="29"/>
      <c r="H179" s="3"/>
      <c r="I179" s="3"/>
      <c r="J179" s="3"/>
      <c r="K179" s="3"/>
      <c r="L179" s="3"/>
      <c r="M179" s="3"/>
      <c r="N179" s="3"/>
      <c r="O179" s="3"/>
      <c r="P179" s="3"/>
      <c r="Q179" s="3"/>
      <c r="R179" s="3"/>
      <c r="S179" s="3"/>
      <c r="T179" s="3"/>
      <c r="U179" s="3"/>
      <c r="V179" s="3"/>
      <c r="W179" s="3"/>
      <c r="X179" s="3"/>
      <c r="Y179" s="3"/>
      <c r="Z179" s="3"/>
      <c r="AA179" s="3"/>
      <c r="AB179" s="3"/>
    </row>
    <row r="180">
      <c r="A180" s="4"/>
      <c r="B180" s="4"/>
      <c r="C180" s="4"/>
      <c r="D180" s="3"/>
      <c r="E180" s="3"/>
      <c r="F180" s="16"/>
      <c r="G180" s="29"/>
      <c r="H180" s="3"/>
      <c r="I180" s="3"/>
      <c r="J180" s="3"/>
      <c r="K180" s="3"/>
      <c r="L180" s="3"/>
      <c r="M180" s="3"/>
      <c r="N180" s="3"/>
      <c r="O180" s="3"/>
      <c r="P180" s="3"/>
      <c r="Q180" s="3"/>
      <c r="R180" s="3"/>
      <c r="S180" s="3"/>
      <c r="T180" s="3"/>
      <c r="U180" s="3"/>
      <c r="V180" s="3"/>
      <c r="W180" s="3"/>
      <c r="X180" s="3"/>
      <c r="Y180" s="3"/>
      <c r="Z180" s="3"/>
      <c r="AA180" s="3"/>
      <c r="AB180" s="3"/>
    </row>
    <row r="181">
      <c r="A181" s="4"/>
      <c r="B181" s="4"/>
      <c r="C181" s="4"/>
      <c r="D181" s="3"/>
      <c r="E181" s="3"/>
      <c r="F181" s="16"/>
      <c r="G181" s="29"/>
      <c r="H181" s="3"/>
      <c r="I181" s="3"/>
      <c r="J181" s="3"/>
      <c r="K181" s="3"/>
      <c r="L181" s="3"/>
      <c r="M181" s="3"/>
      <c r="N181" s="3"/>
      <c r="O181" s="3"/>
      <c r="P181" s="3"/>
      <c r="Q181" s="3"/>
      <c r="R181" s="3"/>
      <c r="S181" s="3"/>
      <c r="T181" s="3"/>
      <c r="U181" s="3"/>
      <c r="V181" s="3"/>
      <c r="W181" s="3"/>
      <c r="X181" s="3"/>
      <c r="Y181" s="3"/>
      <c r="Z181" s="3"/>
      <c r="AA181" s="3"/>
      <c r="AB181" s="3"/>
    </row>
    <row r="182">
      <c r="A182" s="4"/>
      <c r="B182" s="4"/>
      <c r="C182" s="4"/>
      <c r="D182" s="3"/>
      <c r="E182" s="3"/>
      <c r="F182" s="16"/>
      <c r="G182" s="29"/>
      <c r="H182" s="3"/>
      <c r="I182" s="3"/>
      <c r="J182" s="3"/>
      <c r="K182" s="3"/>
      <c r="L182" s="3"/>
      <c r="M182" s="3"/>
      <c r="N182" s="3"/>
      <c r="O182" s="3"/>
      <c r="P182" s="3"/>
      <c r="Q182" s="3"/>
      <c r="R182" s="3"/>
      <c r="S182" s="3"/>
      <c r="T182" s="3"/>
      <c r="U182" s="3"/>
      <c r="V182" s="3"/>
      <c r="W182" s="3"/>
      <c r="X182" s="3"/>
      <c r="Y182" s="3"/>
      <c r="Z182" s="3"/>
      <c r="AA182" s="3"/>
      <c r="AB182" s="3"/>
    </row>
    <row r="183">
      <c r="A183" s="4"/>
      <c r="B183" s="4"/>
      <c r="C183" s="4"/>
      <c r="D183" s="3"/>
      <c r="E183" s="3"/>
      <c r="F183" s="16"/>
      <c r="G183" s="29"/>
      <c r="H183" s="3"/>
      <c r="I183" s="3"/>
      <c r="J183" s="3"/>
      <c r="K183" s="3"/>
      <c r="L183" s="3"/>
      <c r="M183" s="3"/>
      <c r="N183" s="3"/>
      <c r="O183" s="3"/>
      <c r="P183" s="3"/>
      <c r="Q183" s="3"/>
      <c r="R183" s="3"/>
      <c r="S183" s="3"/>
      <c r="T183" s="3"/>
      <c r="U183" s="3"/>
      <c r="V183" s="3"/>
      <c r="W183" s="3"/>
      <c r="X183" s="3"/>
      <c r="Y183" s="3"/>
      <c r="Z183" s="3"/>
      <c r="AA183" s="3"/>
      <c r="AB183" s="3"/>
    </row>
    <row r="184">
      <c r="A184" s="4"/>
      <c r="B184" s="4"/>
      <c r="C184" s="4"/>
      <c r="D184" s="3"/>
      <c r="E184" s="3"/>
      <c r="F184" s="16"/>
      <c r="G184" s="29"/>
      <c r="H184" s="3"/>
      <c r="I184" s="3"/>
      <c r="J184" s="3"/>
      <c r="K184" s="3"/>
      <c r="L184" s="3"/>
      <c r="M184" s="3"/>
      <c r="N184" s="3"/>
      <c r="O184" s="3"/>
      <c r="P184" s="3"/>
      <c r="Q184" s="3"/>
      <c r="R184" s="3"/>
      <c r="S184" s="3"/>
      <c r="T184" s="3"/>
      <c r="U184" s="3"/>
      <c r="V184" s="3"/>
      <c r="W184" s="3"/>
      <c r="X184" s="3"/>
      <c r="Y184" s="3"/>
      <c r="Z184" s="3"/>
      <c r="AA184" s="3"/>
      <c r="AB184" s="3"/>
    </row>
    <row r="185">
      <c r="A185" s="4"/>
      <c r="B185" s="4"/>
      <c r="C185" s="4"/>
      <c r="D185" s="3"/>
      <c r="E185" s="3"/>
      <c r="F185" s="16"/>
      <c r="G185" s="29"/>
      <c r="H185" s="3"/>
      <c r="I185" s="3"/>
      <c r="J185" s="3"/>
      <c r="K185" s="3"/>
      <c r="L185" s="3"/>
      <c r="M185" s="3"/>
      <c r="N185" s="3"/>
      <c r="O185" s="3"/>
      <c r="P185" s="3"/>
      <c r="Q185" s="3"/>
      <c r="R185" s="3"/>
      <c r="S185" s="3"/>
      <c r="T185" s="3"/>
      <c r="U185" s="3"/>
      <c r="V185" s="3"/>
      <c r="W185" s="3"/>
      <c r="X185" s="3"/>
      <c r="Y185" s="3"/>
      <c r="Z185" s="3"/>
      <c r="AA185" s="3"/>
      <c r="AB185" s="3"/>
    </row>
    <row r="186">
      <c r="A186" s="4"/>
      <c r="B186" s="4"/>
      <c r="C186" s="4"/>
      <c r="D186" s="3"/>
      <c r="E186" s="3"/>
      <c r="F186" s="16"/>
      <c r="G186" s="29"/>
      <c r="H186" s="3"/>
      <c r="I186" s="3"/>
      <c r="J186" s="3"/>
      <c r="K186" s="3"/>
      <c r="L186" s="3"/>
      <c r="M186" s="3"/>
      <c r="N186" s="3"/>
      <c r="O186" s="3"/>
      <c r="P186" s="3"/>
      <c r="Q186" s="3"/>
      <c r="R186" s="3"/>
      <c r="S186" s="3"/>
      <c r="T186" s="3"/>
      <c r="U186" s="3"/>
      <c r="V186" s="3"/>
      <c r="W186" s="3"/>
      <c r="X186" s="3"/>
      <c r="Y186" s="3"/>
      <c r="Z186" s="3"/>
      <c r="AA186" s="3"/>
      <c r="AB186" s="3"/>
    </row>
    <row r="187">
      <c r="A187" s="4"/>
      <c r="B187" s="4"/>
      <c r="C187" s="4"/>
      <c r="D187" s="3"/>
      <c r="E187" s="3"/>
      <c r="F187" s="16"/>
      <c r="G187" s="29"/>
      <c r="H187" s="3"/>
      <c r="I187" s="3"/>
      <c r="J187" s="3"/>
      <c r="K187" s="3"/>
      <c r="L187" s="3"/>
      <c r="M187" s="3"/>
      <c r="N187" s="3"/>
      <c r="O187" s="3"/>
      <c r="P187" s="3"/>
      <c r="Q187" s="3"/>
      <c r="R187" s="3"/>
      <c r="S187" s="3"/>
      <c r="T187" s="3"/>
      <c r="U187" s="3"/>
      <c r="V187" s="3"/>
      <c r="W187" s="3"/>
      <c r="X187" s="3"/>
      <c r="Y187" s="3"/>
      <c r="Z187" s="3"/>
      <c r="AA187" s="3"/>
      <c r="AB187" s="3"/>
    </row>
    <row r="188">
      <c r="A188" s="4"/>
      <c r="B188" s="4"/>
      <c r="C188" s="4"/>
      <c r="D188" s="3"/>
      <c r="E188" s="3"/>
      <c r="F188" s="16"/>
      <c r="G188" s="29"/>
      <c r="H188" s="3"/>
      <c r="I188" s="3"/>
      <c r="J188" s="3"/>
      <c r="K188" s="3"/>
      <c r="L188" s="3"/>
      <c r="M188" s="3"/>
      <c r="N188" s="3"/>
      <c r="O188" s="3"/>
      <c r="P188" s="3"/>
      <c r="Q188" s="3"/>
      <c r="R188" s="3"/>
      <c r="S188" s="3"/>
      <c r="T188" s="3"/>
      <c r="U188" s="3"/>
      <c r="V188" s="3"/>
      <c r="W188" s="3"/>
      <c r="X188" s="3"/>
      <c r="Y188" s="3"/>
      <c r="Z188" s="3"/>
      <c r="AA188" s="3"/>
      <c r="AB188" s="3"/>
    </row>
    <row r="189">
      <c r="A189" s="4"/>
      <c r="B189" s="4"/>
      <c r="C189" s="4"/>
      <c r="D189" s="3"/>
      <c r="E189" s="3"/>
      <c r="F189" s="16"/>
      <c r="G189" s="29"/>
      <c r="H189" s="3"/>
      <c r="I189" s="3"/>
      <c r="J189" s="3"/>
      <c r="K189" s="3"/>
      <c r="L189" s="3"/>
      <c r="M189" s="3"/>
      <c r="N189" s="3"/>
      <c r="O189" s="3"/>
      <c r="P189" s="3"/>
      <c r="Q189" s="3"/>
      <c r="R189" s="3"/>
      <c r="S189" s="3"/>
      <c r="T189" s="3"/>
      <c r="U189" s="3"/>
      <c r="V189" s="3"/>
      <c r="W189" s="3"/>
      <c r="X189" s="3"/>
      <c r="Y189" s="3"/>
      <c r="Z189" s="3"/>
      <c r="AA189" s="3"/>
      <c r="AB189" s="3"/>
    </row>
    <row r="190">
      <c r="A190" s="4"/>
      <c r="B190" s="4"/>
      <c r="C190" s="4"/>
      <c r="D190" s="3"/>
      <c r="E190" s="3"/>
      <c r="F190" s="16"/>
      <c r="G190" s="29"/>
      <c r="H190" s="3"/>
      <c r="I190" s="3"/>
      <c r="J190" s="3"/>
      <c r="K190" s="3"/>
      <c r="L190" s="3"/>
      <c r="M190" s="3"/>
      <c r="N190" s="3"/>
      <c r="O190" s="3"/>
      <c r="P190" s="3"/>
      <c r="Q190" s="3"/>
      <c r="R190" s="3"/>
      <c r="S190" s="3"/>
      <c r="T190" s="3"/>
      <c r="U190" s="3"/>
      <c r="V190" s="3"/>
      <c r="W190" s="3"/>
      <c r="X190" s="3"/>
      <c r="Y190" s="3"/>
      <c r="Z190" s="3"/>
      <c r="AA190" s="3"/>
      <c r="AB190" s="3"/>
    </row>
    <row r="191">
      <c r="A191" s="4"/>
      <c r="B191" s="4"/>
      <c r="C191" s="4"/>
      <c r="D191" s="3"/>
      <c r="E191" s="3"/>
      <c r="F191" s="16"/>
      <c r="G191" s="29"/>
      <c r="H191" s="3"/>
      <c r="I191" s="3"/>
      <c r="J191" s="3"/>
      <c r="K191" s="3"/>
      <c r="L191" s="3"/>
      <c r="M191" s="3"/>
      <c r="N191" s="3"/>
      <c r="O191" s="3"/>
      <c r="P191" s="3"/>
      <c r="Q191" s="3"/>
      <c r="R191" s="3"/>
      <c r="S191" s="3"/>
      <c r="T191" s="3"/>
      <c r="U191" s="3"/>
      <c r="V191" s="3"/>
      <c r="W191" s="3"/>
      <c r="X191" s="3"/>
      <c r="Y191" s="3"/>
      <c r="Z191" s="3"/>
      <c r="AA191" s="3"/>
      <c r="AB191" s="3"/>
    </row>
    <row r="192">
      <c r="A192" s="4"/>
      <c r="B192" s="4"/>
      <c r="C192" s="4"/>
      <c r="D192" s="3"/>
      <c r="E192" s="3"/>
      <c r="F192" s="16"/>
      <c r="G192" s="29"/>
      <c r="H192" s="3"/>
      <c r="I192" s="3"/>
      <c r="J192" s="3"/>
      <c r="K192" s="3"/>
      <c r="L192" s="3"/>
      <c r="M192" s="3"/>
      <c r="N192" s="3"/>
      <c r="O192" s="3"/>
      <c r="P192" s="3"/>
      <c r="Q192" s="3"/>
      <c r="R192" s="3"/>
      <c r="S192" s="3"/>
      <c r="T192" s="3"/>
      <c r="U192" s="3"/>
      <c r="V192" s="3"/>
      <c r="W192" s="3"/>
      <c r="X192" s="3"/>
      <c r="Y192" s="3"/>
      <c r="Z192" s="3"/>
      <c r="AA192" s="3"/>
      <c r="AB192" s="3"/>
    </row>
    <row r="193">
      <c r="A193" s="4"/>
      <c r="B193" s="4"/>
      <c r="C193" s="4"/>
      <c r="D193" s="3"/>
      <c r="E193" s="3"/>
      <c r="F193" s="16"/>
      <c r="G193" s="29"/>
      <c r="H193" s="3"/>
      <c r="I193" s="3"/>
      <c r="J193" s="3"/>
      <c r="K193" s="3"/>
      <c r="L193" s="3"/>
      <c r="M193" s="3"/>
      <c r="N193" s="3"/>
      <c r="O193" s="3"/>
      <c r="P193" s="3"/>
      <c r="Q193" s="3"/>
      <c r="R193" s="3"/>
      <c r="S193" s="3"/>
      <c r="T193" s="3"/>
      <c r="U193" s="3"/>
      <c r="V193" s="3"/>
      <c r="W193" s="3"/>
      <c r="X193" s="3"/>
      <c r="Y193" s="3"/>
      <c r="Z193" s="3"/>
      <c r="AA193" s="3"/>
      <c r="AB193" s="3"/>
    </row>
    <row r="194">
      <c r="A194" s="4"/>
      <c r="B194" s="4"/>
      <c r="C194" s="4"/>
      <c r="D194" s="3"/>
      <c r="E194" s="3"/>
      <c r="F194" s="16"/>
      <c r="G194" s="29"/>
      <c r="H194" s="3"/>
      <c r="I194" s="3"/>
      <c r="J194" s="3"/>
      <c r="K194" s="3"/>
      <c r="L194" s="3"/>
      <c r="M194" s="3"/>
      <c r="N194" s="3"/>
      <c r="O194" s="3"/>
      <c r="P194" s="3"/>
      <c r="Q194" s="3"/>
      <c r="R194" s="3"/>
      <c r="S194" s="3"/>
      <c r="T194" s="3"/>
      <c r="U194" s="3"/>
      <c r="V194" s="3"/>
      <c r="W194" s="3"/>
      <c r="X194" s="3"/>
      <c r="Y194" s="3"/>
      <c r="Z194" s="3"/>
      <c r="AA194" s="3"/>
      <c r="AB194" s="3"/>
    </row>
    <row r="195">
      <c r="A195" s="4"/>
      <c r="B195" s="4"/>
      <c r="C195" s="4"/>
      <c r="D195" s="3"/>
      <c r="E195" s="3"/>
      <c r="F195" s="16"/>
      <c r="G195" s="29"/>
      <c r="H195" s="3"/>
      <c r="I195" s="3"/>
      <c r="J195" s="3"/>
      <c r="K195" s="3"/>
      <c r="L195" s="3"/>
      <c r="M195" s="3"/>
      <c r="N195" s="3"/>
      <c r="O195" s="3"/>
      <c r="P195" s="3"/>
      <c r="Q195" s="3"/>
      <c r="R195" s="3"/>
      <c r="S195" s="3"/>
      <c r="T195" s="3"/>
      <c r="U195" s="3"/>
      <c r="V195" s="3"/>
      <c r="W195" s="3"/>
      <c r="X195" s="3"/>
      <c r="Y195" s="3"/>
      <c r="Z195" s="3"/>
      <c r="AA195" s="3"/>
      <c r="AB195" s="3"/>
    </row>
    <row r="196">
      <c r="A196" s="4"/>
      <c r="B196" s="4"/>
      <c r="C196" s="4"/>
      <c r="D196" s="3"/>
      <c r="E196" s="3"/>
      <c r="F196" s="16"/>
      <c r="G196" s="29"/>
      <c r="H196" s="3"/>
      <c r="I196" s="3"/>
      <c r="J196" s="3"/>
      <c r="K196" s="3"/>
      <c r="L196" s="3"/>
      <c r="M196" s="3"/>
      <c r="N196" s="3"/>
      <c r="O196" s="3"/>
      <c r="P196" s="3"/>
      <c r="Q196" s="3"/>
      <c r="R196" s="3"/>
      <c r="S196" s="3"/>
      <c r="T196" s="3"/>
      <c r="U196" s="3"/>
      <c r="V196" s="3"/>
      <c r="W196" s="3"/>
      <c r="X196" s="3"/>
      <c r="Y196" s="3"/>
      <c r="Z196" s="3"/>
      <c r="AA196" s="3"/>
      <c r="AB196" s="3"/>
    </row>
    <row r="197">
      <c r="A197" s="4"/>
      <c r="B197" s="4"/>
      <c r="C197" s="4"/>
      <c r="D197" s="3"/>
      <c r="E197" s="3"/>
      <c r="F197" s="16"/>
      <c r="G197" s="29"/>
      <c r="H197" s="3"/>
      <c r="I197" s="3"/>
      <c r="J197" s="3"/>
      <c r="K197" s="3"/>
      <c r="L197" s="3"/>
      <c r="M197" s="3"/>
      <c r="N197" s="3"/>
      <c r="O197" s="3"/>
      <c r="P197" s="3"/>
      <c r="Q197" s="3"/>
      <c r="R197" s="3"/>
      <c r="S197" s="3"/>
      <c r="T197" s="3"/>
      <c r="U197" s="3"/>
      <c r="V197" s="3"/>
      <c r="W197" s="3"/>
      <c r="X197" s="3"/>
      <c r="Y197" s="3"/>
      <c r="Z197" s="3"/>
      <c r="AA197" s="3"/>
      <c r="AB197" s="3"/>
    </row>
    <row r="198">
      <c r="A198" s="4"/>
      <c r="B198" s="4"/>
      <c r="C198" s="4"/>
      <c r="D198" s="3"/>
      <c r="E198" s="3"/>
      <c r="F198" s="16"/>
      <c r="G198" s="29"/>
      <c r="H198" s="3"/>
      <c r="I198" s="3"/>
      <c r="J198" s="3"/>
      <c r="K198" s="3"/>
      <c r="L198" s="3"/>
      <c r="M198" s="3"/>
      <c r="N198" s="3"/>
      <c r="O198" s="3"/>
      <c r="P198" s="3"/>
      <c r="Q198" s="3"/>
      <c r="R198" s="3"/>
      <c r="S198" s="3"/>
      <c r="T198" s="3"/>
      <c r="U198" s="3"/>
      <c r="V198" s="3"/>
      <c r="W198" s="3"/>
      <c r="X198" s="3"/>
      <c r="Y198" s="3"/>
      <c r="Z198" s="3"/>
      <c r="AA198" s="3"/>
      <c r="AB198" s="3"/>
    </row>
    <row r="199">
      <c r="A199" s="4"/>
      <c r="B199" s="4"/>
      <c r="C199" s="4"/>
      <c r="D199" s="3"/>
      <c r="E199" s="3"/>
      <c r="F199" s="16"/>
      <c r="G199" s="29"/>
      <c r="H199" s="3"/>
      <c r="I199" s="3"/>
      <c r="J199" s="3"/>
      <c r="K199" s="3"/>
      <c r="L199" s="3"/>
      <c r="M199" s="3"/>
      <c r="N199" s="3"/>
      <c r="O199" s="3"/>
      <c r="P199" s="3"/>
      <c r="Q199" s="3"/>
      <c r="R199" s="3"/>
      <c r="S199" s="3"/>
      <c r="T199" s="3"/>
      <c r="U199" s="3"/>
      <c r="V199" s="3"/>
      <c r="W199" s="3"/>
      <c r="X199" s="3"/>
      <c r="Y199" s="3"/>
      <c r="Z199" s="3"/>
      <c r="AA199" s="3"/>
      <c r="AB199" s="3"/>
    </row>
    <row r="200">
      <c r="A200" s="4"/>
      <c r="B200" s="4"/>
      <c r="C200" s="4"/>
      <c r="D200" s="3"/>
      <c r="E200" s="3"/>
      <c r="F200" s="16"/>
      <c r="G200" s="29"/>
      <c r="H200" s="3"/>
      <c r="I200" s="3"/>
      <c r="J200" s="3"/>
      <c r="K200" s="3"/>
      <c r="L200" s="3"/>
      <c r="M200" s="3"/>
      <c r="N200" s="3"/>
      <c r="O200" s="3"/>
      <c r="P200" s="3"/>
      <c r="Q200" s="3"/>
      <c r="R200" s="3"/>
      <c r="S200" s="3"/>
      <c r="T200" s="3"/>
      <c r="U200" s="3"/>
      <c r="V200" s="3"/>
      <c r="W200" s="3"/>
      <c r="X200" s="3"/>
      <c r="Y200" s="3"/>
      <c r="Z200" s="3"/>
      <c r="AA200" s="3"/>
      <c r="AB200" s="3"/>
    </row>
    <row r="201">
      <c r="A201" s="4"/>
      <c r="B201" s="4"/>
      <c r="C201" s="4"/>
      <c r="D201" s="3"/>
      <c r="E201" s="3"/>
      <c r="F201" s="16"/>
      <c r="G201" s="29"/>
      <c r="H201" s="3"/>
      <c r="I201" s="3"/>
      <c r="J201" s="3"/>
      <c r="K201" s="3"/>
      <c r="L201" s="3"/>
      <c r="M201" s="3"/>
      <c r="N201" s="3"/>
      <c r="O201" s="3"/>
      <c r="P201" s="3"/>
      <c r="Q201" s="3"/>
      <c r="R201" s="3"/>
      <c r="S201" s="3"/>
      <c r="T201" s="3"/>
      <c r="U201" s="3"/>
      <c r="V201" s="3"/>
      <c r="W201" s="3"/>
      <c r="X201" s="3"/>
      <c r="Y201" s="3"/>
      <c r="Z201" s="3"/>
      <c r="AA201" s="3"/>
      <c r="AB201" s="3"/>
    </row>
    <row r="202">
      <c r="A202" s="4"/>
      <c r="B202" s="4"/>
      <c r="C202" s="4"/>
      <c r="D202" s="3"/>
      <c r="E202" s="3"/>
      <c r="F202" s="16"/>
      <c r="G202" s="29"/>
      <c r="H202" s="3"/>
      <c r="I202" s="3"/>
      <c r="J202" s="3"/>
      <c r="K202" s="3"/>
      <c r="L202" s="3"/>
      <c r="M202" s="3"/>
      <c r="N202" s="3"/>
      <c r="O202" s="3"/>
      <c r="P202" s="3"/>
      <c r="Q202" s="3"/>
      <c r="R202" s="3"/>
      <c r="S202" s="3"/>
      <c r="T202" s="3"/>
      <c r="U202" s="3"/>
      <c r="V202" s="3"/>
      <c r="W202" s="3"/>
      <c r="X202" s="3"/>
      <c r="Y202" s="3"/>
      <c r="Z202" s="3"/>
      <c r="AA202" s="3"/>
      <c r="AB202" s="3"/>
    </row>
    <row r="203">
      <c r="A203" s="4"/>
      <c r="B203" s="4"/>
      <c r="C203" s="4"/>
      <c r="D203" s="3"/>
      <c r="E203" s="3"/>
      <c r="F203" s="16"/>
      <c r="G203" s="29"/>
      <c r="H203" s="3"/>
      <c r="I203" s="3"/>
      <c r="J203" s="3"/>
      <c r="K203" s="3"/>
      <c r="L203" s="3"/>
      <c r="M203" s="3"/>
      <c r="N203" s="3"/>
      <c r="O203" s="3"/>
      <c r="P203" s="3"/>
      <c r="Q203" s="3"/>
      <c r="R203" s="3"/>
      <c r="S203" s="3"/>
      <c r="T203" s="3"/>
      <c r="U203" s="3"/>
      <c r="V203" s="3"/>
      <c r="W203" s="3"/>
      <c r="X203" s="3"/>
      <c r="Y203" s="3"/>
      <c r="Z203" s="3"/>
      <c r="AA203" s="3"/>
      <c r="AB203" s="3"/>
    </row>
    <row r="204">
      <c r="A204" s="4"/>
      <c r="B204" s="4"/>
      <c r="C204" s="4"/>
      <c r="D204" s="3"/>
      <c r="E204" s="3"/>
      <c r="F204" s="16"/>
      <c r="G204" s="29"/>
      <c r="H204" s="3"/>
      <c r="I204" s="3"/>
      <c r="J204" s="3"/>
      <c r="K204" s="3"/>
      <c r="L204" s="3"/>
      <c r="M204" s="3"/>
      <c r="N204" s="3"/>
      <c r="O204" s="3"/>
      <c r="P204" s="3"/>
      <c r="Q204" s="3"/>
      <c r="R204" s="3"/>
      <c r="S204" s="3"/>
      <c r="T204" s="3"/>
      <c r="U204" s="3"/>
      <c r="V204" s="3"/>
      <c r="W204" s="3"/>
      <c r="X204" s="3"/>
      <c r="Y204" s="3"/>
      <c r="Z204" s="3"/>
      <c r="AA204" s="3"/>
      <c r="AB204" s="3"/>
    </row>
    <row r="205">
      <c r="A205" s="4"/>
      <c r="B205" s="4"/>
      <c r="C205" s="4"/>
      <c r="D205" s="3"/>
      <c r="E205" s="3"/>
      <c r="F205" s="16"/>
      <c r="G205" s="29"/>
      <c r="H205" s="3"/>
      <c r="I205" s="3"/>
      <c r="J205" s="3"/>
      <c r="K205" s="3"/>
      <c r="L205" s="3"/>
      <c r="M205" s="3"/>
      <c r="N205" s="3"/>
      <c r="O205" s="3"/>
      <c r="P205" s="3"/>
      <c r="Q205" s="3"/>
      <c r="R205" s="3"/>
      <c r="S205" s="3"/>
      <c r="T205" s="3"/>
      <c r="U205" s="3"/>
      <c r="V205" s="3"/>
      <c r="W205" s="3"/>
      <c r="X205" s="3"/>
      <c r="Y205" s="3"/>
      <c r="Z205" s="3"/>
      <c r="AA205" s="3"/>
      <c r="AB205" s="3"/>
    </row>
    <row r="206">
      <c r="A206" s="4"/>
      <c r="B206" s="4"/>
      <c r="C206" s="4"/>
      <c r="D206" s="3"/>
      <c r="E206" s="3"/>
      <c r="F206" s="16"/>
      <c r="G206" s="29"/>
      <c r="H206" s="3"/>
      <c r="I206" s="3"/>
      <c r="J206" s="3"/>
      <c r="K206" s="3"/>
      <c r="L206" s="3"/>
      <c r="M206" s="3"/>
      <c r="N206" s="3"/>
      <c r="O206" s="3"/>
      <c r="P206" s="3"/>
      <c r="Q206" s="3"/>
      <c r="R206" s="3"/>
      <c r="S206" s="3"/>
      <c r="T206" s="3"/>
      <c r="U206" s="3"/>
      <c r="V206" s="3"/>
      <c r="W206" s="3"/>
      <c r="X206" s="3"/>
      <c r="Y206" s="3"/>
      <c r="Z206" s="3"/>
      <c r="AA206" s="3"/>
      <c r="AB206" s="3"/>
    </row>
    <row r="207">
      <c r="A207" s="4"/>
      <c r="B207" s="4"/>
      <c r="C207" s="4"/>
      <c r="D207" s="3"/>
      <c r="E207" s="3"/>
      <c r="F207" s="16"/>
      <c r="G207" s="29"/>
      <c r="H207" s="3"/>
      <c r="I207" s="3"/>
      <c r="J207" s="3"/>
      <c r="K207" s="3"/>
      <c r="L207" s="3"/>
      <c r="M207" s="3"/>
      <c r="N207" s="3"/>
      <c r="O207" s="3"/>
      <c r="P207" s="3"/>
      <c r="Q207" s="3"/>
      <c r="R207" s="3"/>
      <c r="S207" s="3"/>
      <c r="T207" s="3"/>
      <c r="U207" s="3"/>
      <c r="V207" s="3"/>
      <c r="W207" s="3"/>
      <c r="X207" s="3"/>
      <c r="Y207" s="3"/>
      <c r="Z207" s="3"/>
      <c r="AA207" s="3"/>
      <c r="AB207" s="3"/>
    </row>
    <row r="208">
      <c r="A208" s="4"/>
      <c r="B208" s="4"/>
      <c r="C208" s="4"/>
      <c r="D208" s="3"/>
      <c r="E208" s="3"/>
      <c r="F208" s="16"/>
      <c r="G208" s="29"/>
      <c r="H208" s="3"/>
      <c r="I208" s="3"/>
      <c r="J208" s="3"/>
      <c r="K208" s="3"/>
      <c r="L208" s="3"/>
      <c r="M208" s="3"/>
      <c r="N208" s="3"/>
      <c r="O208" s="3"/>
      <c r="P208" s="3"/>
      <c r="Q208" s="3"/>
      <c r="R208" s="3"/>
      <c r="S208" s="3"/>
      <c r="T208" s="3"/>
      <c r="U208" s="3"/>
      <c r="V208" s="3"/>
      <c r="W208" s="3"/>
      <c r="X208" s="3"/>
      <c r="Y208" s="3"/>
      <c r="Z208" s="3"/>
      <c r="AA208" s="3"/>
      <c r="AB208" s="3"/>
    </row>
    <row r="209">
      <c r="A209" s="4"/>
      <c r="B209" s="4"/>
      <c r="C209" s="4"/>
      <c r="D209" s="3"/>
      <c r="E209" s="3"/>
      <c r="F209" s="16"/>
      <c r="G209" s="29"/>
      <c r="H209" s="3"/>
      <c r="I209" s="3"/>
      <c r="J209" s="3"/>
      <c r="K209" s="3"/>
      <c r="L209" s="3"/>
      <c r="M209" s="3"/>
      <c r="N209" s="3"/>
      <c r="O209" s="3"/>
      <c r="P209" s="3"/>
      <c r="Q209" s="3"/>
      <c r="R209" s="3"/>
      <c r="S209" s="3"/>
      <c r="T209" s="3"/>
      <c r="U209" s="3"/>
      <c r="V209" s="3"/>
      <c r="W209" s="3"/>
      <c r="X209" s="3"/>
      <c r="Y209" s="3"/>
      <c r="Z209" s="3"/>
      <c r="AA209" s="3"/>
      <c r="AB209" s="3"/>
    </row>
    <row r="210">
      <c r="A210" s="4"/>
      <c r="B210" s="4"/>
      <c r="C210" s="4"/>
      <c r="D210" s="3"/>
      <c r="E210" s="3"/>
      <c r="F210" s="16"/>
      <c r="G210" s="29"/>
      <c r="H210" s="3"/>
      <c r="I210" s="3"/>
      <c r="J210" s="3"/>
      <c r="K210" s="3"/>
      <c r="L210" s="3"/>
      <c r="M210" s="3"/>
      <c r="N210" s="3"/>
      <c r="O210" s="3"/>
      <c r="P210" s="3"/>
      <c r="Q210" s="3"/>
      <c r="R210" s="3"/>
      <c r="S210" s="3"/>
      <c r="T210" s="3"/>
      <c r="U210" s="3"/>
      <c r="V210" s="3"/>
      <c r="W210" s="3"/>
      <c r="X210" s="3"/>
      <c r="Y210" s="3"/>
      <c r="Z210" s="3"/>
      <c r="AA210" s="3"/>
      <c r="AB210" s="3"/>
    </row>
    <row r="211">
      <c r="A211" s="4"/>
      <c r="B211" s="4"/>
      <c r="C211" s="4"/>
      <c r="D211" s="3"/>
      <c r="E211" s="3"/>
      <c r="F211" s="16"/>
      <c r="G211" s="29"/>
      <c r="H211" s="3"/>
      <c r="I211" s="3"/>
      <c r="J211" s="3"/>
      <c r="K211" s="3"/>
      <c r="L211" s="3"/>
      <c r="M211" s="3"/>
      <c r="N211" s="3"/>
      <c r="O211" s="3"/>
      <c r="P211" s="3"/>
      <c r="Q211" s="3"/>
      <c r="R211" s="3"/>
      <c r="S211" s="3"/>
      <c r="T211" s="3"/>
      <c r="U211" s="3"/>
      <c r="V211" s="3"/>
      <c r="W211" s="3"/>
      <c r="X211" s="3"/>
      <c r="Y211" s="3"/>
      <c r="Z211" s="3"/>
      <c r="AA211" s="3"/>
      <c r="AB211" s="3"/>
    </row>
    <row r="212">
      <c r="A212" s="4"/>
      <c r="B212" s="4"/>
      <c r="C212" s="4"/>
      <c r="D212" s="3"/>
      <c r="E212" s="3"/>
      <c r="F212" s="16"/>
      <c r="G212" s="29"/>
      <c r="H212" s="3"/>
      <c r="I212" s="3"/>
      <c r="J212" s="3"/>
      <c r="K212" s="3"/>
      <c r="L212" s="3"/>
      <c r="M212" s="3"/>
      <c r="N212" s="3"/>
      <c r="O212" s="3"/>
      <c r="P212" s="3"/>
      <c r="Q212" s="3"/>
      <c r="R212" s="3"/>
      <c r="S212" s="3"/>
      <c r="T212" s="3"/>
      <c r="U212" s="3"/>
      <c r="V212" s="3"/>
      <c r="W212" s="3"/>
      <c r="X212" s="3"/>
      <c r="Y212" s="3"/>
      <c r="Z212" s="3"/>
      <c r="AA212" s="3"/>
      <c r="AB212" s="3"/>
    </row>
    <row r="213">
      <c r="A213" s="4"/>
      <c r="B213" s="4"/>
      <c r="C213" s="4"/>
      <c r="D213" s="3"/>
      <c r="E213" s="3"/>
      <c r="F213" s="16"/>
      <c r="G213" s="29"/>
      <c r="H213" s="3"/>
      <c r="I213" s="3"/>
      <c r="J213" s="3"/>
      <c r="K213" s="3"/>
      <c r="L213" s="3"/>
      <c r="M213" s="3"/>
      <c r="N213" s="3"/>
      <c r="O213" s="3"/>
      <c r="P213" s="3"/>
      <c r="Q213" s="3"/>
      <c r="R213" s="3"/>
      <c r="S213" s="3"/>
      <c r="T213" s="3"/>
      <c r="U213" s="3"/>
      <c r="V213" s="3"/>
      <c r="W213" s="3"/>
      <c r="X213" s="3"/>
      <c r="Y213" s="3"/>
      <c r="Z213" s="3"/>
      <c r="AA213" s="3"/>
      <c r="AB213" s="3"/>
    </row>
    <row r="214">
      <c r="A214" s="4"/>
      <c r="B214" s="4"/>
      <c r="C214" s="4"/>
      <c r="D214" s="3"/>
      <c r="E214" s="3"/>
      <c r="F214" s="16"/>
      <c r="G214" s="29"/>
      <c r="H214" s="3"/>
      <c r="I214" s="3"/>
      <c r="J214" s="3"/>
      <c r="K214" s="3"/>
      <c r="L214" s="3"/>
      <c r="M214" s="3"/>
      <c r="N214" s="3"/>
      <c r="O214" s="3"/>
      <c r="P214" s="3"/>
      <c r="Q214" s="3"/>
      <c r="R214" s="3"/>
      <c r="S214" s="3"/>
      <c r="T214" s="3"/>
      <c r="U214" s="3"/>
      <c r="V214" s="3"/>
      <c r="W214" s="3"/>
      <c r="X214" s="3"/>
      <c r="Y214" s="3"/>
      <c r="Z214" s="3"/>
      <c r="AA214" s="3"/>
      <c r="AB214" s="3"/>
    </row>
    <row r="215">
      <c r="A215" s="4"/>
      <c r="B215" s="4"/>
      <c r="C215" s="4"/>
      <c r="D215" s="3"/>
      <c r="E215" s="3"/>
      <c r="F215" s="16"/>
      <c r="G215" s="29"/>
      <c r="H215" s="3"/>
      <c r="I215" s="3"/>
      <c r="J215" s="3"/>
      <c r="K215" s="3"/>
      <c r="L215" s="3"/>
      <c r="M215" s="3"/>
      <c r="N215" s="3"/>
      <c r="O215" s="3"/>
      <c r="P215" s="3"/>
      <c r="Q215" s="3"/>
      <c r="R215" s="3"/>
      <c r="S215" s="3"/>
      <c r="T215" s="3"/>
      <c r="U215" s="3"/>
      <c r="V215" s="3"/>
      <c r="W215" s="3"/>
      <c r="X215" s="3"/>
      <c r="Y215" s="3"/>
      <c r="Z215" s="3"/>
      <c r="AA215" s="3"/>
      <c r="AB215" s="3"/>
    </row>
    <row r="216">
      <c r="A216" s="4"/>
      <c r="B216" s="4"/>
      <c r="C216" s="4"/>
      <c r="D216" s="3"/>
      <c r="E216" s="3"/>
      <c r="F216" s="16"/>
      <c r="G216" s="29"/>
      <c r="H216" s="3"/>
      <c r="I216" s="3"/>
      <c r="J216" s="3"/>
      <c r="K216" s="3"/>
      <c r="L216" s="3"/>
      <c r="M216" s="3"/>
      <c r="N216" s="3"/>
      <c r="O216" s="3"/>
      <c r="P216" s="3"/>
      <c r="Q216" s="3"/>
      <c r="R216" s="3"/>
      <c r="S216" s="3"/>
      <c r="T216" s="3"/>
      <c r="U216" s="3"/>
      <c r="V216" s="3"/>
      <c r="W216" s="3"/>
      <c r="X216" s="3"/>
      <c r="Y216" s="3"/>
      <c r="Z216" s="3"/>
      <c r="AA216" s="3"/>
      <c r="AB216" s="3"/>
    </row>
    <row r="217">
      <c r="A217" s="4"/>
      <c r="B217" s="4"/>
      <c r="C217" s="4"/>
      <c r="D217" s="3"/>
      <c r="E217" s="3"/>
      <c r="F217" s="16"/>
      <c r="G217" s="29"/>
      <c r="H217" s="3"/>
      <c r="I217" s="3"/>
      <c r="J217" s="3"/>
      <c r="K217" s="3"/>
      <c r="L217" s="3"/>
      <c r="M217" s="3"/>
      <c r="N217" s="3"/>
      <c r="O217" s="3"/>
      <c r="P217" s="3"/>
      <c r="Q217" s="3"/>
      <c r="R217" s="3"/>
      <c r="S217" s="3"/>
      <c r="T217" s="3"/>
      <c r="U217" s="3"/>
      <c r="V217" s="3"/>
      <c r="W217" s="3"/>
      <c r="X217" s="3"/>
      <c r="Y217" s="3"/>
      <c r="Z217" s="3"/>
      <c r="AA217" s="3"/>
      <c r="AB217" s="3"/>
    </row>
    <row r="218">
      <c r="A218" s="4"/>
      <c r="B218" s="4"/>
      <c r="C218" s="4"/>
      <c r="D218" s="3"/>
      <c r="E218" s="3"/>
      <c r="F218" s="16"/>
      <c r="G218" s="29"/>
      <c r="H218" s="3"/>
      <c r="I218" s="3"/>
      <c r="J218" s="3"/>
      <c r="K218" s="3"/>
      <c r="L218" s="3"/>
      <c r="M218" s="3"/>
      <c r="N218" s="3"/>
      <c r="O218" s="3"/>
      <c r="P218" s="3"/>
      <c r="Q218" s="3"/>
      <c r="R218" s="3"/>
      <c r="S218" s="3"/>
      <c r="T218" s="3"/>
      <c r="U218" s="3"/>
      <c r="V218" s="3"/>
      <c r="W218" s="3"/>
      <c r="X218" s="3"/>
      <c r="Y218" s="3"/>
      <c r="Z218" s="3"/>
      <c r="AA218" s="3"/>
      <c r="AB218" s="3"/>
    </row>
    <row r="219">
      <c r="A219" s="4"/>
      <c r="B219" s="4"/>
      <c r="C219" s="4"/>
      <c r="D219" s="3"/>
      <c r="E219" s="3"/>
      <c r="F219" s="16"/>
      <c r="G219" s="29"/>
      <c r="H219" s="3"/>
      <c r="I219" s="3"/>
      <c r="J219" s="3"/>
      <c r="K219" s="3"/>
      <c r="L219" s="3"/>
      <c r="M219" s="3"/>
      <c r="N219" s="3"/>
      <c r="O219" s="3"/>
      <c r="P219" s="3"/>
      <c r="Q219" s="3"/>
      <c r="R219" s="3"/>
      <c r="S219" s="3"/>
      <c r="T219" s="3"/>
      <c r="U219" s="3"/>
      <c r="V219" s="3"/>
      <c r="W219" s="3"/>
      <c r="X219" s="3"/>
      <c r="Y219" s="3"/>
      <c r="Z219" s="3"/>
      <c r="AA219" s="3"/>
      <c r="AB219" s="3"/>
    </row>
    <row r="220">
      <c r="A220" s="4"/>
      <c r="B220" s="4"/>
      <c r="C220" s="4"/>
      <c r="D220" s="3"/>
      <c r="E220" s="3"/>
      <c r="F220" s="16"/>
      <c r="G220" s="29"/>
      <c r="H220" s="3"/>
      <c r="I220" s="3"/>
      <c r="J220" s="3"/>
      <c r="K220" s="3"/>
      <c r="L220" s="3"/>
      <c r="M220" s="3"/>
      <c r="N220" s="3"/>
      <c r="O220" s="3"/>
      <c r="P220" s="3"/>
      <c r="Q220" s="3"/>
      <c r="R220" s="3"/>
      <c r="S220" s="3"/>
      <c r="T220" s="3"/>
      <c r="U220" s="3"/>
      <c r="V220" s="3"/>
      <c r="W220" s="3"/>
      <c r="X220" s="3"/>
      <c r="Y220" s="3"/>
      <c r="Z220" s="3"/>
      <c r="AA220" s="3"/>
      <c r="AB220" s="3"/>
    </row>
    <row r="221">
      <c r="A221" s="4"/>
      <c r="B221" s="4"/>
      <c r="C221" s="4"/>
      <c r="D221" s="3"/>
      <c r="E221" s="3"/>
      <c r="F221" s="16"/>
      <c r="G221" s="29"/>
      <c r="H221" s="3"/>
      <c r="I221" s="3"/>
      <c r="J221" s="3"/>
      <c r="K221" s="3"/>
      <c r="L221" s="3"/>
      <c r="M221" s="3"/>
      <c r="N221" s="3"/>
      <c r="O221" s="3"/>
      <c r="P221" s="3"/>
      <c r="Q221" s="3"/>
      <c r="R221" s="3"/>
      <c r="S221" s="3"/>
      <c r="T221" s="3"/>
      <c r="U221" s="3"/>
      <c r="V221" s="3"/>
      <c r="W221" s="3"/>
      <c r="X221" s="3"/>
      <c r="Y221" s="3"/>
      <c r="Z221" s="3"/>
      <c r="AA221" s="3"/>
      <c r="AB221" s="3"/>
    </row>
    <row r="222">
      <c r="A222" s="4"/>
      <c r="B222" s="4"/>
      <c r="C222" s="4"/>
      <c r="D222" s="3"/>
      <c r="E222" s="3"/>
      <c r="F222" s="16"/>
      <c r="G222" s="29"/>
      <c r="H222" s="3"/>
      <c r="I222" s="3"/>
      <c r="J222" s="3"/>
      <c r="K222" s="3"/>
      <c r="L222" s="3"/>
      <c r="M222" s="3"/>
      <c r="N222" s="3"/>
      <c r="O222" s="3"/>
      <c r="P222" s="3"/>
      <c r="Q222" s="3"/>
      <c r="R222" s="3"/>
      <c r="S222" s="3"/>
      <c r="T222" s="3"/>
      <c r="U222" s="3"/>
      <c r="V222" s="3"/>
      <c r="W222" s="3"/>
      <c r="X222" s="3"/>
      <c r="Y222" s="3"/>
      <c r="Z222" s="3"/>
      <c r="AA222" s="3"/>
      <c r="AB222" s="3"/>
    </row>
    <row r="223">
      <c r="A223" s="4"/>
      <c r="B223" s="4"/>
      <c r="C223" s="4"/>
      <c r="D223" s="3"/>
      <c r="E223" s="3"/>
      <c r="F223" s="16"/>
      <c r="G223" s="29"/>
      <c r="H223" s="3"/>
      <c r="I223" s="3"/>
      <c r="J223" s="3"/>
      <c r="K223" s="3"/>
      <c r="L223" s="3"/>
      <c r="M223" s="3"/>
      <c r="N223" s="3"/>
      <c r="O223" s="3"/>
      <c r="P223" s="3"/>
      <c r="Q223" s="3"/>
      <c r="R223" s="3"/>
      <c r="S223" s="3"/>
      <c r="T223" s="3"/>
      <c r="U223" s="3"/>
      <c r="V223" s="3"/>
      <c r="W223" s="3"/>
      <c r="X223" s="3"/>
      <c r="Y223" s="3"/>
      <c r="Z223" s="3"/>
      <c r="AA223" s="3"/>
      <c r="AB223" s="3"/>
    </row>
    <row r="224">
      <c r="A224" s="4"/>
      <c r="B224" s="4"/>
      <c r="C224" s="4"/>
      <c r="D224" s="3"/>
      <c r="E224" s="3"/>
      <c r="F224" s="16"/>
      <c r="G224" s="29"/>
      <c r="H224" s="3"/>
      <c r="I224" s="3"/>
      <c r="J224" s="3"/>
      <c r="K224" s="3"/>
      <c r="L224" s="3"/>
      <c r="M224" s="3"/>
      <c r="N224" s="3"/>
      <c r="O224" s="3"/>
      <c r="P224" s="3"/>
      <c r="Q224" s="3"/>
      <c r="R224" s="3"/>
      <c r="S224" s="3"/>
      <c r="T224" s="3"/>
      <c r="U224" s="3"/>
      <c r="V224" s="3"/>
      <c r="W224" s="3"/>
      <c r="X224" s="3"/>
      <c r="Y224" s="3"/>
      <c r="Z224" s="3"/>
      <c r="AA224" s="3"/>
      <c r="AB224" s="3"/>
    </row>
    <row r="225">
      <c r="A225" s="4"/>
      <c r="B225" s="4"/>
      <c r="C225" s="4"/>
      <c r="D225" s="3"/>
      <c r="E225" s="3"/>
      <c r="F225" s="16"/>
      <c r="G225" s="29"/>
      <c r="H225" s="3"/>
      <c r="I225" s="3"/>
      <c r="J225" s="3"/>
      <c r="K225" s="3"/>
      <c r="L225" s="3"/>
      <c r="M225" s="3"/>
      <c r="N225" s="3"/>
      <c r="O225" s="3"/>
      <c r="P225" s="3"/>
      <c r="Q225" s="3"/>
      <c r="R225" s="3"/>
      <c r="S225" s="3"/>
      <c r="T225" s="3"/>
      <c r="U225" s="3"/>
      <c r="V225" s="3"/>
      <c r="W225" s="3"/>
      <c r="X225" s="3"/>
      <c r="Y225" s="3"/>
      <c r="Z225" s="3"/>
      <c r="AA225" s="3"/>
      <c r="AB225" s="3"/>
    </row>
    <row r="226">
      <c r="A226" s="4"/>
      <c r="B226" s="4"/>
      <c r="C226" s="4"/>
      <c r="D226" s="3"/>
      <c r="E226" s="3"/>
      <c r="F226" s="16"/>
      <c r="G226" s="29"/>
      <c r="H226" s="3"/>
      <c r="I226" s="3"/>
      <c r="J226" s="3"/>
      <c r="K226" s="3"/>
      <c r="L226" s="3"/>
      <c r="M226" s="3"/>
      <c r="N226" s="3"/>
      <c r="O226" s="3"/>
      <c r="P226" s="3"/>
      <c r="Q226" s="3"/>
      <c r="R226" s="3"/>
      <c r="S226" s="3"/>
      <c r="T226" s="3"/>
      <c r="U226" s="3"/>
      <c r="V226" s="3"/>
      <c r="W226" s="3"/>
      <c r="X226" s="3"/>
      <c r="Y226" s="3"/>
      <c r="Z226" s="3"/>
      <c r="AA226" s="3"/>
      <c r="AB226" s="3"/>
    </row>
    <row r="227">
      <c r="A227" s="4"/>
      <c r="B227" s="4"/>
      <c r="C227" s="4"/>
      <c r="D227" s="3"/>
      <c r="E227" s="3"/>
      <c r="F227" s="16"/>
      <c r="G227" s="29"/>
      <c r="H227" s="3"/>
      <c r="I227" s="3"/>
      <c r="J227" s="3"/>
      <c r="K227" s="3"/>
      <c r="L227" s="3"/>
      <c r="M227" s="3"/>
      <c r="N227" s="3"/>
      <c r="O227" s="3"/>
      <c r="P227" s="3"/>
      <c r="Q227" s="3"/>
      <c r="R227" s="3"/>
      <c r="S227" s="3"/>
      <c r="T227" s="3"/>
      <c r="U227" s="3"/>
      <c r="V227" s="3"/>
      <c r="W227" s="3"/>
      <c r="X227" s="3"/>
      <c r="Y227" s="3"/>
      <c r="Z227" s="3"/>
      <c r="AA227" s="3"/>
      <c r="AB227" s="3"/>
    </row>
    <row r="228">
      <c r="A228" s="4"/>
      <c r="B228" s="4"/>
      <c r="C228" s="4"/>
      <c r="D228" s="3"/>
      <c r="E228" s="3"/>
      <c r="F228" s="16"/>
      <c r="G228" s="29"/>
      <c r="H228" s="3"/>
      <c r="I228" s="3"/>
      <c r="J228" s="3"/>
      <c r="K228" s="3"/>
      <c r="L228" s="3"/>
      <c r="M228" s="3"/>
      <c r="N228" s="3"/>
      <c r="O228" s="3"/>
      <c r="P228" s="3"/>
      <c r="Q228" s="3"/>
      <c r="R228" s="3"/>
      <c r="S228" s="3"/>
      <c r="T228" s="3"/>
      <c r="U228" s="3"/>
      <c r="V228" s="3"/>
      <c r="W228" s="3"/>
      <c r="X228" s="3"/>
      <c r="Y228" s="3"/>
      <c r="Z228" s="3"/>
      <c r="AA228" s="3"/>
      <c r="AB228" s="3"/>
    </row>
    <row r="229">
      <c r="A229" s="4"/>
      <c r="B229" s="4"/>
      <c r="C229" s="4"/>
      <c r="D229" s="3"/>
      <c r="E229" s="3"/>
      <c r="F229" s="16"/>
      <c r="G229" s="29"/>
      <c r="H229" s="3"/>
      <c r="I229" s="3"/>
      <c r="J229" s="3"/>
      <c r="K229" s="3"/>
      <c r="L229" s="3"/>
      <c r="M229" s="3"/>
      <c r="N229" s="3"/>
      <c r="O229" s="3"/>
      <c r="P229" s="3"/>
      <c r="Q229" s="3"/>
      <c r="R229" s="3"/>
      <c r="S229" s="3"/>
      <c r="T229" s="3"/>
      <c r="U229" s="3"/>
      <c r="V229" s="3"/>
      <c r="W229" s="3"/>
      <c r="X229" s="3"/>
      <c r="Y229" s="3"/>
      <c r="Z229" s="3"/>
      <c r="AA229" s="3"/>
      <c r="AB229" s="3"/>
    </row>
    <row r="230">
      <c r="A230" s="4"/>
      <c r="B230" s="4"/>
      <c r="C230" s="4"/>
      <c r="D230" s="3"/>
      <c r="E230" s="3"/>
      <c r="F230" s="16"/>
      <c r="G230" s="29"/>
      <c r="H230" s="3"/>
      <c r="I230" s="3"/>
      <c r="J230" s="3"/>
      <c r="K230" s="3"/>
      <c r="L230" s="3"/>
      <c r="M230" s="3"/>
      <c r="N230" s="3"/>
      <c r="O230" s="3"/>
      <c r="P230" s="3"/>
      <c r="Q230" s="3"/>
      <c r="R230" s="3"/>
      <c r="S230" s="3"/>
      <c r="T230" s="3"/>
      <c r="U230" s="3"/>
      <c r="V230" s="3"/>
      <c r="W230" s="3"/>
      <c r="X230" s="3"/>
      <c r="Y230" s="3"/>
      <c r="Z230" s="3"/>
      <c r="AA230" s="3"/>
      <c r="AB230" s="3"/>
    </row>
    <row r="231">
      <c r="A231" s="4"/>
      <c r="B231" s="4"/>
      <c r="C231" s="4"/>
      <c r="D231" s="3"/>
      <c r="E231" s="3"/>
      <c r="F231" s="16"/>
      <c r="G231" s="29"/>
      <c r="H231" s="3"/>
      <c r="I231" s="3"/>
      <c r="J231" s="3"/>
      <c r="K231" s="3"/>
      <c r="L231" s="3"/>
      <c r="M231" s="3"/>
      <c r="N231" s="3"/>
      <c r="O231" s="3"/>
      <c r="P231" s="3"/>
      <c r="Q231" s="3"/>
      <c r="R231" s="3"/>
      <c r="S231" s="3"/>
      <c r="T231" s="3"/>
      <c r="U231" s="3"/>
      <c r="V231" s="3"/>
      <c r="W231" s="3"/>
      <c r="X231" s="3"/>
      <c r="Y231" s="3"/>
      <c r="Z231" s="3"/>
      <c r="AA231" s="3"/>
      <c r="AB231" s="3"/>
    </row>
    <row r="232">
      <c r="A232" s="4"/>
      <c r="B232" s="4"/>
      <c r="C232" s="4"/>
      <c r="D232" s="3"/>
      <c r="E232" s="3"/>
      <c r="F232" s="16"/>
      <c r="G232" s="29"/>
      <c r="H232" s="3"/>
      <c r="I232" s="3"/>
      <c r="J232" s="3"/>
      <c r="K232" s="3"/>
      <c r="L232" s="3"/>
      <c r="M232" s="3"/>
      <c r="N232" s="3"/>
      <c r="O232" s="3"/>
      <c r="P232" s="3"/>
      <c r="Q232" s="3"/>
      <c r="R232" s="3"/>
      <c r="S232" s="3"/>
      <c r="T232" s="3"/>
      <c r="U232" s="3"/>
      <c r="V232" s="3"/>
      <c r="W232" s="3"/>
      <c r="X232" s="3"/>
      <c r="Y232" s="3"/>
      <c r="Z232" s="3"/>
      <c r="AA232" s="3"/>
      <c r="AB232" s="3"/>
    </row>
    <row r="233">
      <c r="A233" s="4"/>
      <c r="B233" s="4"/>
      <c r="C233" s="4"/>
      <c r="D233" s="3"/>
      <c r="E233" s="3"/>
      <c r="F233" s="16"/>
      <c r="G233" s="29"/>
      <c r="H233" s="3"/>
      <c r="I233" s="3"/>
      <c r="J233" s="3"/>
      <c r="K233" s="3"/>
      <c r="L233" s="3"/>
      <c r="M233" s="3"/>
      <c r="N233" s="3"/>
      <c r="O233" s="3"/>
      <c r="P233" s="3"/>
      <c r="Q233" s="3"/>
      <c r="R233" s="3"/>
      <c r="S233" s="3"/>
      <c r="T233" s="3"/>
      <c r="U233" s="3"/>
      <c r="V233" s="3"/>
      <c r="W233" s="3"/>
      <c r="X233" s="3"/>
      <c r="Y233" s="3"/>
      <c r="Z233" s="3"/>
      <c r="AA233" s="3"/>
      <c r="AB233" s="3"/>
    </row>
    <row r="234">
      <c r="A234" s="4"/>
      <c r="B234" s="4"/>
      <c r="C234" s="4"/>
      <c r="D234" s="3"/>
      <c r="E234" s="3"/>
      <c r="F234" s="16"/>
      <c r="G234" s="29"/>
      <c r="H234" s="3"/>
      <c r="I234" s="3"/>
      <c r="J234" s="3"/>
      <c r="K234" s="3"/>
      <c r="L234" s="3"/>
      <c r="M234" s="3"/>
      <c r="N234" s="3"/>
      <c r="O234" s="3"/>
      <c r="P234" s="3"/>
      <c r="Q234" s="3"/>
      <c r="R234" s="3"/>
      <c r="S234" s="3"/>
      <c r="T234" s="3"/>
      <c r="U234" s="3"/>
      <c r="V234" s="3"/>
      <c r="W234" s="3"/>
      <c r="X234" s="3"/>
      <c r="Y234" s="3"/>
      <c r="Z234" s="3"/>
      <c r="AA234" s="3"/>
      <c r="AB234" s="3"/>
    </row>
    <row r="235">
      <c r="A235" s="4"/>
      <c r="B235" s="4"/>
      <c r="C235" s="4"/>
      <c r="D235" s="3"/>
      <c r="E235" s="3"/>
      <c r="F235" s="16"/>
      <c r="G235" s="29"/>
      <c r="H235" s="3"/>
      <c r="I235" s="3"/>
      <c r="J235" s="3"/>
      <c r="K235" s="3"/>
      <c r="L235" s="3"/>
      <c r="M235" s="3"/>
      <c r="N235" s="3"/>
      <c r="O235" s="3"/>
      <c r="P235" s="3"/>
      <c r="Q235" s="3"/>
      <c r="R235" s="3"/>
      <c r="S235" s="3"/>
      <c r="T235" s="3"/>
      <c r="U235" s="3"/>
      <c r="V235" s="3"/>
      <c r="W235" s="3"/>
      <c r="X235" s="3"/>
      <c r="Y235" s="3"/>
      <c r="Z235" s="3"/>
      <c r="AA235" s="3"/>
      <c r="AB235" s="3"/>
    </row>
    <row r="236">
      <c r="A236" s="4"/>
      <c r="B236" s="4"/>
      <c r="C236" s="4"/>
      <c r="D236" s="3"/>
      <c r="E236" s="3"/>
      <c r="F236" s="16"/>
      <c r="G236" s="29"/>
      <c r="H236" s="3"/>
      <c r="I236" s="3"/>
      <c r="J236" s="3"/>
      <c r="K236" s="3"/>
      <c r="L236" s="3"/>
      <c r="M236" s="3"/>
      <c r="N236" s="3"/>
      <c r="O236" s="3"/>
      <c r="P236" s="3"/>
      <c r="Q236" s="3"/>
      <c r="R236" s="3"/>
      <c r="S236" s="3"/>
      <c r="T236" s="3"/>
      <c r="U236" s="3"/>
      <c r="V236" s="3"/>
      <c r="W236" s="3"/>
      <c r="X236" s="3"/>
      <c r="Y236" s="3"/>
      <c r="Z236" s="3"/>
      <c r="AA236" s="3"/>
      <c r="AB236" s="3"/>
    </row>
    <row r="237">
      <c r="A237" s="4"/>
      <c r="B237" s="4"/>
      <c r="C237" s="4"/>
      <c r="D237" s="3"/>
      <c r="E237" s="3"/>
      <c r="F237" s="16"/>
      <c r="G237" s="29"/>
      <c r="H237" s="3"/>
      <c r="I237" s="3"/>
      <c r="J237" s="3"/>
      <c r="K237" s="3"/>
      <c r="L237" s="3"/>
      <c r="M237" s="3"/>
      <c r="N237" s="3"/>
      <c r="O237" s="3"/>
      <c r="P237" s="3"/>
      <c r="Q237" s="3"/>
      <c r="R237" s="3"/>
      <c r="S237" s="3"/>
      <c r="T237" s="3"/>
      <c r="U237" s="3"/>
      <c r="V237" s="3"/>
      <c r="W237" s="3"/>
      <c r="X237" s="3"/>
      <c r="Y237" s="3"/>
      <c r="Z237" s="3"/>
      <c r="AA237" s="3"/>
      <c r="AB237" s="3"/>
    </row>
    <row r="238">
      <c r="A238" s="4"/>
      <c r="B238" s="4"/>
      <c r="C238" s="4"/>
      <c r="D238" s="3"/>
      <c r="E238" s="3"/>
      <c r="F238" s="16"/>
      <c r="G238" s="29"/>
      <c r="H238" s="3"/>
      <c r="I238" s="3"/>
      <c r="J238" s="3"/>
      <c r="K238" s="3"/>
      <c r="L238" s="3"/>
      <c r="M238" s="3"/>
      <c r="N238" s="3"/>
      <c r="O238" s="3"/>
      <c r="P238" s="3"/>
      <c r="Q238" s="3"/>
      <c r="R238" s="3"/>
      <c r="S238" s="3"/>
      <c r="T238" s="3"/>
      <c r="U238" s="3"/>
      <c r="V238" s="3"/>
      <c r="W238" s="3"/>
      <c r="X238" s="3"/>
      <c r="Y238" s="3"/>
      <c r="Z238" s="3"/>
      <c r="AA238" s="3"/>
      <c r="AB238" s="3"/>
    </row>
    <row r="239">
      <c r="A239" s="4"/>
      <c r="B239" s="4"/>
      <c r="C239" s="4"/>
      <c r="D239" s="3"/>
      <c r="E239" s="3"/>
      <c r="F239" s="16"/>
      <c r="G239" s="29"/>
      <c r="H239" s="3"/>
      <c r="I239" s="3"/>
      <c r="J239" s="3"/>
      <c r="K239" s="3"/>
      <c r="L239" s="3"/>
      <c r="M239" s="3"/>
      <c r="N239" s="3"/>
      <c r="O239" s="3"/>
      <c r="P239" s="3"/>
      <c r="Q239" s="3"/>
      <c r="R239" s="3"/>
      <c r="S239" s="3"/>
      <c r="T239" s="3"/>
      <c r="U239" s="3"/>
      <c r="V239" s="3"/>
      <c r="W239" s="3"/>
      <c r="X239" s="3"/>
      <c r="Y239" s="3"/>
      <c r="Z239" s="3"/>
      <c r="AA239" s="3"/>
      <c r="AB239" s="3"/>
    </row>
    <row r="240">
      <c r="A240" s="4"/>
      <c r="B240" s="4"/>
      <c r="C240" s="4"/>
      <c r="D240" s="3"/>
      <c r="E240" s="3"/>
      <c r="F240" s="16"/>
      <c r="G240" s="29"/>
      <c r="H240" s="3"/>
      <c r="I240" s="3"/>
      <c r="J240" s="3"/>
      <c r="K240" s="3"/>
      <c r="L240" s="3"/>
      <c r="M240" s="3"/>
      <c r="N240" s="3"/>
      <c r="O240" s="3"/>
      <c r="P240" s="3"/>
      <c r="Q240" s="3"/>
      <c r="R240" s="3"/>
      <c r="S240" s="3"/>
      <c r="T240" s="3"/>
      <c r="U240" s="3"/>
      <c r="V240" s="3"/>
      <c r="W240" s="3"/>
      <c r="X240" s="3"/>
      <c r="Y240" s="3"/>
      <c r="Z240" s="3"/>
      <c r="AA240" s="3"/>
      <c r="AB240" s="3"/>
    </row>
    <row r="241">
      <c r="A241" s="4"/>
      <c r="B241" s="4"/>
      <c r="C241" s="4"/>
      <c r="D241" s="3"/>
      <c r="E241" s="3"/>
      <c r="F241" s="16"/>
      <c r="G241" s="29"/>
      <c r="H241" s="3"/>
      <c r="I241" s="3"/>
      <c r="J241" s="3"/>
      <c r="K241" s="3"/>
      <c r="L241" s="3"/>
      <c r="M241" s="3"/>
      <c r="N241" s="3"/>
      <c r="O241" s="3"/>
      <c r="P241" s="3"/>
      <c r="Q241" s="3"/>
      <c r="R241" s="3"/>
      <c r="S241" s="3"/>
      <c r="T241" s="3"/>
      <c r="U241" s="3"/>
      <c r="V241" s="3"/>
      <c r="W241" s="3"/>
      <c r="X241" s="3"/>
      <c r="Y241" s="3"/>
      <c r="Z241" s="3"/>
      <c r="AA241" s="3"/>
      <c r="AB241" s="3"/>
    </row>
    <row r="242">
      <c r="A242" s="4"/>
      <c r="B242" s="4"/>
      <c r="C242" s="4"/>
      <c r="D242" s="3"/>
      <c r="E242" s="3"/>
      <c r="F242" s="16"/>
      <c r="G242" s="29"/>
      <c r="H242" s="3"/>
      <c r="I242" s="3"/>
      <c r="J242" s="3"/>
      <c r="K242" s="3"/>
      <c r="L242" s="3"/>
      <c r="M242" s="3"/>
      <c r="N242" s="3"/>
      <c r="O242" s="3"/>
      <c r="P242" s="3"/>
      <c r="Q242" s="3"/>
      <c r="R242" s="3"/>
      <c r="S242" s="3"/>
      <c r="T242" s="3"/>
      <c r="U242" s="3"/>
      <c r="V242" s="3"/>
      <c r="W242" s="3"/>
      <c r="X242" s="3"/>
      <c r="Y242" s="3"/>
      <c r="Z242" s="3"/>
      <c r="AA242" s="3"/>
      <c r="AB242" s="3"/>
    </row>
    <row r="243">
      <c r="A243" s="4"/>
      <c r="B243" s="4"/>
      <c r="C243" s="4"/>
      <c r="D243" s="3"/>
      <c r="E243" s="3"/>
      <c r="F243" s="16"/>
      <c r="G243" s="29"/>
      <c r="H243" s="3"/>
      <c r="I243" s="3"/>
      <c r="J243" s="3"/>
      <c r="K243" s="3"/>
      <c r="L243" s="3"/>
      <c r="M243" s="3"/>
      <c r="N243" s="3"/>
      <c r="O243" s="3"/>
      <c r="P243" s="3"/>
      <c r="Q243" s="3"/>
      <c r="R243" s="3"/>
      <c r="S243" s="3"/>
      <c r="T243" s="3"/>
      <c r="U243" s="3"/>
      <c r="V243" s="3"/>
      <c r="W243" s="3"/>
      <c r="X243" s="3"/>
      <c r="Y243" s="3"/>
      <c r="Z243" s="3"/>
      <c r="AA243" s="3"/>
      <c r="AB243" s="3"/>
    </row>
    <row r="244">
      <c r="A244" s="4"/>
      <c r="B244" s="4"/>
      <c r="C244" s="4"/>
      <c r="D244" s="3"/>
      <c r="E244" s="3"/>
      <c r="F244" s="16"/>
      <c r="G244" s="29"/>
      <c r="H244" s="3"/>
      <c r="I244" s="3"/>
      <c r="J244" s="3"/>
      <c r="K244" s="3"/>
      <c r="L244" s="3"/>
      <c r="M244" s="3"/>
      <c r="N244" s="3"/>
      <c r="O244" s="3"/>
      <c r="P244" s="3"/>
      <c r="Q244" s="3"/>
      <c r="R244" s="3"/>
      <c r="S244" s="3"/>
      <c r="T244" s="3"/>
      <c r="U244" s="3"/>
      <c r="V244" s="3"/>
      <c r="W244" s="3"/>
      <c r="X244" s="3"/>
      <c r="Y244" s="3"/>
      <c r="Z244" s="3"/>
      <c r="AA244" s="3"/>
      <c r="AB244" s="3"/>
    </row>
    <row r="245">
      <c r="A245" s="4"/>
      <c r="B245" s="4"/>
      <c r="C245" s="4"/>
      <c r="D245" s="3"/>
      <c r="E245" s="3"/>
      <c r="F245" s="16"/>
      <c r="G245" s="29"/>
      <c r="H245" s="3"/>
      <c r="I245" s="3"/>
      <c r="J245" s="3"/>
      <c r="K245" s="3"/>
      <c r="L245" s="3"/>
      <c r="M245" s="3"/>
      <c r="N245" s="3"/>
      <c r="O245" s="3"/>
      <c r="P245" s="3"/>
      <c r="Q245" s="3"/>
      <c r="R245" s="3"/>
      <c r="S245" s="3"/>
      <c r="T245" s="3"/>
      <c r="U245" s="3"/>
      <c r="V245" s="3"/>
      <c r="W245" s="3"/>
      <c r="X245" s="3"/>
      <c r="Y245" s="3"/>
      <c r="Z245" s="3"/>
      <c r="AA245" s="3"/>
      <c r="AB245" s="3"/>
    </row>
    <row r="246">
      <c r="A246" s="4"/>
      <c r="B246" s="4"/>
      <c r="C246" s="4"/>
      <c r="D246" s="3"/>
      <c r="E246" s="3"/>
      <c r="F246" s="16"/>
      <c r="G246" s="29"/>
      <c r="H246" s="3"/>
      <c r="I246" s="3"/>
      <c r="J246" s="3"/>
      <c r="K246" s="3"/>
      <c r="L246" s="3"/>
      <c r="M246" s="3"/>
      <c r="N246" s="3"/>
      <c r="O246" s="3"/>
      <c r="P246" s="3"/>
      <c r="Q246" s="3"/>
      <c r="R246" s="3"/>
      <c r="S246" s="3"/>
      <c r="T246" s="3"/>
      <c r="U246" s="3"/>
      <c r="V246" s="3"/>
      <c r="W246" s="3"/>
      <c r="X246" s="3"/>
      <c r="Y246" s="3"/>
      <c r="Z246" s="3"/>
      <c r="AA246" s="3"/>
      <c r="AB246" s="3"/>
    </row>
    <row r="247">
      <c r="A247" s="4"/>
      <c r="B247" s="4"/>
      <c r="C247" s="4"/>
      <c r="D247" s="3"/>
      <c r="E247" s="3"/>
      <c r="F247" s="16"/>
      <c r="G247" s="29"/>
      <c r="H247" s="3"/>
      <c r="I247" s="3"/>
      <c r="J247" s="3"/>
      <c r="K247" s="3"/>
      <c r="L247" s="3"/>
      <c r="M247" s="3"/>
      <c r="N247" s="3"/>
      <c r="O247" s="3"/>
      <c r="P247" s="3"/>
      <c r="Q247" s="3"/>
      <c r="R247" s="3"/>
      <c r="S247" s="3"/>
      <c r="T247" s="3"/>
      <c r="U247" s="3"/>
      <c r="V247" s="3"/>
      <c r="W247" s="3"/>
      <c r="X247" s="3"/>
      <c r="Y247" s="3"/>
      <c r="Z247" s="3"/>
      <c r="AA247" s="3"/>
      <c r="AB247" s="3"/>
    </row>
    <row r="248">
      <c r="A248" s="4"/>
      <c r="B248" s="4"/>
      <c r="C248" s="4"/>
      <c r="D248" s="3"/>
      <c r="E248" s="3"/>
      <c r="F248" s="16"/>
      <c r="G248" s="29"/>
      <c r="H248" s="3"/>
      <c r="I248" s="3"/>
      <c r="J248" s="3"/>
      <c r="K248" s="3"/>
      <c r="L248" s="3"/>
      <c r="M248" s="3"/>
      <c r="N248" s="3"/>
      <c r="O248" s="3"/>
      <c r="P248" s="3"/>
      <c r="Q248" s="3"/>
      <c r="R248" s="3"/>
      <c r="S248" s="3"/>
      <c r="T248" s="3"/>
      <c r="U248" s="3"/>
      <c r="V248" s="3"/>
      <c r="W248" s="3"/>
      <c r="X248" s="3"/>
      <c r="Y248" s="3"/>
      <c r="Z248" s="3"/>
      <c r="AA248" s="3"/>
      <c r="AB248" s="3"/>
    </row>
    <row r="249">
      <c r="A249" s="4"/>
      <c r="B249" s="4"/>
      <c r="C249" s="4"/>
      <c r="D249" s="3"/>
      <c r="E249" s="3"/>
      <c r="F249" s="16"/>
      <c r="G249" s="29"/>
      <c r="H249" s="3"/>
      <c r="I249" s="3"/>
      <c r="J249" s="3"/>
      <c r="K249" s="3"/>
      <c r="L249" s="3"/>
      <c r="M249" s="3"/>
      <c r="N249" s="3"/>
      <c r="O249" s="3"/>
      <c r="P249" s="3"/>
      <c r="Q249" s="3"/>
      <c r="R249" s="3"/>
      <c r="S249" s="3"/>
      <c r="T249" s="3"/>
      <c r="U249" s="3"/>
      <c r="V249" s="3"/>
      <c r="W249" s="3"/>
      <c r="X249" s="3"/>
      <c r="Y249" s="3"/>
      <c r="Z249" s="3"/>
      <c r="AA249" s="3"/>
      <c r="AB249" s="3"/>
    </row>
    <row r="250">
      <c r="A250" s="4"/>
      <c r="B250" s="4"/>
      <c r="C250" s="4"/>
      <c r="D250" s="3"/>
      <c r="E250" s="3"/>
      <c r="F250" s="16"/>
      <c r="G250" s="29"/>
      <c r="H250" s="3"/>
      <c r="I250" s="3"/>
      <c r="J250" s="3"/>
      <c r="K250" s="3"/>
      <c r="L250" s="3"/>
      <c r="M250" s="3"/>
      <c r="N250" s="3"/>
      <c r="O250" s="3"/>
      <c r="P250" s="3"/>
      <c r="Q250" s="3"/>
      <c r="R250" s="3"/>
      <c r="S250" s="3"/>
      <c r="T250" s="3"/>
      <c r="U250" s="3"/>
      <c r="V250" s="3"/>
      <c r="W250" s="3"/>
      <c r="X250" s="3"/>
      <c r="Y250" s="3"/>
      <c r="Z250" s="3"/>
      <c r="AA250" s="3"/>
      <c r="AB250" s="3"/>
    </row>
    <row r="251">
      <c r="A251" s="4"/>
      <c r="B251" s="4"/>
      <c r="C251" s="4"/>
      <c r="D251" s="3"/>
      <c r="E251" s="3"/>
      <c r="F251" s="16"/>
      <c r="G251" s="29"/>
      <c r="H251" s="3"/>
      <c r="I251" s="3"/>
      <c r="J251" s="3"/>
      <c r="K251" s="3"/>
      <c r="L251" s="3"/>
      <c r="M251" s="3"/>
      <c r="N251" s="3"/>
      <c r="O251" s="3"/>
      <c r="P251" s="3"/>
      <c r="Q251" s="3"/>
      <c r="R251" s="3"/>
      <c r="S251" s="3"/>
      <c r="T251" s="3"/>
      <c r="U251" s="3"/>
      <c r="V251" s="3"/>
      <c r="W251" s="3"/>
      <c r="X251" s="3"/>
      <c r="Y251" s="3"/>
      <c r="Z251" s="3"/>
      <c r="AA251" s="3"/>
      <c r="AB251" s="3"/>
    </row>
    <row r="252">
      <c r="A252" s="4"/>
      <c r="B252" s="4"/>
      <c r="C252" s="4"/>
      <c r="D252" s="3"/>
      <c r="E252" s="3"/>
      <c r="F252" s="16"/>
      <c r="G252" s="29"/>
      <c r="H252" s="3"/>
      <c r="I252" s="3"/>
      <c r="J252" s="3"/>
      <c r="K252" s="3"/>
      <c r="L252" s="3"/>
      <c r="M252" s="3"/>
      <c r="N252" s="3"/>
      <c r="O252" s="3"/>
      <c r="P252" s="3"/>
      <c r="Q252" s="3"/>
      <c r="R252" s="3"/>
      <c r="S252" s="3"/>
      <c r="T252" s="3"/>
      <c r="U252" s="3"/>
      <c r="V252" s="3"/>
      <c r="W252" s="3"/>
      <c r="X252" s="3"/>
      <c r="Y252" s="3"/>
      <c r="Z252" s="3"/>
      <c r="AA252" s="3"/>
      <c r="AB252" s="3"/>
    </row>
    <row r="253">
      <c r="A253" s="4"/>
      <c r="B253" s="4"/>
      <c r="C253" s="4"/>
      <c r="D253" s="3"/>
      <c r="E253" s="3"/>
      <c r="F253" s="16"/>
      <c r="G253" s="29"/>
      <c r="H253" s="3"/>
      <c r="I253" s="3"/>
      <c r="J253" s="3"/>
      <c r="K253" s="3"/>
      <c r="L253" s="3"/>
      <c r="M253" s="3"/>
      <c r="N253" s="3"/>
      <c r="O253" s="3"/>
      <c r="P253" s="3"/>
      <c r="Q253" s="3"/>
      <c r="R253" s="3"/>
      <c r="S253" s="3"/>
      <c r="T253" s="3"/>
      <c r="U253" s="3"/>
      <c r="V253" s="3"/>
      <c r="W253" s="3"/>
      <c r="X253" s="3"/>
      <c r="Y253" s="3"/>
      <c r="Z253" s="3"/>
      <c r="AA253" s="3"/>
      <c r="AB253" s="3"/>
    </row>
    <row r="254">
      <c r="A254" s="4"/>
      <c r="B254" s="4"/>
      <c r="C254" s="4"/>
      <c r="D254" s="3"/>
      <c r="E254" s="3"/>
      <c r="F254" s="16"/>
      <c r="G254" s="29"/>
      <c r="H254" s="3"/>
      <c r="I254" s="3"/>
      <c r="J254" s="3"/>
      <c r="K254" s="3"/>
      <c r="L254" s="3"/>
      <c r="M254" s="3"/>
      <c r="N254" s="3"/>
      <c r="O254" s="3"/>
      <c r="P254" s="3"/>
      <c r="Q254" s="3"/>
      <c r="R254" s="3"/>
      <c r="S254" s="3"/>
      <c r="T254" s="3"/>
      <c r="U254" s="3"/>
      <c r="V254" s="3"/>
      <c r="W254" s="3"/>
      <c r="X254" s="3"/>
      <c r="Y254" s="3"/>
      <c r="Z254" s="3"/>
      <c r="AA254" s="3"/>
      <c r="AB254" s="3"/>
    </row>
    <row r="255">
      <c r="A255" s="4"/>
      <c r="B255" s="4"/>
      <c r="C255" s="4"/>
      <c r="D255" s="3"/>
      <c r="E255" s="3"/>
      <c r="F255" s="16"/>
      <c r="G255" s="29"/>
      <c r="H255" s="3"/>
      <c r="I255" s="3"/>
      <c r="J255" s="3"/>
      <c r="K255" s="3"/>
      <c r="L255" s="3"/>
      <c r="M255" s="3"/>
      <c r="N255" s="3"/>
      <c r="O255" s="3"/>
      <c r="P255" s="3"/>
      <c r="Q255" s="3"/>
      <c r="R255" s="3"/>
      <c r="S255" s="3"/>
      <c r="T255" s="3"/>
      <c r="U255" s="3"/>
      <c r="V255" s="3"/>
      <c r="W255" s="3"/>
      <c r="X255" s="3"/>
      <c r="Y255" s="3"/>
      <c r="Z255" s="3"/>
      <c r="AA255" s="3"/>
      <c r="AB255" s="3"/>
    </row>
    <row r="256">
      <c r="A256" s="4"/>
      <c r="B256" s="4"/>
      <c r="C256" s="4"/>
      <c r="D256" s="3"/>
      <c r="E256" s="3"/>
      <c r="F256" s="16"/>
      <c r="G256" s="29"/>
      <c r="H256" s="3"/>
      <c r="I256" s="3"/>
      <c r="J256" s="3"/>
      <c r="K256" s="3"/>
      <c r="L256" s="3"/>
      <c r="M256" s="3"/>
      <c r="N256" s="3"/>
      <c r="O256" s="3"/>
      <c r="P256" s="3"/>
      <c r="Q256" s="3"/>
      <c r="R256" s="3"/>
      <c r="S256" s="3"/>
      <c r="T256" s="3"/>
      <c r="U256" s="3"/>
      <c r="V256" s="3"/>
      <c r="W256" s="3"/>
      <c r="X256" s="3"/>
      <c r="Y256" s="3"/>
      <c r="Z256" s="3"/>
      <c r="AA256" s="3"/>
      <c r="AB256" s="3"/>
    </row>
    <row r="257">
      <c r="A257" s="4"/>
      <c r="B257" s="4"/>
      <c r="C257" s="4"/>
      <c r="D257" s="3"/>
      <c r="E257" s="3"/>
      <c r="F257" s="16"/>
      <c r="G257" s="29"/>
      <c r="H257" s="3"/>
      <c r="I257" s="3"/>
      <c r="J257" s="3"/>
      <c r="K257" s="3"/>
      <c r="L257" s="3"/>
      <c r="M257" s="3"/>
      <c r="N257" s="3"/>
      <c r="O257" s="3"/>
      <c r="P257" s="3"/>
      <c r="Q257" s="3"/>
      <c r="R257" s="3"/>
      <c r="S257" s="3"/>
      <c r="T257" s="3"/>
      <c r="U257" s="3"/>
      <c r="V257" s="3"/>
      <c r="W257" s="3"/>
      <c r="X257" s="3"/>
      <c r="Y257" s="3"/>
      <c r="Z257" s="3"/>
      <c r="AA257" s="3"/>
      <c r="AB257" s="3"/>
    </row>
    <row r="258">
      <c r="A258" s="4"/>
      <c r="B258" s="4"/>
      <c r="C258" s="4"/>
      <c r="D258" s="3"/>
      <c r="E258" s="3"/>
      <c r="F258" s="16"/>
      <c r="G258" s="29"/>
      <c r="H258" s="3"/>
      <c r="I258" s="3"/>
      <c r="J258" s="3"/>
      <c r="K258" s="3"/>
      <c r="L258" s="3"/>
      <c r="M258" s="3"/>
      <c r="N258" s="3"/>
      <c r="O258" s="3"/>
      <c r="P258" s="3"/>
      <c r="Q258" s="3"/>
      <c r="R258" s="3"/>
      <c r="S258" s="3"/>
      <c r="T258" s="3"/>
      <c r="U258" s="3"/>
      <c r="V258" s="3"/>
      <c r="W258" s="3"/>
      <c r="X258" s="3"/>
      <c r="Y258" s="3"/>
      <c r="Z258" s="3"/>
      <c r="AA258" s="3"/>
      <c r="AB258" s="3"/>
    </row>
    <row r="259">
      <c r="A259" s="4"/>
      <c r="B259" s="4"/>
      <c r="C259" s="4"/>
      <c r="D259" s="3"/>
      <c r="E259" s="3"/>
      <c r="F259" s="16"/>
      <c r="G259" s="29"/>
      <c r="H259" s="3"/>
      <c r="I259" s="3"/>
      <c r="J259" s="3"/>
      <c r="K259" s="3"/>
      <c r="L259" s="3"/>
      <c r="M259" s="3"/>
      <c r="N259" s="3"/>
      <c r="O259" s="3"/>
      <c r="P259" s="3"/>
      <c r="Q259" s="3"/>
      <c r="R259" s="3"/>
      <c r="S259" s="3"/>
      <c r="T259" s="3"/>
      <c r="U259" s="3"/>
      <c r="V259" s="3"/>
      <c r="W259" s="3"/>
      <c r="X259" s="3"/>
      <c r="Y259" s="3"/>
      <c r="Z259" s="3"/>
      <c r="AA259" s="3"/>
      <c r="AB259" s="3"/>
    </row>
    <row r="260">
      <c r="A260" s="4"/>
      <c r="B260" s="4"/>
      <c r="C260" s="4"/>
      <c r="D260" s="3"/>
      <c r="E260" s="3"/>
      <c r="F260" s="16"/>
      <c r="G260" s="29"/>
      <c r="H260" s="3"/>
      <c r="I260" s="3"/>
      <c r="J260" s="3"/>
      <c r="K260" s="3"/>
      <c r="L260" s="3"/>
      <c r="M260" s="3"/>
      <c r="N260" s="3"/>
      <c r="O260" s="3"/>
      <c r="P260" s="3"/>
      <c r="Q260" s="3"/>
      <c r="R260" s="3"/>
      <c r="S260" s="3"/>
      <c r="T260" s="3"/>
      <c r="U260" s="3"/>
      <c r="V260" s="3"/>
      <c r="W260" s="3"/>
      <c r="X260" s="3"/>
      <c r="Y260" s="3"/>
      <c r="Z260" s="3"/>
      <c r="AA260" s="3"/>
      <c r="AB260" s="3"/>
    </row>
    <row r="261">
      <c r="A261" s="4"/>
      <c r="B261" s="4"/>
      <c r="C261" s="4"/>
      <c r="D261" s="3"/>
      <c r="E261" s="3"/>
      <c r="F261" s="16"/>
      <c r="G261" s="29"/>
      <c r="H261" s="3"/>
      <c r="I261" s="3"/>
      <c r="J261" s="3"/>
      <c r="K261" s="3"/>
      <c r="L261" s="3"/>
      <c r="M261" s="3"/>
      <c r="N261" s="3"/>
      <c r="O261" s="3"/>
      <c r="P261" s="3"/>
      <c r="Q261" s="3"/>
      <c r="R261" s="3"/>
      <c r="S261" s="3"/>
      <c r="T261" s="3"/>
      <c r="U261" s="3"/>
      <c r="V261" s="3"/>
      <c r="W261" s="3"/>
      <c r="X261" s="3"/>
      <c r="Y261" s="3"/>
      <c r="Z261" s="3"/>
      <c r="AA261" s="3"/>
      <c r="AB261" s="3"/>
    </row>
    <row r="262">
      <c r="A262" s="4"/>
      <c r="B262" s="4"/>
      <c r="C262" s="4"/>
      <c r="D262" s="3"/>
      <c r="E262" s="3"/>
      <c r="F262" s="16"/>
      <c r="G262" s="29"/>
      <c r="H262" s="3"/>
      <c r="I262" s="3"/>
      <c r="J262" s="3"/>
      <c r="K262" s="3"/>
      <c r="L262" s="3"/>
      <c r="M262" s="3"/>
      <c r="N262" s="3"/>
      <c r="O262" s="3"/>
      <c r="P262" s="3"/>
      <c r="Q262" s="3"/>
      <c r="R262" s="3"/>
      <c r="S262" s="3"/>
      <c r="T262" s="3"/>
      <c r="U262" s="3"/>
      <c r="V262" s="3"/>
      <c r="W262" s="3"/>
      <c r="X262" s="3"/>
      <c r="Y262" s="3"/>
      <c r="Z262" s="3"/>
      <c r="AA262" s="3"/>
      <c r="AB262" s="3"/>
    </row>
    <row r="263">
      <c r="A263" s="4"/>
      <c r="B263" s="4"/>
      <c r="C263" s="4"/>
      <c r="D263" s="3"/>
      <c r="E263" s="3"/>
      <c r="F263" s="16"/>
      <c r="G263" s="29"/>
      <c r="H263" s="3"/>
      <c r="I263" s="3"/>
      <c r="J263" s="3"/>
      <c r="K263" s="3"/>
      <c r="L263" s="3"/>
      <c r="M263" s="3"/>
      <c r="N263" s="3"/>
      <c r="O263" s="3"/>
      <c r="P263" s="3"/>
      <c r="Q263" s="3"/>
      <c r="R263" s="3"/>
      <c r="S263" s="3"/>
      <c r="T263" s="3"/>
      <c r="U263" s="3"/>
      <c r="V263" s="3"/>
      <c r="W263" s="3"/>
      <c r="X263" s="3"/>
      <c r="Y263" s="3"/>
      <c r="Z263" s="3"/>
      <c r="AA263" s="3"/>
      <c r="AB263" s="3"/>
    </row>
    <row r="264">
      <c r="A264" s="4"/>
      <c r="B264" s="4"/>
      <c r="C264" s="4"/>
      <c r="D264" s="3"/>
      <c r="E264" s="3"/>
      <c r="F264" s="16"/>
      <c r="G264" s="29"/>
      <c r="H264" s="3"/>
      <c r="I264" s="3"/>
      <c r="J264" s="3"/>
      <c r="K264" s="3"/>
      <c r="L264" s="3"/>
      <c r="M264" s="3"/>
      <c r="N264" s="3"/>
      <c r="O264" s="3"/>
      <c r="P264" s="3"/>
      <c r="Q264" s="3"/>
      <c r="R264" s="3"/>
      <c r="S264" s="3"/>
      <c r="T264" s="3"/>
      <c r="U264" s="3"/>
      <c r="V264" s="3"/>
      <c r="W264" s="3"/>
      <c r="X264" s="3"/>
      <c r="Y264" s="3"/>
      <c r="Z264" s="3"/>
      <c r="AA264" s="3"/>
      <c r="AB264" s="3"/>
    </row>
    <row r="265">
      <c r="A265" s="4"/>
      <c r="B265" s="4"/>
      <c r="C265" s="4"/>
      <c r="D265" s="3"/>
      <c r="E265" s="3"/>
      <c r="F265" s="16"/>
      <c r="G265" s="29"/>
      <c r="H265" s="3"/>
      <c r="I265" s="3"/>
      <c r="J265" s="3"/>
      <c r="K265" s="3"/>
      <c r="L265" s="3"/>
      <c r="M265" s="3"/>
      <c r="N265" s="3"/>
      <c r="O265" s="3"/>
      <c r="P265" s="3"/>
      <c r="Q265" s="3"/>
      <c r="R265" s="3"/>
      <c r="S265" s="3"/>
      <c r="T265" s="3"/>
      <c r="U265" s="3"/>
      <c r="V265" s="3"/>
      <c r="W265" s="3"/>
      <c r="X265" s="3"/>
      <c r="Y265" s="3"/>
      <c r="Z265" s="3"/>
      <c r="AA265" s="3"/>
      <c r="AB265" s="3"/>
    </row>
    <row r="266">
      <c r="A266" s="4"/>
      <c r="B266" s="4"/>
      <c r="C266" s="4"/>
      <c r="D266" s="3"/>
      <c r="E266" s="3"/>
      <c r="F266" s="16"/>
      <c r="G266" s="29"/>
      <c r="H266" s="3"/>
      <c r="I266" s="3"/>
      <c r="J266" s="3"/>
      <c r="K266" s="3"/>
      <c r="L266" s="3"/>
      <c r="M266" s="3"/>
      <c r="N266" s="3"/>
      <c r="O266" s="3"/>
      <c r="P266" s="3"/>
      <c r="Q266" s="3"/>
      <c r="R266" s="3"/>
      <c r="S266" s="3"/>
      <c r="T266" s="3"/>
      <c r="U266" s="3"/>
      <c r="V266" s="3"/>
      <c r="W266" s="3"/>
      <c r="X266" s="3"/>
      <c r="Y266" s="3"/>
      <c r="Z266" s="3"/>
      <c r="AA266" s="3"/>
      <c r="AB266" s="3"/>
    </row>
    <row r="267">
      <c r="A267" s="4"/>
      <c r="B267" s="4"/>
      <c r="C267" s="4"/>
      <c r="D267" s="3"/>
      <c r="E267" s="3"/>
      <c r="F267" s="16"/>
      <c r="G267" s="29"/>
      <c r="H267" s="3"/>
      <c r="I267" s="3"/>
      <c r="J267" s="3"/>
      <c r="K267" s="3"/>
      <c r="L267" s="3"/>
      <c r="M267" s="3"/>
      <c r="N267" s="3"/>
      <c r="O267" s="3"/>
      <c r="P267" s="3"/>
      <c r="Q267" s="3"/>
      <c r="R267" s="3"/>
      <c r="S267" s="3"/>
      <c r="T267" s="3"/>
      <c r="U267" s="3"/>
      <c r="V267" s="3"/>
      <c r="W267" s="3"/>
      <c r="X267" s="3"/>
      <c r="Y267" s="3"/>
      <c r="Z267" s="3"/>
      <c r="AA267" s="3"/>
      <c r="AB267" s="3"/>
    </row>
    <row r="268">
      <c r="A268" s="4"/>
      <c r="B268" s="4"/>
      <c r="C268" s="4"/>
      <c r="D268" s="3"/>
      <c r="E268" s="3"/>
      <c r="F268" s="16"/>
      <c r="G268" s="29"/>
      <c r="H268" s="3"/>
      <c r="I268" s="3"/>
      <c r="J268" s="3"/>
      <c r="K268" s="3"/>
      <c r="L268" s="3"/>
      <c r="M268" s="3"/>
      <c r="N268" s="3"/>
      <c r="O268" s="3"/>
      <c r="P268" s="3"/>
      <c r="Q268" s="3"/>
      <c r="R268" s="3"/>
      <c r="S268" s="3"/>
      <c r="T268" s="3"/>
      <c r="U268" s="3"/>
      <c r="V268" s="3"/>
      <c r="W268" s="3"/>
      <c r="X268" s="3"/>
      <c r="Y268" s="3"/>
      <c r="Z268" s="3"/>
      <c r="AA268" s="3"/>
      <c r="AB268" s="3"/>
    </row>
    <row r="269">
      <c r="A269" s="4"/>
      <c r="B269" s="4"/>
      <c r="C269" s="4"/>
      <c r="D269" s="3"/>
      <c r="E269" s="3"/>
      <c r="F269" s="16"/>
      <c r="G269" s="29"/>
      <c r="H269" s="3"/>
      <c r="I269" s="3"/>
      <c r="J269" s="3"/>
      <c r="K269" s="3"/>
      <c r="L269" s="3"/>
      <c r="M269" s="3"/>
      <c r="N269" s="3"/>
      <c r="O269" s="3"/>
      <c r="P269" s="3"/>
      <c r="Q269" s="3"/>
      <c r="R269" s="3"/>
      <c r="S269" s="3"/>
      <c r="T269" s="3"/>
      <c r="U269" s="3"/>
      <c r="V269" s="3"/>
      <c r="W269" s="3"/>
      <c r="X269" s="3"/>
      <c r="Y269" s="3"/>
      <c r="Z269" s="3"/>
      <c r="AA269" s="3"/>
      <c r="AB269" s="3"/>
    </row>
    <row r="270">
      <c r="A270" s="4"/>
      <c r="B270" s="4"/>
      <c r="C270" s="4"/>
      <c r="D270" s="3"/>
      <c r="E270" s="3"/>
      <c r="F270" s="16"/>
      <c r="G270" s="29"/>
      <c r="H270" s="3"/>
      <c r="I270" s="3"/>
      <c r="J270" s="3"/>
      <c r="K270" s="3"/>
      <c r="L270" s="3"/>
      <c r="M270" s="3"/>
      <c r="N270" s="3"/>
      <c r="O270" s="3"/>
      <c r="P270" s="3"/>
      <c r="Q270" s="3"/>
      <c r="R270" s="3"/>
      <c r="S270" s="3"/>
      <c r="T270" s="3"/>
      <c r="U270" s="3"/>
      <c r="V270" s="3"/>
      <c r="W270" s="3"/>
      <c r="X270" s="3"/>
      <c r="Y270" s="3"/>
      <c r="Z270" s="3"/>
      <c r="AA270" s="3"/>
      <c r="AB270" s="3"/>
    </row>
    <row r="271">
      <c r="A271" s="4"/>
      <c r="B271" s="4"/>
      <c r="C271" s="4"/>
      <c r="D271" s="3"/>
      <c r="E271" s="3"/>
      <c r="F271" s="16"/>
      <c r="G271" s="29"/>
      <c r="H271" s="3"/>
      <c r="I271" s="3"/>
      <c r="J271" s="3"/>
      <c r="K271" s="3"/>
      <c r="L271" s="3"/>
      <c r="M271" s="3"/>
      <c r="N271" s="3"/>
      <c r="O271" s="3"/>
      <c r="P271" s="3"/>
      <c r="Q271" s="3"/>
      <c r="R271" s="3"/>
      <c r="S271" s="3"/>
      <c r="T271" s="3"/>
      <c r="U271" s="3"/>
      <c r="V271" s="3"/>
      <c r="W271" s="3"/>
      <c r="X271" s="3"/>
      <c r="Y271" s="3"/>
      <c r="Z271" s="3"/>
      <c r="AA271" s="3"/>
      <c r="AB271" s="3"/>
    </row>
    <row r="272">
      <c r="A272" s="4"/>
      <c r="B272" s="4"/>
      <c r="C272" s="4"/>
      <c r="D272" s="3"/>
      <c r="E272" s="3"/>
      <c r="F272" s="16"/>
      <c r="G272" s="29"/>
      <c r="H272" s="3"/>
      <c r="I272" s="3"/>
      <c r="J272" s="3"/>
      <c r="K272" s="3"/>
      <c r="L272" s="3"/>
      <c r="M272" s="3"/>
      <c r="N272" s="3"/>
      <c r="O272" s="3"/>
      <c r="P272" s="3"/>
      <c r="Q272" s="3"/>
      <c r="R272" s="3"/>
      <c r="S272" s="3"/>
      <c r="T272" s="3"/>
      <c r="U272" s="3"/>
      <c r="V272" s="3"/>
      <c r="W272" s="3"/>
      <c r="X272" s="3"/>
      <c r="Y272" s="3"/>
      <c r="Z272" s="3"/>
      <c r="AA272" s="3"/>
      <c r="AB272" s="3"/>
    </row>
    <row r="273">
      <c r="A273" s="4"/>
      <c r="B273" s="4"/>
      <c r="C273" s="4"/>
      <c r="D273" s="3"/>
      <c r="E273" s="3"/>
      <c r="F273" s="16"/>
      <c r="G273" s="29"/>
      <c r="H273" s="3"/>
      <c r="I273" s="3"/>
      <c r="J273" s="3"/>
      <c r="K273" s="3"/>
      <c r="L273" s="3"/>
      <c r="M273" s="3"/>
      <c r="N273" s="3"/>
      <c r="O273" s="3"/>
      <c r="P273" s="3"/>
      <c r="Q273" s="3"/>
      <c r="R273" s="3"/>
      <c r="S273" s="3"/>
      <c r="T273" s="3"/>
      <c r="U273" s="3"/>
      <c r="V273" s="3"/>
      <c r="W273" s="3"/>
      <c r="X273" s="3"/>
      <c r="Y273" s="3"/>
      <c r="Z273" s="3"/>
      <c r="AA273" s="3"/>
      <c r="AB273" s="3"/>
    </row>
    <row r="274">
      <c r="A274" s="4"/>
      <c r="B274" s="4"/>
      <c r="C274" s="4"/>
      <c r="D274" s="3"/>
      <c r="E274" s="3"/>
      <c r="F274" s="16"/>
      <c r="G274" s="29"/>
      <c r="H274" s="3"/>
      <c r="I274" s="3"/>
      <c r="J274" s="3"/>
      <c r="K274" s="3"/>
      <c r="L274" s="3"/>
      <c r="M274" s="3"/>
      <c r="N274" s="3"/>
      <c r="O274" s="3"/>
      <c r="P274" s="3"/>
      <c r="Q274" s="3"/>
      <c r="R274" s="3"/>
      <c r="S274" s="3"/>
      <c r="T274" s="3"/>
      <c r="U274" s="3"/>
      <c r="V274" s="3"/>
      <c r="W274" s="3"/>
      <c r="X274" s="3"/>
      <c r="Y274" s="3"/>
      <c r="Z274" s="3"/>
      <c r="AA274" s="3"/>
      <c r="AB274" s="3"/>
    </row>
    <row r="275">
      <c r="A275" s="4"/>
      <c r="B275" s="4"/>
      <c r="C275" s="4"/>
      <c r="D275" s="3"/>
      <c r="E275" s="3"/>
      <c r="F275" s="16"/>
      <c r="G275" s="29"/>
      <c r="H275" s="3"/>
      <c r="I275" s="3"/>
      <c r="J275" s="3"/>
      <c r="K275" s="3"/>
      <c r="L275" s="3"/>
      <c r="M275" s="3"/>
      <c r="N275" s="3"/>
      <c r="O275" s="3"/>
      <c r="P275" s="3"/>
      <c r="Q275" s="3"/>
      <c r="R275" s="3"/>
      <c r="S275" s="3"/>
      <c r="T275" s="3"/>
      <c r="U275" s="3"/>
      <c r="V275" s="3"/>
      <c r="W275" s="3"/>
      <c r="X275" s="3"/>
      <c r="Y275" s="3"/>
      <c r="Z275" s="3"/>
      <c r="AA275" s="3"/>
      <c r="AB275" s="3"/>
    </row>
    <row r="276">
      <c r="A276" s="4"/>
      <c r="B276" s="4"/>
      <c r="C276" s="4"/>
      <c r="D276" s="3"/>
      <c r="E276" s="3"/>
      <c r="F276" s="16"/>
      <c r="G276" s="29"/>
      <c r="H276" s="3"/>
      <c r="I276" s="3"/>
      <c r="J276" s="3"/>
      <c r="K276" s="3"/>
      <c r="L276" s="3"/>
      <c r="M276" s="3"/>
      <c r="N276" s="3"/>
      <c r="O276" s="3"/>
      <c r="P276" s="3"/>
      <c r="Q276" s="3"/>
      <c r="R276" s="3"/>
      <c r="S276" s="3"/>
      <c r="T276" s="3"/>
      <c r="U276" s="3"/>
      <c r="V276" s="3"/>
      <c r="W276" s="3"/>
      <c r="X276" s="3"/>
      <c r="Y276" s="3"/>
      <c r="Z276" s="3"/>
      <c r="AA276" s="3"/>
      <c r="AB276" s="3"/>
    </row>
    <row r="277">
      <c r="A277" s="4"/>
      <c r="B277" s="4"/>
      <c r="C277" s="4"/>
      <c r="D277" s="3"/>
      <c r="E277" s="3"/>
      <c r="F277" s="16"/>
      <c r="G277" s="29"/>
      <c r="H277" s="3"/>
      <c r="I277" s="3"/>
      <c r="J277" s="3"/>
      <c r="K277" s="3"/>
      <c r="L277" s="3"/>
      <c r="M277" s="3"/>
      <c r="N277" s="3"/>
      <c r="O277" s="3"/>
      <c r="P277" s="3"/>
      <c r="Q277" s="3"/>
      <c r="R277" s="3"/>
      <c r="S277" s="3"/>
      <c r="T277" s="3"/>
      <c r="U277" s="3"/>
      <c r="V277" s="3"/>
      <c r="W277" s="3"/>
      <c r="X277" s="3"/>
      <c r="Y277" s="3"/>
      <c r="Z277" s="3"/>
      <c r="AA277" s="3"/>
      <c r="AB277" s="3"/>
    </row>
    <row r="278">
      <c r="A278" s="4"/>
      <c r="B278" s="4"/>
      <c r="C278" s="4"/>
      <c r="D278" s="3"/>
      <c r="E278" s="3"/>
      <c r="F278" s="16"/>
      <c r="G278" s="29"/>
      <c r="H278" s="3"/>
      <c r="I278" s="3"/>
      <c r="J278" s="3"/>
      <c r="K278" s="3"/>
      <c r="L278" s="3"/>
      <c r="M278" s="3"/>
      <c r="N278" s="3"/>
      <c r="O278" s="3"/>
      <c r="P278" s="3"/>
      <c r="Q278" s="3"/>
      <c r="R278" s="3"/>
      <c r="S278" s="3"/>
      <c r="T278" s="3"/>
      <c r="U278" s="3"/>
      <c r="V278" s="3"/>
      <c r="W278" s="3"/>
      <c r="X278" s="3"/>
      <c r="Y278" s="3"/>
      <c r="Z278" s="3"/>
      <c r="AA278" s="3"/>
      <c r="AB278" s="3"/>
    </row>
    <row r="279">
      <c r="A279" s="4"/>
      <c r="B279" s="4"/>
      <c r="C279" s="4"/>
      <c r="D279" s="3"/>
      <c r="E279" s="3"/>
      <c r="F279" s="16"/>
      <c r="G279" s="29"/>
      <c r="H279" s="3"/>
      <c r="I279" s="3"/>
      <c r="J279" s="3"/>
      <c r="K279" s="3"/>
      <c r="L279" s="3"/>
      <c r="M279" s="3"/>
      <c r="N279" s="3"/>
      <c r="O279" s="3"/>
      <c r="P279" s="3"/>
      <c r="Q279" s="3"/>
      <c r="R279" s="3"/>
      <c r="S279" s="3"/>
      <c r="T279" s="3"/>
      <c r="U279" s="3"/>
      <c r="V279" s="3"/>
      <c r="W279" s="3"/>
      <c r="X279" s="3"/>
      <c r="Y279" s="3"/>
      <c r="Z279" s="3"/>
      <c r="AA279" s="3"/>
      <c r="AB279" s="3"/>
    </row>
    <row r="280">
      <c r="A280" s="4"/>
      <c r="B280" s="4"/>
      <c r="C280" s="4"/>
      <c r="D280" s="3"/>
      <c r="E280" s="3"/>
      <c r="F280" s="16"/>
      <c r="G280" s="29"/>
      <c r="H280" s="3"/>
      <c r="I280" s="3"/>
      <c r="J280" s="3"/>
      <c r="K280" s="3"/>
      <c r="L280" s="3"/>
      <c r="M280" s="3"/>
      <c r="N280" s="3"/>
      <c r="O280" s="3"/>
      <c r="P280" s="3"/>
      <c r="Q280" s="3"/>
      <c r="R280" s="3"/>
      <c r="S280" s="3"/>
      <c r="T280" s="3"/>
      <c r="U280" s="3"/>
      <c r="V280" s="3"/>
      <c r="W280" s="3"/>
      <c r="X280" s="3"/>
      <c r="Y280" s="3"/>
      <c r="Z280" s="3"/>
      <c r="AA280" s="3"/>
      <c r="AB280" s="3"/>
    </row>
    <row r="281">
      <c r="A281" s="4"/>
      <c r="B281" s="4"/>
      <c r="C281" s="4"/>
      <c r="D281" s="3"/>
      <c r="E281" s="3"/>
      <c r="F281" s="16"/>
      <c r="G281" s="29"/>
      <c r="H281" s="3"/>
      <c r="I281" s="3"/>
      <c r="J281" s="3"/>
      <c r="K281" s="3"/>
      <c r="L281" s="3"/>
      <c r="M281" s="3"/>
      <c r="N281" s="3"/>
      <c r="O281" s="3"/>
      <c r="P281" s="3"/>
      <c r="Q281" s="3"/>
      <c r="R281" s="3"/>
      <c r="S281" s="3"/>
      <c r="T281" s="3"/>
      <c r="U281" s="3"/>
      <c r="V281" s="3"/>
      <c r="W281" s="3"/>
      <c r="X281" s="3"/>
      <c r="Y281" s="3"/>
      <c r="Z281" s="3"/>
      <c r="AA281" s="3"/>
      <c r="AB281" s="3"/>
    </row>
    <row r="282">
      <c r="A282" s="4"/>
      <c r="B282" s="4"/>
      <c r="C282" s="4"/>
      <c r="D282" s="3"/>
      <c r="E282" s="3"/>
      <c r="F282" s="16"/>
      <c r="G282" s="29"/>
      <c r="H282" s="3"/>
      <c r="I282" s="3"/>
      <c r="J282" s="3"/>
      <c r="K282" s="3"/>
      <c r="L282" s="3"/>
      <c r="M282" s="3"/>
      <c r="N282" s="3"/>
      <c r="O282" s="3"/>
      <c r="P282" s="3"/>
      <c r="Q282" s="3"/>
      <c r="R282" s="3"/>
      <c r="S282" s="3"/>
      <c r="T282" s="3"/>
      <c r="U282" s="3"/>
      <c r="V282" s="3"/>
      <c r="W282" s="3"/>
      <c r="X282" s="3"/>
      <c r="Y282" s="3"/>
      <c r="Z282" s="3"/>
      <c r="AA282" s="3"/>
      <c r="AB282" s="3"/>
    </row>
    <row r="283">
      <c r="A283" s="4"/>
      <c r="B283" s="4"/>
      <c r="C283" s="4"/>
      <c r="D283" s="3"/>
      <c r="E283" s="3"/>
      <c r="F283" s="16"/>
      <c r="G283" s="29"/>
      <c r="H283" s="3"/>
      <c r="I283" s="3"/>
      <c r="J283" s="3"/>
      <c r="K283" s="3"/>
      <c r="L283" s="3"/>
      <c r="M283" s="3"/>
      <c r="N283" s="3"/>
      <c r="O283" s="3"/>
      <c r="P283" s="3"/>
      <c r="Q283" s="3"/>
      <c r="R283" s="3"/>
      <c r="S283" s="3"/>
      <c r="T283" s="3"/>
      <c r="U283" s="3"/>
      <c r="V283" s="3"/>
      <c r="W283" s="3"/>
      <c r="X283" s="3"/>
      <c r="Y283" s="3"/>
      <c r="Z283" s="3"/>
      <c r="AA283" s="3"/>
      <c r="AB283" s="3"/>
    </row>
    <row r="284">
      <c r="A284" s="4"/>
      <c r="B284" s="4"/>
      <c r="C284" s="4"/>
      <c r="D284" s="3"/>
      <c r="E284" s="3"/>
      <c r="F284" s="16"/>
      <c r="G284" s="29"/>
      <c r="H284" s="3"/>
      <c r="I284" s="3"/>
      <c r="J284" s="3"/>
      <c r="K284" s="3"/>
      <c r="L284" s="3"/>
      <c r="M284" s="3"/>
      <c r="N284" s="3"/>
      <c r="O284" s="3"/>
      <c r="P284" s="3"/>
      <c r="Q284" s="3"/>
      <c r="R284" s="3"/>
      <c r="S284" s="3"/>
      <c r="T284" s="3"/>
      <c r="U284" s="3"/>
      <c r="V284" s="3"/>
      <c r="W284" s="3"/>
      <c r="X284" s="3"/>
      <c r="Y284" s="3"/>
      <c r="Z284" s="3"/>
      <c r="AA284" s="3"/>
      <c r="AB284" s="3"/>
    </row>
    <row r="285">
      <c r="A285" s="4"/>
      <c r="B285" s="4"/>
      <c r="C285" s="4"/>
      <c r="D285" s="3"/>
      <c r="E285" s="3"/>
      <c r="F285" s="16"/>
      <c r="G285" s="29"/>
      <c r="H285" s="3"/>
      <c r="I285" s="3"/>
      <c r="J285" s="3"/>
      <c r="K285" s="3"/>
      <c r="L285" s="3"/>
      <c r="M285" s="3"/>
      <c r="N285" s="3"/>
      <c r="O285" s="3"/>
      <c r="P285" s="3"/>
      <c r="Q285" s="3"/>
      <c r="R285" s="3"/>
      <c r="S285" s="3"/>
      <c r="T285" s="3"/>
      <c r="U285" s="3"/>
      <c r="V285" s="3"/>
      <c r="W285" s="3"/>
      <c r="X285" s="3"/>
      <c r="Y285" s="3"/>
      <c r="Z285" s="3"/>
      <c r="AA285" s="3"/>
      <c r="AB285" s="3"/>
    </row>
    <row r="286">
      <c r="A286" s="4"/>
      <c r="B286" s="4"/>
      <c r="C286" s="4"/>
      <c r="D286" s="3"/>
      <c r="E286" s="3"/>
      <c r="F286" s="16"/>
      <c r="G286" s="29"/>
      <c r="H286" s="3"/>
      <c r="I286" s="3"/>
      <c r="J286" s="3"/>
      <c r="K286" s="3"/>
      <c r="L286" s="3"/>
      <c r="M286" s="3"/>
      <c r="N286" s="3"/>
      <c r="O286" s="3"/>
      <c r="P286" s="3"/>
      <c r="Q286" s="3"/>
      <c r="R286" s="3"/>
      <c r="S286" s="3"/>
      <c r="T286" s="3"/>
      <c r="U286" s="3"/>
      <c r="V286" s="3"/>
      <c r="W286" s="3"/>
      <c r="X286" s="3"/>
      <c r="Y286" s="3"/>
      <c r="Z286" s="3"/>
      <c r="AA286" s="3"/>
      <c r="AB286" s="3"/>
    </row>
    <row r="287">
      <c r="A287" s="4"/>
      <c r="B287" s="4"/>
      <c r="C287" s="4"/>
      <c r="D287" s="3"/>
      <c r="E287" s="3"/>
      <c r="F287" s="16"/>
      <c r="G287" s="29"/>
      <c r="H287" s="3"/>
      <c r="I287" s="3"/>
      <c r="J287" s="3"/>
      <c r="K287" s="3"/>
      <c r="L287" s="3"/>
      <c r="M287" s="3"/>
      <c r="N287" s="3"/>
      <c r="O287" s="3"/>
      <c r="P287" s="3"/>
      <c r="Q287" s="3"/>
      <c r="R287" s="3"/>
      <c r="S287" s="3"/>
      <c r="T287" s="3"/>
      <c r="U287" s="3"/>
      <c r="V287" s="3"/>
      <c r="W287" s="3"/>
      <c r="X287" s="3"/>
      <c r="Y287" s="3"/>
      <c r="Z287" s="3"/>
      <c r="AA287" s="3"/>
      <c r="AB287" s="3"/>
    </row>
    <row r="288">
      <c r="A288" s="4"/>
      <c r="B288" s="4"/>
      <c r="C288" s="4"/>
      <c r="D288" s="3"/>
      <c r="E288" s="3"/>
      <c r="F288" s="16"/>
      <c r="G288" s="29"/>
      <c r="H288" s="3"/>
      <c r="I288" s="3"/>
      <c r="J288" s="3"/>
      <c r="K288" s="3"/>
      <c r="L288" s="3"/>
      <c r="M288" s="3"/>
      <c r="N288" s="3"/>
      <c r="O288" s="3"/>
      <c r="P288" s="3"/>
      <c r="Q288" s="3"/>
      <c r="R288" s="3"/>
      <c r="S288" s="3"/>
      <c r="T288" s="3"/>
      <c r="U288" s="3"/>
      <c r="V288" s="3"/>
      <c r="W288" s="3"/>
      <c r="X288" s="3"/>
      <c r="Y288" s="3"/>
      <c r="Z288" s="3"/>
      <c r="AA288" s="3"/>
      <c r="AB288" s="3"/>
    </row>
    <row r="289">
      <c r="A289" s="4"/>
      <c r="B289" s="4"/>
      <c r="C289" s="4"/>
      <c r="D289" s="3"/>
      <c r="E289" s="3"/>
      <c r="F289" s="16"/>
      <c r="G289" s="29"/>
      <c r="H289" s="3"/>
      <c r="I289" s="3"/>
      <c r="J289" s="3"/>
      <c r="K289" s="3"/>
      <c r="L289" s="3"/>
      <c r="M289" s="3"/>
      <c r="N289" s="3"/>
      <c r="O289" s="3"/>
      <c r="P289" s="3"/>
      <c r="Q289" s="3"/>
      <c r="R289" s="3"/>
      <c r="S289" s="3"/>
      <c r="T289" s="3"/>
      <c r="U289" s="3"/>
      <c r="V289" s="3"/>
      <c r="W289" s="3"/>
      <c r="X289" s="3"/>
      <c r="Y289" s="3"/>
      <c r="Z289" s="3"/>
      <c r="AA289" s="3"/>
      <c r="AB289" s="3"/>
    </row>
    <row r="290">
      <c r="A290" s="4"/>
      <c r="B290" s="4"/>
      <c r="C290" s="4"/>
      <c r="D290" s="3"/>
      <c r="E290" s="3"/>
      <c r="F290" s="16"/>
      <c r="G290" s="29"/>
      <c r="H290" s="3"/>
      <c r="I290" s="3"/>
      <c r="J290" s="3"/>
      <c r="K290" s="3"/>
      <c r="L290" s="3"/>
      <c r="M290" s="3"/>
      <c r="N290" s="3"/>
      <c r="O290" s="3"/>
      <c r="P290" s="3"/>
      <c r="Q290" s="3"/>
      <c r="R290" s="3"/>
      <c r="S290" s="3"/>
      <c r="T290" s="3"/>
      <c r="U290" s="3"/>
      <c r="V290" s="3"/>
      <c r="W290" s="3"/>
      <c r="X290" s="3"/>
      <c r="Y290" s="3"/>
      <c r="Z290" s="3"/>
      <c r="AA290" s="3"/>
      <c r="AB290" s="3"/>
    </row>
    <row r="291">
      <c r="A291" s="4"/>
      <c r="B291" s="4"/>
      <c r="C291" s="4"/>
      <c r="D291" s="3"/>
      <c r="E291" s="3"/>
      <c r="F291" s="16"/>
      <c r="G291" s="29"/>
      <c r="H291" s="3"/>
      <c r="I291" s="3"/>
      <c r="J291" s="3"/>
      <c r="K291" s="3"/>
      <c r="L291" s="3"/>
      <c r="M291" s="3"/>
      <c r="N291" s="3"/>
      <c r="O291" s="3"/>
      <c r="P291" s="3"/>
      <c r="Q291" s="3"/>
      <c r="R291" s="3"/>
      <c r="S291" s="3"/>
      <c r="T291" s="3"/>
      <c r="U291" s="3"/>
      <c r="V291" s="3"/>
      <c r="W291" s="3"/>
      <c r="X291" s="3"/>
      <c r="Y291" s="3"/>
      <c r="Z291" s="3"/>
      <c r="AA291" s="3"/>
      <c r="AB291" s="3"/>
    </row>
    <row r="292">
      <c r="A292" s="4"/>
      <c r="B292" s="4"/>
      <c r="C292" s="4"/>
      <c r="D292" s="3"/>
      <c r="E292" s="3"/>
      <c r="F292" s="16"/>
      <c r="G292" s="29"/>
      <c r="H292" s="3"/>
      <c r="I292" s="3"/>
      <c r="J292" s="3"/>
      <c r="K292" s="3"/>
      <c r="L292" s="3"/>
      <c r="M292" s="3"/>
      <c r="N292" s="3"/>
      <c r="O292" s="3"/>
      <c r="P292" s="3"/>
      <c r="Q292" s="3"/>
      <c r="R292" s="3"/>
      <c r="S292" s="3"/>
      <c r="T292" s="3"/>
      <c r="U292" s="3"/>
      <c r="V292" s="3"/>
      <c r="W292" s="3"/>
      <c r="X292" s="3"/>
      <c r="Y292" s="3"/>
      <c r="Z292" s="3"/>
      <c r="AA292" s="3"/>
      <c r="AB292" s="3"/>
    </row>
    <row r="293">
      <c r="A293" s="4"/>
      <c r="B293" s="4"/>
      <c r="C293" s="4"/>
      <c r="D293" s="3"/>
      <c r="E293" s="3"/>
      <c r="F293" s="16"/>
      <c r="G293" s="29"/>
      <c r="H293" s="3"/>
      <c r="I293" s="3"/>
      <c r="J293" s="3"/>
      <c r="K293" s="3"/>
      <c r="L293" s="3"/>
      <c r="M293" s="3"/>
      <c r="N293" s="3"/>
      <c r="O293" s="3"/>
      <c r="P293" s="3"/>
      <c r="Q293" s="3"/>
      <c r="R293" s="3"/>
      <c r="S293" s="3"/>
      <c r="T293" s="3"/>
      <c r="U293" s="3"/>
      <c r="V293" s="3"/>
      <c r="W293" s="3"/>
      <c r="X293" s="3"/>
      <c r="Y293" s="3"/>
      <c r="Z293" s="3"/>
      <c r="AA293" s="3"/>
      <c r="AB293" s="3"/>
    </row>
    <row r="294">
      <c r="A294" s="4"/>
      <c r="B294" s="4"/>
      <c r="C294" s="4"/>
      <c r="D294" s="3"/>
      <c r="E294" s="3"/>
      <c r="F294" s="16"/>
      <c r="G294" s="29"/>
      <c r="H294" s="3"/>
      <c r="I294" s="3"/>
      <c r="J294" s="3"/>
      <c r="K294" s="3"/>
      <c r="L294" s="3"/>
      <c r="M294" s="3"/>
      <c r="N294" s="3"/>
      <c r="O294" s="3"/>
      <c r="P294" s="3"/>
      <c r="Q294" s="3"/>
      <c r="R294" s="3"/>
      <c r="S294" s="3"/>
      <c r="T294" s="3"/>
      <c r="U294" s="3"/>
      <c r="V294" s="3"/>
      <c r="W294" s="3"/>
      <c r="X294" s="3"/>
      <c r="Y294" s="3"/>
      <c r="Z294" s="3"/>
      <c r="AA294" s="3"/>
      <c r="AB294" s="3"/>
    </row>
    <row r="295">
      <c r="A295" s="4"/>
      <c r="B295" s="4"/>
      <c r="C295" s="4"/>
      <c r="D295" s="3"/>
      <c r="E295" s="3"/>
      <c r="F295" s="16"/>
      <c r="G295" s="29"/>
      <c r="H295" s="3"/>
      <c r="I295" s="3"/>
      <c r="J295" s="3"/>
      <c r="K295" s="3"/>
      <c r="L295" s="3"/>
      <c r="M295" s="3"/>
      <c r="N295" s="3"/>
      <c r="O295" s="3"/>
      <c r="P295" s="3"/>
      <c r="Q295" s="3"/>
      <c r="R295" s="3"/>
      <c r="S295" s="3"/>
      <c r="T295" s="3"/>
      <c r="U295" s="3"/>
      <c r="V295" s="3"/>
      <c r="W295" s="3"/>
      <c r="X295" s="3"/>
      <c r="Y295" s="3"/>
      <c r="Z295" s="3"/>
      <c r="AA295" s="3"/>
      <c r="AB295" s="3"/>
    </row>
    <row r="296">
      <c r="A296" s="4"/>
      <c r="B296" s="4"/>
      <c r="C296" s="4"/>
      <c r="D296" s="3"/>
      <c r="E296" s="3"/>
      <c r="F296" s="16"/>
      <c r="G296" s="29"/>
      <c r="H296" s="3"/>
      <c r="I296" s="3"/>
      <c r="J296" s="3"/>
      <c r="K296" s="3"/>
      <c r="L296" s="3"/>
      <c r="M296" s="3"/>
      <c r="N296" s="3"/>
      <c r="O296" s="3"/>
      <c r="P296" s="3"/>
      <c r="Q296" s="3"/>
      <c r="R296" s="3"/>
      <c r="S296" s="3"/>
      <c r="T296" s="3"/>
      <c r="U296" s="3"/>
      <c r="V296" s="3"/>
      <c r="W296" s="3"/>
      <c r="X296" s="3"/>
      <c r="Y296" s="3"/>
      <c r="Z296" s="3"/>
      <c r="AA296" s="3"/>
      <c r="AB296" s="3"/>
    </row>
    <row r="297">
      <c r="A297" s="4"/>
      <c r="B297" s="4"/>
      <c r="C297" s="4"/>
      <c r="D297" s="3"/>
      <c r="E297" s="3"/>
      <c r="F297" s="16"/>
      <c r="G297" s="29"/>
      <c r="H297" s="3"/>
      <c r="I297" s="3"/>
      <c r="J297" s="3"/>
      <c r="K297" s="3"/>
      <c r="L297" s="3"/>
      <c r="M297" s="3"/>
      <c r="N297" s="3"/>
      <c r="O297" s="3"/>
      <c r="P297" s="3"/>
      <c r="Q297" s="3"/>
      <c r="R297" s="3"/>
      <c r="S297" s="3"/>
      <c r="T297" s="3"/>
      <c r="U297" s="3"/>
      <c r="V297" s="3"/>
      <c r="W297" s="3"/>
      <c r="X297" s="3"/>
      <c r="Y297" s="3"/>
      <c r="Z297" s="3"/>
      <c r="AA297" s="3"/>
      <c r="AB297" s="3"/>
    </row>
    <row r="298">
      <c r="A298" s="4"/>
      <c r="B298" s="4"/>
      <c r="C298" s="4"/>
      <c r="D298" s="3"/>
      <c r="E298" s="3"/>
      <c r="F298" s="16"/>
      <c r="G298" s="29"/>
      <c r="H298" s="3"/>
      <c r="I298" s="3"/>
      <c r="J298" s="3"/>
      <c r="K298" s="3"/>
      <c r="L298" s="3"/>
      <c r="M298" s="3"/>
      <c r="N298" s="3"/>
      <c r="O298" s="3"/>
      <c r="P298" s="3"/>
      <c r="Q298" s="3"/>
      <c r="R298" s="3"/>
      <c r="S298" s="3"/>
      <c r="T298" s="3"/>
      <c r="U298" s="3"/>
      <c r="V298" s="3"/>
      <c r="W298" s="3"/>
      <c r="X298" s="3"/>
      <c r="Y298" s="3"/>
      <c r="Z298" s="3"/>
      <c r="AA298" s="3"/>
      <c r="AB298" s="3"/>
    </row>
    <row r="299">
      <c r="A299" s="4"/>
      <c r="B299" s="4"/>
      <c r="C299" s="4"/>
      <c r="D299" s="3"/>
      <c r="E299" s="3"/>
      <c r="F299" s="16"/>
      <c r="G299" s="29"/>
      <c r="H299" s="3"/>
      <c r="I299" s="3"/>
      <c r="J299" s="3"/>
      <c r="K299" s="3"/>
      <c r="L299" s="3"/>
      <c r="M299" s="3"/>
      <c r="N299" s="3"/>
      <c r="O299" s="3"/>
      <c r="P299" s="3"/>
      <c r="Q299" s="3"/>
      <c r="R299" s="3"/>
      <c r="S299" s="3"/>
      <c r="T299" s="3"/>
      <c r="U299" s="3"/>
      <c r="V299" s="3"/>
      <c r="W299" s="3"/>
      <c r="X299" s="3"/>
      <c r="Y299" s="3"/>
      <c r="Z299" s="3"/>
      <c r="AA299" s="3"/>
      <c r="AB299" s="3"/>
    </row>
    <row r="300">
      <c r="A300" s="4"/>
      <c r="B300" s="4"/>
      <c r="C300" s="4"/>
      <c r="D300" s="3"/>
      <c r="E300" s="3"/>
      <c r="F300" s="16"/>
      <c r="G300" s="29"/>
      <c r="H300" s="3"/>
      <c r="I300" s="3"/>
      <c r="J300" s="3"/>
      <c r="K300" s="3"/>
      <c r="L300" s="3"/>
      <c r="M300" s="3"/>
      <c r="N300" s="3"/>
      <c r="O300" s="3"/>
      <c r="P300" s="3"/>
      <c r="Q300" s="3"/>
      <c r="R300" s="3"/>
      <c r="S300" s="3"/>
      <c r="T300" s="3"/>
      <c r="U300" s="3"/>
      <c r="V300" s="3"/>
      <c r="W300" s="3"/>
      <c r="X300" s="3"/>
      <c r="Y300" s="3"/>
      <c r="Z300" s="3"/>
      <c r="AA300" s="3"/>
      <c r="AB300" s="3"/>
    </row>
    <row r="301">
      <c r="A301" s="4"/>
      <c r="B301" s="4"/>
      <c r="C301" s="4"/>
      <c r="D301" s="3"/>
      <c r="E301" s="3"/>
      <c r="F301" s="16"/>
      <c r="G301" s="29"/>
      <c r="H301" s="3"/>
      <c r="I301" s="3"/>
      <c r="J301" s="3"/>
      <c r="K301" s="3"/>
      <c r="L301" s="3"/>
      <c r="M301" s="3"/>
      <c r="N301" s="3"/>
      <c r="O301" s="3"/>
      <c r="P301" s="3"/>
      <c r="Q301" s="3"/>
      <c r="R301" s="3"/>
      <c r="S301" s="3"/>
      <c r="T301" s="3"/>
      <c r="U301" s="3"/>
      <c r="V301" s="3"/>
      <c r="W301" s="3"/>
      <c r="X301" s="3"/>
      <c r="Y301" s="3"/>
      <c r="Z301" s="3"/>
      <c r="AA301" s="3"/>
      <c r="AB301" s="3"/>
    </row>
    <row r="302">
      <c r="A302" s="4"/>
      <c r="B302" s="4"/>
      <c r="C302" s="4"/>
      <c r="D302" s="3"/>
      <c r="E302" s="3"/>
      <c r="F302" s="16"/>
      <c r="G302" s="29"/>
      <c r="H302" s="3"/>
      <c r="I302" s="3"/>
      <c r="J302" s="3"/>
      <c r="K302" s="3"/>
      <c r="L302" s="3"/>
      <c r="M302" s="3"/>
      <c r="N302" s="3"/>
      <c r="O302" s="3"/>
      <c r="P302" s="3"/>
      <c r="Q302" s="3"/>
      <c r="R302" s="3"/>
      <c r="S302" s="3"/>
      <c r="T302" s="3"/>
      <c r="U302" s="3"/>
      <c r="V302" s="3"/>
      <c r="W302" s="3"/>
      <c r="X302" s="3"/>
      <c r="Y302" s="3"/>
      <c r="Z302" s="3"/>
      <c r="AA302" s="3"/>
      <c r="AB302" s="3"/>
    </row>
    <row r="303">
      <c r="A303" s="4"/>
      <c r="B303" s="4"/>
      <c r="C303" s="4"/>
      <c r="D303" s="3"/>
      <c r="E303" s="3"/>
      <c r="F303" s="16"/>
      <c r="G303" s="29"/>
      <c r="H303" s="3"/>
      <c r="I303" s="3"/>
      <c r="J303" s="3"/>
      <c r="K303" s="3"/>
      <c r="L303" s="3"/>
      <c r="M303" s="3"/>
      <c r="N303" s="3"/>
      <c r="O303" s="3"/>
      <c r="P303" s="3"/>
      <c r="Q303" s="3"/>
      <c r="R303" s="3"/>
      <c r="S303" s="3"/>
      <c r="T303" s="3"/>
      <c r="U303" s="3"/>
      <c r="V303" s="3"/>
      <c r="W303" s="3"/>
      <c r="X303" s="3"/>
      <c r="Y303" s="3"/>
      <c r="Z303" s="3"/>
      <c r="AA303" s="3"/>
      <c r="AB303" s="3"/>
    </row>
    <row r="304">
      <c r="A304" s="4"/>
      <c r="B304" s="4"/>
      <c r="C304" s="4"/>
      <c r="D304" s="3"/>
      <c r="E304" s="3"/>
      <c r="F304" s="16"/>
      <c r="G304" s="29"/>
      <c r="H304" s="3"/>
      <c r="I304" s="3"/>
      <c r="J304" s="3"/>
      <c r="K304" s="3"/>
      <c r="L304" s="3"/>
      <c r="M304" s="3"/>
      <c r="N304" s="3"/>
      <c r="O304" s="3"/>
      <c r="P304" s="3"/>
      <c r="Q304" s="3"/>
      <c r="R304" s="3"/>
      <c r="S304" s="3"/>
      <c r="T304" s="3"/>
      <c r="U304" s="3"/>
      <c r="V304" s="3"/>
      <c r="W304" s="3"/>
      <c r="X304" s="3"/>
      <c r="Y304" s="3"/>
      <c r="Z304" s="3"/>
      <c r="AA304" s="3"/>
      <c r="AB304" s="3"/>
    </row>
    <row r="305">
      <c r="A305" s="4"/>
      <c r="B305" s="4"/>
      <c r="C305" s="4"/>
      <c r="D305" s="3"/>
      <c r="E305" s="3"/>
      <c r="F305" s="16"/>
      <c r="G305" s="29"/>
      <c r="H305" s="3"/>
      <c r="I305" s="3"/>
      <c r="J305" s="3"/>
      <c r="K305" s="3"/>
      <c r="L305" s="3"/>
      <c r="M305" s="3"/>
      <c r="N305" s="3"/>
      <c r="O305" s="3"/>
      <c r="P305" s="3"/>
      <c r="Q305" s="3"/>
      <c r="R305" s="3"/>
      <c r="S305" s="3"/>
      <c r="T305" s="3"/>
      <c r="U305" s="3"/>
      <c r="V305" s="3"/>
      <c r="W305" s="3"/>
      <c r="X305" s="3"/>
      <c r="Y305" s="3"/>
      <c r="Z305" s="3"/>
      <c r="AA305" s="3"/>
      <c r="AB305" s="3"/>
    </row>
    <row r="306">
      <c r="A306" s="4"/>
      <c r="B306" s="4"/>
      <c r="C306" s="4"/>
      <c r="D306" s="3"/>
      <c r="E306" s="3"/>
      <c r="F306" s="16"/>
      <c r="G306" s="29"/>
      <c r="H306" s="3"/>
      <c r="I306" s="3"/>
      <c r="J306" s="3"/>
      <c r="K306" s="3"/>
      <c r="L306" s="3"/>
      <c r="M306" s="3"/>
      <c r="N306" s="3"/>
      <c r="O306" s="3"/>
      <c r="P306" s="3"/>
      <c r="Q306" s="3"/>
      <c r="R306" s="3"/>
      <c r="S306" s="3"/>
      <c r="T306" s="3"/>
      <c r="U306" s="3"/>
      <c r="V306" s="3"/>
      <c r="W306" s="3"/>
      <c r="X306" s="3"/>
      <c r="Y306" s="3"/>
      <c r="Z306" s="3"/>
      <c r="AA306" s="3"/>
      <c r="AB306" s="3"/>
    </row>
    <row r="307">
      <c r="A307" s="4"/>
      <c r="B307" s="4"/>
      <c r="C307" s="4"/>
      <c r="D307" s="3"/>
      <c r="E307" s="3"/>
      <c r="F307" s="16"/>
      <c r="G307" s="29"/>
      <c r="H307" s="3"/>
      <c r="I307" s="3"/>
      <c r="J307" s="3"/>
      <c r="K307" s="3"/>
      <c r="L307" s="3"/>
      <c r="M307" s="3"/>
      <c r="N307" s="3"/>
      <c r="O307" s="3"/>
      <c r="P307" s="3"/>
      <c r="Q307" s="3"/>
      <c r="R307" s="3"/>
      <c r="S307" s="3"/>
      <c r="T307" s="3"/>
      <c r="U307" s="3"/>
      <c r="V307" s="3"/>
      <c r="W307" s="3"/>
      <c r="X307" s="3"/>
      <c r="Y307" s="3"/>
      <c r="Z307" s="3"/>
      <c r="AA307" s="3"/>
      <c r="AB307" s="3"/>
    </row>
    <row r="308">
      <c r="A308" s="4"/>
      <c r="B308" s="4"/>
      <c r="C308" s="4"/>
      <c r="D308" s="3"/>
      <c r="E308" s="3"/>
      <c r="F308" s="16"/>
      <c r="G308" s="29"/>
      <c r="H308" s="3"/>
      <c r="I308" s="3"/>
      <c r="J308" s="3"/>
      <c r="K308" s="3"/>
      <c r="L308" s="3"/>
      <c r="M308" s="3"/>
      <c r="N308" s="3"/>
      <c r="O308" s="3"/>
      <c r="P308" s="3"/>
      <c r="Q308" s="3"/>
      <c r="R308" s="3"/>
      <c r="S308" s="3"/>
      <c r="T308" s="3"/>
      <c r="U308" s="3"/>
      <c r="V308" s="3"/>
      <c r="W308" s="3"/>
      <c r="X308" s="3"/>
      <c r="Y308" s="3"/>
      <c r="Z308" s="3"/>
      <c r="AA308" s="3"/>
      <c r="AB308" s="3"/>
    </row>
    <row r="309">
      <c r="A309" s="4"/>
      <c r="B309" s="4"/>
      <c r="C309" s="4"/>
      <c r="D309" s="3"/>
      <c r="E309" s="3"/>
      <c r="F309" s="16"/>
      <c r="G309" s="29"/>
      <c r="H309" s="3"/>
      <c r="I309" s="3"/>
      <c r="J309" s="3"/>
      <c r="K309" s="3"/>
      <c r="L309" s="3"/>
      <c r="M309" s="3"/>
      <c r="N309" s="3"/>
      <c r="O309" s="3"/>
      <c r="P309" s="3"/>
      <c r="Q309" s="3"/>
      <c r="R309" s="3"/>
      <c r="S309" s="3"/>
      <c r="T309" s="3"/>
      <c r="U309" s="3"/>
      <c r="V309" s="3"/>
      <c r="W309" s="3"/>
      <c r="X309" s="3"/>
      <c r="Y309" s="3"/>
      <c r="Z309" s="3"/>
      <c r="AA309" s="3"/>
      <c r="AB309" s="3"/>
    </row>
    <row r="310">
      <c r="A310" s="4"/>
      <c r="B310" s="4"/>
      <c r="C310" s="4"/>
      <c r="D310" s="3"/>
      <c r="E310" s="3"/>
      <c r="F310" s="16"/>
      <c r="G310" s="29"/>
      <c r="H310" s="3"/>
      <c r="I310" s="3"/>
      <c r="J310" s="3"/>
      <c r="K310" s="3"/>
      <c r="L310" s="3"/>
      <c r="M310" s="3"/>
      <c r="N310" s="3"/>
      <c r="O310" s="3"/>
      <c r="P310" s="3"/>
      <c r="Q310" s="3"/>
      <c r="R310" s="3"/>
      <c r="S310" s="3"/>
      <c r="T310" s="3"/>
      <c r="U310" s="3"/>
      <c r="V310" s="3"/>
      <c r="W310" s="3"/>
      <c r="X310" s="3"/>
      <c r="Y310" s="3"/>
      <c r="Z310" s="3"/>
      <c r="AA310" s="3"/>
      <c r="AB310" s="3"/>
    </row>
    <row r="311">
      <c r="A311" s="4"/>
      <c r="B311" s="4"/>
      <c r="C311" s="4"/>
      <c r="D311" s="3"/>
      <c r="E311" s="3"/>
      <c r="F311" s="16"/>
      <c r="G311" s="29"/>
      <c r="H311" s="3"/>
      <c r="I311" s="3"/>
      <c r="J311" s="3"/>
      <c r="K311" s="3"/>
      <c r="L311" s="3"/>
      <c r="M311" s="3"/>
      <c r="N311" s="3"/>
      <c r="O311" s="3"/>
      <c r="P311" s="3"/>
      <c r="Q311" s="3"/>
      <c r="R311" s="3"/>
      <c r="S311" s="3"/>
      <c r="T311" s="3"/>
      <c r="U311" s="3"/>
      <c r="V311" s="3"/>
      <c r="W311" s="3"/>
      <c r="X311" s="3"/>
      <c r="Y311" s="3"/>
      <c r="Z311" s="3"/>
      <c r="AA311" s="3"/>
      <c r="AB311" s="3"/>
    </row>
    <row r="312">
      <c r="A312" s="4"/>
      <c r="B312" s="4"/>
      <c r="C312" s="4"/>
      <c r="D312" s="3"/>
      <c r="E312" s="3"/>
      <c r="F312" s="16"/>
      <c r="G312" s="29"/>
      <c r="H312" s="3"/>
      <c r="I312" s="3"/>
      <c r="J312" s="3"/>
      <c r="K312" s="3"/>
      <c r="L312" s="3"/>
      <c r="M312" s="3"/>
      <c r="N312" s="3"/>
      <c r="O312" s="3"/>
      <c r="P312" s="3"/>
      <c r="Q312" s="3"/>
      <c r="R312" s="3"/>
      <c r="S312" s="3"/>
      <c r="T312" s="3"/>
      <c r="U312" s="3"/>
      <c r="V312" s="3"/>
      <c r="W312" s="3"/>
      <c r="X312" s="3"/>
      <c r="Y312" s="3"/>
      <c r="Z312" s="3"/>
      <c r="AA312" s="3"/>
      <c r="AB312" s="3"/>
    </row>
    <row r="313">
      <c r="A313" s="4"/>
      <c r="B313" s="4"/>
      <c r="C313" s="4"/>
      <c r="D313" s="3"/>
      <c r="E313" s="3"/>
      <c r="F313" s="16"/>
      <c r="G313" s="29"/>
      <c r="H313" s="3"/>
      <c r="I313" s="3"/>
      <c r="J313" s="3"/>
      <c r="K313" s="3"/>
      <c r="L313" s="3"/>
      <c r="M313" s="3"/>
      <c r="N313" s="3"/>
      <c r="O313" s="3"/>
      <c r="P313" s="3"/>
      <c r="Q313" s="3"/>
      <c r="R313" s="3"/>
      <c r="S313" s="3"/>
      <c r="T313" s="3"/>
      <c r="U313" s="3"/>
      <c r="V313" s="3"/>
      <c r="W313" s="3"/>
      <c r="X313" s="3"/>
      <c r="Y313" s="3"/>
      <c r="Z313" s="3"/>
      <c r="AA313" s="3"/>
      <c r="AB313" s="3"/>
    </row>
    <row r="314">
      <c r="A314" s="4"/>
      <c r="B314" s="4"/>
      <c r="C314" s="4"/>
      <c r="D314" s="3"/>
      <c r="E314" s="3"/>
      <c r="F314" s="16"/>
      <c r="G314" s="29"/>
      <c r="H314" s="3"/>
      <c r="I314" s="3"/>
      <c r="J314" s="3"/>
      <c r="K314" s="3"/>
      <c r="L314" s="3"/>
      <c r="M314" s="3"/>
      <c r="N314" s="3"/>
      <c r="O314" s="3"/>
      <c r="P314" s="3"/>
      <c r="Q314" s="3"/>
      <c r="R314" s="3"/>
      <c r="S314" s="3"/>
      <c r="T314" s="3"/>
      <c r="U314" s="3"/>
      <c r="V314" s="3"/>
      <c r="W314" s="3"/>
      <c r="X314" s="3"/>
      <c r="Y314" s="3"/>
      <c r="Z314" s="3"/>
      <c r="AA314" s="3"/>
      <c r="AB314" s="3"/>
    </row>
    <row r="315">
      <c r="A315" s="4"/>
      <c r="B315" s="4"/>
      <c r="C315" s="4"/>
      <c r="D315" s="3"/>
      <c r="E315" s="3"/>
      <c r="F315" s="16"/>
      <c r="G315" s="29"/>
      <c r="H315" s="3"/>
      <c r="I315" s="3"/>
      <c r="J315" s="3"/>
      <c r="K315" s="3"/>
      <c r="L315" s="3"/>
      <c r="M315" s="3"/>
      <c r="N315" s="3"/>
      <c r="O315" s="3"/>
      <c r="P315" s="3"/>
      <c r="Q315" s="3"/>
      <c r="R315" s="3"/>
      <c r="S315" s="3"/>
      <c r="T315" s="3"/>
      <c r="U315" s="3"/>
      <c r="V315" s="3"/>
      <c r="W315" s="3"/>
      <c r="X315" s="3"/>
      <c r="Y315" s="3"/>
      <c r="Z315" s="3"/>
      <c r="AA315" s="3"/>
      <c r="AB315" s="3"/>
    </row>
    <row r="316">
      <c r="A316" s="4"/>
      <c r="B316" s="4"/>
      <c r="C316" s="4"/>
      <c r="D316" s="3"/>
      <c r="E316" s="3"/>
      <c r="F316" s="16"/>
      <c r="G316" s="29"/>
      <c r="H316" s="3"/>
      <c r="I316" s="3"/>
      <c r="J316" s="3"/>
      <c r="K316" s="3"/>
      <c r="L316" s="3"/>
      <c r="M316" s="3"/>
      <c r="N316" s="3"/>
      <c r="O316" s="3"/>
      <c r="P316" s="3"/>
      <c r="Q316" s="3"/>
      <c r="R316" s="3"/>
      <c r="S316" s="3"/>
      <c r="T316" s="3"/>
      <c r="U316" s="3"/>
      <c r="V316" s="3"/>
      <c r="W316" s="3"/>
      <c r="X316" s="3"/>
      <c r="Y316" s="3"/>
      <c r="Z316" s="3"/>
      <c r="AA316" s="3"/>
      <c r="AB316" s="3"/>
    </row>
    <row r="317">
      <c r="A317" s="4"/>
      <c r="B317" s="4"/>
      <c r="C317" s="4"/>
      <c r="D317" s="3"/>
      <c r="E317" s="3"/>
      <c r="F317" s="16"/>
      <c r="G317" s="29"/>
      <c r="H317" s="3"/>
      <c r="I317" s="3"/>
      <c r="J317" s="3"/>
      <c r="K317" s="3"/>
      <c r="L317" s="3"/>
      <c r="M317" s="3"/>
      <c r="N317" s="3"/>
      <c r="O317" s="3"/>
      <c r="P317" s="3"/>
      <c r="Q317" s="3"/>
      <c r="R317" s="3"/>
      <c r="S317" s="3"/>
      <c r="T317" s="3"/>
      <c r="U317" s="3"/>
      <c r="V317" s="3"/>
      <c r="W317" s="3"/>
      <c r="X317" s="3"/>
      <c r="Y317" s="3"/>
      <c r="Z317" s="3"/>
      <c r="AA317" s="3"/>
      <c r="AB317" s="3"/>
    </row>
    <row r="318">
      <c r="A318" s="4"/>
      <c r="B318" s="4"/>
      <c r="C318" s="4"/>
      <c r="D318" s="3"/>
      <c r="E318" s="3"/>
      <c r="F318" s="16"/>
      <c r="G318" s="29"/>
      <c r="H318" s="3"/>
      <c r="I318" s="3"/>
      <c r="J318" s="3"/>
      <c r="K318" s="3"/>
      <c r="L318" s="3"/>
      <c r="M318" s="3"/>
      <c r="N318" s="3"/>
      <c r="O318" s="3"/>
      <c r="P318" s="3"/>
      <c r="Q318" s="3"/>
      <c r="R318" s="3"/>
      <c r="S318" s="3"/>
      <c r="T318" s="3"/>
      <c r="U318" s="3"/>
      <c r="V318" s="3"/>
      <c r="W318" s="3"/>
      <c r="X318" s="3"/>
      <c r="Y318" s="3"/>
      <c r="Z318" s="3"/>
      <c r="AA318" s="3"/>
      <c r="AB318" s="3"/>
    </row>
    <row r="319">
      <c r="A319" s="4"/>
      <c r="B319" s="4"/>
      <c r="C319" s="4"/>
      <c r="D319" s="3"/>
      <c r="E319" s="3"/>
      <c r="F319" s="16"/>
      <c r="G319" s="29"/>
      <c r="H319" s="3"/>
      <c r="I319" s="3"/>
      <c r="J319" s="3"/>
      <c r="K319" s="3"/>
      <c r="L319" s="3"/>
      <c r="M319" s="3"/>
      <c r="N319" s="3"/>
      <c r="O319" s="3"/>
      <c r="P319" s="3"/>
      <c r="Q319" s="3"/>
      <c r="R319" s="3"/>
      <c r="S319" s="3"/>
      <c r="T319" s="3"/>
      <c r="U319" s="3"/>
      <c r="V319" s="3"/>
      <c r="W319" s="3"/>
      <c r="X319" s="3"/>
      <c r="Y319" s="3"/>
      <c r="Z319" s="3"/>
      <c r="AA319" s="3"/>
      <c r="AB319" s="3"/>
    </row>
    <row r="320">
      <c r="A320" s="4"/>
      <c r="B320" s="4"/>
      <c r="C320" s="4"/>
      <c r="D320" s="3"/>
      <c r="E320" s="3"/>
      <c r="F320" s="16"/>
      <c r="G320" s="29"/>
      <c r="H320" s="3"/>
      <c r="I320" s="3"/>
      <c r="J320" s="3"/>
      <c r="K320" s="3"/>
      <c r="L320" s="3"/>
      <c r="M320" s="3"/>
      <c r="N320" s="3"/>
      <c r="O320" s="3"/>
      <c r="P320" s="3"/>
      <c r="Q320" s="3"/>
      <c r="R320" s="3"/>
      <c r="S320" s="3"/>
      <c r="T320" s="3"/>
      <c r="U320" s="3"/>
      <c r="V320" s="3"/>
      <c r="W320" s="3"/>
      <c r="X320" s="3"/>
      <c r="Y320" s="3"/>
      <c r="Z320" s="3"/>
      <c r="AA320" s="3"/>
      <c r="AB320" s="3"/>
    </row>
    <row r="321">
      <c r="A321" s="4"/>
      <c r="B321" s="4"/>
      <c r="C321" s="4"/>
      <c r="D321" s="3"/>
      <c r="E321" s="3"/>
      <c r="F321" s="16"/>
      <c r="G321" s="29"/>
      <c r="H321" s="3"/>
      <c r="I321" s="3"/>
      <c r="J321" s="3"/>
      <c r="K321" s="3"/>
      <c r="L321" s="3"/>
      <c r="M321" s="3"/>
      <c r="N321" s="3"/>
      <c r="O321" s="3"/>
      <c r="P321" s="3"/>
      <c r="Q321" s="3"/>
      <c r="R321" s="3"/>
      <c r="S321" s="3"/>
      <c r="T321" s="3"/>
      <c r="U321" s="3"/>
      <c r="V321" s="3"/>
      <c r="W321" s="3"/>
      <c r="X321" s="3"/>
      <c r="Y321" s="3"/>
      <c r="Z321" s="3"/>
      <c r="AA321" s="3"/>
      <c r="AB321" s="3"/>
    </row>
    <row r="322">
      <c r="A322" s="4"/>
      <c r="B322" s="4"/>
      <c r="C322" s="4"/>
      <c r="D322" s="3"/>
      <c r="E322" s="3"/>
      <c r="F322" s="16"/>
      <c r="G322" s="29"/>
      <c r="H322" s="3"/>
      <c r="I322" s="3"/>
      <c r="J322" s="3"/>
      <c r="K322" s="3"/>
      <c r="L322" s="3"/>
      <c r="M322" s="3"/>
      <c r="N322" s="3"/>
      <c r="O322" s="3"/>
      <c r="P322" s="3"/>
      <c r="Q322" s="3"/>
      <c r="R322" s="3"/>
      <c r="S322" s="3"/>
      <c r="T322" s="3"/>
      <c r="U322" s="3"/>
      <c r="V322" s="3"/>
      <c r="W322" s="3"/>
      <c r="X322" s="3"/>
      <c r="Y322" s="3"/>
      <c r="Z322" s="3"/>
      <c r="AA322" s="3"/>
      <c r="AB322" s="3"/>
    </row>
    <row r="323">
      <c r="A323" s="4"/>
      <c r="B323" s="4"/>
      <c r="C323" s="4"/>
      <c r="D323" s="3"/>
      <c r="E323" s="3"/>
      <c r="F323" s="16"/>
      <c r="G323" s="29"/>
      <c r="H323" s="3"/>
      <c r="I323" s="3"/>
      <c r="J323" s="3"/>
      <c r="K323" s="3"/>
      <c r="L323" s="3"/>
      <c r="M323" s="3"/>
      <c r="N323" s="3"/>
      <c r="O323" s="3"/>
      <c r="P323" s="3"/>
      <c r="Q323" s="3"/>
      <c r="R323" s="3"/>
      <c r="S323" s="3"/>
      <c r="T323" s="3"/>
      <c r="U323" s="3"/>
      <c r="V323" s="3"/>
      <c r="W323" s="3"/>
      <c r="X323" s="3"/>
      <c r="Y323" s="3"/>
      <c r="Z323" s="3"/>
      <c r="AA323" s="3"/>
      <c r="AB323" s="3"/>
    </row>
    <row r="324">
      <c r="A324" s="4"/>
      <c r="B324" s="4"/>
      <c r="C324" s="4"/>
      <c r="D324" s="3"/>
      <c r="E324" s="3"/>
      <c r="F324" s="16"/>
      <c r="G324" s="29"/>
      <c r="H324" s="3"/>
      <c r="I324" s="3"/>
      <c r="J324" s="3"/>
      <c r="K324" s="3"/>
      <c r="L324" s="3"/>
      <c r="M324" s="3"/>
      <c r="N324" s="3"/>
      <c r="O324" s="3"/>
      <c r="P324" s="3"/>
      <c r="Q324" s="3"/>
      <c r="R324" s="3"/>
      <c r="S324" s="3"/>
      <c r="T324" s="3"/>
      <c r="U324" s="3"/>
      <c r="V324" s="3"/>
      <c r="W324" s="3"/>
      <c r="X324" s="3"/>
      <c r="Y324" s="3"/>
      <c r="Z324" s="3"/>
      <c r="AA324" s="3"/>
      <c r="AB324" s="3"/>
    </row>
    <row r="325">
      <c r="A325" s="4"/>
      <c r="B325" s="4"/>
      <c r="C325" s="4"/>
      <c r="D325" s="3"/>
      <c r="E325" s="3"/>
      <c r="F325" s="16"/>
      <c r="G325" s="29"/>
      <c r="H325" s="3"/>
      <c r="I325" s="3"/>
      <c r="J325" s="3"/>
      <c r="K325" s="3"/>
      <c r="L325" s="3"/>
      <c r="M325" s="3"/>
      <c r="N325" s="3"/>
      <c r="O325" s="3"/>
      <c r="P325" s="3"/>
      <c r="Q325" s="3"/>
      <c r="R325" s="3"/>
      <c r="S325" s="3"/>
      <c r="T325" s="3"/>
      <c r="U325" s="3"/>
      <c r="V325" s="3"/>
      <c r="W325" s="3"/>
      <c r="X325" s="3"/>
      <c r="Y325" s="3"/>
      <c r="Z325" s="3"/>
      <c r="AA325" s="3"/>
      <c r="AB325" s="3"/>
    </row>
    <row r="326">
      <c r="A326" s="4"/>
      <c r="B326" s="4"/>
      <c r="C326" s="4"/>
      <c r="D326" s="3"/>
      <c r="E326" s="3"/>
      <c r="F326" s="16"/>
      <c r="G326" s="29"/>
      <c r="H326" s="3"/>
      <c r="I326" s="3"/>
      <c r="J326" s="3"/>
      <c r="K326" s="3"/>
      <c r="L326" s="3"/>
      <c r="M326" s="3"/>
      <c r="N326" s="3"/>
      <c r="O326" s="3"/>
      <c r="P326" s="3"/>
      <c r="Q326" s="3"/>
      <c r="R326" s="3"/>
      <c r="S326" s="3"/>
      <c r="T326" s="3"/>
      <c r="U326" s="3"/>
      <c r="V326" s="3"/>
      <c r="W326" s="3"/>
      <c r="X326" s="3"/>
      <c r="Y326" s="3"/>
      <c r="Z326" s="3"/>
      <c r="AA326" s="3"/>
      <c r="AB326" s="3"/>
    </row>
    <row r="327">
      <c r="A327" s="4"/>
      <c r="B327" s="4"/>
      <c r="C327" s="4"/>
      <c r="D327" s="3"/>
      <c r="E327" s="3"/>
      <c r="F327" s="16"/>
      <c r="G327" s="29"/>
      <c r="H327" s="3"/>
      <c r="I327" s="3"/>
      <c r="J327" s="3"/>
      <c r="K327" s="3"/>
      <c r="L327" s="3"/>
      <c r="M327" s="3"/>
      <c r="N327" s="3"/>
      <c r="O327" s="3"/>
      <c r="P327" s="3"/>
      <c r="Q327" s="3"/>
      <c r="R327" s="3"/>
      <c r="S327" s="3"/>
      <c r="T327" s="3"/>
      <c r="U327" s="3"/>
      <c r="V327" s="3"/>
      <c r="W327" s="3"/>
      <c r="X327" s="3"/>
      <c r="Y327" s="3"/>
      <c r="Z327" s="3"/>
      <c r="AA327" s="3"/>
      <c r="AB327" s="3"/>
    </row>
    <row r="328">
      <c r="A328" s="4"/>
      <c r="B328" s="4"/>
      <c r="C328" s="4"/>
      <c r="D328" s="3"/>
      <c r="E328" s="3"/>
      <c r="F328" s="16"/>
      <c r="G328" s="29"/>
      <c r="H328" s="3"/>
      <c r="I328" s="3"/>
      <c r="J328" s="3"/>
      <c r="K328" s="3"/>
      <c r="L328" s="3"/>
      <c r="M328" s="3"/>
      <c r="N328" s="3"/>
      <c r="O328" s="3"/>
      <c r="P328" s="3"/>
      <c r="Q328" s="3"/>
      <c r="R328" s="3"/>
      <c r="S328" s="3"/>
      <c r="T328" s="3"/>
      <c r="U328" s="3"/>
      <c r="V328" s="3"/>
      <c r="W328" s="3"/>
      <c r="X328" s="3"/>
      <c r="Y328" s="3"/>
      <c r="Z328" s="3"/>
      <c r="AA328" s="3"/>
      <c r="AB328" s="3"/>
    </row>
    <row r="329">
      <c r="A329" s="4"/>
      <c r="B329" s="4"/>
      <c r="C329" s="4"/>
      <c r="D329" s="3"/>
      <c r="E329" s="3"/>
      <c r="F329" s="16"/>
      <c r="G329" s="29"/>
      <c r="H329" s="3"/>
      <c r="I329" s="3"/>
      <c r="J329" s="3"/>
      <c r="K329" s="3"/>
      <c r="L329" s="3"/>
      <c r="M329" s="3"/>
      <c r="N329" s="3"/>
      <c r="O329" s="3"/>
      <c r="P329" s="3"/>
      <c r="Q329" s="3"/>
      <c r="R329" s="3"/>
      <c r="S329" s="3"/>
      <c r="T329" s="3"/>
      <c r="U329" s="3"/>
      <c r="V329" s="3"/>
      <c r="W329" s="3"/>
      <c r="X329" s="3"/>
      <c r="Y329" s="3"/>
      <c r="Z329" s="3"/>
      <c r="AA329" s="3"/>
      <c r="AB329" s="3"/>
    </row>
    <row r="330">
      <c r="A330" s="4"/>
      <c r="B330" s="4"/>
      <c r="C330" s="4"/>
      <c r="D330" s="3"/>
      <c r="E330" s="3"/>
      <c r="F330" s="16"/>
      <c r="G330" s="29"/>
      <c r="H330" s="3"/>
      <c r="I330" s="3"/>
      <c r="J330" s="3"/>
      <c r="K330" s="3"/>
      <c r="L330" s="3"/>
      <c r="M330" s="3"/>
      <c r="N330" s="3"/>
      <c r="O330" s="3"/>
      <c r="P330" s="3"/>
      <c r="Q330" s="3"/>
      <c r="R330" s="3"/>
      <c r="S330" s="3"/>
      <c r="T330" s="3"/>
      <c r="U330" s="3"/>
      <c r="V330" s="3"/>
      <c r="W330" s="3"/>
      <c r="X330" s="3"/>
      <c r="Y330" s="3"/>
      <c r="Z330" s="3"/>
      <c r="AA330" s="3"/>
      <c r="AB330" s="3"/>
    </row>
    <row r="331">
      <c r="A331" s="4"/>
      <c r="B331" s="4"/>
      <c r="C331" s="4"/>
      <c r="D331" s="3"/>
      <c r="E331" s="3"/>
      <c r="F331" s="16"/>
      <c r="G331" s="29"/>
      <c r="H331" s="3"/>
      <c r="I331" s="3"/>
      <c r="J331" s="3"/>
      <c r="K331" s="3"/>
      <c r="L331" s="3"/>
      <c r="M331" s="3"/>
      <c r="N331" s="3"/>
      <c r="O331" s="3"/>
      <c r="P331" s="3"/>
      <c r="Q331" s="3"/>
      <c r="R331" s="3"/>
      <c r="S331" s="3"/>
      <c r="T331" s="3"/>
      <c r="U331" s="3"/>
      <c r="V331" s="3"/>
      <c r="W331" s="3"/>
      <c r="X331" s="3"/>
      <c r="Y331" s="3"/>
      <c r="Z331" s="3"/>
      <c r="AA331" s="3"/>
      <c r="AB331" s="3"/>
    </row>
    <row r="332">
      <c r="A332" s="4"/>
      <c r="B332" s="4"/>
      <c r="C332" s="4"/>
      <c r="D332" s="3"/>
      <c r="E332" s="3"/>
      <c r="F332" s="16"/>
      <c r="G332" s="29"/>
      <c r="H332" s="3"/>
      <c r="I332" s="3"/>
      <c r="J332" s="3"/>
      <c r="K332" s="3"/>
      <c r="L332" s="3"/>
      <c r="M332" s="3"/>
      <c r="N332" s="3"/>
      <c r="O332" s="3"/>
      <c r="P332" s="3"/>
      <c r="Q332" s="3"/>
      <c r="R332" s="3"/>
      <c r="S332" s="3"/>
      <c r="T332" s="3"/>
      <c r="U332" s="3"/>
      <c r="V332" s="3"/>
      <c r="W332" s="3"/>
      <c r="X332" s="3"/>
      <c r="Y332" s="3"/>
      <c r="Z332" s="3"/>
      <c r="AA332" s="3"/>
      <c r="AB332" s="3"/>
    </row>
    <row r="333">
      <c r="A333" s="4"/>
      <c r="B333" s="4"/>
      <c r="C333" s="4"/>
      <c r="D333" s="3"/>
      <c r="E333" s="3"/>
      <c r="F333" s="16"/>
      <c r="G333" s="29"/>
      <c r="H333" s="3"/>
      <c r="I333" s="3"/>
      <c r="J333" s="3"/>
      <c r="K333" s="3"/>
      <c r="L333" s="3"/>
      <c r="M333" s="3"/>
      <c r="N333" s="3"/>
      <c r="O333" s="3"/>
      <c r="P333" s="3"/>
      <c r="Q333" s="3"/>
      <c r="R333" s="3"/>
      <c r="S333" s="3"/>
      <c r="T333" s="3"/>
      <c r="U333" s="3"/>
      <c r="V333" s="3"/>
      <c r="W333" s="3"/>
      <c r="X333" s="3"/>
      <c r="Y333" s="3"/>
      <c r="Z333" s="3"/>
      <c r="AA333" s="3"/>
      <c r="AB333" s="3"/>
    </row>
    <row r="334">
      <c r="A334" s="4"/>
      <c r="B334" s="4"/>
      <c r="C334" s="4"/>
      <c r="D334" s="3"/>
      <c r="E334" s="3"/>
      <c r="F334" s="16"/>
      <c r="G334" s="29"/>
      <c r="H334" s="3"/>
      <c r="I334" s="3"/>
      <c r="J334" s="3"/>
      <c r="K334" s="3"/>
      <c r="L334" s="3"/>
      <c r="M334" s="3"/>
      <c r="N334" s="3"/>
      <c r="O334" s="3"/>
      <c r="P334" s="3"/>
      <c r="Q334" s="3"/>
      <c r="R334" s="3"/>
      <c r="S334" s="3"/>
      <c r="T334" s="3"/>
      <c r="U334" s="3"/>
      <c r="V334" s="3"/>
      <c r="W334" s="3"/>
      <c r="X334" s="3"/>
      <c r="Y334" s="3"/>
      <c r="Z334" s="3"/>
      <c r="AA334" s="3"/>
      <c r="AB334" s="3"/>
    </row>
    <row r="335">
      <c r="A335" s="4"/>
      <c r="B335" s="4"/>
      <c r="C335" s="4"/>
      <c r="D335" s="3"/>
      <c r="E335" s="3"/>
      <c r="F335" s="16"/>
      <c r="G335" s="29"/>
      <c r="H335" s="3"/>
      <c r="I335" s="3"/>
      <c r="J335" s="3"/>
      <c r="K335" s="3"/>
      <c r="L335" s="3"/>
      <c r="M335" s="3"/>
      <c r="N335" s="3"/>
      <c r="O335" s="3"/>
      <c r="P335" s="3"/>
      <c r="Q335" s="3"/>
      <c r="R335" s="3"/>
      <c r="S335" s="3"/>
      <c r="T335" s="3"/>
      <c r="U335" s="3"/>
      <c r="V335" s="3"/>
      <c r="W335" s="3"/>
      <c r="X335" s="3"/>
      <c r="Y335" s="3"/>
      <c r="Z335" s="3"/>
      <c r="AA335" s="3"/>
      <c r="AB335" s="3"/>
    </row>
    <row r="336">
      <c r="A336" s="4"/>
      <c r="B336" s="4"/>
      <c r="C336" s="4"/>
      <c r="D336" s="3"/>
      <c r="E336" s="3"/>
      <c r="F336" s="16"/>
      <c r="G336" s="29"/>
      <c r="H336" s="3"/>
      <c r="I336" s="3"/>
      <c r="J336" s="3"/>
      <c r="K336" s="3"/>
      <c r="L336" s="3"/>
      <c r="M336" s="3"/>
      <c r="N336" s="3"/>
      <c r="O336" s="3"/>
      <c r="P336" s="3"/>
      <c r="Q336" s="3"/>
      <c r="R336" s="3"/>
      <c r="S336" s="3"/>
      <c r="T336" s="3"/>
      <c r="U336" s="3"/>
      <c r="V336" s="3"/>
      <c r="W336" s="3"/>
      <c r="X336" s="3"/>
      <c r="Y336" s="3"/>
      <c r="Z336" s="3"/>
      <c r="AA336" s="3"/>
      <c r="AB336" s="3"/>
    </row>
    <row r="337">
      <c r="A337" s="4"/>
      <c r="B337" s="4"/>
      <c r="C337" s="4"/>
      <c r="D337" s="3"/>
      <c r="E337" s="3"/>
      <c r="F337" s="16"/>
      <c r="G337" s="29"/>
      <c r="H337" s="3"/>
      <c r="I337" s="3"/>
      <c r="J337" s="3"/>
      <c r="K337" s="3"/>
      <c r="L337" s="3"/>
      <c r="M337" s="3"/>
      <c r="N337" s="3"/>
      <c r="O337" s="3"/>
      <c r="P337" s="3"/>
      <c r="Q337" s="3"/>
      <c r="R337" s="3"/>
      <c r="S337" s="3"/>
      <c r="T337" s="3"/>
      <c r="U337" s="3"/>
      <c r="V337" s="3"/>
      <c r="W337" s="3"/>
      <c r="X337" s="3"/>
      <c r="Y337" s="3"/>
      <c r="Z337" s="3"/>
      <c r="AA337" s="3"/>
      <c r="AB337" s="3"/>
    </row>
    <row r="338">
      <c r="A338" s="4"/>
      <c r="B338" s="4"/>
      <c r="C338" s="4"/>
      <c r="D338" s="3"/>
      <c r="E338" s="3"/>
      <c r="F338" s="16"/>
      <c r="G338" s="29"/>
      <c r="H338" s="3"/>
      <c r="I338" s="3"/>
      <c r="J338" s="3"/>
      <c r="K338" s="3"/>
      <c r="L338" s="3"/>
      <c r="M338" s="3"/>
      <c r="N338" s="3"/>
      <c r="O338" s="3"/>
      <c r="P338" s="3"/>
      <c r="Q338" s="3"/>
      <c r="R338" s="3"/>
      <c r="S338" s="3"/>
      <c r="T338" s="3"/>
      <c r="U338" s="3"/>
      <c r="V338" s="3"/>
      <c r="W338" s="3"/>
      <c r="X338" s="3"/>
      <c r="Y338" s="3"/>
      <c r="Z338" s="3"/>
      <c r="AA338" s="3"/>
      <c r="AB338" s="3"/>
    </row>
    <row r="339">
      <c r="A339" s="4"/>
      <c r="B339" s="4"/>
      <c r="C339" s="4"/>
      <c r="D339" s="3"/>
      <c r="E339" s="3"/>
      <c r="F339" s="16"/>
      <c r="G339" s="29"/>
      <c r="H339" s="3"/>
      <c r="I339" s="3"/>
      <c r="J339" s="3"/>
      <c r="K339" s="3"/>
      <c r="L339" s="3"/>
      <c r="M339" s="3"/>
      <c r="N339" s="3"/>
      <c r="O339" s="3"/>
      <c r="P339" s="3"/>
      <c r="Q339" s="3"/>
      <c r="R339" s="3"/>
      <c r="S339" s="3"/>
      <c r="T339" s="3"/>
      <c r="U339" s="3"/>
      <c r="V339" s="3"/>
      <c r="W339" s="3"/>
      <c r="X339" s="3"/>
      <c r="Y339" s="3"/>
      <c r="Z339" s="3"/>
      <c r="AA339" s="3"/>
      <c r="AB339" s="3"/>
    </row>
    <row r="340">
      <c r="A340" s="4"/>
      <c r="B340" s="4"/>
      <c r="C340" s="4"/>
      <c r="D340" s="3"/>
      <c r="E340" s="3"/>
      <c r="F340" s="16"/>
      <c r="G340" s="29"/>
      <c r="H340" s="3"/>
      <c r="I340" s="3"/>
      <c r="J340" s="3"/>
      <c r="K340" s="3"/>
      <c r="L340" s="3"/>
      <c r="M340" s="3"/>
      <c r="N340" s="3"/>
      <c r="O340" s="3"/>
      <c r="P340" s="3"/>
      <c r="Q340" s="3"/>
      <c r="R340" s="3"/>
      <c r="S340" s="3"/>
      <c r="T340" s="3"/>
      <c r="U340" s="3"/>
      <c r="V340" s="3"/>
      <c r="W340" s="3"/>
      <c r="X340" s="3"/>
      <c r="Y340" s="3"/>
      <c r="Z340" s="3"/>
      <c r="AA340" s="3"/>
      <c r="AB340" s="3"/>
    </row>
    <row r="341">
      <c r="A341" s="4"/>
      <c r="B341" s="4"/>
      <c r="C341" s="4"/>
      <c r="D341" s="3"/>
      <c r="E341" s="3"/>
      <c r="F341" s="16"/>
      <c r="G341" s="29"/>
      <c r="H341" s="3"/>
      <c r="I341" s="3"/>
      <c r="J341" s="3"/>
      <c r="K341" s="3"/>
      <c r="L341" s="3"/>
      <c r="M341" s="3"/>
      <c r="N341" s="3"/>
      <c r="O341" s="3"/>
      <c r="P341" s="3"/>
      <c r="Q341" s="3"/>
      <c r="R341" s="3"/>
      <c r="S341" s="3"/>
      <c r="T341" s="3"/>
      <c r="U341" s="3"/>
      <c r="V341" s="3"/>
      <c r="W341" s="3"/>
      <c r="X341" s="3"/>
      <c r="Y341" s="3"/>
      <c r="Z341" s="3"/>
      <c r="AA341" s="3"/>
      <c r="AB341" s="3"/>
    </row>
    <row r="342">
      <c r="A342" s="4"/>
      <c r="B342" s="4"/>
      <c r="C342" s="4"/>
      <c r="D342" s="3"/>
      <c r="E342" s="3"/>
      <c r="F342" s="16"/>
      <c r="G342" s="29"/>
      <c r="H342" s="3"/>
      <c r="I342" s="3"/>
      <c r="J342" s="3"/>
      <c r="K342" s="3"/>
      <c r="L342" s="3"/>
      <c r="M342" s="3"/>
      <c r="N342" s="3"/>
      <c r="O342" s="3"/>
      <c r="P342" s="3"/>
      <c r="Q342" s="3"/>
      <c r="R342" s="3"/>
      <c r="S342" s="3"/>
      <c r="T342" s="3"/>
      <c r="U342" s="3"/>
      <c r="V342" s="3"/>
      <c r="W342" s="3"/>
      <c r="X342" s="3"/>
      <c r="Y342" s="3"/>
      <c r="Z342" s="3"/>
      <c r="AA342" s="3"/>
      <c r="AB342" s="3"/>
    </row>
    <row r="343">
      <c r="A343" s="4"/>
      <c r="B343" s="4"/>
      <c r="C343" s="4"/>
      <c r="D343" s="3"/>
      <c r="E343" s="3"/>
      <c r="F343" s="16"/>
      <c r="G343" s="29"/>
      <c r="H343" s="3"/>
      <c r="I343" s="3"/>
      <c r="J343" s="3"/>
      <c r="K343" s="3"/>
      <c r="L343" s="3"/>
      <c r="M343" s="3"/>
      <c r="N343" s="3"/>
      <c r="O343" s="3"/>
      <c r="P343" s="3"/>
      <c r="Q343" s="3"/>
      <c r="R343" s="3"/>
      <c r="S343" s="3"/>
      <c r="T343" s="3"/>
      <c r="U343" s="3"/>
      <c r="V343" s="3"/>
      <c r="W343" s="3"/>
      <c r="X343" s="3"/>
      <c r="Y343" s="3"/>
      <c r="Z343" s="3"/>
      <c r="AA343" s="3"/>
      <c r="AB343" s="3"/>
    </row>
    <row r="344">
      <c r="A344" s="4"/>
      <c r="B344" s="4"/>
      <c r="C344" s="4"/>
      <c r="D344" s="3"/>
      <c r="E344" s="3"/>
      <c r="F344" s="16"/>
      <c r="G344" s="29"/>
      <c r="H344" s="3"/>
      <c r="I344" s="3"/>
      <c r="J344" s="3"/>
      <c r="K344" s="3"/>
      <c r="L344" s="3"/>
      <c r="M344" s="3"/>
      <c r="N344" s="3"/>
      <c r="O344" s="3"/>
      <c r="P344" s="3"/>
      <c r="Q344" s="3"/>
      <c r="R344" s="3"/>
      <c r="S344" s="3"/>
      <c r="T344" s="3"/>
      <c r="U344" s="3"/>
      <c r="V344" s="3"/>
      <c r="W344" s="3"/>
      <c r="X344" s="3"/>
      <c r="Y344" s="3"/>
      <c r="Z344" s="3"/>
      <c r="AA344" s="3"/>
      <c r="AB344" s="3"/>
    </row>
    <row r="345">
      <c r="A345" s="4"/>
      <c r="B345" s="4"/>
      <c r="C345" s="4"/>
      <c r="D345" s="3"/>
      <c r="E345" s="3"/>
      <c r="F345" s="16"/>
      <c r="G345" s="29"/>
      <c r="H345" s="3"/>
      <c r="I345" s="3"/>
      <c r="J345" s="3"/>
      <c r="K345" s="3"/>
      <c r="L345" s="3"/>
      <c r="M345" s="3"/>
      <c r="N345" s="3"/>
      <c r="O345" s="3"/>
      <c r="P345" s="3"/>
      <c r="Q345" s="3"/>
      <c r="R345" s="3"/>
      <c r="S345" s="3"/>
      <c r="T345" s="3"/>
      <c r="U345" s="3"/>
      <c r="V345" s="3"/>
      <c r="W345" s="3"/>
      <c r="X345" s="3"/>
      <c r="Y345" s="3"/>
      <c r="Z345" s="3"/>
      <c r="AA345" s="3"/>
      <c r="AB345" s="3"/>
    </row>
    <row r="346">
      <c r="A346" s="4"/>
      <c r="B346" s="4"/>
      <c r="C346" s="4"/>
      <c r="D346" s="3"/>
      <c r="E346" s="3"/>
      <c r="F346" s="16"/>
      <c r="G346" s="29"/>
      <c r="H346" s="3"/>
      <c r="I346" s="3"/>
      <c r="J346" s="3"/>
      <c r="K346" s="3"/>
      <c r="L346" s="3"/>
      <c r="M346" s="3"/>
      <c r="N346" s="3"/>
      <c r="O346" s="3"/>
      <c r="P346" s="3"/>
      <c r="Q346" s="3"/>
      <c r="R346" s="3"/>
      <c r="S346" s="3"/>
      <c r="T346" s="3"/>
      <c r="U346" s="3"/>
      <c r="V346" s="3"/>
      <c r="W346" s="3"/>
      <c r="X346" s="3"/>
      <c r="Y346" s="3"/>
      <c r="Z346" s="3"/>
      <c r="AA346" s="3"/>
      <c r="AB346" s="3"/>
    </row>
    <row r="347">
      <c r="A347" s="4"/>
      <c r="B347" s="4"/>
      <c r="C347" s="4"/>
      <c r="D347" s="3"/>
      <c r="E347" s="3"/>
      <c r="F347" s="16"/>
      <c r="G347" s="29"/>
      <c r="H347" s="3"/>
      <c r="I347" s="3"/>
      <c r="J347" s="3"/>
      <c r="K347" s="3"/>
      <c r="L347" s="3"/>
      <c r="M347" s="3"/>
      <c r="N347" s="3"/>
      <c r="O347" s="3"/>
      <c r="P347" s="3"/>
      <c r="Q347" s="3"/>
      <c r="R347" s="3"/>
      <c r="S347" s="3"/>
      <c r="T347" s="3"/>
      <c r="U347" s="3"/>
      <c r="V347" s="3"/>
      <c r="W347" s="3"/>
      <c r="X347" s="3"/>
      <c r="Y347" s="3"/>
      <c r="Z347" s="3"/>
      <c r="AA347" s="3"/>
      <c r="AB347" s="3"/>
    </row>
    <row r="348">
      <c r="A348" s="4"/>
      <c r="B348" s="4"/>
      <c r="C348" s="4"/>
      <c r="D348" s="3"/>
      <c r="E348" s="3"/>
      <c r="F348" s="16"/>
      <c r="G348" s="29"/>
      <c r="H348" s="3"/>
      <c r="I348" s="3"/>
      <c r="J348" s="3"/>
      <c r="K348" s="3"/>
      <c r="L348" s="3"/>
      <c r="M348" s="3"/>
      <c r="N348" s="3"/>
      <c r="O348" s="3"/>
      <c r="P348" s="3"/>
      <c r="Q348" s="3"/>
      <c r="R348" s="3"/>
      <c r="S348" s="3"/>
      <c r="T348" s="3"/>
      <c r="U348" s="3"/>
      <c r="V348" s="3"/>
      <c r="W348" s="3"/>
      <c r="X348" s="3"/>
      <c r="Y348" s="3"/>
      <c r="Z348" s="3"/>
      <c r="AA348" s="3"/>
      <c r="AB348" s="3"/>
    </row>
    <row r="349">
      <c r="A349" s="4"/>
      <c r="B349" s="4"/>
      <c r="C349" s="4"/>
      <c r="D349" s="3"/>
      <c r="E349" s="3"/>
      <c r="F349" s="16"/>
      <c r="G349" s="29"/>
      <c r="H349" s="3"/>
      <c r="I349" s="3"/>
      <c r="J349" s="3"/>
      <c r="K349" s="3"/>
      <c r="L349" s="3"/>
      <c r="M349" s="3"/>
      <c r="N349" s="3"/>
      <c r="O349" s="3"/>
      <c r="P349" s="3"/>
      <c r="Q349" s="3"/>
      <c r="R349" s="3"/>
      <c r="S349" s="3"/>
      <c r="T349" s="3"/>
      <c r="U349" s="3"/>
      <c r="V349" s="3"/>
      <c r="W349" s="3"/>
      <c r="X349" s="3"/>
      <c r="Y349" s="3"/>
      <c r="Z349" s="3"/>
      <c r="AA349" s="3"/>
      <c r="AB349" s="3"/>
    </row>
    <row r="350">
      <c r="A350" s="4"/>
      <c r="B350" s="4"/>
      <c r="C350" s="4"/>
      <c r="D350" s="3"/>
      <c r="E350" s="3"/>
      <c r="F350" s="16"/>
      <c r="G350" s="29"/>
      <c r="H350" s="3"/>
      <c r="I350" s="3"/>
      <c r="J350" s="3"/>
      <c r="K350" s="3"/>
      <c r="L350" s="3"/>
      <c r="M350" s="3"/>
      <c r="N350" s="3"/>
      <c r="O350" s="3"/>
      <c r="P350" s="3"/>
      <c r="Q350" s="3"/>
      <c r="R350" s="3"/>
      <c r="S350" s="3"/>
      <c r="T350" s="3"/>
      <c r="U350" s="3"/>
      <c r="V350" s="3"/>
      <c r="W350" s="3"/>
      <c r="X350" s="3"/>
      <c r="Y350" s="3"/>
      <c r="Z350" s="3"/>
      <c r="AA350" s="3"/>
      <c r="AB350" s="3"/>
    </row>
    <row r="351">
      <c r="A351" s="4"/>
      <c r="B351" s="4"/>
      <c r="C351" s="4"/>
      <c r="D351" s="3"/>
      <c r="E351" s="3"/>
      <c r="F351" s="16"/>
      <c r="G351" s="29"/>
      <c r="H351" s="3"/>
      <c r="I351" s="3"/>
      <c r="J351" s="3"/>
      <c r="K351" s="3"/>
      <c r="L351" s="3"/>
      <c r="M351" s="3"/>
      <c r="N351" s="3"/>
      <c r="O351" s="3"/>
      <c r="P351" s="3"/>
      <c r="Q351" s="3"/>
      <c r="R351" s="3"/>
      <c r="S351" s="3"/>
      <c r="T351" s="3"/>
      <c r="U351" s="3"/>
      <c r="V351" s="3"/>
      <c r="W351" s="3"/>
      <c r="X351" s="3"/>
      <c r="Y351" s="3"/>
      <c r="Z351" s="3"/>
      <c r="AA351" s="3"/>
      <c r="AB351" s="3"/>
    </row>
    <row r="352">
      <c r="A352" s="4"/>
      <c r="B352" s="4"/>
      <c r="C352" s="4"/>
      <c r="D352" s="3"/>
      <c r="E352" s="3"/>
      <c r="F352" s="16"/>
      <c r="G352" s="29"/>
      <c r="H352" s="3"/>
      <c r="I352" s="3"/>
      <c r="J352" s="3"/>
      <c r="K352" s="3"/>
      <c r="L352" s="3"/>
      <c r="M352" s="3"/>
      <c r="N352" s="3"/>
      <c r="O352" s="3"/>
      <c r="P352" s="3"/>
      <c r="Q352" s="3"/>
      <c r="R352" s="3"/>
      <c r="S352" s="3"/>
      <c r="T352" s="3"/>
      <c r="U352" s="3"/>
      <c r="V352" s="3"/>
      <c r="W352" s="3"/>
      <c r="X352" s="3"/>
      <c r="Y352" s="3"/>
      <c r="Z352" s="3"/>
      <c r="AA352" s="3"/>
      <c r="AB352" s="3"/>
    </row>
    <row r="353">
      <c r="A353" s="4"/>
      <c r="B353" s="4"/>
      <c r="C353" s="4"/>
      <c r="D353" s="3"/>
      <c r="E353" s="3"/>
      <c r="F353" s="16"/>
      <c r="G353" s="29"/>
      <c r="H353" s="3"/>
      <c r="I353" s="3"/>
      <c r="J353" s="3"/>
      <c r="K353" s="3"/>
      <c r="L353" s="3"/>
      <c r="M353" s="3"/>
      <c r="N353" s="3"/>
      <c r="O353" s="3"/>
      <c r="P353" s="3"/>
      <c r="Q353" s="3"/>
      <c r="R353" s="3"/>
      <c r="S353" s="3"/>
      <c r="T353" s="3"/>
      <c r="U353" s="3"/>
      <c r="V353" s="3"/>
      <c r="W353" s="3"/>
      <c r="X353" s="3"/>
      <c r="Y353" s="3"/>
      <c r="Z353" s="3"/>
      <c r="AA353" s="3"/>
      <c r="AB353" s="3"/>
    </row>
    <row r="354">
      <c r="A354" s="4"/>
      <c r="B354" s="4"/>
      <c r="C354" s="4"/>
      <c r="D354" s="3"/>
      <c r="E354" s="3"/>
      <c r="F354" s="16"/>
      <c r="G354" s="29"/>
      <c r="H354" s="3"/>
      <c r="I354" s="3"/>
      <c r="J354" s="3"/>
      <c r="K354" s="3"/>
      <c r="L354" s="3"/>
      <c r="M354" s="3"/>
      <c r="N354" s="3"/>
      <c r="O354" s="3"/>
      <c r="P354" s="3"/>
      <c r="Q354" s="3"/>
      <c r="R354" s="3"/>
      <c r="S354" s="3"/>
      <c r="T354" s="3"/>
      <c r="U354" s="3"/>
      <c r="V354" s="3"/>
      <c r="W354" s="3"/>
      <c r="X354" s="3"/>
      <c r="Y354" s="3"/>
      <c r="Z354" s="3"/>
      <c r="AA354" s="3"/>
      <c r="AB354" s="3"/>
    </row>
    <row r="355">
      <c r="A355" s="4"/>
      <c r="B355" s="4"/>
      <c r="C355" s="4"/>
      <c r="D355" s="3"/>
      <c r="E355" s="3"/>
      <c r="F355" s="16"/>
      <c r="G355" s="29"/>
      <c r="H355" s="3"/>
      <c r="I355" s="3"/>
      <c r="J355" s="3"/>
      <c r="K355" s="3"/>
      <c r="L355" s="3"/>
      <c r="M355" s="3"/>
      <c r="N355" s="3"/>
      <c r="O355" s="3"/>
      <c r="P355" s="3"/>
      <c r="Q355" s="3"/>
      <c r="R355" s="3"/>
      <c r="S355" s="3"/>
      <c r="T355" s="3"/>
      <c r="U355" s="3"/>
      <c r="V355" s="3"/>
      <c r="W355" s="3"/>
      <c r="X355" s="3"/>
      <c r="Y355" s="3"/>
      <c r="Z355" s="3"/>
      <c r="AA355" s="3"/>
      <c r="AB355" s="3"/>
    </row>
    <row r="356">
      <c r="A356" s="4"/>
      <c r="B356" s="4"/>
      <c r="C356" s="4"/>
      <c r="D356" s="3"/>
      <c r="E356" s="3"/>
      <c r="F356" s="16"/>
      <c r="G356" s="29"/>
      <c r="H356" s="3"/>
      <c r="I356" s="3"/>
      <c r="J356" s="3"/>
      <c r="K356" s="3"/>
      <c r="L356" s="3"/>
      <c r="M356" s="3"/>
      <c r="N356" s="3"/>
      <c r="O356" s="3"/>
      <c r="P356" s="3"/>
      <c r="Q356" s="3"/>
      <c r="R356" s="3"/>
      <c r="S356" s="3"/>
      <c r="T356" s="3"/>
      <c r="U356" s="3"/>
      <c r="V356" s="3"/>
      <c r="W356" s="3"/>
      <c r="X356" s="3"/>
      <c r="Y356" s="3"/>
      <c r="Z356" s="3"/>
      <c r="AA356" s="3"/>
      <c r="AB356" s="3"/>
    </row>
    <row r="357">
      <c r="A357" s="4"/>
      <c r="B357" s="4"/>
      <c r="C357" s="4"/>
      <c r="D357" s="3"/>
      <c r="E357" s="3"/>
      <c r="F357" s="16"/>
      <c r="G357" s="29"/>
      <c r="H357" s="3"/>
      <c r="I357" s="3"/>
      <c r="J357" s="3"/>
      <c r="K357" s="3"/>
      <c r="L357" s="3"/>
      <c r="M357" s="3"/>
      <c r="N357" s="3"/>
      <c r="O357" s="3"/>
      <c r="P357" s="3"/>
      <c r="Q357" s="3"/>
      <c r="R357" s="3"/>
      <c r="S357" s="3"/>
      <c r="T357" s="3"/>
      <c r="U357" s="3"/>
      <c r="V357" s="3"/>
      <c r="W357" s="3"/>
      <c r="X357" s="3"/>
      <c r="Y357" s="3"/>
      <c r="Z357" s="3"/>
      <c r="AA357" s="3"/>
      <c r="AB357" s="3"/>
    </row>
    <row r="358">
      <c r="A358" s="4"/>
      <c r="B358" s="4"/>
      <c r="C358" s="4"/>
      <c r="D358" s="3"/>
      <c r="E358" s="3"/>
      <c r="F358" s="16"/>
      <c r="G358" s="29"/>
      <c r="H358" s="3"/>
      <c r="I358" s="3"/>
      <c r="J358" s="3"/>
      <c r="K358" s="3"/>
      <c r="L358" s="3"/>
      <c r="M358" s="3"/>
      <c r="N358" s="3"/>
      <c r="O358" s="3"/>
      <c r="P358" s="3"/>
      <c r="Q358" s="3"/>
      <c r="R358" s="3"/>
      <c r="S358" s="3"/>
      <c r="T358" s="3"/>
      <c r="U358" s="3"/>
      <c r="V358" s="3"/>
      <c r="W358" s="3"/>
      <c r="X358" s="3"/>
      <c r="Y358" s="3"/>
      <c r="Z358" s="3"/>
      <c r="AA358" s="3"/>
      <c r="AB358" s="3"/>
    </row>
    <row r="359">
      <c r="A359" s="4"/>
      <c r="B359" s="4"/>
      <c r="C359" s="4"/>
      <c r="D359" s="3"/>
      <c r="E359" s="3"/>
      <c r="F359" s="16"/>
      <c r="G359" s="29"/>
      <c r="H359" s="3"/>
      <c r="I359" s="3"/>
      <c r="J359" s="3"/>
      <c r="K359" s="3"/>
      <c r="L359" s="3"/>
      <c r="M359" s="3"/>
      <c r="N359" s="3"/>
      <c r="O359" s="3"/>
      <c r="P359" s="3"/>
      <c r="Q359" s="3"/>
      <c r="R359" s="3"/>
      <c r="S359" s="3"/>
      <c r="T359" s="3"/>
      <c r="U359" s="3"/>
      <c r="V359" s="3"/>
      <c r="W359" s="3"/>
      <c r="X359" s="3"/>
      <c r="Y359" s="3"/>
      <c r="Z359" s="3"/>
      <c r="AA359" s="3"/>
      <c r="AB359" s="3"/>
    </row>
    <row r="360">
      <c r="A360" s="4"/>
      <c r="B360" s="4"/>
      <c r="C360" s="4"/>
      <c r="D360" s="3"/>
      <c r="E360" s="3"/>
      <c r="F360" s="16"/>
      <c r="G360" s="29"/>
      <c r="H360" s="3"/>
      <c r="I360" s="3"/>
      <c r="J360" s="3"/>
      <c r="K360" s="3"/>
      <c r="L360" s="3"/>
      <c r="M360" s="3"/>
      <c r="N360" s="3"/>
      <c r="O360" s="3"/>
      <c r="P360" s="3"/>
      <c r="Q360" s="3"/>
      <c r="R360" s="3"/>
      <c r="S360" s="3"/>
      <c r="T360" s="3"/>
      <c r="U360" s="3"/>
      <c r="V360" s="3"/>
      <c r="W360" s="3"/>
      <c r="X360" s="3"/>
      <c r="Y360" s="3"/>
      <c r="Z360" s="3"/>
      <c r="AA360" s="3"/>
      <c r="AB360" s="3"/>
    </row>
    <row r="361">
      <c r="A361" s="4"/>
      <c r="B361" s="4"/>
      <c r="C361" s="4"/>
      <c r="D361" s="3"/>
      <c r="E361" s="3"/>
      <c r="F361" s="16"/>
      <c r="G361" s="29"/>
      <c r="H361" s="3"/>
      <c r="I361" s="3"/>
      <c r="J361" s="3"/>
      <c r="K361" s="3"/>
      <c r="L361" s="3"/>
      <c r="M361" s="3"/>
      <c r="N361" s="3"/>
      <c r="O361" s="3"/>
      <c r="P361" s="3"/>
      <c r="Q361" s="3"/>
      <c r="R361" s="3"/>
      <c r="S361" s="3"/>
      <c r="T361" s="3"/>
      <c r="U361" s="3"/>
      <c r="V361" s="3"/>
      <c r="W361" s="3"/>
      <c r="X361" s="3"/>
      <c r="Y361" s="3"/>
      <c r="Z361" s="3"/>
      <c r="AA361" s="3"/>
      <c r="AB361" s="3"/>
    </row>
    <row r="362">
      <c r="A362" s="4"/>
      <c r="B362" s="4"/>
      <c r="C362" s="4"/>
      <c r="D362" s="3"/>
      <c r="E362" s="3"/>
      <c r="F362" s="16"/>
      <c r="G362" s="29"/>
      <c r="H362" s="3"/>
      <c r="I362" s="3"/>
      <c r="J362" s="3"/>
      <c r="K362" s="3"/>
      <c r="L362" s="3"/>
      <c r="M362" s="3"/>
      <c r="N362" s="3"/>
      <c r="O362" s="3"/>
      <c r="P362" s="3"/>
      <c r="Q362" s="3"/>
      <c r="R362" s="3"/>
      <c r="S362" s="3"/>
      <c r="T362" s="3"/>
      <c r="U362" s="3"/>
      <c r="V362" s="3"/>
      <c r="W362" s="3"/>
      <c r="X362" s="3"/>
      <c r="Y362" s="3"/>
      <c r="Z362" s="3"/>
      <c r="AA362" s="3"/>
      <c r="AB362" s="3"/>
    </row>
    <row r="363">
      <c r="A363" s="4"/>
      <c r="B363" s="4"/>
      <c r="C363" s="4"/>
      <c r="D363" s="3"/>
      <c r="E363" s="3"/>
      <c r="F363" s="16"/>
      <c r="G363" s="29"/>
      <c r="H363" s="3"/>
      <c r="I363" s="3"/>
      <c r="J363" s="3"/>
      <c r="K363" s="3"/>
      <c r="L363" s="3"/>
      <c r="M363" s="3"/>
      <c r="N363" s="3"/>
      <c r="O363" s="3"/>
      <c r="P363" s="3"/>
      <c r="Q363" s="3"/>
      <c r="R363" s="3"/>
      <c r="S363" s="3"/>
      <c r="T363" s="3"/>
      <c r="U363" s="3"/>
      <c r="V363" s="3"/>
      <c r="W363" s="3"/>
      <c r="X363" s="3"/>
      <c r="Y363" s="3"/>
      <c r="Z363" s="3"/>
      <c r="AA363" s="3"/>
      <c r="AB363" s="3"/>
    </row>
    <row r="364">
      <c r="A364" s="4"/>
      <c r="B364" s="4"/>
      <c r="C364" s="4"/>
      <c r="D364" s="3"/>
      <c r="E364" s="3"/>
      <c r="F364" s="16"/>
      <c r="G364" s="29"/>
      <c r="H364" s="3"/>
      <c r="I364" s="3"/>
      <c r="J364" s="3"/>
      <c r="K364" s="3"/>
      <c r="L364" s="3"/>
      <c r="M364" s="3"/>
      <c r="N364" s="3"/>
      <c r="O364" s="3"/>
      <c r="P364" s="3"/>
      <c r="Q364" s="3"/>
      <c r="R364" s="3"/>
      <c r="S364" s="3"/>
      <c r="T364" s="3"/>
      <c r="U364" s="3"/>
      <c r="V364" s="3"/>
      <c r="W364" s="3"/>
      <c r="X364" s="3"/>
      <c r="Y364" s="3"/>
      <c r="Z364" s="3"/>
      <c r="AA364" s="3"/>
      <c r="AB364" s="3"/>
    </row>
    <row r="365">
      <c r="A365" s="4"/>
      <c r="B365" s="4"/>
      <c r="C365" s="4"/>
      <c r="D365" s="3"/>
      <c r="E365" s="3"/>
      <c r="F365" s="16"/>
      <c r="G365" s="29"/>
      <c r="H365" s="3"/>
      <c r="I365" s="3"/>
      <c r="J365" s="3"/>
      <c r="K365" s="3"/>
      <c r="L365" s="3"/>
      <c r="M365" s="3"/>
      <c r="N365" s="3"/>
      <c r="O365" s="3"/>
      <c r="P365" s="3"/>
      <c r="Q365" s="3"/>
      <c r="R365" s="3"/>
      <c r="S365" s="3"/>
      <c r="T365" s="3"/>
      <c r="U365" s="3"/>
      <c r="V365" s="3"/>
      <c r="W365" s="3"/>
      <c r="X365" s="3"/>
      <c r="Y365" s="3"/>
      <c r="Z365" s="3"/>
      <c r="AA365" s="3"/>
      <c r="AB365" s="3"/>
    </row>
    <row r="366">
      <c r="A366" s="4"/>
      <c r="B366" s="4"/>
      <c r="C366" s="4"/>
      <c r="D366" s="3"/>
      <c r="E366" s="3"/>
      <c r="F366" s="16"/>
      <c r="G366" s="29"/>
      <c r="H366" s="3"/>
      <c r="I366" s="3"/>
      <c r="J366" s="3"/>
      <c r="K366" s="3"/>
      <c r="L366" s="3"/>
      <c r="M366" s="3"/>
      <c r="N366" s="3"/>
      <c r="O366" s="3"/>
      <c r="P366" s="3"/>
      <c r="Q366" s="3"/>
      <c r="R366" s="3"/>
      <c r="S366" s="3"/>
      <c r="T366" s="3"/>
      <c r="U366" s="3"/>
      <c r="V366" s="3"/>
      <c r="W366" s="3"/>
      <c r="X366" s="3"/>
      <c r="Y366" s="3"/>
      <c r="Z366" s="3"/>
      <c r="AA366" s="3"/>
      <c r="AB366" s="3"/>
    </row>
    <row r="367">
      <c r="A367" s="4"/>
      <c r="B367" s="4"/>
      <c r="C367" s="4"/>
      <c r="D367" s="3"/>
      <c r="E367" s="3"/>
      <c r="F367" s="16"/>
      <c r="G367" s="29"/>
      <c r="H367" s="3"/>
      <c r="I367" s="3"/>
      <c r="J367" s="3"/>
      <c r="K367" s="3"/>
      <c r="L367" s="3"/>
      <c r="M367" s="3"/>
      <c r="N367" s="3"/>
      <c r="O367" s="3"/>
      <c r="P367" s="3"/>
      <c r="Q367" s="3"/>
      <c r="R367" s="3"/>
      <c r="S367" s="3"/>
      <c r="T367" s="3"/>
      <c r="U367" s="3"/>
      <c r="V367" s="3"/>
      <c r="W367" s="3"/>
      <c r="X367" s="3"/>
      <c r="Y367" s="3"/>
      <c r="Z367" s="3"/>
      <c r="AA367" s="3"/>
      <c r="AB367" s="3"/>
    </row>
    <row r="368">
      <c r="A368" s="4"/>
      <c r="B368" s="4"/>
      <c r="C368" s="4"/>
      <c r="D368" s="3"/>
      <c r="E368" s="3"/>
      <c r="F368" s="16"/>
      <c r="G368" s="29"/>
      <c r="H368" s="3"/>
      <c r="I368" s="3"/>
      <c r="J368" s="3"/>
      <c r="K368" s="3"/>
      <c r="L368" s="3"/>
      <c r="M368" s="3"/>
      <c r="N368" s="3"/>
      <c r="O368" s="3"/>
      <c r="P368" s="3"/>
      <c r="Q368" s="3"/>
      <c r="R368" s="3"/>
      <c r="S368" s="3"/>
      <c r="T368" s="3"/>
      <c r="U368" s="3"/>
      <c r="V368" s="3"/>
      <c r="W368" s="3"/>
      <c r="X368" s="3"/>
      <c r="Y368" s="3"/>
      <c r="Z368" s="3"/>
      <c r="AA368" s="3"/>
      <c r="AB368" s="3"/>
    </row>
    <row r="369">
      <c r="A369" s="4"/>
      <c r="B369" s="4"/>
      <c r="C369" s="4"/>
      <c r="D369" s="3"/>
      <c r="E369" s="3"/>
      <c r="F369" s="16"/>
      <c r="G369" s="29"/>
      <c r="H369" s="3"/>
      <c r="I369" s="3"/>
      <c r="J369" s="3"/>
      <c r="K369" s="3"/>
      <c r="L369" s="3"/>
      <c r="M369" s="3"/>
      <c r="N369" s="3"/>
      <c r="O369" s="3"/>
      <c r="P369" s="3"/>
      <c r="Q369" s="3"/>
      <c r="R369" s="3"/>
      <c r="S369" s="3"/>
      <c r="T369" s="3"/>
      <c r="U369" s="3"/>
      <c r="V369" s="3"/>
      <c r="W369" s="3"/>
      <c r="X369" s="3"/>
      <c r="Y369" s="3"/>
      <c r="Z369" s="3"/>
      <c r="AA369" s="3"/>
      <c r="AB369" s="3"/>
    </row>
    <row r="370">
      <c r="A370" s="4"/>
      <c r="B370" s="4"/>
      <c r="C370" s="4"/>
      <c r="D370" s="3"/>
      <c r="E370" s="3"/>
      <c r="F370" s="16"/>
      <c r="G370" s="29"/>
      <c r="H370" s="3"/>
      <c r="I370" s="3"/>
      <c r="J370" s="3"/>
      <c r="K370" s="3"/>
      <c r="L370" s="3"/>
      <c r="M370" s="3"/>
      <c r="N370" s="3"/>
      <c r="O370" s="3"/>
      <c r="P370" s="3"/>
      <c r="Q370" s="3"/>
      <c r="R370" s="3"/>
      <c r="S370" s="3"/>
      <c r="T370" s="3"/>
      <c r="U370" s="3"/>
      <c r="V370" s="3"/>
      <c r="W370" s="3"/>
      <c r="X370" s="3"/>
      <c r="Y370" s="3"/>
      <c r="Z370" s="3"/>
      <c r="AA370" s="3"/>
      <c r="AB370" s="3"/>
    </row>
    <row r="371">
      <c r="A371" s="4"/>
      <c r="B371" s="4"/>
      <c r="C371" s="4"/>
      <c r="D371" s="3"/>
      <c r="E371" s="3"/>
      <c r="F371" s="16"/>
      <c r="G371" s="29"/>
      <c r="H371" s="3"/>
      <c r="I371" s="3"/>
      <c r="J371" s="3"/>
      <c r="K371" s="3"/>
      <c r="L371" s="3"/>
      <c r="M371" s="3"/>
      <c r="N371" s="3"/>
      <c r="O371" s="3"/>
      <c r="P371" s="3"/>
      <c r="Q371" s="3"/>
      <c r="R371" s="3"/>
      <c r="S371" s="3"/>
      <c r="T371" s="3"/>
      <c r="U371" s="3"/>
      <c r="V371" s="3"/>
      <c r="W371" s="3"/>
      <c r="X371" s="3"/>
      <c r="Y371" s="3"/>
      <c r="Z371" s="3"/>
      <c r="AA371" s="3"/>
      <c r="AB371" s="3"/>
    </row>
    <row r="372">
      <c r="A372" s="4"/>
      <c r="B372" s="4"/>
      <c r="C372" s="4"/>
      <c r="D372" s="3"/>
      <c r="E372" s="3"/>
      <c r="F372" s="16"/>
      <c r="G372" s="29"/>
      <c r="H372" s="3"/>
      <c r="I372" s="3"/>
      <c r="J372" s="3"/>
      <c r="K372" s="3"/>
      <c r="L372" s="3"/>
      <c r="M372" s="3"/>
      <c r="N372" s="3"/>
      <c r="O372" s="3"/>
      <c r="P372" s="3"/>
      <c r="Q372" s="3"/>
      <c r="R372" s="3"/>
      <c r="S372" s="3"/>
      <c r="T372" s="3"/>
      <c r="U372" s="3"/>
      <c r="V372" s="3"/>
      <c r="W372" s="3"/>
      <c r="X372" s="3"/>
      <c r="Y372" s="3"/>
      <c r="Z372" s="3"/>
      <c r="AA372" s="3"/>
      <c r="AB372" s="3"/>
    </row>
    <row r="373">
      <c r="A373" s="4"/>
      <c r="B373" s="4"/>
      <c r="C373" s="4"/>
      <c r="D373" s="3"/>
      <c r="E373" s="3"/>
      <c r="F373" s="16"/>
      <c r="G373" s="29"/>
      <c r="H373" s="3"/>
      <c r="I373" s="3"/>
      <c r="J373" s="3"/>
      <c r="K373" s="3"/>
      <c r="L373" s="3"/>
      <c r="M373" s="3"/>
      <c r="N373" s="3"/>
      <c r="O373" s="3"/>
      <c r="P373" s="3"/>
      <c r="Q373" s="3"/>
      <c r="R373" s="3"/>
      <c r="S373" s="3"/>
      <c r="T373" s="3"/>
      <c r="U373" s="3"/>
      <c r="V373" s="3"/>
      <c r="W373" s="3"/>
      <c r="X373" s="3"/>
      <c r="Y373" s="3"/>
      <c r="Z373" s="3"/>
      <c r="AA373" s="3"/>
      <c r="AB373" s="3"/>
    </row>
    <row r="374">
      <c r="A374" s="4"/>
      <c r="B374" s="4"/>
      <c r="C374" s="4"/>
      <c r="D374" s="3"/>
      <c r="E374" s="3"/>
      <c r="F374" s="16"/>
      <c r="G374" s="29"/>
      <c r="H374" s="3"/>
      <c r="I374" s="3"/>
      <c r="J374" s="3"/>
      <c r="K374" s="3"/>
      <c r="L374" s="3"/>
      <c r="M374" s="3"/>
      <c r="N374" s="3"/>
      <c r="O374" s="3"/>
      <c r="P374" s="3"/>
      <c r="Q374" s="3"/>
      <c r="R374" s="3"/>
      <c r="S374" s="3"/>
      <c r="T374" s="3"/>
      <c r="U374" s="3"/>
      <c r="V374" s="3"/>
      <c r="W374" s="3"/>
      <c r="X374" s="3"/>
      <c r="Y374" s="3"/>
      <c r="Z374" s="3"/>
      <c r="AA374" s="3"/>
      <c r="AB374" s="3"/>
    </row>
    <row r="375">
      <c r="A375" s="4"/>
      <c r="B375" s="4"/>
      <c r="C375" s="4"/>
      <c r="D375" s="3"/>
      <c r="E375" s="3"/>
      <c r="F375" s="16"/>
      <c r="G375" s="29"/>
      <c r="H375" s="3"/>
      <c r="I375" s="3"/>
      <c r="J375" s="3"/>
      <c r="K375" s="3"/>
      <c r="L375" s="3"/>
      <c r="M375" s="3"/>
      <c r="N375" s="3"/>
      <c r="O375" s="3"/>
      <c r="P375" s="3"/>
      <c r="Q375" s="3"/>
      <c r="R375" s="3"/>
      <c r="S375" s="3"/>
      <c r="T375" s="3"/>
      <c r="U375" s="3"/>
      <c r="V375" s="3"/>
      <c r="W375" s="3"/>
      <c r="X375" s="3"/>
      <c r="Y375" s="3"/>
      <c r="Z375" s="3"/>
      <c r="AA375" s="3"/>
      <c r="AB375" s="3"/>
    </row>
    <row r="376">
      <c r="A376" s="4"/>
      <c r="B376" s="4"/>
      <c r="C376" s="4"/>
      <c r="D376" s="3"/>
      <c r="E376" s="3"/>
      <c r="F376" s="16"/>
      <c r="G376" s="29"/>
      <c r="H376" s="3"/>
      <c r="I376" s="3"/>
      <c r="J376" s="3"/>
      <c r="K376" s="3"/>
      <c r="L376" s="3"/>
      <c r="M376" s="3"/>
      <c r="N376" s="3"/>
      <c r="O376" s="3"/>
      <c r="P376" s="3"/>
      <c r="Q376" s="3"/>
      <c r="R376" s="3"/>
      <c r="S376" s="3"/>
      <c r="T376" s="3"/>
      <c r="U376" s="3"/>
      <c r="V376" s="3"/>
      <c r="W376" s="3"/>
      <c r="X376" s="3"/>
      <c r="Y376" s="3"/>
      <c r="Z376" s="3"/>
      <c r="AA376" s="3"/>
      <c r="AB376" s="3"/>
    </row>
    <row r="377">
      <c r="A377" s="4"/>
      <c r="B377" s="4"/>
      <c r="C377" s="4"/>
      <c r="D377" s="3"/>
      <c r="E377" s="3"/>
      <c r="F377" s="16"/>
      <c r="G377" s="29"/>
      <c r="H377" s="3"/>
      <c r="I377" s="3"/>
      <c r="J377" s="3"/>
      <c r="K377" s="3"/>
      <c r="L377" s="3"/>
      <c r="M377" s="3"/>
      <c r="N377" s="3"/>
      <c r="O377" s="3"/>
      <c r="P377" s="3"/>
      <c r="Q377" s="3"/>
      <c r="R377" s="3"/>
      <c r="S377" s="3"/>
      <c r="T377" s="3"/>
      <c r="U377" s="3"/>
      <c r="V377" s="3"/>
      <c r="W377" s="3"/>
      <c r="X377" s="3"/>
      <c r="Y377" s="3"/>
      <c r="Z377" s="3"/>
      <c r="AA377" s="3"/>
      <c r="AB377" s="3"/>
    </row>
    <row r="378">
      <c r="A378" s="4"/>
      <c r="B378" s="4"/>
      <c r="C378" s="4"/>
      <c r="D378" s="3"/>
      <c r="E378" s="3"/>
      <c r="F378" s="16"/>
      <c r="G378" s="29"/>
      <c r="H378" s="3"/>
      <c r="I378" s="3"/>
      <c r="J378" s="3"/>
      <c r="K378" s="3"/>
      <c r="L378" s="3"/>
      <c r="M378" s="3"/>
      <c r="N378" s="3"/>
      <c r="O378" s="3"/>
      <c r="P378" s="3"/>
      <c r="Q378" s="3"/>
      <c r="R378" s="3"/>
      <c r="S378" s="3"/>
      <c r="T378" s="3"/>
      <c r="U378" s="3"/>
      <c r="V378" s="3"/>
      <c r="W378" s="3"/>
      <c r="X378" s="3"/>
      <c r="Y378" s="3"/>
      <c r="Z378" s="3"/>
      <c r="AA378" s="3"/>
      <c r="AB378" s="3"/>
    </row>
    <row r="379">
      <c r="A379" s="4"/>
      <c r="B379" s="4"/>
      <c r="C379" s="4"/>
      <c r="D379" s="3"/>
      <c r="E379" s="3"/>
      <c r="F379" s="16"/>
      <c r="G379" s="29"/>
      <c r="H379" s="3"/>
      <c r="I379" s="3"/>
      <c r="J379" s="3"/>
      <c r="K379" s="3"/>
      <c r="L379" s="3"/>
      <c r="M379" s="3"/>
      <c r="N379" s="3"/>
      <c r="O379" s="3"/>
      <c r="P379" s="3"/>
      <c r="Q379" s="3"/>
      <c r="R379" s="3"/>
      <c r="S379" s="3"/>
      <c r="T379" s="3"/>
      <c r="U379" s="3"/>
      <c r="V379" s="3"/>
      <c r="W379" s="3"/>
      <c r="X379" s="3"/>
      <c r="Y379" s="3"/>
      <c r="Z379" s="3"/>
      <c r="AA379" s="3"/>
      <c r="AB379" s="3"/>
    </row>
    <row r="380">
      <c r="A380" s="4"/>
      <c r="B380" s="4"/>
      <c r="C380" s="4"/>
      <c r="D380" s="3"/>
      <c r="E380" s="3"/>
      <c r="F380" s="16"/>
      <c r="G380" s="29"/>
      <c r="H380" s="3"/>
      <c r="I380" s="3"/>
      <c r="J380" s="3"/>
      <c r="K380" s="3"/>
      <c r="L380" s="3"/>
      <c r="M380" s="3"/>
      <c r="N380" s="3"/>
      <c r="O380" s="3"/>
      <c r="P380" s="3"/>
      <c r="Q380" s="3"/>
      <c r="R380" s="3"/>
      <c r="S380" s="3"/>
      <c r="T380" s="3"/>
      <c r="U380" s="3"/>
      <c r="V380" s="3"/>
      <c r="W380" s="3"/>
      <c r="X380" s="3"/>
      <c r="Y380" s="3"/>
      <c r="Z380" s="3"/>
      <c r="AA380" s="3"/>
      <c r="AB380" s="3"/>
    </row>
    <row r="381">
      <c r="A381" s="4"/>
      <c r="B381" s="4"/>
      <c r="C381" s="4"/>
      <c r="D381" s="3"/>
      <c r="E381" s="3"/>
      <c r="F381" s="16"/>
      <c r="G381" s="29"/>
      <c r="H381" s="3"/>
      <c r="I381" s="3"/>
      <c r="J381" s="3"/>
      <c r="K381" s="3"/>
      <c r="L381" s="3"/>
      <c r="M381" s="3"/>
      <c r="N381" s="3"/>
      <c r="O381" s="3"/>
      <c r="P381" s="3"/>
      <c r="Q381" s="3"/>
      <c r="R381" s="3"/>
      <c r="S381" s="3"/>
      <c r="T381" s="3"/>
      <c r="U381" s="3"/>
      <c r="V381" s="3"/>
      <c r="W381" s="3"/>
      <c r="X381" s="3"/>
      <c r="Y381" s="3"/>
      <c r="Z381" s="3"/>
      <c r="AA381" s="3"/>
      <c r="AB381" s="3"/>
    </row>
    <row r="382">
      <c r="A382" s="4"/>
      <c r="B382" s="4"/>
      <c r="C382" s="4"/>
      <c r="D382" s="3"/>
      <c r="E382" s="3"/>
      <c r="F382" s="16"/>
      <c r="G382" s="29"/>
      <c r="H382" s="3"/>
      <c r="I382" s="3"/>
      <c r="J382" s="3"/>
      <c r="K382" s="3"/>
      <c r="L382" s="3"/>
      <c r="M382" s="3"/>
      <c r="N382" s="3"/>
      <c r="O382" s="3"/>
      <c r="P382" s="3"/>
      <c r="Q382" s="3"/>
      <c r="R382" s="3"/>
      <c r="S382" s="3"/>
      <c r="T382" s="3"/>
      <c r="U382" s="3"/>
      <c r="V382" s="3"/>
      <c r="W382" s="3"/>
      <c r="X382" s="3"/>
      <c r="Y382" s="3"/>
      <c r="Z382" s="3"/>
      <c r="AA382" s="3"/>
      <c r="AB382" s="3"/>
    </row>
    <row r="383">
      <c r="A383" s="4"/>
      <c r="B383" s="4"/>
      <c r="C383" s="4"/>
      <c r="D383" s="3"/>
      <c r="E383" s="3"/>
      <c r="F383" s="16"/>
      <c r="G383" s="29"/>
      <c r="H383" s="3"/>
      <c r="I383" s="3"/>
      <c r="J383" s="3"/>
      <c r="K383" s="3"/>
      <c r="L383" s="3"/>
      <c r="M383" s="3"/>
      <c r="N383" s="3"/>
      <c r="O383" s="3"/>
      <c r="P383" s="3"/>
      <c r="Q383" s="3"/>
      <c r="R383" s="3"/>
      <c r="S383" s="3"/>
      <c r="T383" s="3"/>
      <c r="U383" s="3"/>
      <c r="V383" s="3"/>
      <c r="W383" s="3"/>
      <c r="X383" s="3"/>
      <c r="Y383" s="3"/>
      <c r="Z383" s="3"/>
      <c r="AA383" s="3"/>
      <c r="AB383" s="3"/>
    </row>
    <row r="384">
      <c r="A384" s="4"/>
      <c r="B384" s="4"/>
      <c r="C384" s="4"/>
      <c r="D384" s="3"/>
      <c r="E384" s="3"/>
      <c r="F384" s="16"/>
      <c r="G384" s="29"/>
      <c r="H384" s="3"/>
      <c r="I384" s="3"/>
      <c r="J384" s="3"/>
      <c r="K384" s="3"/>
      <c r="L384" s="3"/>
      <c r="M384" s="3"/>
      <c r="N384" s="3"/>
      <c r="O384" s="3"/>
      <c r="P384" s="3"/>
      <c r="Q384" s="3"/>
      <c r="R384" s="3"/>
      <c r="S384" s="3"/>
      <c r="T384" s="3"/>
      <c r="U384" s="3"/>
      <c r="V384" s="3"/>
      <c r="W384" s="3"/>
      <c r="X384" s="3"/>
      <c r="Y384" s="3"/>
      <c r="Z384" s="3"/>
      <c r="AA384" s="3"/>
      <c r="AB384" s="3"/>
    </row>
    <row r="385">
      <c r="A385" s="4"/>
      <c r="B385" s="4"/>
      <c r="C385" s="4"/>
      <c r="D385" s="3"/>
      <c r="E385" s="3"/>
      <c r="F385" s="16"/>
      <c r="G385" s="29"/>
      <c r="H385" s="3"/>
      <c r="I385" s="3"/>
      <c r="J385" s="3"/>
      <c r="K385" s="3"/>
      <c r="L385" s="3"/>
      <c r="M385" s="3"/>
      <c r="N385" s="3"/>
      <c r="O385" s="3"/>
      <c r="P385" s="3"/>
      <c r="Q385" s="3"/>
      <c r="R385" s="3"/>
      <c r="S385" s="3"/>
      <c r="T385" s="3"/>
      <c r="U385" s="3"/>
      <c r="V385" s="3"/>
      <c r="W385" s="3"/>
      <c r="X385" s="3"/>
      <c r="Y385" s="3"/>
      <c r="Z385" s="3"/>
      <c r="AA385" s="3"/>
      <c r="AB385" s="3"/>
    </row>
    <row r="386">
      <c r="A386" s="4"/>
      <c r="B386" s="4"/>
      <c r="C386" s="4"/>
      <c r="D386" s="3"/>
      <c r="E386" s="3"/>
      <c r="F386" s="16"/>
      <c r="G386" s="29"/>
      <c r="H386" s="3"/>
      <c r="I386" s="3"/>
      <c r="J386" s="3"/>
      <c r="K386" s="3"/>
      <c r="L386" s="3"/>
      <c r="M386" s="3"/>
      <c r="N386" s="3"/>
      <c r="O386" s="3"/>
      <c r="P386" s="3"/>
      <c r="Q386" s="3"/>
      <c r="R386" s="3"/>
      <c r="S386" s="3"/>
      <c r="T386" s="3"/>
      <c r="U386" s="3"/>
      <c r="V386" s="3"/>
      <c r="W386" s="3"/>
      <c r="X386" s="3"/>
      <c r="Y386" s="3"/>
      <c r="Z386" s="3"/>
      <c r="AA386" s="3"/>
      <c r="AB386" s="3"/>
    </row>
    <row r="387">
      <c r="A387" s="4"/>
      <c r="B387" s="4"/>
      <c r="C387" s="4"/>
      <c r="D387" s="3"/>
      <c r="E387" s="3"/>
      <c r="F387" s="16"/>
      <c r="G387" s="29"/>
      <c r="H387" s="3"/>
      <c r="I387" s="3"/>
      <c r="J387" s="3"/>
      <c r="K387" s="3"/>
      <c r="L387" s="3"/>
      <c r="M387" s="3"/>
      <c r="N387" s="3"/>
      <c r="O387" s="3"/>
      <c r="P387" s="3"/>
      <c r="Q387" s="3"/>
      <c r="R387" s="3"/>
      <c r="S387" s="3"/>
      <c r="T387" s="3"/>
      <c r="U387" s="3"/>
      <c r="V387" s="3"/>
      <c r="W387" s="3"/>
      <c r="X387" s="3"/>
      <c r="Y387" s="3"/>
      <c r="Z387" s="3"/>
      <c r="AA387" s="3"/>
      <c r="AB387" s="3"/>
    </row>
    <row r="388">
      <c r="A388" s="4"/>
      <c r="B388" s="4"/>
      <c r="C388" s="4"/>
      <c r="D388" s="3"/>
      <c r="E388" s="3"/>
      <c r="F388" s="16"/>
      <c r="G388" s="29"/>
      <c r="H388" s="3"/>
      <c r="I388" s="3"/>
      <c r="J388" s="3"/>
      <c r="K388" s="3"/>
      <c r="L388" s="3"/>
      <c r="M388" s="3"/>
      <c r="N388" s="3"/>
      <c r="O388" s="3"/>
      <c r="P388" s="3"/>
      <c r="Q388" s="3"/>
      <c r="R388" s="3"/>
      <c r="S388" s="3"/>
      <c r="T388" s="3"/>
      <c r="U388" s="3"/>
      <c r="V388" s="3"/>
      <c r="W388" s="3"/>
      <c r="X388" s="3"/>
      <c r="Y388" s="3"/>
      <c r="Z388" s="3"/>
      <c r="AA388" s="3"/>
      <c r="AB388" s="3"/>
    </row>
    <row r="389">
      <c r="A389" s="4"/>
      <c r="B389" s="4"/>
      <c r="C389" s="4"/>
      <c r="D389" s="3"/>
      <c r="E389" s="3"/>
      <c r="F389" s="16"/>
      <c r="G389" s="29"/>
      <c r="H389" s="3"/>
      <c r="I389" s="3"/>
      <c r="J389" s="3"/>
      <c r="K389" s="3"/>
      <c r="L389" s="3"/>
      <c r="M389" s="3"/>
      <c r="N389" s="3"/>
      <c r="O389" s="3"/>
      <c r="P389" s="3"/>
      <c r="Q389" s="3"/>
      <c r="R389" s="3"/>
      <c r="S389" s="3"/>
      <c r="T389" s="3"/>
      <c r="U389" s="3"/>
      <c r="V389" s="3"/>
      <c r="W389" s="3"/>
      <c r="X389" s="3"/>
      <c r="Y389" s="3"/>
      <c r="Z389" s="3"/>
      <c r="AA389" s="3"/>
      <c r="AB389" s="3"/>
    </row>
    <row r="390">
      <c r="A390" s="4"/>
      <c r="B390" s="4"/>
      <c r="C390" s="4"/>
      <c r="D390" s="3"/>
      <c r="E390" s="3"/>
      <c r="F390" s="16"/>
      <c r="G390" s="29"/>
      <c r="H390" s="3"/>
      <c r="I390" s="3"/>
      <c r="J390" s="3"/>
      <c r="K390" s="3"/>
      <c r="L390" s="3"/>
      <c r="M390" s="3"/>
      <c r="N390" s="3"/>
      <c r="O390" s="3"/>
      <c r="P390" s="3"/>
      <c r="Q390" s="3"/>
      <c r="R390" s="3"/>
      <c r="S390" s="3"/>
      <c r="T390" s="3"/>
      <c r="U390" s="3"/>
      <c r="V390" s="3"/>
      <c r="W390" s="3"/>
      <c r="X390" s="3"/>
      <c r="Y390" s="3"/>
      <c r="Z390" s="3"/>
      <c r="AA390" s="3"/>
      <c r="AB390" s="3"/>
    </row>
    <row r="391">
      <c r="A391" s="4"/>
      <c r="B391" s="4"/>
      <c r="C391" s="4"/>
      <c r="D391" s="3"/>
      <c r="E391" s="3"/>
      <c r="F391" s="16"/>
      <c r="G391" s="29"/>
      <c r="H391" s="3"/>
      <c r="I391" s="3"/>
      <c r="J391" s="3"/>
      <c r="K391" s="3"/>
      <c r="L391" s="3"/>
      <c r="M391" s="3"/>
      <c r="N391" s="3"/>
      <c r="O391" s="3"/>
      <c r="P391" s="3"/>
      <c r="Q391" s="3"/>
      <c r="R391" s="3"/>
      <c r="S391" s="3"/>
      <c r="T391" s="3"/>
      <c r="U391" s="3"/>
      <c r="V391" s="3"/>
      <c r="W391" s="3"/>
      <c r="X391" s="3"/>
      <c r="Y391" s="3"/>
      <c r="Z391" s="3"/>
      <c r="AA391" s="3"/>
      <c r="AB391" s="3"/>
    </row>
    <row r="392">
      <c r="A392" s="4"/>
      <c r="B392" s="4"/>
      <c r="C392" s="4"/>
      <c r="D392" s="3"/>
      <c r="E392" s="3"/>
      <c r="F392" s="16"/>
      <c r="G392" s="29"/>
      <c r="H392" s="3"/>
      <c r="I392" s="3"/>
      <c r="J392" s="3"/>
      <c r="K392" s="3"/>
      <c r="L392" s="3"/>
      <c r="M392" s="3"/>
      <c r="N392" s="3"/>
      <c r="O392" s="3"/>
      <c r="P392" s="3"/>
      <c r="Q392" s="3"/>
      <c r="R392" s="3"/>
      <c r="S392" s="3"/>
      <c r="T392" s="3"/>
      <c r="U392" s="3"/>
      <c r="V392" s="3"/>
      <c r="W392" s="3"/>
      <c r="X392" s="3"/>
      <c r="Y392" s="3"/>
      <c r="Z392" s="3"/>
      <c r="AA392" s="3"/>
      <c r="AB392" s="3"/>
    </row>
    <row r="393">
      <c r="A393" s="4"/>
      <c r="B393" s="4"/>
      <c r="C393" s="4"/>
      <c r="D393" s="3"/>
      <c r="E393" s="3"/>
      <c r="F393" s="16"/>
      <c r="G393" s="29"/>
      <c r="H393" s="3"/>
      <c r="I393" s="3"/>
      <c r="J393" s="3"/>
      <c r="K393" s="3"/>
      <c r="L393" s="3"/>
      <c r="M393" s="3"/>
      <c r="N393" s="3"/>
      <c r="O393" s="3"/>
      <c r="P393" s="3"/>
      <c r="Q393" s="3"/>
      <c r="R393" s="3"/>
      <c r="S393" s="3"/>
      <c r="T393" s="3"/>
      <c r="U393" s="3"/>
      <c r="V393" s="3"/>
      <c r="W393" s="3"/>
      <c r="X393" s="3"/>
      <c r="Y393" s="3"/>
      <c r="Z393" s="3"/>
      <c r="AA393" s="3"/>
      <c r="AB393" s="3"/>
    </row>
    <row r="394">
      <c r="A394" s="4"/>
      <c r="B394" s="4"/>
      <c r="C394" s="4"/>
      <c r="D394" s="3"/>
      <c r="E394" s="3"/>
      <c r="F394" s="16"/>
      <c r="G394" s="29"/>
      <c r="H394" s="3"/>
      <c r="I394" s="3"/>
      <c r="J394" s="3"/>
      <c r="K394" s="3"/>
      <c r="L394" s="3"/>
      <c r="M394" s="3"/>
      <c r="N394" s="3"/>
      <c r="O394" s="3"/>
      <c r="P394" s="3"/>
      <c r="Q394" s="3"/>
      <c r="R394" s="3"/>
      <c r="S394" s="3"/>
      <c r="T394" s="3"/>
      <c r="U394" s="3"/>
      <c r="V394" s="3"/>
      <c r="W394" s="3"/>
      <c r="X394" s="3"/>
      <c r="Y394" s="3"/>
      <c r="Z394" s="3"/>
      <c r="AA394" s="3"/>
      <c r="AB394" s="3"/>
    </row>
    <row r="395">
      <c r="A395" s="4"/>
      <c r="B395" s="4"/>
      <c r="C395" s="4"/>
      <c r="D395" s="3"/>
      <c r="E395" s="3"/>
      <c r="F395" s="16"/>
      <c r="G395" s="29"/>
      <c r="H395" s="3"/>
      <c r="I395" s="3"/>
      <c r="J395" s="3"/>
      <c r="K395" s="3"/>
      <c r="L395" s="3"/>
      <c r="M395" s="3"/>
      <c r="N395" s="3"/>
      <c r="O395" s="3"/>
      <c r="P395" s="3"/>
      <c r="Q395" s="3"/>
      <c r="R395" s="3"/>
      <c r="S395" s="3"/>
      <c r="T395" s="3"/>
      <c r="U395" s="3"/>
      <c r="V395" s="3"/>
      <c r="W395" s="3"/>
      <c r="X395" s="3"/>
      <c r="Y395" s="3"/>
      <c r="Z395" s="3"/>
      <c r="AA395" s="3"/>
      <c r="AB395" s="3"/>
    </row>
    <row r="396">
      <c r="A396" s="4"/>
      <c r="B396" s="4"/>
      <c r="C396" s="4"/>
      <c r="D396" s="3"/>
      <c r="E396" s="3"/>
      <c r="F396" s="16"/>
      <c r="G396" s="29"/>
      <c r="H396" s="3"/>
      <c r="I396" s="3"/>
      <c r="J396" s="3"/>
      <c r="K396" s="3"/>
      <c r="L396" s="3"/>
      <c r="M396" s="3"/>
      <c r="N396" s="3"/>
      <c r="O396" s="3"/>
      <c r="P396" s="3"/>
      <c r="Q396" s="3"/>
      <c r="R396" s="3"/>
      <c r="S396" s="3"/>
      <c r="T396" s="3"/>
      <c r="U396" s="3"/>
      <c r="V396" s="3"/>
      <c r="W396" s="3"/>
      <c r="X396" s="3"/>
      <c r="Y396" s="3"/>
      <c r="Z396" s="3"/>
      <c r="AA396" s="3"/>
      <c r="AB396" s="3"/>
    </row>
    <row r="397">
      <c r="A397" s="4"/>
      <c r="B397" s="4"/>
      <c r="C397" s="4"/>
      <c r="D397" s="3"/>
      <c r="E397" s="3"/>
      <c r="F397" s="16"/>
      <c r="G397" s="29"/>
      <c r="H397" s="3"/>
      <c r="I397" s="3"/>
      <c r="J397" s="3"/>
      <c r="K397" s="3"/>
      <c r="L397" s="3"/>
      <c r="M397" s="3"/>
      <c r="N397" s="3"/>
      <c r="O397" s="3"/>
      <c r="P397" s="3"/>
      <c r="Q397" s="3"/>
      <c r="R397" s="3"/>
      <c r="S397" s="3"/>
      <c r="T397" s="3"/>
      <c r="U397" s="3"/>
      <c r="V397" s="3"/>
      <c r="W397" s="3"/>
      <c r="X397" s="3"/>
      <c r="Y397" s="3"/>
      <c r="Z397" s="3"/>
      <c r="AA397" s="3"/>
      <c r="AB397" s="3"/>
    </row>
    <row r="398">
      <c r="A398" s="4"/>
      <c r="B398" s="4"/>
      <c r="C398" s="4"/>
      <c r="D398" s="3"/>
      <c r="E398" s="3"/>
      <c r="F398" s="16"/>
      <c r="G398" s="29"/>
      <c r="H398" s="3"/>
      <c r="I398" s="3"/>
      <c r="J398" s="3"/>
      <c r="K398" s="3"/>
      <c r="L398" s="3"/>
      <c r="M398" s="3"/>
      <c r="N398" s="3"/>
      <c r="O398" s="3"/>
      <c r="P398" s="3"/>
      <c r="Q398" s="3"/>
      <c r="R398" s="3"/>
      <c r="S398" s="3"/>
      <c r="T398" s="3"/>
      <c r="U398" s="3"/>
      <c r="V398" s="3"/>
      <c r="W398" s="3"/>
      <c r="X398" s="3"/>
      <c r="Y398" s="3"/>
      <c r="Z398" s="3"/>
      <c r="AA398" s="3"/>
      <c r="AB398" s="3"/>
    </row>
    <row r="399">
      <c r="A399" s="4"/>
      <c r="B399" s="4"/>
      <c r="C399" s="4"/>
      <c r="D399" s="3"/>
      <c r="E399" s="3"/>
      <c r="F399" s="16"/>
      <c r="G399" s="29"/>
      <c r="H399" s="3"/>
      <c r="I399" s="3"/>
      <c r="J399" s="3"/>
      <c r="K399" s="3"/>
      <c r="L399" s="3"/>
      <c r="M399" s="3"/>
      <c r="N399" s="3"/>
      <c r="O399" s="3"/>
      <c r="P399" s="3"/>
      <c r="Q399" s="3"/>
      <c r="R399" s="3"/>
      <c r="S399" s="3"/>
      <c r="T399" s="3"/>
      <c r="U399" s="3"/>
      <c r="V399" s="3"/>
      <c r="W399" s="3"/>
      <c r="X399" s="3"/>
      <c r="Y399" s="3"/>
      <c r="Z399" s="3"/>
      <c r="AA399" s="3"/>
      <c r="AB399" s="3"/>
    </row>
    <row r="400">
      <c r="A400" s="4"/>
      <c r="B400" s="4"/>
      <c r="C400" s="4"/>
      <c r="D400" s="3"/>
      <c r="E400" s="3"/>
      <c r="F400" s="16"/>
      <c r="G400" s="29"/>
      <c r="H400" s="3"/>
      <c r="I400" s="3"/>
      <c r="J400" s="3"/>
      <c r="K400" s="3"/>
      <c r="L400" s="3"/>
      <c r="M400" s="3"/>
      <c r="N400" s="3"/>
      <c r="O400" s="3"/>
      <c r="P400" s="3"/>
      <c r="Q400" s="3"/>
      <c r="R400" s="3"/>
      <c r="S400" s="3"/>
      <c r="T400" s="3"/>
      <c r="U400" s="3"/>
      <c r="V400" s="3"/>
      <c r="W400" s="3"/>
      <c r="X400" s="3"/>
      <c r="Y400" s="3"/>
      <c r="Z400" s="3"/>
      <c r="AA400" s="3"/>
      <c r="AB400" s="3"/>
    </row>
    <row r="401">
      <c r="A401" s="4"/>
      <c r="B401" s="4"/>
      <c r="C401" s="4"/>
      <c r="D401" s="3"/>
      <c r="E401" s="3"/>
      <c r="F401" s="16"/>
      <c r="G401" s="29"/>
      <c r="H401" s="3"/>
      <c r="I401" s="3"/>
      <c r="J401" s="3"/>
      <c r="K401" s="3"/>
      <c r="L401" s="3"/>
      <c r="M401" s="3"/>
      <c r="N401" s="3"/>
      <c r="O401" s="3"/>
      <c r="P401" s="3"/>
      <c r="Q401" s="3"/>
      <c r="R401" s="3"/>
      <c r="S401" s="3"/>
      <c r="T401" s="3"/>
      <c r="U401" s="3"/>
      <c r="V401" s="3"/>
      <c r="W401" s="3"/>
      <c r="X401" s="3"/>
      <c r="Y401" s="3"/>
      <c r="Z401" s="3"/>
      <c r="AA401" s="3"/>
      <c r="AB401" s="3"/>
    </row>
    <row r="402">
      <c r="A402" s="4"/>
      <c r="B402" s="4"/>
      <c r="C402" s="4"/>
      <c r="D402" s="3"/>
      <c r="E402" s="3"/>
      <c r="F402" s="16"/>
      <c r="G402" s="29"/>
      <c r="H402" s="3"/>
      <c r="I402" s="3"/>
      <c r="J402" s="3"/>
      <c r="K402" s="3"/>
      <c r="L402" s="3"/>
      <c r="M402" s="3"/>
      <c r="N402" s="3"/>
      <c r="O402" s="3"/>
      <c r="P402" s="3"/>
      <c r="Q402" s="3"/>
      <c r="R402" s="3"/>
      <c r="S402" s="3"/>
      <c r="T402" s="3"/>
      <c r="U402" s="3"/>
      <c r="V402" s="3"/>
      <c r="W402" s="3"/>
      <c r="X402" s="3"/>
      <c r="Y402" s="3"/>
      <c r="Z402" s="3"/>
      <c r="AA402" s="3"/>
      <c r="AB402" s="3"/>
    </row>
    <row r="403">
      <c r="A403" s="4"/>
      <c r="B403" s="4"/>
      <c r="C403" s="4"/>
      <c r="D403" s="3"/>
      <c r="E403" s="3"/>
      <c r="F403" s="16"/>
      <c r="G403" s="29"/>
      <c r="H403" s="3"/>
      <c r="I403" s="3"/>
      <c r="J403" s="3"/>
      <c r="K403" s="3"/>
      <c r="L403" s="3"/>
      <c r="M403" s="3"/>
      <c r="N403" s="3"/>
      <c r="O403" s="3"/>
      <c r="P403" s="3"/>
      <c r="Q403" s="3"/>
      <c r="R403" s="3"/>
      <c r="S403" s="3"/>
      <c r="T403" s="3"/>
      <c r="U403" s="3"/>
      <c r="V403" s="3"/>
      <c r="W403" s="3"/>
      <c r="X403" s="3"/>
      <c r="Y403" s="3"/>
      <c r="Z403" s="3"/>
      <c r="AA403" s="3"/>
      <c r="AB403" s="3"/>
    </row>
    <row r="404">
      <c r="A404" s="4"/>
      <c r="B404" s="4"/>
      <c r="C404" s="4"/>
      <c r="D404" s="3"/>
      <c r="E404" s="3"/>
      <c r="F404" s="16"/>
      <c r="G404" s="29"/>
      <c r="H404" s="3"/>
      <c r="I404" s="3"/>
      <c r="J404" s="3"/>
      <c r="K404" s="3"/>
      <c r="L404" s="3"/>
      <c r="M404" s="3"/>
      <c r="N404" s="3"/>
      <c r="O404" s="3"/>
      <c r="P404" s="3"/>
      <c r="Q404" s="3"/>
      <c r="R404" s="3"/>
      <c r="S404" s="3"/>
      <c r="T404" s="3"/>
      <c r="U404" s="3"/>
      <c r="V404" s="3"/>
      <c r="W404" s="3"/>
      <c r="X404" s="3"/>
      <c r="Y404" s="3"/>
      <c r="Z404" s="3"/>
      <c r="AA404" s="3"/>
      <c r="AB404" s="3"/>
    </row>
    <row r="405">
      <c r="A405" s="4"/>
      <c r="B405" s="4"/>
      <c r="C405" s="4"/>
      <c r="D405" s="3"/>
      <c r="E405" s="3"/>
      <c r="F405" s="16"/>
      <c r="G405" s="29"/>
      <c r="H405" s="3"/>
      <c r="I405" s="3"/>
      <c r="J405" s="3"/>
      <c r="K405" s="3"/>
      <c r="L405" s="3"/>
      <c r="M405" s="3"/>
      <c r="N405" s="3"/>
      <c r="O405" s="3"/>
      <c r="P405" s="3"/>
      <c r="Q405" s="3"/>
      <c r="R405" s="3"/>
      <c r="S405" s="3"/>
      <c r="T405" s="3"/>
      <c r="U405" s="3"/>
      <c r="V405" s="3"/>
      <c r="W405" s="3"/>
      <c r="X405" s="3"/>
      <c r="Y405" s="3"/>
      <c r="Z405" s="3"/>
      <c r="AA405" s="3"/>
      <c r="AB405" s="3"/>
    </row>
    <row r="406">
      <c r="A406" s="4"/>
      <c r="B406" s="4"/>
      <c r="C406" s="4"/>
      <c r="D406" s="3"/>
      <c r="E406" s="3"/>
      <c r="F406" s="16"/>
      <c r="G406" s="29"/>
      <c r="H406" s="3"/>
      <c r="I406" s="3"/>
      <c r="J406" s="3"/>
      <c r="K406" s="3"/>
      <c r="L406" s="3"/>
      <c r="M406" s="3"/>
      <c r="N406" s="3"/>
      <c r="O406" s="3"/>
      <c r="P406" s="3"/>
      <c r="Q406" s="3"/>
      <c r="R406" s="3"/>
      <c r="S406" s="3"/>
      <c r="T406" s="3"/>
      <c r="U406" s="3"/>
      <c r="V406" s="3"/>
      <c r="W406" s="3"/>
      <c r="X406" s="3"/>
      <c r="Y406" s="3"/>
      <c r="Z406" s="3"/>
      <c r="AA406" s="3"/>
      <c r="AB406" s="3"/>
    </row>
    <row r="407">
      <c r="A407" s="4"/>
      <c r="B407" s="4"/>
      <c r="C407" s="4"/>
      <c r="D407" s="3"/>
      <c r="E407" s="3"/>
      <c r="F407" s="16"/>
      <c r="G407" s="29"/>
      <c r="H407" s="3"/>
      <c r="I407" s="3"/>
      <c r="J407" s="3"/>
      <c r="K407" s="3"/>
      <c r="L407" s="3"/>
      <c r="M407" s="3"/>
      <c r="N407" s="3"/>
      <c r="O407" s="3"/>
      <c r="P407" s="3"/>
      <c r="Q407" s="3"/>
      <c r="R407" s="3"/>
      <c r="S407" s="3"/>
      <c r="T407" s="3"/>
      <c r="U407" s="3"/>
      <c r="V407" s="3"/>
      <c r="W407" s="3"/>
      <c r="X407" s="3"/>
      <c r="Y407" s="3"/>
      <c r="Z407" s="3"/>
      <c r="AA407" s="3"/>
      <c r="AB407" s="3"/>
    </row>
    <row r="408">
      <c r="A408" s="4"/>
      <c r="B408" s="4"/>
      <c r="C408" s="4"/>
      <c r="D408" s="3"/>
      <c r="E408" s="3"/>
      <c r="F408" s="16"/>
      <c r="G408" s="29"/>
      <c r="H408" s="3"/>
      <c r="I408" s="3"/>
      <c r="J408" s="3"/>
      <c r="K408" s="3"/>
      <c r="L408" s="3"/>
      <c r="M408" s="3"/>
      <c r="N408" s="3"/>
      <c r="O408" s="3"/>
      <c r="P408" s="3"/>
      <c r="Q408" s="3"/>
      <c r="R408" s="3"/>
      <c r="S408" s="3"/>
      <c r="T408" s="3"/>
      <c r="U408" s="3"/>
      <c r="V408" s="3"/>
      <c r="W408" s="3"/>
      <c r="X408" s="3"/>
      <c r="Y408" s="3"/>
      <c r="Z408" s="3"/>
      <c r="AA408" s="3"/>
      <c r="AB408" s="3"/>
    </row>
    <row r="409">
      <c r="A409" s="4"/>
      <c r="B409" s="4"/>
      <c r="C409" s="4"/>
      <c r="D409" s="3"/>
      <c r="E409" s="3"/>
      <c r="F409" s="16"/>
      <c r="G409" s="29"/>
      <c r="H409" s="3"/>
      <c r="I409" s="3"/>
      <c r="J409" s="3"/>
      <c r="K409" s="3"/>
      <c r="L409" s="3"/>
      <c r="M409" s="3"/>
      <c r="N409" s="3"/>
      <c r="O409" s="3"/>
      <c r="P409" s="3"/>
      <c r="Q409" s="3"/>
      <c r="R409" s="3"/>
      <c r="S409" s="3"/>
      <c r="T409" s="3"/>
      <c r="U409" s="3"/>
      <c r="V409" s="3"/>
      <c r="W409" s="3"/>
      <c r="X409" s="3"/>
      <c r="Y409" s="3"/>
      <c r="Z409" s="3"/>
      <c r="AA409" s="3"/>
      <c r="AB409" s="3"/>
    </row>
    <row r="410">
      <c r="A410" s="4"/>
      <c r="B410" s="4"/>
      <c r="C410" s="4"/>
      <c r="D410" s="3"/>
      <c r="E410" s="3"/>
      <c r="F410" s="16"/>
      <c r="G410" s="29"/>
      <c r="H410" s="3"/>
      <c r="I410" s="3"/>
      <c r="J410" s="3"/>
      <c r="K410" s="3"/>
      <c r="L410" s="3"/>
      <c r="M410" s="3"/>
      <c r="N410" s="3"/>
      <c r="O410" s="3"/>
      <c r="P410" s="3"/>
      <c r="Q410" s="3"/>
      <c r="R410" s="3"/>
      <c r="S410" s="3"/>
      <c r="T410" s="3"/>
      <c r="U410" s="3"/>
      <c r="V410" s="3"/>
      <c r="W410" s="3"/>
      <c r="X410" s="3"/>
      <c r="Y410" s="3"/>
      <c r="Z410" s="3"/>
      <c r="AA410" s="3"/>
      <c r="AB410" s="3"/>
    </row>
    <row r="411">
      <c r="A411" s="4"/>
      <c r="B411" s="4"/>
      <c r="C411" s="4"/>
      <c r="D411" s="3"/>
      <c r="E411" s="3"/>
      <c r="F411" s="16"/>
      <c r="G411" s="29"/>
      <c r="H411" s="3"/>
      <c r="I411" s="3"/>
      <c r="J411" s="3"/>
      <c r="K411" s="3"/>
      <c r="L411" s="3"/>
      <c r="M411" s="3"/>
      <c r="N411" s="3"/>
      <c r="O411" s="3"/>
      <c r="P411" s="3"/>
      <c r="Q411" s="3"/>
      <c r="R411" s="3"/>
      <c r="S411" s="3"/>
      <c r="T411" s="3"/>
      <c r="U411" s="3"/>
      <c r="V411" s="3"/>
      <c r="W411" s="3"/>
      <c r="X411" s="3"/>
      <c r="Y411" s="3"/>
      <c r="Z411" s="3"/>
      <c r="AA411" s="3"/>
      <c r="AB411" s="3"/>
    </row>
    <row r="412">
      <c r="A412" s="4"/>
      <c r="B412" s="4"/>
      <c r="C412" s="4"/>
      <c r="D412" s="3"/>
      <c r="E412" s="3"/>
      <c r="F412" s="16"/>
      <c r="G412" s="29"/>
      <c r="H412" s="3"/>
      <c r="I412" s="3"/>
      <c r="J412" s="3"/>
      <c r="K412" s="3"/>
      <c r="L412" s="3"/>
      <c r="M412" s="3"/>
      <c r="N412" s="3"/>
      <c r="O412" s="3"/>
      <c r="P412" s="3"/>
      <c r="Q412" s="3"/>
      <c r="R412" s="3"/>
      <c r="S412" s="3"/>
      <c r="T412" s="3"/>
      <c r="U412" s="3"/>
      <c r="V412" s="3"/>
      <c r="W412" s="3"/>
      <c r="X412" s="3"/>
      <c r="Y412" s="3"/>
      <c r="Z412" s="3"/>
      <c r="AA412" s="3"/>
      <c r="AB412" s="3"/>
    </row>
    <row r="413">
      <c r="A413" s="4"/>
      <c r="B413" s="4"/>
      <c r="C413" s="4"/>
      <c r="D413" s="3"/>
      <c r="E413" s="3"/>
      <c r="F413" s="16"/>
      <c r="G413" s="29"/>
      <c r="H413" s="3"/>
      <c r="I413" s="3"/>
      <c r="J413" s="3"/>
      <c r="K413" s="3"/>
      <c r="L413" s="3"/>
      <c r="M413" s="3"/>
      <c r="N413" s="3"/>
      <c r="O413" s="3"/>
      <c r="P413" s="3"/>
      <c r="Q413" s="3"/>
      <c r="R413" s="3"/>
      <c r="S413" s="3"/>
      <c r="T413" s="3"/>
      <c r="U413" s="3"/>
      <c r="V413" s="3"/>
      <c r="W413" s="3"/>
      <c r="X413" s="3"/>
      <c r="Y413" s="3"/>
      <c r="Z413" s="3"/>
      <c r="AA413" s="3"/>
      <c r="AB413" s="3"/>
    </row>
    <row r="414">
      <c r="A414" s="4"/>
      <c r="B414" s="4"/>
      <c r="C414" s="4"/>
      <c r="D414" s="3"/>
      <c r="E414" s="3"/>
      <c r="F414" s="16"/>
      <c r="G414" s="29"/>
      <c r="H414" s="3"/>
      <c r="I414" s="3"/>
      <c r="J414" s="3"/>
      <c r="K414" s="3"/>
      <c r="L414" s="3"/>
      <c r="M414" s="3"/>
      <c r="N414" s="3"/>
      <c r="O414" s="3"/>
      <c r="P414" s="3"/>
      <c r="Q414" s="3"/>
      <c r="R414" s="3"/>
      <c r="S414" s="3"/>
      <c r="T414" s="3"/>
      <c r="U414" s="3"/>
      <c r="V414" s="3"/>
      <c r="W414" s="3"/>
      <c r="X414" s="3"/>
      <c r="Y414" s="3"/>
      <c r="Z414" s="3"/>
      <c r="AA414" s="3"/>
      <c r="AB414" s="3"/>
    </row>
    <row r="415">
      <c r="A415" s="4"/>
      <c r="B415" s="4"/>
      <c r="C415" s="4"/>
      <c r="D415" s="3"/>
      <c r="E415" s="3"/>
      <c r="F415" s="16"/>
      <c r="G415" s="29"/>
      <c r="H415" s="3"/>
      <c r="I415" s="3"/>
      <c r="J415" s="3"/>
      <c r="K415" s="3"/>
      <c r="L415" s="3"/>
      <c r="M415" s="3"/>
      <c r="N415" s="3"/>
      <c r="O415" s="3"/>
      <c r="P415" s="3"/>
      <c r="Q415" s="3"/>
      <c r="R415" s="3"/>
      <c r="S415" s="3"/>
      <c r="T415" s="3"/>
      <c r="U415" s="3"/>
      <c r="V415" s="3"/>
      <c r="W415" s="3"/>
      <c r="X415" s="3"/>
      <c r="Y415" s="3"/>
      <c r="Z415" s="3"/>
      <c r="AA415" s="3"/>
      <c r="AB415" s="3"/>
    </row>
    <row r="416">
      <c r="A416" s="4"/>
      <c r="B416" s="4"/>
      <c r="C416" s="4"/>
      <c r="D416" s="3"/>
      <c r="E416" s="3"/>
      <c r="F416" s="16"/>
      <c r="G416" s="29"/>
      <c r="H416" s="3"/>
      <c r="I416" s="3"/>
      <c r="J416" s="3"/>
      <c r="K416" s="3"/>
      <c r="L416" s="3"/>
      <c r="M416" s="3"/>
      <c r="N416" s="3"/>
      <c r="O416" s="3"/>
      <c r="P416" s="3"/>
      <c r="Q416" s="3"/>
      <c r="R416" s="3"/>
      <c r="S416" s="3"/>
      <c r="T416" s="3"/>
      <c r="U416" s="3"/>
      <c r="V416" s="3"/>
      <c r="W416" s="3"/>
      <c r="X416" s="3"/>
      <c r="Y416" s="3"/>
      <c r="Z416" s="3"/>
      <c r="AA416" s="3"/>
      <c r="AB416" s="3"/>
    </row>
    <row r="417">
      <c r="A417" s="4"/>
      <c r="B417" s="4"/>
      <c r="C417" s="4"/>
      <c r="D417" s="3"/>
      <c r="E417" s="3"/>
      <c r="F417" s="16"/>
      <c r="G417" s="29"/>
      <c r="H417" s="3"/>
      <c r="I417" s="3"/>
      <c r="J417" s="3"/>
      <c r="K417" s="3"/>
      <c r="L417" s="3"/>
      <c r="M417" s="3"/>
      <c r="N417" s="3"/>
      <c r="O417" s="3"/>
      <c r="P417" s="3"/>
      <c r="Q417" s="3"/>
      <c r="R417" s="3"/>
      <c r="S417" s="3"/>
      <c r="T417" s="3"/>
      <c r="U417" s="3"/>
      <c r="V417" s="3"/>
      <c r="W417" s="3"/>
      <c r="X417" s="3"/>
      <c r="Y417" s="3"/>
      <c r="Z417" s="3"/>
      <c r="AA417" s="3"/>
      <c r="AB417" s="3"/>
    </row>
    <row r="418">
      <c r="A418" s="4"/>
      <c r="B418" s="4"/>
      <c r="C418" s="4"/>
      <c r="D418" s="3"/>
      <c r="E418" s="3"/>
      <c r="F418" s="16"/>
      <c r="G418" s="29"/>
      <c r="H418" s="3"/>
      <c r="I418" s="3"/>
      <c r="J418" s="3"/>
      <c r="K418" s="3"/>
      <c r="L418" s="3"/>
      <c r="M418" s="3"/>
      <c r="N418" s="3"/>
      <c r="O418" s="3"/>
      <c r="P418" s="3"/>
      <c r="Q418" s="3"/>
      <c r="R418" s="3"/>
      <c r="S418" s="3"/>
      <c r="T418" s="3"/>
      <c r="U418" s="3"/>
      <c r="V418" s="3"/>
      <c r="W418" s="3"/>
      <c r="X418" s="3"/>
      <c r="Y418" s="3"/>
      <c r="Z418" s="3"/>
      <c r="AA418" s="3"/>
      <c r="AB418" s="3"/>
    </row>
    <row r="419">
      <c r="A419" s="4"/>
      <c r="B419" s="4"/>
      <c r="C419" s="4"/>
      <c r="D419" s="3"/>
      <c r="E419" s="3"/>
      <c r="F419" s="16"/>
      <c r="G419" s="29"/>
      <c r="H419" s="3"/>
      <c r="I419" s="3"/>
      <c r="J419" s="3"/>
      <c r="K419" s="3"/>
      <c r="L419" s="3"/>
      <c r="M419" s="3"/>
      <c r="N419" s="3"/>
      <c r="O419" s="3"/>
      <c r="P419" s="3"/>
      <c r="Q419" s="3"/>
      <c r="R419" s="3"/>
      <c r="S419" s="3"/>
      <c r="T419" s="3"/>
      <c r="U419" s="3"/>
      <c r="V419" s="3"/>
      <c r="W419" s="3"/>
      <c r="X419" s="3"/>
      <c r="Y419" s="3"/>
      <c r="Z419" s="3"/>
      <c r="AA419" s="3"/>
      <c r="AB419" s="3"/>
    </row>
    <row r="420">
      <c r="A420" s="4"/>
      <c r="B420" s="4"/>
      <c r="C420" s="4"/>
      <c r="D420" s="3"/>
      <c r="E420" s="3"/>
      <c r="F420" s="16"/>
      <c r="G420" s="29"/>
      <c r="H420" s="3"/>
      <c r="I420" s="3"/>
      <c r="J420" s="3"/>
      <c r="K420" s="3"/>
      <c r="L420" s="3"/>
      <c r="M420" s="3"/>
      <c r="N420" s="3"/>
      <c r="O420" s="3"/>
      <c r="P420" s="3"/>
      <c r="Q420" s="3"/>
      <c r="R420" s="3"/>
      <c r="S420" s="3"/>
      <c r="T420" s="3"/>
      <c r="U420" s="3"/>
      <c r="V420" s="3"/>
      <c r="W420" s="3"/>
      <c r="X420" s="3"/>
      <c r="Y420" s="3"/>
      <c r="Z420" s="3"/>
      <c r="AA420" s="3"/>
      <c r="AB420" s="3"/>
    </row>
    <row r="421">
      <c r="A421" s="4"/>
      <c r="B421" s="4"/>
      <c r="C421" s="4"/>
      <c r="D421" s="3"/>
      <c r="E421" s="3"/>
      <c r="F421" s="16"/>
      <c r="G421" s="29"/>
      <c r="H421" s="3"/>
      <c r="I421" s="3"/>
      <c r="J421" s="3"/>
      <c r="K421" s="3"/>
      <c r="L421" s="3"/>
      <c r="M421" s="3"/>
      <c r="N421" s="3"/>
      <c r="O421" s="3"/>
      <c r="P421" s="3"/>
      <c r="Q421" s="3"/>
      <c r="R421" s="3"/>
      <c r="S421" s="3"/>
      <c r="T421" s="3"/>
      <c r="U421" s="3"/>
      <c r="V421" s="3"/>
      <c r="W421" s="3"/>
      <c r="X421" s="3"/>
      <c r="Y421" s="3"/>
      <c r="Z421" s="3"/>
      <c r="AA421" s="3"/>
      <c r="AB421" s="3"/>
    </row>
    <row r="422">
      <c r="A422" s="4"/>
      <c r="B422" s="4"/>
      <c r="C422" s="4"/>
      <c r="D422" s="3"/>
      <c r="E422" s="3"/>
      <c r="F422" s="16"/>
      <c r="G422" s="29"/>
      <c r="H422" s="3"/>
      <c r="I422" s="3"/>
      <c r="J422" s="3"/>
      <c r="K422" s="3"/>
      <c r="L422" s="3"/>
      <c r="M422" s="3"/>
      <c r="N422" s="3"/>
      <c r="O422" s="3"/>
      <c r="P422" s="3"/>
      <c r="Q422" s="3"/>
      <c r="R422" s="3"/>
      <c r="S422" s="3"/>
      <c r="T422" s="3"/>
      <c r="U422" s="3"/>
      <c r="V422" s="3"/>
      <c r="W422" s="3"/>
      <c r="X422" s="3"/>
      <c r="Y422" s="3"/>
      <c r="Z422" s="3"/>
      <c r="AA422" s="3"/>
      <c r="AB422" s="3"/>
    </row>
    <row r="423">
      <c r="A423" s="4"/>
      <c r="B423" s="4"/>
      <c r="C423" s="4"/>
      <c r="D423" s="3"/>
      <c r="E423" s="3"/>
      <c r="F423" s="16"/>
      <c r="G423" s="29"/>
      <c r="H423" s="3"/>
      <c r="I423" s="3"/>
      <c r="J423" s="3"/>
      <c r="K423" s="3"/>
      <c r="L423" s="3"/>
      <c r="M423" s="3"/>
      <c r="N423" s="3"/>
      <c r="O423" s="3"/>
      <c r="P423" s="3"/>
      <c r="Q423" s="3"/>
      <c r="R423" s="3"/>
      <c r="S423" s="3"/>
      <c r="T423" s="3"/>
      <c r="U423" s="3"/>
      <c r="V423" s="3"/>
      <c r="W423" s="3"/>
      <c r="X423" s="3"/>
      <c r="Y423" s="3"/>
      <c r="Z423" s="3"/>
      <c r="AA423" s="3"/>
      <c r="AB423" s="3"/>
    </row>
    <row r="424">
      <c r="A424" s="4"/>
      <c r="B424" s="4"/>
      <c r="C424" s="4"/>
      <c r="D424" s="3"/>
      <c r="E424" s="3"/>
      <c r="F424" s="16"/>
      <c r="G424" s="29"/>
      <c r="H424" s="3"/>
      <c r="I424" s="3"/>
      <c r="J424" s="3"/>
      <c r="K424" s="3"/>
      <c r="L424" s="3"/>
      <c r="M424" s="3"/>
      <c r="N424" s="3"/>
      <c r="O424" s="3"/>
      <c r="P424" s="3"/>
      <c r="Q424" s="3"/>
      <c r="R424" s="3"/>
      <c r="S424" s="3"/>
      <c r="T424" s="3"/>
      <c r="U424" s="3"/>
      <c r="V424" s="3"/>
      <c r="W424" s="3"/>
      <c r="X424" s="3"/>
      <c r="Y424" s="3"/>
      <c r="Z424" s="3"/>
      <c r="AA424" s="3"/>
      <c r="AB424" s="3"/>
    </row>
    <row r="425">
      <c r="A425" s="4"/>
      <c r="B425" s="4"/>
      <c r="C425" s="4"/>
      <c r="D425" s="3"/>
      <c r="E425" s="3"/>
      <c r="F425" s="16"/>
      <c r="G425" s="29"/>
      <c r="H425" s="3"/>
      <c r="I425" s="3"/>
      <c r="J425" s="3"/>
      <c r="K425" s="3"/>
      <c r="L425" s="3"/>
      <c r="M425" s="3"/>
      <c r="N425" s="3"/>
      <c r="O425" s="3"/>
      <c r="P425" s="3"/>
      <c r="Q425" s="3"/>
      <c r="R425" s="3"/>
      <c r="S425" s="3"/>
      <c r="T425" s="3"/>
      <c r="U425" s="3"/>
      <c r="V425" s="3"/>
      <c r="W425" s="3"/>
      <c r="X425" s="3"/>
      <c r="Y425" s="3"/>
      <c r="Z425" s="3"/>
      <c r="AA425" s="3"/>
      <c r="AB425" s="3"/>
    </row>
    <row r="426">
      <c r="A426" s="4"/>
      <c r="B426" s="4"/>
      <c r="C426" s="4"/>
      <c r="D426" s="3"/>
      <c r="E426" s="3"/>
      <c r="F426" s="16"/>
      <c r="G426" s="29"/>
      <c r="H426" s="3"/>
      <c r="I426" s="3"/>
      <c r="J426" s="3"/>
      <c r="K426" s="3"/>
      <c r="L426" s="3"/>
      <c r="M426" s="3"/>
      <c r="N426" s="3"/>
      <c r="O426" s="3"/>
      <c r="P426" s="3"/>
      <c r="Q426" s="3"/>
      <c r="R426" s="3"/>
      <c r="S426" s="3"/>
      <c r="T426" s="3"/>
      <c r="U426" s="3"/>
      <c r="V426" s="3"/>
      <c r="W426" s="3"/>
      <c r="X426" s="3"/>
      <c r="Y426" s="3"/>
      <c r="Z426" s="3"/>
      <c r="AA426" s="3"/>
      <c r="AB426" s="3"/>
    </row>
    <row r="427">
      <c r="A427" s="4"/>
      <c r="B427" s="4"/>
      <c r="C427" s="4"/>
      <c r="D427" s="3"/>
      <c r="E427" s="3"/>
      <c r="F427" s="16"/>
      <c r="G427" s="29"/>
      <c r="H427" s="3"/>
      <c r="I427" s="3"/>
      <c r="J427" s="3"/>
      <c r="K427" s="3"/>
      <c r="L427" s="3"/>
      <c r="M427" s="3"/>
      <c r="N427" s="3"/>
      <c r="O427" s="3"/>
      <c r="P427" s="3"/>
      <c r="Q427" s="3"/>
      <c r="R427" s="3"/>
      <c r="S427" s="3"/>
      <c r="T427" s="3"/>
      <c r="U427" s="3"/>
      <c r="V427" s="3"/>
      <c r="W427" s="3"/>
      <c r="X427" s="3"/>
      <c r="Y427" s="3"/>
      <c r="Z427" s="3"/>
      <c r="AA427" s="3"/>
      <c r="AB427" s="3"/>
    </row>
    <row r="428">
      <c r="A428" s="4"/>
      <c r="B428" s="4"/>
      <c r="C428" s="4"/>
      <c r="D428" s="3"/>
      <c r="E428" s="3"/>
      <c r="F428" s="16"/>
      <c r="G428" s="29"/>
      <c r="H428" s="3"/>
      <c r="I428" s="3"/>
      <c r="J428" s="3"/>
      <c r="K428" s="3"/>
      <c r="L428" s="3"/>
      <c r="M428" s="3"/>
      <c r="N428" s="3"/>
      <c r="O428" s="3"/>
      <c r="P428" s="3"/>
      <c r="Q428" s="3"/>
      <c r="R428" s="3"/>
      <c r="S428" s="3"/>
      <c r="T428" s="3"/>
      <c r="U428" s="3"/>
      <c r="V428" s="3"/>
      <c r="W428" s="3"/>
      <c r="X428" s="3"/>
      <c r="Y428" s="3"/>
      <c r="Z428" s="3"/>
      <c r="AA428" s="3"/>
      <c r="AB428" s="3"/>
    </row>
    <row r="429">
      <c r="A429" s="4"/>
      <c r="B429" s="4"/>
      <c r="C429" s="4"/>
      <c r="D429" s="3"/>
      <c r="E429" s="3"/>
      <c r="F429" s="16"/>
      <c r="G429" s="29"/>
      <c r="H429" s="3"/>
      <c r="I429" s="3"/>
      <c r="J429" s="3"/>
      <c r="K429" s="3"/>
      <c r="L429" s="3"/>
      <c r="M429" s="3"/>
      <c r="N429" s="3"/>
      <c r="O429" s="3"/>
      <c r="P429" s="3"/>
      <c r="Q429" s="3"/>
      <c r="R429" s="3"/>
      <c r="S429" s="3"/>
      <c r="T429" s="3"/>
      <c r="U429" s="3"/>
      <c r="V429" s="3"/>
      <c r="W429" s="3"/>
      <c r="X429" s="3"/>
      <c r="Y429" s="3"/>
      <c r="Z429" s="3"/>
      <c r="AA429" s="3"/>
      <c r="AB429" s="3"/>
    </row>
    <row r="430">
      <c r="A430" s="4"/>
      <c r="B430" s="4"/>
      <c r="C430" s="4"/>
      <c r="D430" s="3"/>
      <c r="E430" s="3"/>
      <c r="F430" s="16"/>
      <c r="G430" s="29"/>
      <c r="H430" s="3"/>
      <c r="I430" s="3"/>
      <c r="J430" s="3"/>
      <c r="K430" s="3"/>
      <c r="L430" s="3"/>
      <c r="M430" s="3"/>
      <c r="N430" s="3"/>
      <c r="O430" s="3"/>
      <c r="P430" s="3"/>
      <c r="Q430" s="3"/>
      <c r="R430" s="3"/>
      <c r="S430" s="3"/>
      <c r="T430" s="3"/>
      <c r="U430" s="3"/>
      <c r="V430" s="3"/>
      <c r="W430" s="3"/>
      <c r="X430" s="3"/>
      <c r="Y430" s="3"/>
      <c r="Z430" s="3"/>
      <c r="AA430" s="3"/>
      <c r="AB430" s="3"/>
    </row>
    <row r="431">
      <c r="A431" s="4"/>
      <c r="B431" s="4"/>
      <c r="C431" s="4"/>
      <c r="D431" s="3"/>
      <c r="E431" s="3"/>
      <c r="F431" s="16"/>
      <c r="G431" s="29"/>
      <c r="H431" s="3"/>
      <c r="I431" s="3"/>
      <c r="J431" s="3"/>
      <c r="K431" s="3"/>
      <c r="L431" s="3"/>
      <c r="M431" s="3"/>
      <c r="N431" s="3"/>
      <c r="O431" s="3"/>
      <c r="P431" s="3"/>
      <c r="Q431" s="3"/>
      <c r="R431" s="3"/>
      <c r="S431" s="3"/>
      <c r="T431" s="3"/>
      <c r="U431" s="3"/>
      <c r="V431" s="3"/>
      <c r="W431" s="3"/>
      <c r="X431" s="3"/>
      <c r="Y431" s="3"/>
      <c r="Z431" s="3"/>
      <c r="AA431" s="3"/>
      <c r="AB431" s="3"/>
    </row>
    <row r="432">
      <c r="A432" s="4"/>
      <c r="B432" s="4"/>
      <c r="C432" s="4"/>
      <c r="D432" s="3"/>
      <c r="E432" s="3"/>
      <c r="F432" s="16"/>
      <c r="G432" s="29"/>
      <c r="H432" s="3"/>
      <c r="I432" s="3"/>
      <c r="J432" s="3"/>
      <c r="K432" s="3"/>
      <c r="L432" s="3"/>
      <c r="M432" s="3"/>
      <c r="N432" s="3"/>
      <c r="O432" s="3"/>
      <c r="P432" s="3"/>
      <c r="Q432" s="3"/>
      <c r="R432" s="3"/>
      <c r="S432" s="3"/>
      <c r="T432" s="3"/>
      <c r="U432" s="3"/>
      <c r="V432" s="3"/>
      <c r="W432" s="3"/>
      <c r="X432" s="3"/>
      <c r="Y432" s="3"/>
      <c r="Z432" s="3"/>
      <c r="AA432" s="3"/>
      <c r="AB432" s="3"/>
    </row>
    <row r="433">
      <c r="A433" s="4"/>
      <c r="B433" s="4"/>
      <c r="C433" s="4"/>
      <c r="D433" s="3"/>
      <c r="E433" s="3"/>
      <c r="F433" s="16"/>
      <c r="G433" s="29"/>
      <c r="H433" s="3"/>
      <c r="I433" s="3"/>
      <c r="J433" s="3"/>
      <c r="K433" s="3"/>
      <c r="L433" s="3"/>
      <c r="M433" s="3"/>
      <c r="N433" s="3"/>
      <c r="O433" s="3"/>
      <c r="P433" s="3"/>
      <c r="Q433" s="3"/>
      <c r="R433" s="3"/>
      <c r="S433" s="3"/>
      <c r="T433" s="3"/>
      <c r="U433" s="3"/>
      <c r="V433" s="3"/>
      <c r="W433" s="3"/>
      <c r="X433" s="3"/>
      <c r="Y433" s="3"/>
      <c r="Z433" s="3"/>
      <c r="AA433" s="3"/>
      <c r="AB433" s="3"/>
    </row>
    <row r="434">
      <c r="A434" s="4"/>
      <c r="B434" s="4"/>
      <c r="C434" s="4"/>
      <c r="D434" s="3"/>
      <c r="E434" s="3"/>
      <c r="F434" s="16"/>
      <c r="G434" s="29"/>
      <c r="H434" s="3"/>
      <c r="I434" s="3"/>
      <c r="J434" s="3"/>
      <c r="K434" s="3"/>
      <c r="L434" s="3"/>
      <c r="M434" s="3"/>
      <c r="N434" s="3"/>
      <c r="O434" s="3"/>
      <c r="P434" s="3"/>
      <c r="Q434" s="3"/>
      <c r="R434" s="3"/>
      <c r="S434" s="3"/>
      <c r="T434" s="3"/>
      <c r="U434" s="3"/>
      <c r="V434" s="3"/>
      <c r="W434" s="3"/>
      <c r="X434" s="3"/>
      <c r="Y434" s="3"/>
      <c r="Z434" s="3"/>
      <c r="AA434" s="3"/>
      <c r="AB434" s="3"/>
    </row>
    <row r="435">
      <c r="A435" s="4"/>
      <c r="B435" s="4"/>
      <c r="C435" s="4"/>
      <c r="D435" s="3"/>
      <c r="E435" s="3"/>
      <c r="F435" s="16"/>
      <c r="G435" s="29"/>
      <c r="H435" s="3"/>
      <c r="I435" s="3"/>
      <c r="J435" s="3"/>
      <c r="K435" s="3"/>
      <c r="L435" s="3"/>
      <c r="M435" s="3"/>
      <c r="N435" s="3"/>
      <c r="O435" s="3"/>
      <c r="P435" s="3"/>
      <c r="Q435" s="3"/>
      <c r="R435" s="3"/>
      <c r="S435" s="3"/>
      <c r="T435" s="3"/>
      <c r="U435" s="3"/>
      <c r="V435" s="3"/>
      <c r="W435" s="3"/>
      <c r="X435" s="3"/>
      <c r="Y435" s="3"/>
      <c r="Z435" s="3"/>
      <c r="AA435" s="3"/>
      <c r="AB435" s="3"/>
    </row>
    <row r="436">
      <c r="A436" s="4"/>
      <c r="B436" s="4"/>
      <c r="C436" s="4"/>
      <c r="D436" s="3"/>
      <c r="E436" s="3"/>
      <c r="F436" s="16"/>
      <c r="G436" s="29"/>
      <c r="H436" s="3"/>
      <c r="I436" s="3"/>
      <c r="J436" s="3"/>
      <c r="K436" s="3"/>
      <c r="L436" s="3"/>
      <c r="M436" s="3"/>
      <c r="N436" s="3"/>
      <c r="O436" s="3"/>
      <c r="P436" s="3"/>
      <c r="Q436" s="3"/>
      <c r="R436" s="3"/>
      <c r="S436" s="3"/>
      <c r="T436" s="3"/>
      <c r="U436" s="3"/>
      <c r="V436" s="3"/>
      <c r="W436" s="3"/>
      <c r="X436" s="3"/>
      <c r="Y436" s="3"/>
      <c r="Z436" s="3"/>
      <c r="AA436" s="3"/>
      <c r="AB436" s="3"/>
    </row>
    <row r="437">
      <c r="A437" s="4"/>
      <c r="B437" s="4"/>
      <c r="C437" s="4"/>
      <c r="D437" s="3"/>
      <c r="E437" s="3"/>
      <c r="F437" s="16"/>
      <c r="G437" s="29"/>
      <c r="H437" s="3"/>
      <c r="I437" s="3"/>
      <c r="J437" s="3"/>
      <c r="K437" s="3"/>
      <c r="L437" s="3"/>
      <c r="M437" s="3"/>
      <c r="N437" s="3"/>
      <c r="O437" s="3"/>
      <c r="P437" s="3"/>
      <c r="Q437" s="3"/>
      <c r="R437" s="3"/>
      <c r="S437" s="3"/>
      <c r="T437" s="3"/>
      <c r="U437" s="3"/>
      <c r="V437" s="3"/>
      <c r="W437" s="3"/>
      <c r="X437" s="3"/>
      <c r="Y437" s="3"/>
      <c r="Z437" s="3"/>
      <c r="AA437" s="3"/>
      <c r="AB437" s="3"/>
    </row>
    <row r="438">
      <c r="A438" s="4"/>
      <c r="B438" s="4"/>
      <c r="C438" s="4"/>
      <c r="D438" s="3"/>
      <c r="E438" s="3"/>
      <c r="F438" s="16"/>
      <c r="G438" s="29"/>
      <c r="H438" s="3"/>
      <c r="I438" s="3"/>
      <c r="J438" s="3"/>
      <c r="K438" s="3"/>
      <c r="L438" s="3"/>
      <c r="M438" s="3"/>
      <c r="N438" s="3"/>
      <c r="O438" s="3"/>
      <c r="P438" s="3"/>
      <c r="Q438" s="3"/>
      <c r="R438" s="3"/>
      <c r="S438" s="3"/>
      <c r="T438" s="3"/>
      <c r="U438" s="3"/>
      <c r="V438" s="3"/>
      <c r="W438" s="3"/>
      <c r="X438" s="3"/>
      <c r="Y438" s="3"/>
      <c r="Z438" s="3"/>
      <c r="AA438" s="3"/>
      <c r="AB438" s="3"/>
    </row>
    <row r="439">
      <c r="A439" s="4"/>
      <c r="B439" s="4"/>
      <c r="C439" s="4"/>
      <c r="D439" s="3"/>
      <c r="E439" s="3"/>
      <c r="F439" s="16"/>
      <c r="G439" s="29"/>
      <c r="H439" s="3"/>
      <c r="I439" s="3"/>
      <c r="J439" s="3"/>
      <c r="K439" s="3"/>
      <c r="L439" s="3"/>
      <c r="M439" s="3"/>
      <c r="N439" s="3"/>
      <c r="O439" s="3"/>
      <c r="P439" s="3"/>
      <c r="Q439" s="3"/>
      <c r="R439" s="3"/>
      <c r="S439" s="3"/>
      <c r="T439" s="3"/>
      <c r="U439" s="3"/>
      <c r="V439" s="3"/>
      <c r="W439" s="3"/>
      <c r="X439" s="3"/>
      <c r="Y439" s="3"/>
      <c r="Z439" s="3"/>
      <c r="AA439" s="3"/>
      <c r="AB439" s="3"/>
    </row>
    <row r="440">
      <c r="A440" s="4"/>
      <c r="B440" s="4"/>
      <c r="C440" s="4"/>
      <c r="D440" s="3"/>
      <c r="E440" s="3"/>
      <c r="F440" s="16"/>
      <c r="G440" s="29"/>
      <c r="H440" s="3"/>
      <c r="I440" s="3"/>
      <c r="J440" s="3"/>
      <c r="K440" s="3"/>
      <c r="L440" s="3"/>
      <c r="M440" s="3"/>
      <c r="N440" s="3"/>
      <c r="O440" s="3"/>
      <c r="P440" s="3"/>
      <c r="Q440" s="3"/>
      <c r="R440" s="3"/>
      <c r="S440" s="3"/>
      <c r="T440" s="3"/>
      <c r="U440" s="3"/>
      <c r="V440" s="3"/>
      <c r="W440" s="3"/>
      <c r="X440" s="3"/>
      <c r="Y440" s="3"/>
      <c r="Z440" s="3"/>
      <c r="AA440" s="3"/>
      <c r="AB440" s="3"/>
    </row>
    <row r="441">
      <c r="A441" s="4"/>
      <c r="B441" s="4"/>
      <c r="C441" s="4"/>
      <c r="D441" s="3"/>
      <c r="E441" s="3"/>
      <c r="F441" s="16"/>
      <c r="G441" s="29"/>
      <c r="H441" s="3"/>
      <c r="I441" s="3"/>
      <c r="J441" s="3"/>
      <c r="K441" s="3"/>
      <c r="L441" s="3"/>
      <c r="M441" s="3"/>
      <c r="N441" s="3"/>
      <c r="O441" s="3"/>
      <c r="P441" s="3"/>
      <c r="Q441" s="3"/>
      <c r="R441" s="3"/>
      <c r="S441" s="3"/>
      <c r="T441" s="3"/>
      <c r="U441" s="3"/>
      <c r="V441" s="3"/>
      <c r="W441" s="3"/>
      <c r="X441" s="3"/>
      <c r="Y441" s="3"/>
      <c r="Z441" s="3"/>
      <c r="AA441" s="3"/>
      <c r="AB441" s="3"/>
    </row>
    <row r="442">
      <c r="A442" s="4"/>
      <c r="B442" s="4"/>
      <c r="C442" s="4"/>
      <c r="D442" s="3"/>
      <c r="E442" s="3"/>
      <c r="F442" s="16"/>
      <c r="G442" s="29"/>
      <c r="H442" s="3"/>
      <c r="I442" s="3"/>
      <c r="J442" s="3"/>
      <c r="K442" s="3"/>
      <c r="L442" s="3"/>
      <c r="M442" s="3"/>
      <c r="N442" s="3"/>
      <c r="O442" s="3"/>
      <c r="P442" s="3"/>
      <c r="Q442" s="3"/>
      <c r="R442" s="3"/>
      <c r="S442" s="3"/>
      <c r="T442" s="3"/>
      <c r="U442" s="3"/>
      <c r="V442" s="3"/>
      <c r="W442" s="3"/>
      <c r="X442" s="3"/>
      <c r="Y442" s="3"/>
      <c r="Z442" s="3"/>
      <c r="AA442" s="3"/>
      <c r="AB442" s="3"/>
    </row>
    <row r="443">
      <c r="A443" s="4"/>
      <c r="B443" s="4"/>
      <c r="C443" s="4"/>
      <c r="D443" s="3"/>
      <c r="E443" s="3"/>
      <c r="F443" s="16"/>
      <c r="G443" s="29"/>
      <c r="H443" s="3"/>
      <c r="I443" s="3"/>
      <c r="J443" s="3"/>
      <c r="K443" s="3"/>
      <c r="L443" s="3"/>
      <c r="M443" s="3"/>
      <c r="N443" s="3"/>
      <c r="O443" s="3"/>
      <c r="P443" s="3"/>
      <c r="Q443" s="3"/>
      <c r="R443" s="3"/>
      <c r="S443" s="3"/>
      <c r="T443" s="3"/>
      <c r="U443" s="3"/>
      <c r="V443" s="3"/>
      <c r="W443" s="3"/>
      <c r="X443" s="3"/>
      <c r="Y443" s="3"/>
      <c r="Z443" s="3"/>
      <c r="AA443" s="3"/>
      <c r="AB443" s="3"/>
    </row>
    <row r="444">
      <c r="A444" s="4"/>
      <c r="B444" s="4"/>
      <c r="C444" s="4"/>
      <c r="D444" s="3"/>
      <c r="E444" s="3"/>
      <c r="F444" s="16"/>
      <c r="G444" s="29"/>
      <c r="H444" s="3"/>
      <c r="I444" s="3"/>
      <c r="J444" s="3"/>
      <c r="K444" s="3"/>
      <c r="L444" s="3"/>
      <c r="M444" s="3"/>
      <c r="N444" s="3"/>
      <c r="O444" s="3"/>
      <c r="P444" s="3"/>
      <c r="Q444" s="3"/>
      <c r="R444" s="3"/>
      <c r="S444" s="3"/>
      <c r="T444" s="3"/>
      <c r="U444" s="3"/>
      <c r="V444" s="3"/>
      <c r="W444" s="3"/>
      <c r="X444" s="3"/>
      <c r="Y444" s="3"/>
      <c r="Z444" s="3"/>
      <c r="AA444" s="3"/>
      <c r="AB444" s="3"/>
    </row>
    <row r="445">
      <c r="A445" s="4"/>
      <c r="B445" s="4"/>
      <c r="C445" s="4"/>
      <c r="D445" s="3"/>
      <c r="E445" s="3"/>
      <c r="F445" s="16"/>
      <c r="G445" s="29"/>
      <c r="H445" s="3"/>
      <c r="I445" s="3"/>
      <c r="J445" s="3"/>
      <c r="K445" s="3"/>
      <c r="L445" s="3"/>
      <c r="M445" s="3"/>
      <c r="N445" s="3"/>
      <c r="O445" s="3"/>
      <c r="P445" s="3"/>
      <c r="Q445" s="3"/>
      <c r="R445" s="3"/>
      <c r="S445" s="3"/>
      <c r="T445" s="3"/>
      <c r="U445" s="3"/>
      <c r="V445" s="3"/>
      <c r="W445" s="3"/>
      <c r="X445" s="3"/>
      <c r="Y445" s="3"/>
      <c r="Z445" s="3"/>
      <c r="AA445" s="3"/>
      <c r="AB445" s="3"/>
    </row>
    <row r="446">
      <c r="A446" s="4"/>
      <c r="B446" s="4"/>
      <c r="C446" s="4"/>
      <c r="D446" s="3"/>
      <c r="E446" s="3"/>
      <c r="F446" s="16"/>
      <c r="G446" s="29"/>
      <c r="H446" s="3"/>
      <c r="I446" s="3"/>
      <c r="J446" s="3"/>
      <c r="K446" s="3"/>
      <c r="L446" s="3"/>
      <c r="M446" s="3"/>
      <c r="N446" s="3"/>
      <c r="O446" s="3"/>
      <c r="P446" s="3"/>
      <c r="Q446" s="3"/>
      <c r="R446" s="3"/>
      <c r="S446" s="3"/>
      <c r="T446" s="3"/>
      <c r="U446" s="3"/>
      <c r="V446" s="3"/>
      <c r="W446" s="3"/>
      <c r="X446" s="3"/>
      <c r="Y446" s="3"/>
      <c r="Z446" s="3"/>
      <c r="AA446" s="3"/>
      <c r="AB446" s="3"/>
    </row>
    <row r="447">
      <c r="A447" s="4"/>
      <c r="B447" s="4"/>
      <c r="C447" s="4"/>
      <c r="D447" s="3"/>
      <c r="E447" s="3"/>
      <c r="F447" s="16"/>
      <c r="G447" s="29"/>
      <c r="H447" s="3"/>
      <c r="I447" s="3"/>
      <c r="J447" s="3"/>
      <c r="K447" s="3"/>
      <c r="L447" s="3"/>
      <c r="M447" s="3"/>
      <c r="N447" s="3"/>
      <c r="O447" s="3"/>
      <c r="P447" s="3"/>
      <c r="Q447" s="3"/>
      <c r="R447" s="3"/>
      <c r="S447" s="3"/>
      <c r="T447" s="3"/>
      <c r="U447" s="3"/>
      <c r="V447" s="3"/>
      <c r="W447" s="3"/>
      <c r="X447" s="3"/>
      <c r="Y447" s="3"/>
      <c r="Z447" s="3"/>
      <c r="AA447" s="3"/>
      <c r="AB447" s="3"/>
    </row>
    <row r="448">
      <c r="A448" s="4"/>
      <c r="B448" s="4"/>
      <c r="C448" s="4"/>
      <c r="D448" s="3"/>
      <c r="E448" s="3"/>
      <c r="F448" s="16"/>
      <c r="G448" s="29"/>
      <c r="H448" s="3"/>
      <c r="I448" s="3"/>
      <c r="J448" s="3"/>
      <c r="K448" s="3"/>
      <c r="L448" s="3"/>
      <c r="M448" s="3"/>
      <c r="N448" s="3"/>
      <c r="O448" s="3"/>
      <c r="P448" s="3"/>
      <c r="Q448" s="3"/>
      <c r="R448" s="3"/>
      <c r="S448" s="3"/>
      <c r="T448" s="3"/>
      <c r="U448" s="3"/>
      <c r="V448" s="3"/>
      <c r="W448" s="3"/>
      <c r="X448" s="3"/>
      <c r="Y448" s="3"/>
      <c r="Z448" s="3"/>
      <c r="AA448" s="3"/>
      <c r="AB448" s="3"/>
    </row>
    <row r="449">
      <c r="A449" s="4"/>
      <c r="B449" s="4"/>
      <c r="C449" s="4"/>
      <c r="D449" s="3"/>
      <c r="E449" s="3"/>
      <c r="F449" s="16"/>
      <c r="G449" s="29"/>
      <c r="H449" s="3"/>
      <c r="I449" s="3"/>
      <c r="J449" s="3"/>
      <c r="K449" s="3"/>
      <c r="L449" s="3"/>
      <c r="M449" s="3"/>
      <c r="N449" s="3"/>
      <c r="O449" s="3"/>
      <c r="P449" s="3"/>
      <c r="Q449" s="3"/>
      <c r="R449" s="3"/>
      <c r="S449" s="3"/>
      <c r="T449" s="3"/>
      <c r="U449" s="3"/>
      <c r="V449" s="3"/>
      <c r="W449" s="3"/>
      <c r="X449" s="3"/>
      <c r="Y449" s="3"/>
      <c r="Z449" s="3"/>
      <c r="AA449" s="3"/>
      <c r="AB449" s="3"/>
    </row>
    <row r="450">
      <c r="A450" s="4"/>
      <c r="B450" s="4"/>
      <c r="C450" s="4"/>
      <c r="D450" s="3"/>
      <c r="E450" s="3"/>
      <c r="F450" s="16"/>
      <c r="G450" s="29"/>
      <c r="H450" s="3"/>
      <c r="I450" s="3"/>
      <c r="J450" s="3"/>
      <c r="K450" s="3"/>
      <c r="L450" s="3"/>
      <c r="M450" s="3"/>
      <c r="N450" s="3"/>
      <c r="O450" s="3"/>
      <c r="P450" s="3"/>
      <c r="Q450" s="3"/>
      <c r="R450" s="3"/>
      <c r="S450" s="3"/>
      <c r="T450" s="3"/>
      <c r="U450" s="3"/>
      <c r="V450" s="3"/>
      <c r="W450" s="3"/>
      <c r="X450" s="3"/>
      <c r="Y450" s="3"/>
      <c r="Z450" s="3"/>
      <c r="AA450" s="3"/>
      <c r="AB450" s="3"/>
    </row>
    <row r="451">
      <c r="A451" s="4"/>
      <c r="B451" s="4"/>
      <c r="C451" s="4"/>
      <c r="D451" s="3"/>
      <c r="E451" s="3"/>
      <c r="F451" s="16"/>
      <c r="G451" s="29"/>
      <c r="H451" s="3"/>
      <c r="I451" s="3"/>
      <c r="J451" s="3"/>
      <c r="K451" s="3"/>
      <c r="L451" s="3"/>
      <c r="M451" s="3"/>
      <c r="N451" s="3"/>
      <c r="O451" s="3"/>
      <c r="P451" s="3"/>
      <c r="Q451" s="3"/>
      <c r="R451" s="3"/>
      <c r="S451" s="3"/>
      <c r="T451" s="3"/>
      <c r="U451" s="3"/>
      <c r="V451" s="3"/>
      <c r="W451" s="3"/>
      <c r="X451" s="3"/>
      <c r="Y451" s="3"/>
      <c r="Z451" s="3"/>
      <c r="AA451" s="3"/>
      <c r="AB451" s="3"/>
    </row>
    <row r="452">
      <c r="A452" s="4"/>
      <c r="B452" s="4"/>
      <c r="C452" s="4"/>
      <c r="D452" s="3"/>
      <c r="E452" s="3"/>
      <c r="F452" s="16"/>
      <c r="G452" s="29"/>
      <c r="H452" s="3"/>
      <c r="I452" s="3"/>
      <c r="J452" s="3"/>
      <c r="K452" s="3"/>
      <c r="L452" s="3"/>
      <c r="M452" s="3"/>
      <c r="N452" s="3"/>
      <c r="O452" s="3"/>
      <c r="P452" s="3"/>
      <c r="Q452" s="3"/>
      <c r="R452" s="3"/>
      <c r="S452" s="3"/>
      <c r="T452" s="3"/>
      <c r="U452" s="3"/>
      <c r="V452" s="3"/>
      <c r="W452" s="3"/>
      <c r="X452" s="3"/>
      <c r="Y452" s="3"/>
      <c r="Z452" s="3"/>
      <c r="AA452" s="3"/>
      <c r="AB452" s="3"/>
    </row>
    <row r="453">
      <c r="A453" s="4"/>
      <c r="B453" s="4"/>
      <c r="C453" s="4"/>
      <c r="D453" s="3"/>
      <c r="E453" s="3"/>
      <c r="F453" s="16"/>
      <c r="G453" s="29"/>
      <c r="H453" s="3"/>
      <c r="I453" s="3"/>
      <c r="J453" s="3"/>
      <c r="K453" s="3"/>
      <c r="L453" s="3"/>
      <c r="M453" s="3"/>
      <c r="N453" s="3"/>
      <c r="O453" s="3"/>
      <c r="P453" s="3"/>
      <c r="Q453" s="3"/>
      <c r="R453" s="3"/>
      <c r="S453" s="3"/>
      <c r="T453" s="3"/>
      <c r="U453" s="3"/>
      <c r="V453" s="3"/>
      <c r="W453" s="3"/>
      <c r="X453" s="3"/>
      <c r="Y453" s="3"/>
      <c r="Z453" s="3"/>
      <c r="AA453" s="3"/>
      <c r="AB453" s="3"/>
    </row>
    <row r="454">
      <c r="A454" s="4"/>
      <c r="B454" s="4"/>
      <c r="C454" s="4"/>
      <c r="D454" s="3"/>
      <c r="E454" s="3"/>
      <c r="F454" s="16"/>
      <c r="G454" s="29"/>
      <c r="H454" s="3"/>
      <c r="I454" s="3"/>
      <c r="J454" s="3"/>
      <c r="K454" s="3"/>
      <c r="L454" s="3"/>
      <c r="M454" s="3"/>
      <c r="N454" s="3"/>
      <c r="O454" s="3"/>
      <c r="P454" s="3"/>
      <c r="Q454" s="3"/>
      <c r="R454" s="3"/>
      <c r="S454" s="3"/>
      <c r="T454" s="3"/>
      <c r="U454" s="3"/>
      <c r="V454" s="3"/>
      <c r="W454" s="3"/>
      <c r="X454" s="3"/>
      <c r="Y454" s="3"/>
      <c r="Z454" s="3"/>
      <c r="AA454" s="3"/>
      <c r="AB454" s="3"/>
    </row>
    <row r="455">
      <c r="A455" s="4"/>
      <c r="B455" s="4"/>
      <c r="C455" s="4"/>
      <c r="D455" s="3"/>
      <c r="E455" s="3"/>
      <c r="F455" s="16"/>
      <c r="G455" s="29"/>
      <c r="H455" s="3"/>
      <c r="I455" s="3"/>
      <c r="J455" s="3"/>
      <c r="K455" s="3"/>
      <c r="L455" s="3"/>
      <c r="M455" s="3"/>
      <c r="N455" s="3"/>
      <c r="O455" s="3"/>
      <c r="P455" s="3"/>
      <c r="Q455" s="3"/>
      <c r="R455" s="3"/>
      <c r="S455" s="3"/>
      <c r="T455" s="3"/>
      <c r="U455" s="3"/>
      <c r="V455" s="3"/>
      <c r="W455" s="3"/>
      <c r="X455" s="3"/>
      <c r="Y455" s="3"/>
      <c r="Z455" s="3"/>
      <c r="AA455" s="3"/>
      <c r="AB455" s="3"/>
    </row>
    <row r="456">
      <c r="A456" s="4"/>
      <c r="B456" s="4"/>
      <c r="C456" s="4"/>
      <c r="D456" s="3"/>
      <c r="E456" s="3"/>
      <c r="F456" s="16"/>
      <c r="G456" s="29"/>
      <c r="H456" s="3"/>
      <c r="I456" s="3"/>
      <c r="J456" s="3"/>
      <c r="K456" s="3"/>
      <c r="L456" s="3"/>
      <c r="M456" s="3"/>
      <c r="N456" s="3"/>
      <c r="O456" s="3"/>
      <c r="P456" s="3"/>
      <c r="Q456" s="3"/>
      <c r="R456" s="3"/>
      <c r="S456" s="3"/>
      <c r="T456" s="3"/>
      <c r="U456" s="3"/>
      <c r="V456" s="3"/>
      <c r="W456" s="3"/>
      <c r="X456" s="3"/>
      <c r="Y456" s="3"/>
      <c r="Z456" s="3"/>
      <c r="AA456" s="3"/>
      <c r="AB456" s="3"/>
    </row>
    <row r="457">
      <c r="A457" s="4"/>
      <c r="B457" s="4"/>
      <c r="C457" s="4"/>
      <c r="D457" s="3"/>
      <c r="E457" s="3"/>
      <c r="F457" s="16"/>
      <c r="G457" s="29"/>
      <c r="H457" s="3"/>
      <c r="I457" s="3"/>
      <c r="J457" s="3"/>
      <c r="K457" s="3"/>
      <c r="L457" s="3"/>
      <c r="M457" s="3"/>
      <c r="N457" s="3"/>
      <c r="O457" s="3"/>
      <c r="P457" s="3"/>
      <c r="Q457" s="3"/>
      <c r="R457" s="3"/>
      <c r="S457" s="3"/>
      <c r="T457" s="3"/>
      <c r="U457" s="3"/>
      <c r="V457" s="3"/>
      <c r="W457" s="3"/>
      <c r="X457" s="3"/>
      <c r="Y457" s="3"/>
      <c r="Z457" s="3"/>
      <c r="AA457" s="3"/>
      <c r="AB457" s="3"/>
    </row>
    <row r="458">
      <c r="A458" s="4"/>
      <c r="B458" s="4"/>
      <c r="C458" s="4"/>
      <c r="D458" s="3"/>
      <c r="E458" s="3"/>
      <c r="F458" s="16"/>
      <c r="G458" s="29"/>
      <c r="H458" s="3"/>
      <c r="I458" s="3"/>
      <c r="J458" s="3"/>
      <c r="K458" s="3"/>
      <c r="L458" s="3"/>
      <c r="M458" s="3"/>
      <c r="N458" s="3"/>
      <c r="O458" s="3"/>
      <c r="P458" s="3"/>
      <c r="Q458" s="3"/>
      <c r="R458" s="3"/>
      <c r="S458" s="3"/>
      <c r="T458" s="3"/>
      <c r="U458" s="3"/>
      <c r="V458" s="3"/>
      <c r="W458" s="3"/>
      <c r="X458" s="3"/>
      <c r="Y458" s="3"/>
      <c r="Z458" s="3"/>
      <c r="AA458" s="3"/>
      <c r="AB458" s="3"/>
    </row>
    <row r="459">
      <c r="A459" s="4"/>
      <c r="B459" s="4"/>
      <c r="C459" s="4"/>
      <c r="D459" s="3"/>
      <c r="E459" s="3"/>
      <c r="F459" s="16"/>
      <c r="G459" s="29"/>
      <c r="H459" s="3"/>
      <c r="I459" s="3"/>
      <c r="J459" s="3"/>
      <c r="K459" s="3"/>
      <c r="L459" s="3"/>
      <c r="M459" s="3"/>
      <c r="N459" s="3"/>
      <c r="O459" s="3"/>
      <c r="P459" s="3"/>
      <c r="Q459" s="3"/>
      <c r="R459" s="3"/>
      <c r="S459" s="3"/>
      <c r="T459" s="3"/>
      <c r="U459" s="3"/>
      <c r="V459" s="3"/>
      <c r="W459" s="3"/>
      <c r="X459" s="3"/>
      <c r="Y459" s="3"/>
      <c r="Z459" s="3"/>
      <c r="AA459" s="3"/>
      <c r="AB459" s="3"/>
    </row>
    <row r="460">
      <c r="A460" s="4"/>
      <c r="B460" s="4"/>
      <c r="C460" s="4"/>
      <c r="D460" s="3"/>
      <c r="E460" s="3"/>
      <c r="F460" s="16"/>
      <c r="G460" s="29"/>
      <c r="H460" s="3"/>
      <c r="I460" s="3"/>
      <c r="J460" s="3"/>
      <c r="K460" s="3"/>
      <c r="L460" s="3"/>
      <c r="M460" s="3"/>
      <c r="N460" s="3"/>
      <c r="O460" s="3"/>
      <c r="P460" s="3"/>
      <c r="Q460" s="3"/>
      <c r="R460" s="3"/>
      <c r="S460" s="3"/>
      <c r="T460" s="3"/>
      <c r="U460" s="3"/>
      <c r="V460" s="3"/>
      <c r="W460" s="3"/>
      <c r="X460" s="3"/>
      <c r="Y460" s="3"/>
      <c r="Z460" s="3"/>
      <c r="AA460" s="3"/>
      <c r="AB460" s="3"/>
    </row>
    <row r="461">
      <c r="A461" s="4"/>
      <c r="B461" s="4"/>
      <c r="C461" s="4"/>
      <c r="D461" s="3"/>
      <c r="E461" s="3"/>
      <c r="F461" s="16"/>
      <c r="G461" s="29"/>
      <c r="H461" s="3"/>
      <c r="I461" s="3"/>
      <c r="J461" s="3"/>
      <c r="K461" s="3"/>
      <c r="L461" s="3"/>
      <c r="M461" s="3"/>
      <c r="N461" s="3"/>
      <c r="O461" s="3"/>
      <c r="P461" s="3"/>
      <c r="Q461" s="3"/>
      <c r="R461" s="3"/>
      <c r="S461" s="3"/>
      <c r="T461" s="3"/>
      <c r="U461" s="3"/>
      <c r="V461" s="3"/>
      <c r="W461" s="3"/>
      <c r="X461" s="3"/>
      <c r="Y461" s="3"/>
      <c r="Z461" s="3"/>
      <c r="AA461" s="3"/>
      <c r="AB461" s="3"/>
    </row>
    <row r="462">
      <c r="A462" s="4"/>
      <c r="B462" s="4"/>
      <c r="C462" s="4"/>
      <c r="D462" s="3"/>
      <c r="E462" s="3"/>
      <c r="F462" s="16"/>
      <c r="G462" s="29"/>
      <c r="H462" s="3"/>
      <c r="I462" s="3"/>
      <c r="J462" s="3"/>
      <c r="K462" s="3"/>
      <c r="L462" s="3"/>
      <c r="M462" s="3"/>
      <c r="N462" s="3"/>
      <c r="O462" s="3"/>
      <c r="P462" s="3"/>
      <c r="Q462" s="3"/>
      <c r="R462" s="3"/>
      <c r="S462" s="3"/>
      <c r="T462" s="3"/>
      <c r="U462" s="3"/>
      <c r="V462" s="3"/>
      <c r="W462" s="3"/>
      <c r="X462" s="3"/>
      <c r="Y462" s="3"/>
      <c r="Z462" s="3"/>
      <c r="AA462" s="3"/>
      <c r="AB462" s="3"/>
    </row>
    <row r="463">
      <c r="A463" s="4"/>
      <c r="B463" s="4"/>
      <c r="C463" s="4"/>
      <c r="D463" s="3"/>
      <c r="E463" s="3"/>
      <c r="F463" s="16"/>
      <c r="G463" s="29"/>
      <c r="H463" s="3"/>
      <c r="I463" s="3"/>
      <c r="J463" s="3"/>
      <c r="K463" s="3"/>
      <c r="L463" s="3"/>
      <c r="M463" s="3"/>
      <c r="N463" s="3"/>
      <c r="O463" s="3"/>
      <c r="P463" s="3"/>
      <c r="Q463" s="3"/>
      <c r="R463" s="3"/>
      <c r="S463" s="3"/>
      <c r="T463" s="3"/>
      <c r="U463" s="3"/>
      <c r="V463" s="3"/>
      <c r="W463" s="3"/>
      <c r="X463" s="3"/>
      <c r="Y463" s="3"/>
      <c r="Z463" s="3"/>
      <c r="AA463" s="3"/>
      <c r="AB463" s="3"/>
    </row>
    <row r="464">
      <c r="A464" s="4"/>
      <c r="B464" s="4"/>
      <c r="C464" s="4"/>
      <c r="D464" s="3"/>
      <c r="E464" s="3"/>
      <c r="F464" s="16"/>
      <c r="G464" s="29"/>
      <c r="H464" s="3"/>
      <c r="I464" s="3"/>
      <c r="J464" s="3"/>
      <c r="K464" s="3"/>
      <c r="L464" s="3"/>
      <c r="M464" s="3"/>
      <c r="N464" s="3"/>
      <c r="O464" s="3"/>
      <c r="P464" s="3"/>
      <c r="Q464" s="3"/>
      <c r="R464" s="3"/>
      <c r="S464" s="3"/>
      <c r="T464" s="3"/>
      <c r="U464" s="3"/>
      <c r="V464" s="3"/>
      <c r="W464" s="3"/>
      <c r="X464" s="3"/>
      <c r="Y464" s="3"/>
      <c r="Z464" s="3"/>
      <c r="AA464" s="3"/>
      <c r="AB464" s="3"/>
    </row>
    <row r="465">
      <c r="A465" s="4"/>
      <c r="B465" s="4"/>
      <c r="C465" s="4"/>
      <c r="D465" s="3"/>
      <c r="E465" s="3"/>
      <c r="F465" s="16"/>
      <c r="G465" s="29"/>
      <c r="H465" s="3"/>
      <c r="I465" s="3"/>
      <c r="J465" s="3"/>
      <c r="K465" s="3"/>
      <c r="L465" s="3"/>
      <c r="M465" s="3"/>
      <c r="N465" s="3"/>
      <c r="O465" s="3"/>
      <c r="P465" s="3"/>
      <c r="Q465" s="3"/>
      <c r="R465" s="3"/>
      <c r="S465" s="3"/>
      <c r="T465" s="3"/>
      <c r="U465" s="3"/>
      <c r="V465" s="3"/>
      <c r="W465" s="3"/>
      <c r="X465" s="3"/>
      <c r="Y465" s="3"/>
      <c r="Z465" s="3"/>
      <c r="AA465" s="3"/>
      <c r="AB465" s="3"/>
    </row>
    <row r="466">
      <c r="A466" s="4"/>
      <c r="B466" s="4"/>
      <c r="C466" s="4"/>
      <c r="D466" s="3"/>
      <c r="E466" s="3"/>
      <c r="F466" s="16"/>
      <c r="G466" s="29"/>
      <c r="H466" s="3"/>
      <c r="I466" s="3"/>
      <c r="J466" s="3"/>
      <c r="K466" s="3"/>
      <c r="L466" s="3"/>
      <c r="M466" s="3"/>
      <c r="N466" s="3"/>
      <c r="O466" s="3"/>
      <c r="P466" s="3"/>
      <c r="Q466" s="3"/>
      <c r="R466" s="3"/>
      <c r="S466" s="3"/>
      <c r="T466" s="3"/>
      <c r="U466" s="3"/>
      <c r="V466" s="3"/>
      <c r="W466" s="3"/>
      <c r="X466" s="3"/>
      <c r="Y466" s="3"/>
      <c r="Z466" s="3"/>
      <c r="AA466" s="3"/>
      <c r="AB466" s="3"/>
    </row>
    <row r="467">
      <c r="A467" s="4"/>
      <c r="B467" s="4"/>
      <c r="C467" s="4"/>
      <c r="D467" s="3"/>
      <c r="E467" s="3"/>
      <c r="F467" s="16"/>
      <c r="G467" s="29"/>
      <c r="H467" s="3"/>
      <c r="I467" s="3"/>
      <c r="J467" s="3"/>
      <c r="K467" s="3"/>
      <c r="L467" s="3"/>
      <c r="M467" s="3"/>
      <c r="N467" s="3"/>
      <c r="O467" s="3"/>
      <c r="P467" s="3"/>
      <c r="Q467" s="3"/>
      <c r="R467" s="3"/>
      <c r="S467" s="3"/>
      <c r="T467" s="3"/>
      <c r="U467" s="3"/>
      <c r="V467" s="3"/>
      <c r="W467" s="3"/>
      <c r="X467" s="3"/>
      <c r="Y467" s="3"/>
      <c r="Z467" s="3"/>
      <c r="AA467" s="3"/>
      <c r="AB467" s="3"/>
    </row>
    <row r="468">
      <c r="A468" s="4"/>
      <c r="B468" s="4"/>
      <c r="C468" s="4"/>
      <c r="D468" s="3"/>
      <c r="E468" s="3"/>
      <c r="F468" s="16"/>
      <c r="G468" s="29"/>
      <c r="H468" s="3"/>
      <c r="I468" s="3"/>
      <c r="J468" s="3"/>
      <c r="K468" s="3"/>
      <c r="L468" s="3"/>
      <c r="M468" s="3"/>
      <c r="N468" s="3"/>
      <c r="O468" s="3"/>
      <c r="P468" s="3"/>
      <c r="Q468" s="3"/>
      <c r="R468" s="3"/>
      <c r="S468" s="3"/>
      <c r="T468" s="3"/>
      <c r="U468" s="3"/>
      <c r="V468" s="3"/>
      <c r="W468" s="3"/>
      <c r="X468" s="3"/>
      <c r="Y468" s="3"/>
      <c r="Z468" s="3"/>
      <c r="AA468" s="3"/>
      <c r="AB468" s="3"/>
    </row>
    <row r="469">
      <c r="A469" s="4"/>
      <c r="B469" s="4"/>
      <c r="C469" s="4"/>
      <c r="D469" s="3"/>
      <c r="E469" s="3"/>
      <c r="F469" s="16"/>
      <c r="G469" s="29"/>
      <c r="H469" s="3"/>
      <c r="I469" s="3"/>
      <c r="J469" s="3"/>
      <c r="K469" s="3"/>
      <c r="L469" s="3"/>
      <c r="M469" s="3"/>
      <c r="N469" s="3"/>
      <c r="O469" s="3"/>
      <c r="P469" s="3"/>
      <c r="Q469" s="3"/>
      <c r="R469" s="3"/>
      <c r="S469" s="3"/>
      <c r="T469" s="3"/>
      <c r="U469" s="3"/>
      <c r="V469" s="3"/>
      <c r="W469" s="3"/>
      <c r="X469" s="3"/>
      <c r="Y469" s="3"/>
      <c r="Z469" s="3"/>
      <c r="AA469" s="3"/>
      <c r="AB469" s="3"/>
    </row>
    <row r="470">
      <c r="A470" s="4"/>
      <c r="B470" s="4"/>
      <c r="C470" s="4"/>
      <c r="D470" s="3"/>
      <c r="E470" s="3"/>
      <c r="F470" s="16"/>
      <c r="G470" s="29"/>
      <c r="H470" s="3"/>
      <c r="I470" s="3"/>
      <c r="J470" s="3"/>
      <c r="K470" s="3"/>
      <c r="L470" s="3"/>
      <c r="M470" s="3"/>
      <c r="N470" s="3"/>
      <c r="O470" s="3"/>
      <c r="P470" s="3"/>
      <c r="Q470" s="3"/>
      <c r="R470" s="3"/>
      <c r="S470" s="3"/>
      <c r="T470" s="3"/>
      <c r="U470" s="3"/>
      <c r="V470" s="3"/>
      <c r="W470" s="3"/>
      <c r="X470" s="3"/>
      <c r="Y470" s="3"/>
      <c r="Z470" s="3"/>
      <c r="AA470" s="3"/>
      <c r="AB470" s="3"/>
    </row>
    <row r="471">
      <c r="A471" s="4"/>
      <c r="B471" s="4"/>
      <c r="C471" s="4"/>
      <c r="D471" s="3"/>
      <c r="E471" s="3"/>
      <c r="F471" s="16"/>
      <c r="G471" s="29"/>
      <c r="H471" s="3"/>
      <c r="I471" s="3"/>
      <c r="J471" s="3"/>
      <c r="K471" s="3"/>
      <c r="L471" s="3"/>
      <c r="M471" s="3"/>
      <c r="N471" s="3"/>
      <c r="O471" s="3"/>
      <c r="P471" s="3"/>
      <c r="Q471" s="3"/>
      <c r="R471" s="3"/>
      <c r="S471" s="3"/>
      <c r="T471" s="3"/>
      <c r="U471" s="3"/>
      <c r="V471" s="3"/>
      <c r="W471" s="3"/>
      <c r="X471" s="3"/>
      <c r="Y471" s="3"/>
      <c r="Z471" s="3"/>
      <c r="AA471" s="3"/>
      <c r="AB471" s="3"/>
    </row>
    <row r="472">
      <c r="A472" s="4"/>
      <c r="B472" s="4"/>
      <c r="C472" s="4"/>
      <c r="D472" s="3"/>
      <c r="E472" s="3"/>
      <c r="F472" s="16"/>
      <c r="G472" s="29"/>
      <c r="H472" s="3"/>
      <c r="I472" s="3"/>
      <c r="J472" s="3"/>
      <c r="K472" s="3"/>
      <c r="L472" s="3"/>
      <c r="M472" s="3"/>
      <c r="N472" s="3"/>
      <c r="O472" s="3"/>
      <c r="P472" s="3"/>
      <c r="Q472" s="3"/>
      <c r="R472" s="3"/>
      <c r="S472" s="3"/>
      <c r="T472" s="3"/>
      <c r="U472" s="3"/>
      <c r="V472" s="3"/>
      <c r="W472" s="3"/>
      <c r="X472" s="3"/>
      <c r="Y472" s="3"/>
      <c r="Z472" s="3"/>
      <c r="AA472" s="3"/>
      <c r="AB472" s="3"/>
    </row>
    <row r="473">
      <c r="A473" s="4"/>
      <c r="B473" s="4"/>
      <c r="C473" s="4"/>
      <c r="D473" s="3"/>
      <c r="E473" s="3"/>
      <c r="F473" s="16"/>
      <c r="G473" s="29"/>
      <c r="H473" s="3"/>
      <c r="I473" s="3"/>
      <c r="J473" s="3"/>
      <c r="K473" s="3"/>
      <c r="L473" s="3"/>
      <c r="M473" s="3"/>
      <c r="N473" s="3"/>
      <c r="O473" s="3"/>
      <c r="P473" s="3"/>
      <c r="Q473" s="3"/>
      <c r="R473" s="3"/>
      <c r="S473" s="3"/>
      <c r="T473" s="3"/>
      <c r="U473" s="3"/>
      <c r="V473" s="3"/>
      <c r="W473" s="3"/>
      <c r="X473" s="3"/>
      <c r="Y473" s="3"/>
      <c r="Z473" s="3"/>
      <c r="AA473" s="3"/>
      <c r="AB473" s="3"/>
    </row>
    <row r="474">
      <c r="A474" s="4"/>
      <c r="B474" s="4"/>
      <c r="C474" s="4"/>
      <c r="D474" s="3"/>
      <c r="E474" s="3"/>
      <c r="F474" s="16"/>
      <c r="G474" s="29"/>
      <c r="H474" s="3"/>
      <c r="I474" s="3"/>
      <c r="J474" s="3"/>
      <c r="K474" s="3"/>
      <c r="L474" s="3"/>
      <c r="M474" s="3"/>
      <c r="N474" s="3"/>
      <c r="O474" s="3"/>
      <c r="P474" s="3"/>
      <c r="Q474" s="3"/>
      <c r="R474" s="3"/>
      <c r="S474" s="3"/>
      <c r="T474" s="3"/>
      <c r="U474" s="3"/>
      <c r="V474" s="3"/>
      <c r="W474" s="3"/>
      <c r="X474" s="3"/>
      <c r="Y474" s="3"/>
      <c r="Z474" s="3"/>
      <c r="AA474" s="3"/>
      <c r="AB474" s="3"/>
    </row>
    <row r="475">
      <c r="A475" s="4"/>
      <c r="B475" s="4"/>
      <c r="C475" s="4"/>
      <c r="D475" s="3"/>
      <c r="E475" s="3"/>
      <c r="F475" s="16"/>
      <c r="G475" s="29"/>
      <c r="H475" s="3"/>
      <c r="I475" s="3"/>
      <c r="J475" s="3"/>
      <c r="K475" s="3"/>
      <c r="L475" s="3"/>
      <c r="M475" s="3"/>
      <c r="N475" s="3"/>
      <c r="O475" s="3"/>
      <c r="P475" s="3"/>
      <c r="Q475" s="3"/>
      <c r="R475" s="3"/>
      <c r="S475" s="3"/>
      <c r="T475" s="3"/>
      <c r="U475" s="3"/>
      <c r="V475" s="3"/>
      <c r="W475" s="3"/>
      <c r="X475" s="3"/>
      <c r="Y475" s="3"/>
      <c r="Z475" s="3"/>
      <c r="AA475" s="3"/>
      <c r="AB475" s="3"/>
    </row>
    <row r="476">
      <c r="A476" s="4"/>
      <c r="B476" s="4"/>
      <c r="C476" s="4"/>
      <c r="D476" s="3"/>
      <c r="E476" s="3"/>
      <c r="F476" s="16"/>
      <c r="G476" s="29"/>
      <c r="H476" s="3"/>
      <c r="I476" s="3"/>
      <c r="J476" s="3"/>
      <c r="K476" s="3"/>
      <c r="L476" s="3"/>
      <c r="M476" s="3"/>
      <c r="N476" s="3"/>
      <c r="O476" s="3"/>
      <c r="P476" s="3"/>
      <c r="Q476" s="3"/>
      <c r="R476" s="3"/>
      <c r="S476" s="3"/>
      <c r="T476" s="3"/>
      <c r="U476" s="3"/>
      <c r="V476" s="3"/>
      <c r="W476" s="3"/>
      <c r="X476" s="3"/>
      <c r="Y476" s="3"/>
      <c r="Z476" s="3"/>
      <c r="AA476" s="3"/>
      <c r="AB476" s="3"/>
    </row>
    <row r="477">
      <c r="A477" s="4"/>
      <c r="B477" s="4"/>
      <c r="C477" s="4"/>
      <c r="D477" s="3"/>
      <c r="E477" s="3"/>
      <c r="F477" s="16"/>
      <c r="G477" s="29"/>
      <c r="H477" s="3"/>
      <c r="I477" s="3"/>
      <c r="J477" s="3"/>
      <c r="K477" s="3"/>
      <c r="L477" s="3"/>
      <c r="M477" s="3"/>
      <c r="N477" s="3"/>
      <c r="O477" s="3"/>
      <c r="P477" s="3"/>
      <c r="Q477" s="3"/>
      <c r="R477" s="3"/>
      <c r="S477" s="3"/>
      <c r="T477" s="3"/>
      <c r="U477" s="3"/>
      <c r="V477" s="3"/>
      <c r="W477" s="3"/>
      <c r="X477" s="3"/>
      <c r="Y477" s="3"/>
      <c r="Z477" s="3"/>
      <c r="AA477" s="3"/>
      <c r="AB477" s="3"/>
    </row>
    <row r="478">
      <c r="A478" s="4"/>
      <c r="B478" s="4"/>
      <c r="C478" s="4"/>
      <c r="D478" s="3"/>
      <c r="E478" s="3"/>
      <c r="F478" s="16"/>
      <c r="G478" s="29"/>
      <c r="H478" s="3"/>
      <c r="I478" s="3"/>
      <c r="J478" s="3"/>
      <c r="K478" s="3"/>
      <c r="L478" s="3"/>
      <c r="M478" s="3"/>
      <c r="N478" s="3"/>
      <c r="O478" s="3"/>
      <c r="P478" s="3"/>
      <c r="Q478" s="3"/>
      <c r="R478" s="3"/>
      <c r="S478" s="3"/>
      <c r="T478" s="3"/>
      <c r="U478" s="3"/>
      <c r="V478" s="3"/>
      <c r="W478" s="3"/>
      <c r="X478" s="3"/>
      <c r="Y478" s="3"/>
      <c r="Z478" s="3"/>
      <c r="AA478" s="3"/>
      <c r="AB478" s="3"/>
    </row>
    <row r="479">
      <c r="A479" s="4"/>
      <c r="B479" s="4"/>
      <c r="C479" s="4"/>
      <c r="D479" s="3"/>
      <c r="E479" s="3"/>
      <c r="F479" s="16"/>
      <c r="G479" s="29"/>
      <c r="H479" s="3"/>
      <c r="I479" s="3"/>
      <c r="J479" s="3"/>
      <c r="K479" s="3"/>
      <c r="L479" s="3"/>
      <c r="M479" s="3"/>
      <c r="N479" s="3"/>
      <c r="O479" s="3"/>
      <c r="P479" s="3"/>
      <c r="Q479" s="3"/>
      <c r="R479" s="3"/>
      <c r="S479" s="3"/>
      <c r="T479" s="3"/>
      <c r="U479" s="3"/>
      <c r="V479" s="3"/>
      <c r="W479" s="3"/>
      <c r="X479" s="3"/>
      <c r="Y479" s="3"/>
      <c r="Z479" s="3"/>
      <c r="AA479" s="3"/>
      <c r="AB479" s="3"/>
    </row>
    <row r="480">
      <c r="A480" s="4"/>
      <c r="B480" s="4"/>
      <c r="C480" s="4"/>
      <c r="D480" s="3"/>
      <c r="E480" s="3"/>
      <c r="F480" s="16"/>
      <c r="G480" s="29"/>
      <c r="H480" s="3"/>
      <c r="I480" s="3"/>
      <c r="J480" s="3"/>
      <c r="K480" s="3"/>
      <c r="L480" s="3"/>
      <c r="M480" s="3"/>
      <c r="N480" s="3"/>
      <c r="O480" s="3"/>
      <c r="P480" s="3"/>
      <c r="Q480" s="3"/>
      <c r="R480" s="3"/>
      <c r="S480" s="3"/>
      <c r="T480" s="3"/>
      <c r="U480" s="3"/>
      <c r="V480" s="3"/>
      <c r="W480" s="3"/>
      <c r="X480" s="3"/>
      <c r="Y480" s="3"/>
      <c r="Z480" s="3"/>
      <c r="AA480" s="3"/>
      <c r="AB480" s="3"/>
    </row>
    <row r="481">
      <c r="A481" s="4"/>
      <c r="B481" s="4"/>
      <c r="C481" s="4"/>
      <c r="D481" s="3"/>
      <c r="E481" s="3"/>
      <c r="F481" s="16"/>
      <c r="G481" s="29"/>
      <c r="H481" s="3"/>
      <c r="I481" s="3"/>
      <c r="J481" s="3"/>
      <c r="K481" s="3"/>
      <c r="L481" s="3"/>
      <c r="M481" s="3"/>
      <c r="N481" s="3"/>
      <c r="O481" s="3"/>
      <c r="P481" s="3"/>
      <c r="Q481" s="3"/>
      <c r="R481" s="3"/>
      <c r="S481" s="3"/>
      <c r="T481" s="3"/>
      <c r="U481" s="3"/>
      <c r="V481" s="3"/>
      <c r="W481" s="3"/>
      <c r="X481" s="3"/>
      <c r="Y481" s="3"/>
      <c r="Z481" s="3"/>
      <c r="AA481" s="3"/>
      <c r="AB481" s="3"/>
    </row>
    <row r="482">
      <c r="A482" s="4"/>
      <c r="B482" s="4"/>
      <c r="C482" s="4"/>
      <c r="D482" s="3"/>
      <c r="E482" s="3"/>
      <c r="F482" s="16"/>
      <c r="G482" s="29"/>
      <c r="H482" s="3"/>
      <c r="I482" s="3"/>
      <c r="J482" s="3"/>
      <c r="K482" s="3"/>
      <c r="L482" s="3"/>
      <c r="M482" s="3"/>
      <c r="N482" s="3"/>
      <c r="O482" s="3"/>
      <c r="P482" s="3"/>
      <c r="Q482" s="3"/>
      <c r="R482" s="3"/>
      <c r="S482" s="3"/>
      <c r="T482" s="3"/>
      <c r="U482" s="3"/>
      <c r="V482" s="3"/>
      <c r="W482" s="3"/>
      <c r="X482" s="3"/>
      <c r="Y482" s="3"/>
      <c r="Z482" s="3"/>
      <c r="AA482" s="3"/>
      <c r="AB482" s="3"/>
    </row>
    <row r="483">
      <c r="A483" s="4"/>
      <c r="B483" s="4"/>
      <c r="C483" s="4"/>
      <c r="D483" s="3"/>
      <c r="E483" s="3"/>
      <c r="F483" s="16"/>
      <c r="G483" s="29"/>
      <c r="H483" s="3"/>
      <c r="I483" s="3"/>
      <c r="J483" s="3"/>
      <c r="K483" s="3"/>
      <c r="L483" s="3"/>
      <c r="M483" s="3"/>
      <c r="N483" s="3"/>
      <c r="O483" s="3"/>
      <c r="P483" s="3"/>
      <c r="Q483" s="3"/>
      <c r="R483" s="3"/>
      <c r="S483" s="3"/>
      <c r="T483" s="3"/>
      <c r="U483" s="3"/>
      <c r="V483" s="3"/>
      <c r="W483" s="3"/>
      <c r="X483" s="3"/>
      <c r="Y483" s="3"/>
      <c r="Z483" s="3"/>
      <c r="AA483" s="3"/>
      <c r="AB483" s="3"/>
    </row>
    <row r="484">
      <c r="A484" s="4"/>
      <c r="B484" s="4"/>
      <c r="C484" s="4"/>
      <c r="D484" s="3"/>
      <c r="E484" s="3"/>
      <c r="F484" s="16"/>
      <c r="G484" s="29"/>
      <c r="H484" s="3"/>
      <c r="I484" s="3"/>
      <c r="J484" s="3"/>
      <c r="K484" s="3"/>
      <c r="L484" s="3"/>
      <c r="M484" s="3"/>
      <c r="N484" s="3"/>
      <c r="O484" s="3"/>
      <c r="P484" s="3"/>
      <c r="Q484" s="3"/>
      <c r="R484" s="3"/>
      <c r="S484" s="3"/>
      <c r="T484" s="3"/>
      <c r="U484" s="3"/>
      <c r="V484" s="3"/>
      <c r="W484" s="3"/>
      <c r="X484" s="3"/>
      <c r="Y484" s="3"/>
      <c r="Z484" s="3"/>
      <c r="AA484" s="3"/>
      <c r="AB484" s="3"/>
    </row>
    <row r="485">
      <c r="A485" s="4"/>
      <c r="B485" s="4"/>
      <c r="C485" s="4"/>
      <c r="D485" s="3"/>
      <c r="E485" s="3"/>
      <c r="F485" s="16"/>
      <c r="G485" s="29"/>
      <c r="H485" s="3"/>
      <c r="I485" s="3"/>
      <c r="J485" s="3"/>
      <c r="K485" s="3"/>
      <c r="L485" s="3"/>
      <c r="M485" s="3"/>
      <c r="N485" s="3"/>
      <c r="O485" s="3"/>
      <c r="P485" s="3"/>
      <c r="Q485" s="3"/>
      <c r="R485" s="3"/>
      <c r="S485" s="3"/>
      <c r="T485" s="3"/>
      <c r="U485" s="3"/>
      <c r="V485" s="3"/>
      <c r="W485" s="3"/>
      <c r="X485" s="3"/>
      <c r="Y485" s="3"/>
      <c r="Z485" s="3"/>
      <c r="AA485" s="3"/>
      <c r="AB485" s="3"/>
    </row>
    <row r="486">
      <c r="A486" s="4"/>
      <c r="B486" s="4"/>
      <c r="C486" s="4"/>
      <c r="D486" s="3"/>
      <c r="E486" s="3"/>
      <c r="F486" s="16"/>
      <c r="G486" s="29"/>
      <c r="H486" s="3"/>
      <c r="I486" s="3"/>
      <c r="J486" s="3"/>
      <c r="K486" s="3"/>
      <c r="L486" s="3"/>
      <c r="M486" s="3"/>
      <c r="N486" s="3"/>
      <c r="O486" s="3"/>
      <c r="P486" s="3"/>
      <c r="Q486" s="3"/>
      <c r="R486" s="3"/>
      <c r="S486" s="3"/>
      <c r="T486" s="3"/>
      <c r="U486" s="3"/>
      <c r="V486" s="3"/>
      <c r="W486" s="3"/>
      <c r="X486" s="3"/>
      <c r="Y486" s="3"/>
      <c r="Z486" s="3"/>
      <c r="AA486" s="3"/>
      <c r="AB486" s="3"/>
    </row>
    <row r="487">
      <c r="A487" s="4"/>
      <c r="B487" s="4"/>
      <c r="C487" s="4"/>
      <c r="D487" s="3"/>
      <c r="E487" s="3"/>
      <c r="F487" s="16"/>
      <c r="G487" s="29"/>
      <c r="H487" s="3"/>
      <c r="I487" s="3"/>
      <c r="J487" s="3"/>
      <c r="K487" s="3"/>
      <c r="L487" s="3"/>
      <c r="M487" s="3"/>
      <c r="N487" s="3"/>
      <c r="O487" s="3"/>
      <c r="P487" s="3"/>
      <c r="Q487" s="3"/>
      <c r="R487" s="3"/>
      <c r="S487" s="3"/>
      <c r="T487" s="3"/>
      <c r="U487" s="3"/>
      <c r="V487" s="3"/>
      <c r="W487" s="3"/>
      <c r="X487" s="3"/>
      <c r="Y487" s="3"/>
      <c r="Z487" s="3"/>
      <c r="AA487" s="3"/>
      <c r="AB487" s="3"/>
    </row>
    <row r="488">
      <c r="A488" s="4"/>
      <c r="B488" s="4"/>
      <c r="C488" s="4"/>
      <c r="D488" s="3"/>
      <c r="E488" s="3"/>
      <c r="F488" s="16"/>
      <c r="G488" s="29"/>
      <c r="H488" s="3"/>
      <c r="I488" s="3"/>
      <c r="J488" s="3"/>
      <c r="K488" s="3"/>
      <c r="L488" s="3"/>
      <c r="M488" s="3"/>
      <c r="N488" s="3"/>
      <c r="O488" s="3"/>
      <c r="P488" s="3"/>
      <c r="Q488" s="3"/>
      <c r="R488" s="3"/>
      <c r="S488" s="3"/>
      <c r="T488" s="3"/>
      <c r="U488" s="3"/>
      <c r="V488" s="3"/>
      <c r="W488" s="3"/>
      <c r="X488" s="3"/>
      <c r="Y488" s="3"/>
      <c r="Z488" s="3"/>
      <c r="AA488" s="3"/>
      <c r="AB488" s="3"/>
    </row>
    <row r="489">
      <c r="A489" s="4"/>
      <c r="B489" s="4"/>
      <c r="C489" s="4"/>
      <c r="D489" s="3"/>
      <c r="E489" s="3"/>
      <c r="F489" s="16"/>
      <c r="G489" s="29"/>
      <c r="H489" s="3"/>
      <c r="I489" s="3"/>
      <c r="J489" s="3"/>
      <c r="K489" s="3"/>
      <c r="L489" s="3"/>
      <c r="M489" s="3"/>
      <c r="N489" s="3"/>
      <c r="O489" s="3"/>
      <c r="P489" s="3"/>
      <c r="Q489" s="3"/>
      <c r="R489" s="3"/>
      <c r="S489" s="3"/>
      <c r="T489" s="3"/>
      <c r="U489" s="3"/>
      <c r="V489" s="3"/>
      <c r="W489" s="3"/>
      <c r="X489" s="3"/>
      <c r="Y489" s="3"/>
      <c r="Z489" s="3"/>
      <c r="AA489" s="3"/>
      <c r="AB489" s="3"/>
    </row>
    <row r="490">
      <c r="A490" s="4"/>
      <c r="B490" s="4"/>
      <c r="C490" s="4"/>
      <c r="D490" s="3"/>
      <c r="E490" s="3"/>
      <c r="F490" s="16"/>
      <c r="G490" s="29"/>
      <c r="H490" s="3"/>
      <c r="I490" s="3"/>
      <c r="J490" s="3"/>
      <c r="K490" s="3"/>
      <c r="L490" s="3"/>
      <c r="M490" s="3"/>
      <c r="N490" s="3"/>
      <c r="O490" s="3"/>
      <c r="P490" s="3"/>
      <c r="Q490" s="3"/>
      <c r="R490" s="3"/>
      <c r="S490" s="3"/>
      <c r="T490" s="3"/>
      <c r="U490" s="3"/>
      <c r="V490" s="3"/>
      <c r="W490" s="3"/>
      <c r="X490" s="3"/>
      <c r="Y490" s="3"/>
      <c r="Z490" s="3"/>
      <c r="AA490" s="3"/>
      <c r="AB490" s="3"/>
    </row>
    <row r="491">
      <c r="A491" s="4"/>
      <c r="B491" s="4"/>
      <c r="C491" s="4"/>
      <c r="D491" s="3"/>
      <c r="E491" s="3"/>
      <c r="F491" s="16"/>
      <c r="G491" s="29"/>
      <c r="H491" s="3"/>
      <c r="I491" s="3"/>
      <c r="J491" s="3"/>
      <c r="K491" s="3"/>
      <c r="L491" s="3"/>
      <c r="M491" s="3"/>
      <c r="N491" s="3"/>
      <c r="O491" s="3"/>
      <c r="P491" s="3"/>
      <c r="Q491" s="3"/>
      <c r="R491" s="3"/>
      <c r="S491" s="3"/>
      <c r="T491" s="3"/>
      <c r="U491" s="3"/>
      <c r="V491" s="3"/>
      <c r="W491" s="3"/>
      <c r="X491" s="3"/>
      <c r="Y491" s="3"/>
      <c r="Z491" s="3"/>
      <c r="AA491" s="3"/>
      <c r="AB491" s="3"/>
    </row>
    <row r="492">
      <c r="A492" s="4"/>
      <c r="B492" s="4"/>
      <c r="C492" s="4"/>
      <c r="D492" s="3"/>
      <c r="E492" s="3"/>
      <c r="F492" s="16"/>
      <c r="G492" s="29"/>
      <c r="H492" s="3"/>
      <c r="I492" s="3"/>
      <c r="J492" s="3"/>
      <c r="K492" s="3"/>
      <c r="L492" s="3"/>
      <c r="M492" s="3"/>
      <c r="N492" s="3"/>
      <c r="O492" s="3"/>
      <c r="P492" s="3"/>
      <c r="Q492" s="3"/>
      <c r="R492" s="3"/>
      <c r="S492" s="3"/>
      <c r="T492" s="3"/>
      <c r="U492" s="3"/>
      <c r="V492" s="3"/>
      <c r="W492" s="3"/>
      <c r="X492" s="3"/>
      <c r="Y492" s="3"/>
      <c r="Z492" s="3"/>
      <c r="AA492" s="3"/>
      <c r="AB492" s="3"/>
    </row>
    <row r="493">
      <c r="A493" s="4"/>
      <c r="B493" s="4"/>
      <c r="C493" s="4"/>
      <c r="D493" s="3"/>
      <c r="E493" s="3"/>
      <c r="F493" s="16"/>
      <c r="G493" s="29"/>
      <c r="H493" s="3"/>
      <c r="I493" s="3"/>
      <c r="J493" s="3"/>
      <c r="K493" s="3"/>
      <c r="L493" s="3"/>
      <c r="M493" s="3"/>
      <c r="N493" s="3"/>
      <c r="O493" s="3"/>
      <c r="P493" s="3"/>
      <c r="Q493" s="3"/>
      <c r="R493" s="3"/>
      <c r="S493" s="3"/>
      <c r="T493" s="3"/>
      <c r="U493" s="3"/>
      <c r="V493" s="3"/>
      <c r="W493" s="3"/>
      <c r="X493" s="3"/>
      <c r="Y493" s="3"/>
      <c r="Z493" s="3"/>
      <c r="AA493" s="3"/>
      <c r="AB493" s="3"/>
    </row>
    <row r="494">
      <c r="A494" s="4"/>
      <c r="B494" s="4"/>
      <c r="C494" s="4"/>
      <c r="D494" s="3"/>
      <c r="E494" s="3"/>
      <c r="F494" s="16"/>
      <c r="G494" s="29"/>
      <c r="H494" s="3"/>
      <c r="I494" s="3"/>
      <c r="J494" s="3"/>
      <c r="K494" s="3"/>
      <c r="L494" s="3"/>
      <c r="M494" s="3"/>
      <c r="N494" s="3"/>
      <c r="O494" s="3"/>
      <c r="P494" s="3"/>
      <c r="Q494" s="3"/>
      <c r="R494" s="3"/>
      <c r="S494" s="3"/>
      <c r="T494" s="3"/>
      <c r="U494" s="3"/>
      <c r="V494" s="3"/>
      <c r="W494" s="3"/>
      <c r="X494" s="3"/>
      <c r="Y494" s="3"/>
      <c r="Z494" s="3"/>
      <c r="AA494" s="3"/>
      <c r="AB494" s="3"/>
    </row>
    <row r="495">
      <c r="A495" s="4"/>
      <c r="B495" s="4"/>
      <c r="C495" s="4"/>
      <c r="D495" s="3"/>
      <c r="E495" s="3"/>
      <c r="F495" s="16"/>
      <c r="G495" s="29"/>
      <c r="H495" s="3"/>
      <c r="I495" s="3"/>
      <c r="J495" s="3"/>
      <c r="K495" s="3"/>
      <c r="L495" s="3"/>
      <c r="M495" s="3"/>
      <c r="N495" s="3"/>
      <c r="O495" s="3"/>
      <c r="P495" s="3"/>
      <c r="Q495" s="3"/>
      <c r="R495" s="3"/>
      <c r="S495" s="3"/>
      <c r="T495" s="3"/>
      <c r="U495" s="3"/>
      <c r="V495" s="3"/>
      <c r="W495" s="3"/>
      <c r="X495" s="3"/>
      <c r="Y495" s="3"/>
      <c r="Z495" s="3"/>
      <c r="AA495" s="3"/>
      <c r="AB495" s="3"/>
    </row>
    <row r="496">
      <c r="A496" s="4"/>
      <c r="B496" s="4"/>
      <c r="C496" s="4"/>
      <c r="D496" s="3"/>
      <c r="E496" s="3"/>
      <c r="F496" s="16"/>
      <c r="G496" s="29"/>
      <c r="H496" s="3"/>
      <c r="I496" s="3"/>
      <c r="J496" s="3"/>
      <c r="K496" s="3"/>
      <c r="L496" s="3"/>
      <c r="M496" s="3"/>
      <c r="N496" s="3"/>
      <c r="O496" s="3"/>
      <c r="P496" s="3"/>
      <c r="Q496" s="3"/>
      <c r="R496" s="3"/>
      <c r="S496" s="3"/>
      <c r="T496" s="3"/>
      <c r="U496" s="3"/>
      <c r="V496" s="3"/>
      <c r="W496" s="3"/>
      <c r="X496" s="3"/>
      <c r="Y496" s="3"/>
      <c r="Z496" s="3"/>
      <c r="AA496" s="3"/>
      <c r="AB496" s="3"/>
    </row>
    <row r="497">
      <c r="A497" s="4"/>
      <c r="B497" s="4"/>
      <c r="C497" s="4"/>
      <c r="D497" s="3"/>
      <c r="E497" s="3"/>
      <c r="F497" s="16"/>
      <c r="G497" s="29"/>
      <c r="H497" s="3"/>
      <c r="I497" s="3"/>
      <c r="J497" s="3"/>
      <c r="K497" s="3"/>
      <c r="L497" s="3"/>
      <c r="M497" s="3"/>
      <c r="N497" s="3"/>
      <c r="O497" s="3"/>
      <c r="P497" s="3"/>
      <c r="Q497" s="3"/>
      <c r="R497" s="3"/>
      <c r="S497" s="3"/>
      <c r="T497" s="3"/>
      <c r="U497" s="3"/>
      <c r="V497" s="3"/>
      <c r="W497" s="3"/>
      <c r="X497" s="3"/>
      <c r="Y497" s="3"/>
      <c r="Z497" s="3"/>
      <c r="AA497" s="3"/>
      <c r="AB497" s="3"/>
    </row>
    <row r="498">
      <c r="A498" s="4"/>
      <c r="B498" s="4"/>
      <c r="C498" s="4"/>
      <c r="D498" s="3"/>
      <c r="E498" s="3"/>
      <c r="F498" s="16"/>
      <c r="G498" s="29"/>
      <c r="H498" s="3"/>
      <c r="I498" s="3"/>
      <c r="J498" s="3"/>
      <c r="K498" s="3"/>
      <c r="L498" s="3"/>
      <c r="M498" s="3"/>
      <c r="N498" s="3"/>
      <c r="O498" s="3"/>
      <c r="P498" s="3"/>
      <c r="Q498" s="3"/>
      <c r="R498" s="3"/>
      <c r="S498" s="3"/>
      <c r="T498" s="3"/>
      <c r="U498" s="3"/>
      <c r="V498" s="3"/>
      <c r="W498" s="3"/>
      <c r="X498" s="3"/>
      <c r="Y498" s="3"/>
      <c r="Z498" s="3"/>
      <c r="AA498" s="3"/>
      <c r="AB498" s="3"/>
    </row>
    <row r="499">
      <c r="A499" s="4"/>
      <c r="B499" s="4"/>
      <c r="C499" s="4"/>
      <c r="D499" s="3"/>
      <c r="E499" s="3"/>
      <c r="F499" s="16"/>
      <c r="G499" s="29"/>
      <c r="H499" s="3"/>
      <c r="I499" s="3"/>
      <c r="J499" s="3"/>
      <c r="K499" s="3"/>
      <c r="L499" s="3"/>
      <c r="M499" s="3"/>
      <c r="N499" s="3"/>
      <c r="O499" s="3"/>
      <c r="P499" s="3"/>
      <c r="Q499" s="3"/>
      <c r="R499" s="3"/>
      <c r="S499" s="3"/>
      <c r="T499" s="3"/>
      <c r="U499" s="3"/>
      <c r="V499" s="3"/>
      <c r="W499" s="3"/>
      <c r="X499" s="3"/>
      <c r="Y499" s="3"/>
      <c r="Z499" s="3"/>
      <c r="AA499" s="3"/>
      <c r="AB499" s="3"/>
    </row>
    <row r="500">
      <c r="A500" s="4"/>
      <c r="B500" s="4"/>
      <c r="C500" s="4"/>
      <c r="D500" s="3"/>
      <c r="E500" s="3"/>
      <c r="F500" s="16"/>
      <c r="G500" s="29"/>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16"/>
      <c r="G501" s="29"/>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16"/>
      <c r="G502" s="29"/>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16"/>
      <c r="G503" s="29"/>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16"/>
      <c r="G504" s="29"/>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16"/>
      <c r="G505" s="29"/>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16"/>
      <c r="G506" s="29"/>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16"/>
      <c r="G507" s="29"/>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16"/>
      <c r="G508" s="29"/>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16"/>
      <c r="G509" s="29"/>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16"/>
      <c r="G510" s="29"/>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16"/>
      <c r="G511" s="29"/>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16"/>
      <c r="G512" s="29"/>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16"/>
      <c r="G513" s="29"/>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16"/>
      <c r="G514" s="29"/>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16"/>
      <c r="G515" s="29"/>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16"/>
      <c r="G516" s="29"/>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16"/>
      <c r="G517" s="29"/>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16"/>
      <c r="G518" s="29"/>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16"/>
      <c r="G519" s="29"/>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16"/>
      <c r="G520" s="29"/>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16"/>
      <c r="G521" s="29"/>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16"/>
      <c r="G522" s="29"/>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16"/>
      <c r="G523" s="29"/>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16"/>
      <c r="G524" s="29"/>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16"/>
      <c r="G525" s="29"/>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16"/>
      <c r="G526" s="29"/>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16"/>
      <c r="G527" s="29"/>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16"/>
      <c r="G528" s="29"/>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16"/>
      <c r="G529" s="29"/>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16"/>
      <c r="G530" s="29"/>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16"/>
      <c r="G531" s="29"/>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16"/>
      <c r="G532" s="29"/>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16"/>
      <c r="G533" s="29"/>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16"/>
      <c r="G534" s="29"/>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16"/>
      <c r="G535" s="29"/>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16"/>
      <c r="G536" s="29"/>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16"/>
      <c r="G537" s="29"/>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16"/>
      <c r="G538" s="29"/>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16"/>
      <c r="G539" s="29"/>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16"/>
      <c r="G540" s="29"/>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16"/>
      <c r="G541" s="29"/>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16"/>
      <c r="G542" s="29"/>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16"/>
      <c r="G543" s="29"/>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16"/>
      <c r="G544" s="29"/>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16"/>
      <c r="G545" s="29"/>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16"/>
      <c r="G546" s="29"/>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16"/>
      <c r="G547" s="29"/>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16"/>
      <c r="G548" s="29"/>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16"/>
      <c r="G549" s="29"/>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16"/>
      <c r="G550" s="29"/>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16"/>
      <c r="G551" s="29"/>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16"/>
      <c r="G552" s="29"/>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16"/>
      <c r="G553" s="29"/>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16"/>
      <c r="G554" s="29"/>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16"/>
      <c r="G555" s="29"/>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16"/>
      <c r="G556" s="29"/>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16"/>
      <c r="G557" s="29"/>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16"/>
      <c r="G558" s="29"/>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16"/>
      <c r="G559" s="29"/>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16"/>
      <c r="G560" s="29"/>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16"/>
      <c r="G561" s="29"/>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16"/>
      <c r="G562" s="29"/>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16"/>
      <c r="G563" s="29"/>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16"/>
      <c r="G564" s="29"/>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16"/>
      <c r="G565" s="29"/>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16"/>
      <c r="G566" s="29"/>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16"/>
      <c r="G567" s="29"/>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16"/>
      <c r="G568" s="29"/>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16"/>
      <c r="G569" s="29"/>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16"/>
      <c r="G570" s="29"/>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16"/>
      <c r="G571" s="29"/>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16"/>
      <c r="G572" s="29"/>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16"/>
      <c r="G573" s="29"/>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16"/>
      <c r="G574" s="29"/>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16"/>
      <c r="G575" s="29"/>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16"/>
      <c r="G576" s="29"/>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16"/>
      <c r="G577" s="29"/>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16"/>
      <c r="G578" s="29"/>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16"/>
      <c r="G579" s="29"/>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16"/>
      <c r="G580" s="29"/>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16"/>
      <c r="G581" s="29"/>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16"/>
      <c r="G582" s="29"/>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16"/>
      <c r="G583" s="29"/>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16"/>
      <c r="G584" s="29"/>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16"/>
      <c r="G585" s="29"/>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16"/>
      <c r="G586" s="29"/>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16"/>
      <c r="G587" s="29"/>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16"/>
      <c r="G588" s="29"/>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16"/>
      <c r="G589" s="29"/>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16"/>
      <c r="G590" s="29"/>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16"/>
      <c r="G591" s="29"/>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16"/>
      <c r="G592" s="29"/>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16"/>
      <c r="G593" s="29"/>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16"/>
      <c r="G594" s="29"/>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16"/>
      <c r="G595" s="29"/>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16"/>
      <c r="G596" s="29"/>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16"/>
      <c r="G597" s="29"/>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16"/>
      <c r="G598" s="29"/>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16"/>
      <c r="G599" s="29"/>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16"/>
      <c r="G600" s="29"/>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16"/>
      <c r="G601" s="29"/>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16"/>
      <c r="G602" s="29"/>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16"/>
      <c r="G603" s="29"/>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16"/>
      <c r="G604" s="29"/>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16"/>
      <c r="G605" s="29"/>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16"/>
      <c r="G606" s="29"/>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16"/>
      <c r="G607" s="29"/>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16"/>
      <c r="G608" s="29"/>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16"/>
      <c r="G609" s="29"/>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16"/>
      <c r="G610" s="29"/>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16"/>
      <c r="G611" s="29"/>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16"/>
      <c r="G612" s="29"/>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16"/>
      <c r="G613" s="29"/>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16"/>
      <c r="G614" s="29"/>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16"/>
      <c r="G615" s="29"/>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16"/>
      <c r="G616" s="29"/>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16"/>
      <c r="G617" s="29"/>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16"/>
      <c r="G618" s="29"/>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16"/>
      <c r="G619" s="29"/>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16"/>
      <c r="G620" s="29"/>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16"/>
      <c r="G621" s="29"/>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16"/>
      <c r="G622" s="29"/>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16"/>
      <c r="G623" s="29"/>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16"/>
      <c r="G624" s="29"/>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16"/>
      <c r="G625" s="29"/>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16"/>
      <c r="G626" s="29"/>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16"/>
      <c r="G627" s="29"/>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16"/>
      <c r="G628" s="29"/>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16"/>
      <c r="G629" s="29"/>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16"/>
      <c r="G630" s="29"/>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16"/>
      <c r="G631" s="29"/>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16"/>
      <c r="G632" s="29"/>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16"/>
      <c r="G633" s="29"/>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16"/>
      <c r="G634" s="29"/>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16"/>
      <c r="G635" s="29"/>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16"/>
      <c r="G636" s="29"/>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16"/>
      <c r="G637" s="29"/>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16"/>
      <c r="G638" s="29"/>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16"/>
      <c r="G639" s="29"/>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16"/>
      <c r="G640" s="29"/>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16"/>
      <c r="G641" s="29"/>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16"/>
      <c r="G642" s="29"/>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16"/>
      <c r="G643" s="29"/>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16"/>
      <c r="G644" s="29"/>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16"/>
      <c r="G645" s="29"/>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16"/>
      <c r="G646" s="29"/>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16"/>
      <c r="G647" s="29"/>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16"/>
      <c r="G648" s="29"/>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16"/>
      <c r="G649" s="29"/>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16"/>
      <c r="G650" s="29"/>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16"/>
      <c r="G651" s="29"/>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16"/>
      <c r="G652" s="29"/>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16"/>
      <c r="G653" s="29"/>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16"/>
      <c r="G654" s="29"/>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16"/>
      <c r="G655" s="29"/>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16"/>
      <c r="G656" s="29"/>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16"/>
      <c r="G657" s="29"/>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16"/>
      <c r="G658" s="29"/>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16"/>
      <c r="G659" s="29"/>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16"/>
      <c r="G660" s="29"/>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16"/>
      <c r="G661" s="29"/>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16"/>
      <c r="G662" s="29"/>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16"/>
      <c r="G663" s="29"/>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16"/>
      <c r="G664" s="29"/>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16"/>
      <c r="G665" s="29"/>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16"/>
      <c r="G666" s="29"/>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16"/>
      <c r="G667" s="29"/>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16"/>
      <c r="G668" s="29"/>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16"/>
      <c r="G669" s="29"/>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16"/>
      <c r="G670" s="29"/>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16"/>
      <c r="G671" s="29"/>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16"/>
      <c r="G672" s="29"/>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16"/>
      <c r="G673" s="29"/>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16"/>
      <c r="G674" s="29"/>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16"/>
      <c r="G675" s="29"/>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16"/>
      <c r="G676" s="29"/>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16"/>
      <c r="G677" s="29"/>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16"/>
      <c r="G678" s="29"/>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16"/>
      <c r="G679" s="29"/>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16"/>
      <c r="G680" s="29"/>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16"/>
      <c r="G681" s="29"/>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16"/>
      <c r="G682" s="29"/>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16"/>
      <c r="G683" s="29"/>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16"/>
      <c r="G684" s="29"/>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16"/>
      <c r="G685" s="29"/>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16"/>
      <c r="G686" s="29"/>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16"/>
      <c r="G687" s="29"/>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16"/>
      <c r="G688" s="29"/>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16"/>
      <c r="G689" s="29"/>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16"/>
      <c r="G690" s="29"/>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16"/>
      <c r="G691" s="29"/>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16"/>
      <c r="G692" s="29"/>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16"/>
      <c r="G693" s="29"/>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16"/>
      <c r="G694" s="29"/>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16"/>
      <c r="G695" s="29"/>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16"/>
      <c r="G696" s="29"/>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16"/>
      <c r="G697" s="29"/>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16"/>
      <c r="G698" s="29"/>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16"/>
      <c r="G699" s="29"/>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16"/>
      <c r="G700" s="29"/>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16"/>
      <c r="G701" s="29"/>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16"/>
      <c r="G702" s="29"/>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16"/>
      <c r="G703" s="29"/>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16"/>
      <c r="G704" s="29"/>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16"/>
      <c r="G705" s="29"/>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16"/>
      <c r="G706" s="29"/>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16"/>
      <c r="G707" s="29"/>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16"/>
      <c r="G708" s="29"/>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16"/>
      <c r="G709" s="29"/>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16"/>
      <c r="G710" s="29"/>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16"/>
      <c r="G711" s="29"/>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16"/>
      <c r="G712" s="29"/>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16"/>
      <c r="G713" s="29"/>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16"/>
      <c r="G714" s="29"/>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16"/>
      <c r="G715" s="29"/>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16"/>
      <c r="G716" s="29"/>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16"/>
      <c r="G717" s="29"/>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16"/>
      <c r="G718" s="29"/>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16"/>
      <c r="G719" s="29"/>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16"/>
      <c r="G720" s="29"/>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16"/>
      <c r="G721" s="29"/>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16"/>
      <c r="G722" s="29"/>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16"/>
      <c r="G723" s="29"/>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16"/>
      <c r="G724" s="29"/>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16"/>
      <c r="G725" s="29"/>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16"/>
      <c r="G726" s="29"/>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16"/>
      <c r="G727" s="29"/>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16"/>
      <c r="G728" s="29"/>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16"/>
      <c r="G729" s="29"/>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16"/>
      <c r="G730" s="29"/>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16"/>
      <c r="G731" s="29"/>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16"/>
      <c r="G732" s="29"/>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16"/>
      <c r="G733" s="29"/>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16"/>
      <c r="G734" s="29"/>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16"/>
      <c r="G735" s="29"/>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16"/>
      <c r="G736" s="29"/>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16"/>
      <c r="G737" s="29"/>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16"/>
      <c r="G738" s="29"/>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16"/>
      <c r="G739" s="29"/>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16"/>
      <c r="G740" s="29"/>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16"/>
      <c r="G741" s="29"/>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16"/>
      <c r="G742" s="29"/>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16"/>
      <c r="G743" s="29"/>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16"/>
      <c r="G744" s="29"/>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16"/>
      <c r="G745" s="29"/>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16"/>
      <c r="G746" s="29"/>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16"/>
      <c r="G747" s="29"/>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16"/>
      <c r="G748" s="29"/>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16"/>
      <c r="G749" s="29"/>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16"/>
      <c r="G750" s="29"/>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16"/>
      <c r="G751" s="29"/>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16"/>
      <c r="G752" s="29"/>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16"/>
      <c r="G753" s="29"/>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16"/>
      <c r="G754" s="29"/>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16"/>
      <c r="G755" s="29"/>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16"/>
      <c r="G756" s="29"/>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16"/>
      <c r="G757" s="29"/>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16"/>
      <c r="G758" s="29"/>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16"/>
      <c r="G759" s="29"/>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16"/>
      <c r="G760" s="29"/>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16"/>
      <c r="G761" s="29"/>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16"/>
      <c r="G762" s="29"/>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16"/>
      <c r="G763" s="29"/>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16"/>
      <c r="G764" s="29"/>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16"/>
      <c r="G765" s="29"/>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16"/>
      <c r="G766" s="29"/>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16"/>
      <c r="G767" s="29"/>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16"/>
      <c r="G768" s="29"/>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16"/>
      <c r="G769" s="29"/>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16"/>
      <c r="G770" s="29"/>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16"/>
      <c r="G771" s="29"/>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16"/>
      <c r="G772" s="29"/>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16"/>
      <c r="G773" s="29"/>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16"/>
      <c r="G774" s="29"/>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16"/>
      <c r="G775" s="29"/>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16"/>
      <c r="G776" s="29"/>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16"/>
      <c r="G777" s="29"/>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16"/>
      <c r="G778" s="29"/>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16"/>
      <c r="G779" s="29"/>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16"/>
      <c r="G780" s="29"/>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16"/>
      <c r="G781" s="29"/>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16"/>
      <c r="G782" s="29"/>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16"/>
      <c r="G783" s="29"/>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16"/>
      <c r="G784" s="29"/>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16"/>
      <c r="G785" s="29"/>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16"/>
      <c r="G786" s="29"/>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16"/>
      <c r="G787" s="29"/>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16"/>
      <c r="G788" s="29"/>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16"/>
      <c r="G789" s="29"/>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16"/>
      <c r="G790" s="29"/>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16"/>
      <c r="G791" s="29"/>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16"/>
      <c r="G792" s="29"/>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16"/>
      <c r="G793" s="29"/>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16"/>
      <c r="G794" s="29"/>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16"/>
      <c r="G795" s="29"/>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16"/>
      <c r="G796" s="29"/>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16"/>
      <c r="G797" s="29"/>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16"/>
      <c r="G798" s="29"/>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16"/>
      <c r="G799" s="29"/>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16"/>
      <c r="G800" s="29"/>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16"/>
      <c r="G801" s="29"/>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16"/>
      <c r="G802" s="29"/>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16"/>
      <c r="G803" s="29"/>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16"/>
      <c r="G804" s="29"/>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16"/>
      <c r="G805" s="29"/>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16"/>
      <c r="G806" s="29"/>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16"/>
      <c r="G807" s="29"/>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16"/>
      <c r="G808" s="29"/>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16"/>
      <c r="G809" s="29"/>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16"/>
      <c r="G810" s="29"/>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16"/>
      <c r="G811" s="29"/>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16"/>
      <c r="G812" s="29"/>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16"/>
      <c r="G813" s="29"/>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16"/>
      <c r="G814" s="29"/>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16"/>
      <c r="G815" s="29"/>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16"/>
      <c r="G816" s="29"/>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16"/>
      <c r="G817" s="29"/>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16"/>
      <c r="G818" s="29"/>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16"/>
      <c r="G819" s="29"/>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16"/>
      <c r="G820" s="29"/>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16"/>
      <c r="G821" s="29"/>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16"/>
      <c r="G822" s="29"/>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16"/>
      <c r="G823" s="29"/>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16"/>
      <c r="G824" s="29"/>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16"/>
      <c r="G825" s="29"/>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16"/>
      <c r="G826" s="29"/>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16"/>
      <c r="G827" s="29"/>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16"/>
      <c r="G828" s="29"/>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16"/>
      <c r="G829" s="29"/>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16"/>
      <c r="G830" s="29"/>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16"/>
      <c r="G831" s="29"/>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16"/>
      <c r="G832" s="29"/>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16"/>
      <c r="G833" s="29"/>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16"/>
      <c r="G834" s="29"/>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16"/>
      <c r="G835" s="29"/>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16"/>
      <c r="G836" s="29"/>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16"/>
      <c r="G837" s="29"/>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16"/>
      <c r="G838" s="29"/>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16"/>
      <c r="G839" s="29"/>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16"/>
      <c r="G840" s="29"/>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16"/>
      <c r="G841" s="29"/>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16"/>
      <c r="G842" s="29"/>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16"/>
      <c r="G843" s="29"/>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16"/>
      <c r="G844" s="29"/>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16"/>
      <c r="G845" s="29"/>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16"/>
      <c r="G846" s="29"/>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16"/>
      <c r="G847" s="29"/>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16"/>
      <c r="G848" s="29"/>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16"/>
      <c r="G849" s="29"/>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16"/>
      <c r="G850" s="29"/>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16"/>
      <c r="G851" s="29"/>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16"/>
      <c r="G852" s="29"/>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16"/>
      <c r="G853" s="29"/>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16"/>
      <c r="G854" s="29"/>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16"/>
      <c r="G855" s="29"/>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16"/>
      <c r="G856" s="29"/>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16"/>
      <c r="G857" s="29"/>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16"/>
      <c r="G858" s="29"/>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16"/>
      <c r="G859" s="29"/>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16"/>
      <c r="G860" s="29"/>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16"/>
      <c r="G861" s="29"/>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16"/>
      <c r="G862" s="29"/>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16"/>
      <c r="G863" s="29"/>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16"/>
      <c r="G864" s="29"/>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16"/>
      <c r="G865" s="29"/>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16"/>
      <c r="G866" s="29"/>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16"/>
      <c r="G867" s="29"/>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16"/>
      <c r="G868" s="29"/>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16"/>
      <c r="G869" s="29"/>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16"/>
      <c r="G870" s="29"/>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16"/>
      <c r="G871" s="29"/>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16"/>
      <c r="G872" s="29"/>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16"/>
      <c r="G873" s="29"/>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16"/>
      <c r="G874" s="29"/>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16"/>
      <c r="G875" s="29"/>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16"/>
      <c r="G876" s="29"/>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16"/>
      <c r="G877" s="29"/>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16"/>
      <c r="G878" s="29"/>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16"/>
      <c r="G879" s="29"/>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16"/>
      <c r="G880" s="29"/>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16"/>
      <c r="G881" s="29"/>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16"/>
      <c r="G882" s="29"/>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16"/>
      <c r="G883" s="29"/>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16"/>
      <c r="G884" s="29"/>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16"/>
      <c r="G885" s="29"/>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16"/>
      <c r="G886" s="29"/>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16"/>
      <c r="G887" s="29"/>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16"/>
      <c r="G888" s="29"/>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16"/>
      <c r="G889" s="29"/>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16"/>
      <c r="G890" s="29"/>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16"/>
      <c r="G891" s="29"/>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16"/>
      <c r="G892" s="29"/>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16"/>
      <c r="G893" s="29"/>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16"/>
      <c r="G894" s="29"/>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16"/>
      <c r="G895" s="29"/>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16"/>
      <c r="G896" s="29"/>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16"/>
      <c r="G897" s="29"/>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16"/>
      <c r="G898" s="29"/>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16"/>
      <c r="G899" s="29"/>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16"/>
      <c r="G900" s="29"/>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16"/>
      <c r="G901" s="29"/>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16"/>
      <c r="G902" s="29"/>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16"/>
      <c r="G903" s="29"/>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16"/>
      <c r="G904" s="29"/>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16"/>
      <c r="G905" s="29"/>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16"/>
      <c r="G906" s="29"/>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16"/>
      <c r="G907" s="29"/>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16"/>
      <c r="G908" s="29"/>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16"/>
      <c r="G909" s="29"/>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16"/>
      <c r="G910" s="29"/>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16"/>
      <c r="G911" s="29"/>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16"/>
      <c r="G912" s="29"/>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16"/>
      <c r="G913" s="29"/>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16"/>
      <c r="G914" s="29"/>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16"/>
      <c r="G915" s="29"/>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16"/>
      <c r="G916" s="29"/>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16"/>
      <c r="G917" s="29"/>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16"/>
      <c r="G918" s="29"/>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16"/>
      <c r="G919" s="29"/>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16"/>
      <c r="G920" s="29"/>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16"/>
      <c r="G921" s="29"/>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16"/>
      <c r="G922" s="29"/>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16"/>
      <c r="G923" s="29"/>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16"/>
      <c r="G924" s="29"/>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16"/>
      <c r="G925" s="29"/>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16"/>
      <c r="G926" s="29"/>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16"/>
      <c r="G927" s="29"/>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16"/>
      <c r="G928" s="29"/>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16"/>
      <c r="G929" s="29"/>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16"/>
      <c r="G930" s="29"/>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16"/>
      <c r="G931" s="29"/>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16"/>
      <c r="G932" s="29"/>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16"/>
      <c r="G933" s="29"/>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16"/>
      <c r="G934" s="29"/>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16"/>
      <c r="G935" s="29"/>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16"/>
      <c r="G936" s="29"/>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16"/>
      <c r="G937" s="29"/>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16"/>
      <c r="G938" s="29"/>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16"/>
      <c r="G939" s="29"/>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16"/>
      <c r="G940" s="29"/>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16"/>
      <c r="G941" s="29"/>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16"/>
      <c r="G942" s="29"/>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16"/>
      <c r="G943" s="29"/>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16"/>
      <c r="G944" s="29"/>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16"/>
      <c r="G945" s="29"/>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16"/>
      <c r="G946" s="29"/>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16"/>
      <c r="G947" s="29"/>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16"/>
      <c r="G948" s="29"/>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16"/>
      <c r="G949" s="29"/>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16"/>
      <c r="G950" s="29"/>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16"/>
      <c r="G951" s="29"/>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16"/>
      <c r="G952" s="29"/>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16"/>
      <c r="G953" s="29"/>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16"/>
      <c r="G954" s="29"/>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16"/>
      <c r="G955" s="29"/>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16"/>
      <c r="G956" s="29"/>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16"/>
      <c r="G957" s="29"/>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16"/>
      <c r="G958" s="29"/>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16"/>
      <c r="G959" s="29"/>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16"/>
      <c r="G960" s="29"/>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16"/>
      <c r="G961" s="29"/>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16"/>
      <c r="G962" s="29"/>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16"/>
      <c r="G963" s="29"/>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16"/>
      <c r="G964" s="29"/>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16"/>
      <c r="G965" s="29"/>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16"/>
      <c r="G966" s="29"/>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16"/>
      <c r="G967" s="29"/>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16"/>
      <c r="G968" s="29"/>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16"/>
      <c r="G969" s="29"/>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16"/>
      <c r="G970" s="29"/>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16"/>
      <c r="G971" s="29"/>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16"/>
      <c r="G972" s="29"/>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16"/>
      <c r="G973" s="29"/>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16"/>
      <c r="G974" s="29"/>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16"/>
      <c r="G975" s="29"/>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16"/>
      <c r="G976" s="29"/>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16"/>
      <c r="G977" s="29"/>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16"/>
      <c r="G978" s="29"/>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16"/>
      <c r="G979" s="29"/>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16"/>
      <c r="G980" s="29"/>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16"/>
      <c r="G981" s="29"/>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16"/>
      <c r="G982" s="29"/>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16"/>
      <c r="G983" s="29"/>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16"/>
      <c r="G984" s="29"/>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16"/>
      <c r="G985" s="29"/>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16"/>
      <c r="G986" s="29"/>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16"/>
      <c r="G987" s="29"/>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16"/>
      <c r="G988" s="29"/>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16"/>
      <c r="G989" s="29"/>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16"/>
      <c r="G990" s="29"/>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16"/>
      <c r="G991" s="29"/>
      <c r="H991" s="3"/>
      <c r="I991" s="3"/>
      <c r="J991" s="3"/>
      <c r="K991" s="3"/>
      <c r="L991" s="3"/>
      <c r="M991" s="3"/>
      <c r="N991" s="3"/>
      <c r="O991" s="3"/>
      <c r="P991" s="3"/>
      <c r="Q991" s="3"/>
      <c r="R991" s="3"/>
      <c r="S991" s="3"/>
      <c r="T991" s="3"/>
      <c r="U991" s="3"/>
      <c r="V991" s="3"/>
      <c r="W991" s="3"/>
      <c r="X991" s="3"/>
      <c r="Y991" s="3"/>
      <c r="Z991" s="3"/>
      <c r="AA991" s="3"/>
      <c r="AB991" s="3"/>
    </row>
  </sheetData>
  <conditionalFormatting sqref="L52">
    <cfRule type="notContainsBlanks" dxfId="0" priority="1">
      <formula>LEN(TRIM(L52))&gt;0</formula>
    </cfRule>
  </conditionalFormatting>
  <conditionalFormatting sqref="J46">
    <cfRule type="notContainsBlanks" dxfId="0" priority="2">
      <formula>LEN(TRIM(J46))&gt;0</formula>
    </cfRule>
  </conditionalFormatting>
  <dataValidations>
    <dataValidation type="list" allowBlank="1" showErrorMessage="1" sqref="E2:E42">
      <formula1>"CUB,DBS,SBI,IOB"</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outlineLevelRow="1"/>
  <cols>
    <col customWidth="1" hidden="1" min="1" max="1" width="20.13"/>
    <col customWidth="1" min="2" max="3" width="15.5"/>
    <col customWidth="1" min="4" max="4" width="25.5"/>
    <col customWidth="1" min="5" max="5" width="15.25"/>
    <col customWidth="1" min="6" max="7" width="3.5"/>
    <col customWidth="1" min="8" max="8" width="3.75"/>
    <col customWidth="1" min="9" max="9" width="3.5"/>
    <col customWidth="1" min="10" max="10" width="3.75"/>
    <col customWidth="1" min="11" max="11" width="3.5"/>
    <col customWidth="1" min="12" max="12" width="3.75"/>
    <col customWidth="1" min="13" max="13" width="3.5"/>
    <col customWidth="1" min="14" max="14" width="3.75"/>
    <col customWidth="1" min="15" max="15" width="3.5"/>
    <col customWidth="1" min="16" max="16" width="3.75"/>
    <col customWidth="1" min="17" max="17" width="3.5"/>
    <col customWidth="1" min="18" max="18" width="3.75"/>
    <col customWidth="1" min="19" max="19" width="3.5"/>
    <col customWidth="1" min="20" max="20" width="3.75"/>
    <col customWidth="1" min="21" max="21" width="3.5"/>
    <col customWidth="1" min="22" max="22" width="3.75"/>
    <col customWidth="1" min="23" max="23" width="3.5"/>
    <col customWidth="1" min="24" max="24" width="3.75"/>
    <col customWidth="1" min="25" max="25" width="3.5"/>
    <col customWidth="1" min="26" max="26" width="3.75"/>
    <col customWidth="1" min="27" max="27" width="3.5"/>
    <col customWidth="1" min="28" max="28" width="3.75"/>
    <col customWidth="1" min="29" max="29" width="3.5"/>
    <col customWidth="1" min="30" max="30" width="3.75"/>
    <col customWidth="1" min="31" max="31" width="3.5"/>
    <col customWidth="1" min="32" max="32" width="3.75"/>
    <col customWidth="1" min="33" max="33" width="3.5"/>
    <col customWidth="1" min="34" max="34" width="3.75"/>
    <col customWidth="1" min="35" max="35" width="3.5"/>
    <col customWidth="1" min="36" max="36" width="3.75"/>
    <col customWidth="1" min="37" max="37" width="3.5"/>
    <col customWidth="1" min="38" max="38" width="3.75"/>
    <col customWidth="1" min="39" max="39" width="3.5"/>
    <col customWidth="1" min="40" max="40" width="3.75"/>
    <col customWidth="1" min="41" max="41" width="3.5"/>
    <col customWidth="1" min="42" max="42" width="3.75"/>
    <col customWidth="1" min="43" max="43" width="3.5"/>
    <col customWidth="1" min="44" max="44" width="3.75"/>
    <col customWidth="1" min="45" max="45" width="3.5"/>
    <col customWidth="1" min="46" max="46" width="3.75"/>
    <col customWidth="1" min="47" max="47" width="3.5"/>
    <col customWidth="1" min="48" max="48" width="3.75"/>
    <col customWidth="1" min="49" max="49" width="3.5"/>
    <col customWidth="1" min="50" max="50" width="3.75"/>
    <col customWidth="1" min="51" max="51" width="3.5"/>
    <col customWidth="1" min="52" max="52" width="3.75"/>
    <col customWidth="1" min="53" max="53" width="3.5"/>
    <col customWidth="1" min="54" max="54" width="3.75"/>
    <col customWidth="1" min="55" max="55" width="3.5"/>
    <col customWidth="1" min="56" max="56" width="3.75"/>
    <col customWidth="1" min="57" max="57" width="3.5"/>
    <col customWidth="1" min="58" max="58" width="3.75"/>
    <col customWidth="1" min="59" max="59" width="3.5"/>
    <col customWidth="1" min="60" max="60" width="3.75"/>
    <col customWidth="1" min="61" max="61" width="3.5"/>
    <col customWidth="1" min="62" max="62" width="3.75"/>
    <col customWidth="1" min="63" max="63" width="3.5"/>
    <col customWidth="1" min="64" max="64" width="3.75"/>
    <col customWidth="1" min="65" max="65" width="3.5"/>
    <col customWidth="1" min="66" max="66" width="3.75"/>
    <col customWidth="1" min="67" max="67" width="3.5"/>
  </cols>
  <sheetData>
    <row r="1">
      <c r="A1" s="30"/>
      <c r="B1" s="31"/>
      <c r="C1" s="32"/>
      <c r="D1" s="33"/>
      <c r="E1" s="34"/>
      <c r="F1" s="35">
        <v>1.0</v>
      </c>
      <c r="G1" s="33"/>
      <c r="H1" s="35">
        <v>2.0</v>
      </c>
      <c r="I1" s="33"/>
      <c r="J1" s="35">
        <v>3.0</v>
      </c>
      <c r="K1" s="33"/>
      <c r="L1" s="35">
        <v>4.0</v>
      </c>
      <c r="M1" s="33"/>
      <c r="N1" s="35">
        <v>5.0</v>
      </c>
      <c r="O1" s="33"/>
      <c r="P1" s="35">
        <v>6.0</v>
      </c>
      <c r="Q1" s="33"/>
      <c r="R1" s="35">
        <v>7.0</v>
      </c>
      <c r="S1" s="33"/>
      <c r="T1" s="35">
        <v>8.0</v>
      </c>
      <c r="U1" s="33"/>
      <c r="V1" s="35">
        <v>9.0</v>
      </c>
      <c r="W1" s="33"/>
      <c r="X1" s="35">
        <v>10.0</v>
      </c>
      <c r="Y1" s="33"/>
      <c r="Z1" s="35">
        <v>11.0</v>
      </c>
      <c r="AA1" s="33"/>
      <c r="AB1" s="35">
        <v>12.0</v>
      </c>
      <c r="AC1" s="33"/>
      <c r="AD1" s="35">
        <v>13.0</v>
      </c>
      <c r="AE1" s="33"/>
      <c r="AF1" s="35">
        <v>14.0</v>
      </c>
      <c r="AG1" s="33"/>
      <c r="AH1" s="35">
        <v>15.0</v>
      </c>
      <c r="AI1" s="33"/>
      <c r="AJ1" s="35">
        <v>16.0</v>
      </c>
      <c r="AK1" s="33"/>
      <c r="AL1" s="35">
        <v>17.0</v>
      </c>
      <c r="AM1" s="33"/>
      <c r="AN1" s="35">
        <v>18.0</v>
      </c>
      <c r="AO1" s="33"/>
      <c r="AP1" s="35">
        <v>19.0</v>
      </c>
      <c r="AQ1" s="33"/>
      <c r="AR1" s="35">
        <v>20.0</v>
      </c>
      <c r="AS1" s="33"/>
      <c r="AT1" s="35">
        <v>21.0</v>
      </c>
      <c r="AU1" s="33"/>
      <c r="AV1" s="35">
        <v>22.0</v>
      </c>
      <c r="AW1" s="33"/>
      <c r="AX1" s="35">
        <v>23.0</v>
      </c>
      <c r="AY1" s="33"/>
      <c r="AZ1" s="35">
        <v>24.0</v>
      </c>
      <c r="BA1" s="33"/>
      <c r="BB1" s="35">
        <v>25.0</v>
      </c>
      <c r="BC1" s="33"/>
      <c r="BD1" s="35">
        <v>26.0</v>
      </c>
      <c r="BE1" s="33"/>
      <c r="BF1" s="35">
        <v>27.0</v>
      </c>
      <c r="BG1" s="33"/>
      <c r="BH1" s="35">
        <v>28.0</v>
      </c>
      <c r="BI1" s="33"/>
      <c r="BJ1" s="35">
        <v>29.0</v>
      </c>
      <c r="BK1" s="33"/>
      <c r="BL1" s="35">
        <v>30.0</v>
      </c>
      <c r="BM1" s="33"/>
      <c r="BN1" s="35">
        <v>31.0</v>
      </c>
      <c r="BO1" s="33"/>
    </row>
    <row r="2">
      <c r="A2" s="30"/>
      <c r="B2" s="31"/>
      <c r="C2" s="36">
        <v>45352.0</v>
      </c>
      <c r="D2" s="33"/>
      <c r="E2" s="34"/>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row>
    <row r="3" outlineLevel="1">
      <c r="A3" s="38"/>
      <c r="B3" s="39"/>
      <c r="C3" s="40" t="s">
        <v>1</v>
      </c>
      <c r="D3" s="40" t="s">
        <v>2</v>
      </c>
      <c r="E3" s="41" t="s">
        <v>117</v>
      </c>
      <c r="F3" s="40" t="s">
        <v>118</v>
      </c>
      <c r="G3" s="40" t="s">
        <v>119</v>
      </c>
      <c r="H3" s="40" t="s">
        <v>118</v>
      </c>
      <c r="I3" s="40" t="s">
        <v>119</v>
      </c>
      <c r="J3" s="40" t="s">
        <v>118</v>
      </c>
      <c r="K3" s="40" t="s">
        <v>119</v>
      </c>
      <c r="L3" s="40" t="s">
        <v>118</v>
      </c>
      <c r="M3" s="40" t="s">
        <v>119</v>
      </c>
      <c r="N3" s="40" t="s">
        <v>118</v>
      </c>
      <c r="O3" s="40" t="s">
        <v>119</v>
      </c>
      <c r="P3" s="40" t="s">
        <v>118</v>
      </c>
      <c r="Q3" s="40" t="s">
        <v>119</v>
      </c>
      <c r="R3" s="40" t="s">
        <v>118</v>
      </c>
      <c r="S3" s="40" t="s">
        <v>119</v>
      </c>
      <c r="T3" s="40" t="s">
        <v>118</v>
      </c>
      <c r="U3" s="40" t="s">
        <v>119</v>
      </c>
      <c r="V3" s="40" t="s">
        <v>118</v>
      </c>
      <c r="W3" s="40" t="s">
        <v>119</v>
      </c>
      <c r="X3" s="40" t="s">
        <v>118</v>
      </c>
      <c r="Y3" s="40" t="s">
        <v>119</v>
      </c>
      <c r="Z3" s="40" t="s">
        <v>118</v>
      </c>
      <c r="AA3" s="40" t="s">
        <v>119</v>
      </c>
      <c r="AB3" s="40" t="s">
        <v>118</v>
      </c>
      <c r="AC3" s="40" t="s">
        <v>119</v>
      </c>
      <c r="AD3" s="40" t="s">
        <v>118</v>
      </c>
      <c r="AE3" s="40" t="s">
        <v>119</v>
      </c>
      <c r="AF3" s="40" t="s">
        <v>118</v>
      </c>
      <c r="AG3" s="40" t="s">
        <v>119</v>
      </c>
      <c r="AH3" s="40" t="s">
        <v>118</v>
      </c>
      <c r="AI3" s="40" t="s">
        <v>119</v>
      </c>
      <c r="AJ3" s="40" t="s">
        <v>118</v>
      </c>
      <c r="AK3" s="40" t="s">
        <v>119</v>
      </c>
      <c r="AL3" s="40" t="s">
        <v>118</v>
      </c>
      <c r="AM3" s="40" t="s">
        <v>119</v>
      </c>
      <c r="AN3" s="40" t="s">
        <v>118</v>
      </c>
      <c r="AO3" s="40" t="s">
        <v>119</v>
      </c>
      <c r="AP3" s="40" t="s">
        <v>118</v>
      </c>
      <c r="AQ3" s="40" t="s">
        <v>119</v>
      </c>
      <c r="AR3" s="40" t="s">
        <v>118</v>
      </c>
      <c r="AS3" s="40" t="s">
        <v>119</v>
      </c>
      <c r="AT3" s="40" t="s">
        <v>118</v>
      </c>
      <c r="AU3" s="40" t="s">
        <v>119</v>
      </c>
      <c r="AV3" s="40" t="s">
        <v>118</v>
      </c>
      <c r="AW3" s="40" t="s">
        <v>119</v>
      </c>
      <c r="AX3" s="40" t="s">
        <v>118</v>
      </c>
      <c r="AY3" s="40" t="s">
        <v>119</v>
      </c>
      <c r="AZ3" s="40" t="s">
        <v>118</v>
      </c>
      <c r="BA3" s="40" t="s">
        <v>119</v>
      </c>
      <c r="BB3" s="40" t="s">
        <v>118</v>
      </c>
      <c r="BC3" s="40" t="s">
        <v>119</v>
      </c>
      <c r="BD3" s="40" t="s">
        <v>118</v>
      </c>
      <c r="BE3" s="40" t="s">
        <v>119</v>
      </c>
      <c r="BF3" s="40" t="s">
        <v>118</v>
      </c>
      <c r="BG3" s="40" t="s">
        <v>119</v>
      </c>
      <c r="BH3" s="40" t="s">
        <v>118</v>
      </c>
      <c r="BI3" s="40" t="s">
        <v>119</v>
      </c>
      <c r="BJ3" s="40" t="s">
        <v>118</v>
      </c>
      <c r="BK3" s="40" t="s">
        <v>119</v>
      </c>
      <c r="BL3" s="40" t="s">
        <v>118</v>
      </c>
      <c r="BM3" s="40" t="s">
        <v>119</v>
      </c>
      <c r="BN3" s="40" t="s">
        <v>118</v>
      </c>
      <c r="BO3" s="40" t="s">
        <v>119</v>
      </c>
    </row>
    <row r="4" outlineLevel="1">
      <c r="A4" s="42" t="str">
        <f>B4&amp;D4</f>
        <v>March</v>
      </c>
      <c r="B4" s="43" t="s">
        <v>50</v>
      </c>
      <c r="C4" s="43"/>
      <c r="D4" s="44" t="str">
        <f>IFERROR(VLOOKUP(C4,'Employees List'!$B$2:$C$28,2,0),"")</f>
        <v/>
      </c>
      <c r="E4" s="45">
        <f>($F$4+$G$4+$H$4+$I$4+$J$4+$K$4+$L$4+$M$4+$N$4+$O$4+$P$4+$Q$4+$R$4+$S$4+$T$4+$U$4+$V$4+$W$4+$X$4+$Y$4+$Z$4+$AA$4+$AB$4+$AC$4+$AD$4+$AE$4+$AF$4+$AG$4+$AH$4+$AI$4+$AJ$4+$AK$4+$AL$4+$AM$4+$AN$4+$AO$4+$AP$4+$AQ$4+$AR$4+$AS$4+$AT$4+$AU$4+$AV$4+$AW$4+$AX$4+$AY$4+$AZ$4+$BA$4+$BB$4+$BC$4+$BD$4+$BE$4+$BF$4+$BG$4+$BH$4+$BI$4+$BJ$4+$BK$4+$BL$4+$BM$4+$BN$4+$BO$4)/2</f>
        <v>0</v>
      </c>
      <c r="F4" s="46" t="b">
        <v>0</v>
      </c>
      <c r="G4" s="46" t="b">
        <v>0</v>
      </c>
      <c r="H4" s="46" t="b">
        <v>0</v>
      </c>
      <c r="I4" s="46" t="b">
        <v>0</v>
      </c>
      <c r="J4" s="46" t="b">
        <v>0</v>
      </c>
      <c r="K4" s="46" t="b">
        <v>0</v>
      </c>
      <c r="L4" s="46" t="b">
        <v>0</v>
      </c>
      <c r="M4" s="46" t="b">
        <v>0</v>
      </c>
      <c r="N4" s="46" t="b">
        <v>0</v>
      </c>
      <c r="O4" s="46" t="b">
        <v>0</v>
      </c>
      <c r="P4" s="46" t="b">
        <v>0</v>
      </c>
      <c r="Q4" s="46" t="b">
        <v>0</v>
      </c>
      <c r="R4" s="46" t="b">
        <v>0</v>
      </c>
      <c r="S4" s="46" t="b">
        <v>0</v>
      </c>
      <c r="T4" s="46" t="b">
        <v>0</v>
      </c>
      <c r="U4" s="46" t="b">
        <v>0</v>
      </c>
      <c r="V4" s="46" t="b">
        <v>0</v>
      </c>
      <c r="W4" s="46" t="b">
        <v>0</v>
      </c>
      <c r="X4" s="46" t="b">
        <v>0</v>
      </c>
      <c r="Y4" s="46" t="b">
        <v>0</v>
      </c>
      <c r="Z4" s="46" t="b">
        <v>0</v>
      </c>
      <c r="AA4" s="46" t="b">
        <v>0</v>
      </c>
      <c r="AB4" s="46" t="b">
        <v>0</v>
      </c>
      <c r="AC4" s="46" t="b">
        <v>0</v>
      </c>
      <c r="AD4" s="46" t="b">
        <v>0</v>
      </c>
      <c r="AE4" s="46" t="b">
        <v>0</v>
      </c>
      <c r="AF4" s="46" t="b">
        <v>0</v>
      </c>
      <c r="AG4" s="46" t="b">
        <v>0</v>
      </c>
      <c r="AH4" s="46" t="b">
        <v>0</v>
      </c>
      <c r="AI4" s="46" t="b">
        <v>0</v>
      </c>
      <c r="AJ4" s="46" t="b">
        <v>0</v>
      </c>
      <c r="AK4" s="46" t="b">
        <v>0</v>
      </c>
      <c r="AL4" s="46" t="b">
        <v>0</v>
      </c>
      <c r="AM4" s="46" t="b">
        <v>0</v>
      </c>
      <c r="AN4" s="46" t="b">
        <v>0</v>
      </c>
      <c r="AO4" s="46" t="b">
        <v>0</v>
      </c>
      <c r="AP4" s="46" t="b">
        <v>0</v>
      </c>
      <c r="AQ4" s="46" t="b">
        <v>0</v>
      </c>
      <c r="AR4" s="46" t="b">
        <v>0</v>
      </c>
      <c r="AS4" s="46" t="b">
        <v>0</v>
      </c>
      <c r="AT4" s="46" t="b">
        <v>0</v>
      </c>
      <c r="AU4" s="46" t="b">
        <v>0</v>
      </c>
      <c r="AV4" s="46" t="b">
        <v>0</v>
      </c>
      <c r="AW4" s="46" t="b">
        <v>0</v>
      </c>
      <c r="AX4" s="46" t="b">
        <v>0</v>
      </c>
      <c r="AY4" s="46" t="b">
        <v>0</v>
      </c>
      <c r="AZ4" s="46" t="b">
        <v>0</v>
      </c>
      <c r="BA4" s="46" t="b">
        <v>0</v>
      </c>
      <c r="BB4" s="46" t="b">
        <v>0</v>
      </c>
      <c r="BC4" s="46" t="b">
        <v>0</v>
      </c>
      <c r="BD4" s="46" t="b">
        <v>0</v>
      </c>
      <c r="BE4" s="46" t="b">
        <v>0</v>
      </c>
      <c r="BF4" s="46" t="b">
        <v>0</v>
      </c>
      <c r="BG4" s="46" t="b">
        <v>0</v>
      </c>
      <c r="BH4" s="46" t="b">
        <v>0</v>
      </c>
      <c r="BI4" s="46" t="b">
        <v>0</v>
      </c>
      <c r="BJ4" s="46" t="b">
        <v>0</v>
      </c>
      <c r="BK4" s="46" t="b">
        <v>0</v>
      </c>
      <c r="BL4" s="46" t="b">
        <v>0</v>
      </c>
      <c r="BM4" s="46" t="b">
        <v>0</v>
      </c>
      <c r="BN4" s="46" t="b">
        <v>0</v>
      </c>
      <c r="BO4" s="46" t="b">
        <v>0</v>
      </c>
    </row>
    <row r="5" outlineLevel="1">
      <c r="A5" s="47" t="str">
        <f>A4&amp;C5</f>
        <v>MarchOT HOURS</v>
      </c>
      <c r="B5" s="48"/>
      <c r="C5" s="49" t="s">
        <v>120</v>
      </c>
      <c r="D5" s="33"/>
      <c r="E5" s="45">
        <f>SUM($F$5:$BO$5)</f>
        <v>0</v>
      </c>
      <c r="F5" s="50"/>
      <c r="G5" s="33"/>
      <c r="H5" s="50"/>
      <c r="I5" s="33"/>
      <c r="J5" s="50"/>
      <c r="K5" s="33"/>
      <c r="L5" s="50"/>
      <c r="M5" s="33"/>
      <c r="N5" s="50"/>
      <c r="O5" s="33"/>
      <c r="P5" s="50"/>
      <c r="Q5" s="33"/>
      <c r="R5" s="50"/>
      <c r="S5" s="33"/>
      <c r="T5" s="50"/>
      <c r="U5" s="33"/>
      <c r="V5" s="50"/>
      <c r="W5" s="33"/>
      <c r="X5" s="50"/>
      <c r="Y5" s="33"/>
      <c r="Z5" s="50"/>
      <c r="AA5" s="33"/>
      <c r="AB5" s="50"/>
      <c r="AC5" s="33"/>
      <c r="AD5" s="50"/>
      <c r="AE5" s="33"/>
      <c r="AF5" s="50"/>
      <c r="AG5" s="33"/>
      <c r="AH5" s="50"/>
      <c r="AI5" s="33"/>
      <c r="AJ5" s="50"/>
      <c r="AK5" s="33"/>
      <c r="AL5" s="50"/>
      <c r="AM5" s="33"/>
      <c r="AN5" s="50"/>
      <c r="AO5" s="33"/>
      <c r="AP5" s="50"/>
      <c r="AQ5" s="33"/>
      <c r="AR5" s="50"/>
      <c r="AS5" s="33"/>
      <c r="AT5" s="50"/>
      <c r="AU5" s="33"/>
      <c r="AV5" s="50"/>
      <c r="AW5" s="33"/>
      <c r="AX5" s="50"/>
      <c r="AY5" s="33"/>
      <c r="AZ5" s="50"/>
      <c r="BA5" s="33"/>
      <c r="BB5" s="50"/>
      <c r="BC5" s="33"/>
      <c r="BD5" s="50"/>
      <c r="BE5" s="33"/>
      <c r="BF5" s="50"/>
      <c r="BG5" s="33"/>
      <c r="BH5" s="50"/>
      <c r="BI5" s="33"/>
      <c r="BJ5" s="50"/>
      <c r="BK5" s="33"/>
      <c r="BL5" s="50"/>
      <c r="BM5" s="33"/>
      <c r="BN5" s="50"/>
      <c r="BO5" s="33"/>
    </row>
    <row r="6" outlineLevel="1">
      <c r="A6" s="42" t="str">
        <f>B6&amp;D6</f>
        <v>March</v>
      </c>
      <c r="B6" s="43" t="s">
        <v>50</v>
      </c>
      <c r="C6" s="43"/>
      <c r="D6" s="44" t="str">
        <f>IFERROR(VLOOKUP(C6,'Employees List'!$B$2:$C$28,2,0),"")</f>
        <v/>
      </c>
      <c r="E6" s="45">
        <f>($F$6+$G$6+$H$6+$I$6+$J$6+$K$6+$L$6+$M$6+$N$6+$O$6+$P$6+$Q$6+$R$6+$S$6+$T$6+$U$6+$V$6+$W$6+$X$6+$Y$6+$Z$6+$AA$6+$AB$6+$AC$6+$AD$6+$AE$6+$AF$6+$AG$6+$AH$6+$AI$6+$AJ$6+$AK$6+$AL$6+$AM$6+$AN$6+$AO$6+$AP$6+$AQ$6+$AR$6+$AS$6+$AT$6+$AU$6+$AV$6+$AW$6+$AX$6+$AY$6+$AZ$6+$BA$6+$BB$6+$BC$6+$BD$6+$BE$6+$BF$6+$BG$6+$BH$6+$BI$6+$BJ$6+$BK$6+$BL$6+$BM$6+$BN$6+$BO$6)/2</f>
        <v>0</v>
      </c>
      <c r="F6" s="46" t="b">
        <v>0</v>
      </c>
      <c r="G6" s="46" t="b">
        <v>0</v>
      </c>
      <c r="H6" s="46" t="b">
        <v>0</v>
      </c>
      <c r="I6" s="46" t="b">
        <v>0</v>
      </c>
      <c r="J6" s="46" t="b">
        <v>0</v>
      </c>
      <c r="K6" s="46" t="b">
        <v>0</v>
      </c>
      <c r="L6" s="46" t="b">
        <v>0</v>
      </c>
      <c r="M6" s="46" t="b">
        <v>0</v>
      </c>
      <c r="N6" s="46" t="b">
        <v>0</v>
      </c>
      <c r="O6" s="46" t="b">
        <v>0</v>
      </c>
      <c r="P6" s="46" t="b">
        <v>0</v>
      </c>
      <c r="Q6" s="46" t="b">
        <v>0</v>
      </c>
      <c r="R6" s="46" t="b">
        <v>0</v>
      </c>
      <c r="S6" s="46" t="b">
        <v>0</v>
      </c>
      <c r="T6" s="46" t="b">
        <v>0</v>
      </c>
      <c r="U6" s="46" t="b">
        <v>0</v>
      </c>
      <c r="V6" s="46" t="b">
        <v>0</v>
      </c>
      <c r="W6" s="46" t="b">
        <v>0</v>
      </c>
      <c r="X6" s="46" t="b">
        <v>0</v>
      </c>
      <c r="Y6" s="46" t="b">
        <v>0</v>
      </c>
      <c r="Z6" s="46" t="b">
        <v>0</v>
      </c>
      <c r="AA6" s="46" t="b">
        <v>0</v>
      </c>
      <c r="AB6" s="46" t="b">
        <v>0</v>
      </c>
      <c r="AC6" s="46" t="b">
        <v>0</v>
      </c>
      <c r="AD6" s="46" t="b">
        <v>0</v>
      </c>
      <c r="AE6" s="46" t="b">
        <v>0</v>
      </c>
      <c r="AF6" s="46" t="b">
        <v>0</v>
      </c>
      <c r="AG6" s="46" t="b">
        <v>0</v>
      </c>
      <c r="AH6" s="46" t="b">
        <v>0</v>
      </c>
      <c r="AI6" s="46" t="b">
        <v>0</v>
      </c>
      <c r="AJ6" s="46" t="b">
        <v>0</v>
      </c>
      <c r="AK6" s="46" t="b">
        <v>0</v>
      </c>
      <c r="AL6" s="46" t="b">
        <v>0</v>
      </c>
      <c r="AM6" s="46" t="b">
        <v>0</v>
      </c>
      <c r="AN6" s="46" t="b">
        <v>0</v>
      </c>
      <c r="AO6" s="46" t="b">
        <v>0</v>
      </c>
      <c r="AP6" s="46" t="b">
        <v>0</v>
      </c>
      <c r="AQ6" s="46" t="b">
        <v>0</v>
      </c>
      <c r="AR6" s="46" t="b">
        <v>0</v>
      </c>
      <c r="AS6" s="46" t="b">
        <v>0</v>
      </c>
      <c r="AT6" s="46" t="b">
        <v>0</v>
      </c>
      <c r="AU6" s="46" t="b">
        <v>0</v>
      </c>
      <c r="AV6" s="46" t="b">
        <v>0</v>
      </c>
      <c r="AW6" s="46" t="b">
        <v>0</v>
      </c>
      <c r="AX6" s="46" t="b">
        <v>0</v>
      </c>
      <c r="AY6" s="46" t="b">
        <v>0</v>
      </c>
      <c r="AZ6" s="46" t="b">
        <v>0</v>
      </c>
      <c r="BA6" s="46" t="b">
        <v>0</v>
      </c>
      <c r="BB6" s="46" t="b">
        <v>0</v>
      </c>
      <c r="BC6" s="46" t="b">
        <v>0</v>
      </c>
      <c r="BD6" s="46" t="b">
        <v>0</v>
      </c>
      <c r="BE6" s="46" t="b">
        <v>0</v>
      </c>
      <c r="BF6" s="46" t="b">
        <v>0</v>
      </c>
      <c r="BG6" s="46" t="b">
        <v>0</v>
      </c>
      <c r="BH6" s="46" t="b">
        <v>0</v>
      </c>
      <c r="BI6" s="46" t="b">
        <v>0</v>
      </c>
      <c r="BJ6" s="46" t="b">
        <v>0</v>
      </c>
      <c r="BK6" s="46" t="b">
        <v>0</v>
      </c>
      <c r="BL6" s="46" t="b">
        <v>0</v>
      </c>
      <c r="BM6" s="46" t="b">
        <v>0</v>
      </c>
      <c r="BN6" s="46" t="b">
        <v>0</v>
      </c>
      <c r="BO6" s="46" t="b">
        <v>0</v>
      </c>
    </row>
    <row r="7" outlineLevel="1">
      <c r="A7" s="47" t="str">
        <f>A6&amp;C7</f>
        <v>MarchOT HOURS</v>
      </c>
      <c r="B7" s="48"/>
      <c r="C7" s="49" t="s">
        <v>120</v>
      </c>
      <c r="D7" s="33"/>
      <c r="E7" s="45">
        <f>SUM($F$7:$BO$7)</f>
        <v>0</v>
      </c>
      <c r="F7" s="50"/>
      <c r="G7" s="33"/>
      <c r="H7" s="50"/>
      <c r="I7" s="33"/>
      <c r="J7" s="50"/>
      <c r="K7" s="33"/>
      <c r="L7" s="50"/>
      <c r="M7" s="33"/>
      <c r="N7" s="50"/>
      <c r="O7" s="33"/>
      <c r="P7" s="50"/>
      <c r="Q7" s="33"/>
      <c r="R7" s="50"/>
      <c r="S7" s="33"/>
      <c r="T7" s="50"/>
      <c r="U7" s="33"/>
      <c r="V7" s="50"/>
      <c r="W7" s="33"/>
      <c r="X7" s="50"/>
      <c r="Y7" s="33"/>
      <c r="Z7" s="50"/>
      <c r="AA7" s="33"/>
      <c r="AB7" s="50"/>
      <c r="AC7" s="33"/>
      <c r="AD7" s="50"/>
      <c r="AE7" s="33"/>
      <c r="AF7" s="50"/>
      <c r="AG7" s="33"/>
      <c r="AH7" s="50"/>
      <c r="AI7" s="33"/>
      <c r="AJ7" s="50"/>
      <c r="AK7" s="33"/>
      <c r="AL7" s="50"/>
      <c r="AM7" s="33"/>
      <c r="AN7" s="50"/>
      <c r="AO7" s="33"/>
      <c r="AP7" s="50"/>
      <c r="AQ7" s="33"/>
      <c r="AR7" s="50"/>
      <c r="AS7" s="33"/>
      <c r="AT7" s="50"/>
      <c r="AU7" s="33"/>
      <c r="AV7" s="50"/>
      <c r="AW7" s="33"/>
      <c r="AX7" s="50"/>
      <c r="AY7" s="33"/>
      <c r="AZ7" s="50"/>
      <c r="BA7" s="33"/>
      <c r="BB7" s="50"/>
      <c r="BC7" s="33"/>
      <c r="BD7" s="50"/>
      <c r="BE7" s="33"/>
      <c r="BF7" s="50"/>
      <c r="BG7" s="33"/>
      <c r="BH7" s="50"/>
      <c r="BI7" s="33"/>
      <c r="BJ7" s="50"/>
      <c r="BK7" s="33"/>
      <c r="BL7" s="50"/>
      <c r="BM7" s="33"/>
      <c r="BN7" s="50"/>
      <c r="BO7" s="33"/>
    </row>
    <row r="8" outlineLevel="1">
      <c r="A8" s="42" t="str">
        <f>B8&amp;D8</f>
        <v>March</v>
      </c>
      <c r="B8" s="43" t="s">
        <v>50</v>
      </c>
      <c r="C8" s="43"/>
      <c r="D8" s="44" t="str">
        <f>IFERROR(VLOOKUP(C8,'Employees List'!$B$2:$C$28,2,0),"")</f>
        <v/>
      </c>
      <c r="E8" s="45">
        <f>($F$8+$G$8+$H$8+$I$8+$J$8+$K$8+$L$8+$M$8+$N$8+$O$8+$P$8+$Q$8+$R$8+$S$8+$T$8+$U$8+$V$8+$W$8+$X$8+$Y$8+$Z$8+$AA$8+$AB$8+$AC$8+$AD$8+$AE$8+$AF$8+$AG$8+$AH$8+$AI$8+$AJ$8+$AK$8+$AL$8+$AM$8+$AN$8+$AO$8+$AP$8+$AQ$8+$AR$8+$AS$8+$AT$8+$AU$8+$AV$8+$AW$8+$AX$8+$AY$8+$AZ$8+$BA$8+$BB$8+$BC$8+$BD$8+$BE$8+$BF$8+$BG$8+$BH$8+$BI$8+$BJ$8+$BK$8+$BL$8+$BM$8+$BN$8+$BO$8)/2</f>
        <v>0</v>
      </c>
      <c r="F8" s="46" t="b">
        <v>0</v>
      </c>
      <c r="G8" s="46" t="b">
        <v>0</v>
      </c>
      <c r="H8" s="46" t="b">
        <v>0</v>
      </c>
      <c r="I8" s="46" t="b">
        <v>0</v>
      </c>
      <c r="J8" s="46" t="b">
        <v>0</v>
      </c>
      <c r="K8" s="46" t="b">
        <v>0</v>
      </c>
      <c r="L8" s="46" t="b">
        <v>0</v>
      </c>
      <c r="M8" s="46" t="b">
        <v>0</v>
      </c>
      <c r="N8" s="46" t="b">
        <v>0</v>
      </c>
      <c r="O8" s="46" t="b">
        <v>0</v>
      </c>
      <c r="P8" s="46" t="b">
        <v>0</v>
      </c>
      <c r="Q8" s="46" t="b">
        <v>0</v>
      </c>
      <c r="R8" s="46" t="b">
        <v>0</v>
      </c>
      <c r="S8" s="46" t="b">
        <v>0</v>
      </c>
      <c r="T8" s="46" t="b">
        <v>0</v>
      </c>
      <c r="U8" s="46" t="b">
        <v>0</v>
      </c>
      <c r="V8" s="46" t="b">
        <v>0</v>
      </c>
      <c r="W8" s="46" t="b">
        <v>0</v>
      </c>
      <c r="X8" s="46" t="b">
        <v>0</v>
      </c>
      <c r="Y8" s="46" t="b">
        <v>0</v>
      </c>
      <c r="Z8" s="46" t="b">
        <v>0</v>
      </c>
      <c r="AA8" s="46" t="b">
        <v>0</v>
      </c>
      <c r="AB8" s="46" t="b">
        <v>0</v>
      </c>
      <c r="AC8" s="46" t="b">
        <v>0</v>
      </c>
      <c r="AD8" s="46" t="b">
        <v>0</v>
      </c>
      <c r="AE8" s="46" t="b">
        <v>0</v>
      </c>
      <c r="AF8" s="46" t="b">
        <v>0</v>
      </c>
      <c r="AG8" s="46" t="b">
        <v>0</v>
      </c>
      <c r="AH8" s="46" t="b">
        <v>0</v>
      </c>
      <c r="AI8" s="46" t="b">
        <v>0</v>
      </c>
      <c r="AJ8" s="46" t="b">
        <v>0</v>
      </c>
      <c r="AK8" s="46" t="b">
        <v>0</v>
      </c>
      <c r="AL8" s="46" t="b">
        <v>0</v>
      </c>
      <c r="AM8" s="46" t="b">
        <v>0</v>
      </c>
      <c r="AN8" s="46" t="b">
        <v>0</v>
      </c>
      <c r="AO8" s="46" t="b">
        <v>0</v>
      </c>
      <c r="AP8" s="46" t="b">
        <v>0</v>
      </c>
      <c r="AQ8" s="46" t="b">
        <v>0</v>
      </c>
      <c r="AR8" s="46" t="b">
        <v>0</v>
      </c>
      <c r="AS8" s="46" t="b">
        <v>0</v>
      </c>
      <c r="AT8" s="46" t="b">
        <v>0</v>
      </c>
      <c r="AU8" s="46" t="b">
        <v>0</v>
      </c>
      <c r="AV8" s="46" t="b">
        <v>0</v>
      </c>
      <c r="AW8" s="46" t="b">
        <v>0</v>
      </c>
      <c r="AX8" s="46" t="b">
        <v>0</v>
      </c>
      <c r="AY8" s="46" t="b">
        <v>0</v>
      </c>
      <c r="AZ8" s="46" t="b">
        <v>0</v>
      </c>
      <c r="BA8" s="46" t="b">
        <v>0</v>
      </c>
      <c r="BB8" s="46" t="b">
        <v>0</v>
      </c>
      <c r="BC8" s="46" t="b">
        <v>0</v>
      </c>
      <c r="BD8" s="46" t="b">
        <v>0</v>
      </c>
      <c r="BE8" s="46" t="b">
        <v>0</v>
      </c>
      <c r="BF8" s="46" t="b">
        <v>0</v>
      </c>
      <c r="BG8" s="46" t="b">
        <v>0</v>
      </c>
      <c r="BH8" s="46" t="b">
        <v>0</v>
      </c>
      <c r="BI8" s="46" t="b">
        <v>0</v>
      </c>
      <c r="BJ8" s="46" t="b">
        <v>0</v>
      </c>
      <c r="BK8" s="46" t="b">
        <v>0</v>
      </c>
      <c r="BL8" s="46" t="b">
        <v>0</v>
      </c>
      <c r="BM8" s="46" t="b">
        <v>0</v>
      </c>
      <c r="BN8" s="46" t="b">
        <v>0</v>
      </c>
      <c r="BO8" s="46" t="b">
        <v>0</v>
      </c>
    </row>
    <row r="9" outlineLevel="1">
      <c r="A9" s="47" t="str">
        <f>A8&amp;C9</f>
        <v>MarchOT HOURS</v>
      </c>
      <c r="B9" s="48"/>
      <c r="C9" s="49" t="s">
        <v>120</v>
      </c>
      <c r="D9" s="33"/>
      <c r="E9" s="45">
        <f>SUM($F$9:$BO$9)</f>
        <v>0</v>
      </c>
      <c r="F9" s="50"/>
      <c r="G9" s="33"/>
      <c r="H9" s="50"/>
      <c r="I9" s="33"/>
      <c r="J9" s="50"/>
      <c r="K9" s="33"/>
      <c r="L9" s="50"/>
      <c r="M9" s="33"/>
      <c r="N9" s="50"/>
      <c r="O9" s="33"/>
      <c r="P9" s="50"/>
      <c r="Q9" s="33"/>
      <c r="R9" s="50"/>
      <c r="S9" s="33"/>
      <c r="T9" s="50"/>
      <c r="U9" s="33"/>
      <c r="V9" s="50"/>
      <c r="W9" s="33"/>
      <c r="X9" s="50"/>
      <c r="Y9" s="33"/>
      <c r="Z9" s="50"/>
      <c r="AA9" s="33"/>
      <c r="AB9" s="50"/>
      <c r="AC9" s="33"/>
      <c r="AD9" s="50"/>
      <c r="AE9" s="33"/>
      <c r="AF9" s="50"/>
      <c r="AG9" s="33"/>
      <c r="AH9" s="50"/>
      <c r="AI9" s="33"/>
      <c r="AJ9" s="50"/>
      <c r="AK9" s="33"/>
      <c r="AL9" s="50"/>
      <c r="AM9" s="33"/>
      <c r="AN9" s="50"/>
      <c r="AO9" s="33"/>
      <c r="AP9" s="50"/>
      <c r="AQ9" s="33"/>
      <c r="AR9" s="50"/>
      <c r="AS9" s="33"/>
      <c r="AT9" s="50"/>
      <c r="AU9" s="33"/>
      <c r="AV9" s="50"/>
      <c r="AW9" s="33"/>
      <c r="AX9" s="50"/>
      <c r="AY9" s="33"/>
      <c r="AZ9" s="50"/>
      <c r="BA9" s="33"/>
      <c r="BB9" s="50"/>
      <c r="BC9" s="33"/>
      <c r="BD9" s="50"/>
      <c r="BE9" s="33"/>
      <c r="BF9" s="50"/>
      <c r="BG9" s="33"/>
      <c r="BH9" s="50"/>
      <c r="BI9" s="33"/>
      <c r="BJ9" s="50"/>
      <c r="BK9" s="33"/>
      <c r="BL9" s="50"/>
      <c r="BM9" s="33"/>
      <c r="BN9" s="50"/>
      <c r="BO9" s="33"/>
    </row>
    <row r="10" outlineLevel="1">
      <c r="A10" s="42" t="str">
        <f>B10&amp;D10</f>
        <v>March</v>
      </c>
      <c r="B10" s="43" t="s">
        <v>50</v>
      </c>
      <c r="C10" s="43"/>
      <c r="D10" s="44" t="str">
        <f>IFERROR(VLOOKUP(C10,'Employees List'!$B$2:$C$28,2,0),"")</f>
        <v/>
      </c>
      <c r="E10" s="45">
        <f>(F10+G10+H10+I10+J10+K10+L10+M10+N10+O10+P10+Q10+R10+S10+T10+U10+V10+W10+X10+Y10+Z10+AA10+AB10+AC10+AD10+AE10+AF10+AG10+AH10+AI10+AJ10+AK10+AL10+AM10+AN10+AO10+AP10+AQ10+AR10+AS10+AT10+AU10+AV10+AW10+AX10+AY10+AZ10+BA10+BB10+BC10+BD10+BE10+BF10+BG10+BH10+BI10+BJ10+BK10+BL10+BM10+BN10+BO10)/2</f>
        <v>0</v>
      </c>
      <c r="F10" s="46" t="b">
        <v>0</v>
      </c>
      <c r="G10" s="46" t="b">
        <v>0</v>
      </c>
      <c r="H10" s="46" t="b">
        <v>0</v>
      </c>
      <c r="I10" s="46" t="b">
        <v>0</v>
      </c>
      <c r="J10" s="46" t="b">
        <v>0</v>
      </c>
      <c r="K10" s="46" t="b">
        <v>0</v>
      </c>
      <c r="L10" s="46" t="b">
        <v>0</v>
      </c>
      <c r="M10" s="46" t="b">
        <v>0</v>
      </c>
      <c r="N10" s="46" t="b">
        <v>0</v>
      </c>
      <c r="O10" s="46" t="b">
        <v>0</v>
      </c>
      <c r="P10" s="46" t="b">
        <v>0</v>
      </c>
      <c r="Q10" s="46" t="b">
        <v>0</v>
      </c>
      <c r="R10" s="46" t="b">
        <v>0</v>
      </c>
      <c r="S10" s="46" t="b">
        <v>0</v>
      </c>
      <c r="T10" s="46" t="b">
        <v>0</v>
      </c>
      <c r="U10" s="46" t="b">
        <v>0</v>
      </c>
      <c r="V10" s="46" t="b">
        <v>0</v>
      </c>
      <c r="W10" s="46" t="b">
        <v>0</v>
      </c>
      <c r="X10" s="46" t="b">
        <v>0</v>
      </c>
      <c r="Y10" s="46" t="b">
        <v>0</v>
      </c>
      <c r="Z10" s="46" t="b">
        <v>0</v>
      </c>
      <c r="AA10" s="46" t="b">
        <v>0</v>
      </c>
      <c r="AB10" s="46" t="b">
        <v>0</v>
      </c>
      <c r="AC10" s="46" t="b">
        <v>0</v>
      </c>
      <c r="AD10" s="46" t="b">
        <v>0</v>
      </c>
      <c r="AE10" s="46" t="b">
        <v>0</v>
      </c>
      <c r="AF10" s="46" t="b">
        <v>0</v>
      </c>
      <c r="AG10" s="46" t="b">
        <v>0</v>
      </c>
      <c r="AH10" s="46" t="b">
        <v>0</v>
      </c>
      <c r="AI10" s="46" t="b">
        <v>0</v>
      </c>
      <c r="AJ10" s="46" t="b">
        <v>0</v>
      </c>
      <c r="AK10" s="46" t="b">
        <v>0</v>
      </c>
      <c r="AL10" s="46" t="b">
        <v>0</v>
      </c>
      <c r="AM10" s="46" t="b">
        <v>0</v>
      </c>
      <c r="AN10" s="46" t="b">
        <v>0</v>
      </c>
      <c r="AO10" s="46" t="b">
        <v>0</v>
      </c>
      <c r="AP10" s="46" t="b">
        <v>0</v>
      </c>
      <c r="AQ10" s="46" t="b">
        <v>0</v>
      </c>
      <c r="AR10" s="46" t="b">
        <v>0</v>
      </c>
      <c r="AS10" s="46" t="b">
        <v>0</v>
      </c>
      <c r="AT10" s="46" t="b">
        <v>0</v>
      </c>
      <c r="AU10" s="46" t="b">
        <v>0</v>
      </c>
      <c r="AV10" s="46" t="b">
        <v>0</v>
      </c>
      <c r="AW10" s="46" t="b">
        <v>0</v>
      </c>
      <c r="AX10" s="46" t="b">
        <v>0</v>
      </c>
      <c r="AY10" s="46" t="b">
        <v>0</v>
      </c>
      <c r="AZ10" s="46" t="b">
        <v>0</v>
      </c>
      <c r="BA10" s="46" t="b">
        <v>0</v>
      </c>
      <c r="BB10" s="46" t="b">
        <v>0</v>
      </c>
      <c r="BC10" s="46" t="b">
        <v>0</v>
      </c>
      <c r="BD10" s="46" t="b">
        <v>0</v>
      </c>
      <c r="BE10" s="46" t="b">
        <v>0</v>
      </c>
      <c r="BF10" s="46" t="b">
        <v>0</v>
      </c>
      <c r="BG10" s="46" t="b">
        <v>0</v>
      </c>
      <c r="BH10" s="46" t="b">
        <v>0</v>
      </c>
      <c r="BI10" s="46" t="b">
        <v>0</v>
      </c>
      <c r="BJ10" s="46" t="b">
        <v>0</v>
      </c>
      <c r="BK10" s="46" t="b">
        <v>0</v>
      </c>
      <c r="BL10" s="46" t="b">
        <v>0</v>
      </c>
      <c r="BM10" s="46" t="b">
        <v>0</v>
      </c>
      <c r="BN10" s="46" t="b">
        <v>0</v>
      </c>
      <c r="BO10" s="46" t="b">
        <v>0</v>
      </c>
    </row>
    <row r="11" outlineLevel="1">
      <c r="A11" s="47" t="str">
        <f>A10&amp;C11</f>
        <v>MarchOT HOURS</v>
      </c>
      <c r="B11" s="48"/>
      <c r="C11" s="49" t="s">
        <v>120</v>
      </c>
      <c r="D11" s="33"/>
      <c r="E11" s="45">
        <f>SUM(F11:BO11)</f>
        <v>0</v>
      </c>
      <c r="F11" s="50"/>
      <c r="G11" s="33"/>
      <c r="H11" s="50"/>
      <c r="I11" s="33"/>
      <c r="J11" s="50"/>
      <c r="K11" s="33"/>
      <c r="L11" s="50"/>
      <c r="M11" s="33"/>
      <c r="N11" s="50"/>
      <c r="O11" s="33"/>
      <c r="P11" s="50"/>
      <c r="Q11" s="33"/>
      <c r="R11" s="50"/>
      <c r="S11" s="33"/>
      <c r="T11" s="50"/>
      <c r="U11" s="33"/>
      <c r="V11" s="50"/>
      <c r="W11" s="33"/>
      <c r="X11" s="50"/>
      <c r="Y11" s="33"/>
      <c r="Z11" s="50"/>
      <c r="AA11" s="33"/>
      <c r="AB11" s="50"/>
      <c r="AC11" s="33"/>
      <c r="AD11" s="50"/>
      <c r="AE11" s="33"/>
      <c r="AF11" s="50"/>
      <c r="AG11" s="33"/>
      <c r="AH11" s="50"/>
      <c r="AI11" s="33"/>
      <c r="AJ11" s="50"/>
      <c r="AK11" s="33"/>
      <c r="AL11" s="50"/>
      <c r="AM11" s="33"/>
      <c r="AN11" s="50"/>
      <c r="AO11" s="33"/>
      <c r="AP11" s="50"/>
      <c r="AQ11" s="33"/>
      <c r="AR11" s="50"/>
      <c r="AS11" s="33"/>
      <c r="AT11" s="50"/>
      <c r="AU11" s="33"/>
      <c r="AV11" s="50"/>
      <c r="AW11" s="33"/>
      <c r="AX11" s="50"/>
      <c r="AY11" s="33"/>
      <c r="AZ11" s="50"/>
      <c r="BA11" s="33"/>
      <c r="BB11" s="50"/>
      <c r="BC11" s="33"/>
      <c r="BD11" s="50"/>
      <c r="BE11" s="33"/>
      <c r="BF11" s="50"/>
      <c r="BG11" s="33"/>
      <c r="BH11" s="50"/>
      <c r="BI11" s="33"/>
      <c r="BJ11" s="50"/>
      <c r="BK11" s="33"/>
      <c r="BL11" s="50"/>
      <c r="BM11" s="33"/>
      <c r="BN11" s="50"/>
      <c r="BO11" s="33"/>
    </row>
    <row r="12" outlineLevel="1">
      <c r="A12" s="42" t="str">
        <f>B12&amp;D12</f>
        <v>March</v>
      </c>
      <c r="B12" s="43" t="s">
        <v>50</v>
      </c>
      <c r="C12" s="43"/>
      <c r="D12" s="44" t="str">
        <f>IFERROR(VLOOKUP(C12,'Employees List'!$B$2:$C$28,2,0),"")</f>
        <v/>
      </c>
      <c r="E12" s="45">
        <f>(F12+G12+H12+I12+J12+K12+L12+M12+N12+O12+P12+Q12+R12+S12+T12+U12+V12+W12+X12+Y12+Z12+AA12+AB12+AC12+AD12+AE12+AF12+AG12+AH12+AI12+AJ12+AK12+AL12+AM12+AN12+AO12+AP12+AQ12+AR12+AS12+AT12+AU12+AV12+AW12+AX12+AY12+AZ12+BA12+BB12+BC12+BD12+BE12+BF12+BG12+BH12+BI12+BJ12+BK12+BL12+BM12+BN12+BO12)/2</f>
        <v>0</v>
      </c>
      <c r="F12" s="46" t="b">
        <v>0</v>
      </c>
      <c r="G12" s="46" t="b">
        <v>0</v>
      </c>
      <c r="H12" s="46" t="b">
        <v>0</v>
      </c>
      <c r="I12" s="46" t="b">
        <v>0</v>
      </c>
      <c r="J12" s="46" t="b">
        <v>0</v>
      </c>
      <c r="K12" s="46" t="b">
        <v>0</v>
      </c>
      <c r="L12" s="46" t="b">
        <v>0</v>
      </c>
      <c r="M12" s="46" t="b">
        <v>0</v>
      </c>
      <c r="N12" s="46" t="b">
        <v>0</v>
      </c>
      <c r="O12" s="46" t="b">
        <v>0</v>
      </c>
      <c r="P12" s="46" t="b">
        <v>0</v>
      </c>
      <c r="Q12" s="46" t="b">
        <v>0</v>
      </c>
      <c r="R12" s="46" t="b">
        <v>0</v>
      </c>
      <c r="S12" s="46" t="b">
        <v>0</v>
      </c>
      <c r="T12" s="46" t="b">
        <v>0</v>
      </c>
      <c r="U12" s="46" t="b">
        <v>0</v>
      </c>
      <c r="V12" s="46" t="b">
        <v>0</v>
      </c>
      <c r="W12" s="46" t="b">
        <v>0</v>
      </c>
      <c r="X12" s="46" t="b">
        <v>0</v>
      </c>
      <c r="Y12" s="46" t="b">
        <v>0</v>
      </c>
      <c r="Z12" s="46" t="b">
        <v>0</v>
      </c>
      <c r="AA12" s="46" t="b">
        <v>0</v>
      </c>
      <c r="AB12" s="46" t="b">
        <v>0</v>
      </c>
      <c r="AC12" s="46" t="b">
        <v>0</v>
      </c>
      <c r="AD12" s="46" t="b">
        <v>0</v>
      </c>
      <c r="AE12" s="46" t="b">
        <v>0</v>
      </c>
      <c r="AF12" s="46" t="b">
        <v>0</v>
      </c>
      <c r="AG12" s="46" t="b">
        <v>0</v>
      </c>
      <c r="AH12" s="46" t="b">
        <v>0</v>
      </c>
      <c r="AI12" s="46" t="b">
        <v>0</v>
      </c>
      <c r="AJ12" s="46" t="b">
        <v>0</v>
      </c>
      <c r="AK12" s="46" t="b">
        <v>0</v>
      </c>
      <c r="AL12" s="46" t="b">
        <v>0</v>
      </c>
      <c r="AM12" s="46" t="b">
        <v>0</v>
      </c>
      <c r="AN12" s="46" t="b">
        <v>0</v>
      </c>
      <c r="AO12" s="46" t="b">
        <v>0</v>
      </c>
      <c r="AP12" s="46" t="b">
        <v>0</v>
      </c>
      <c r="AQ12" s="46" t="b">
        <v>0</v>
      </c>
      <c r="AR12" s="46" t="b">
        <v>0</v>
      </c>
      <c r="AS12" s="46" t="b">
        <v>0</v>
      </c>
      <c r="AT12" s="46" t="b">
        <v>0</v>
      </c>
      <c r="AU12" s="46" t="b">
        <v>0</v>
      </c>
      <c r="AV12" s="46" t="b">
        <v>0</v>
      </c>
      <c r="AW12" s="46" t="b">
        <v>0</v>
      </c>
      <c r="AX12" s="46" t="b">
        <v>0</v>
      </c>
      <c r="AY12" s="46" t="b">
        <v>0</v>
      </c>
      <c r="AZ12" s="46" t="b">
        <v>0</v>
      </c>
      <c r="BA12" s="46" t="b">
        <v>0</v>
      </c>
      <c r="BB12" s="46" t="b">
        <v>0</v>
      </c>
      <c r="BC12" s="46" t="b">
        <v>0</v>
      </c>
      <c r="BD12" s="46" t="b">
        <v>0</v>
      </c>
      <c r="BE12" s="46" t="b">
        <v>0</v>
      </c>
      <c r="BF12" s="46" t="b">
        <v>0</v>
      </c>
      <c r="BG12" s="46" t="b">
        <v>0</v>
      </c>
      <c r="BH12" s="46" t="b">
        <v>0</v>
      </c>
      <c r="BI12" s="46" t="b">
        <v>0</v>
      </c>
      <c r="BJ12" s="46" t="b">
        <v>0</v>
      </c>
      <c r="BK12" s="46" t="b">
        <v>0</v>
      </c>
      <c r="BL12" s="46" t="b">
        <v>0</v>
      </c>
      <c r="BM12" s="46" t="b">
        <v>0</v>
      </c>
      <c r="BN12" s="46" t="b">
        <v>0</v>
      </c>
      <c r="BO12" s="46" t="b">
        <v>0</v>
      </c>
    </row>
    <row r="13" outlineLevel="1">
      <c r="A13" s="47" t="str">
        <f>A12&amp;C13</f>
        <v>MarchOT HOURS</v>
      </c>
      <c r="B13" s="48"/>
      <c r="C13" s="49" t="s">
        <v>120</v>
      </c>
      <c r="D13" s="33"/>
      <c r="E13" s="45">
        <f>SUM(F13:BO13)</f>
        <v>0</v>
      </c>
      <c r="F13" s="50"/>
      <c r="G13" s="33"/>
      <c r="H13" s="50"/>
      <c r="I13" s="33"/>
      <c r="J13" s="50"/>
      <c r="K13" s="33"/>
      <c r="L13" s="50"/>
      <c r="M13" s="33"/>
      <c r="N13" s="50"/>
      <c r="O13" s="33"/>
      <c r="P13" s="50"/>
      <c r="Q13" s="33"/>
      <c r="R13" s="50"/>
      <c r="S13" s="33"/>
      <c r="T13" s="50"/>
      <c r="U13" s="33"/>
      <c r="V13" s="50"/>
      <c r="W13" s="33"/>
      <c r="X13" s="50"/>
      <c r="Y13" s="33"/>
      <c r="Z13" s="50"/>
      <c r="AA13" s="33"/>
      <c r="AB13" s="50"/>
      <c r="AC13" s="33"/>
      <c r="AD13" s="50"/>
      <c r="AE13" s="33"/>
      <c r="AF13" s="50"/>
      <c r="AG13" s="33"/>
      <c r="AH13" s="50"/>
      <c r="AI13" s="33"/>
      <c r="AJ13" s="50"/>
      <c r="AK13" s="33"/>
      <c r="AL13" s="50"/>
      <c r="AM13" s="33"/>
      <c r="AN13" s="50"/>
      <c r="AO13" s="33"/>
      <c r="AP13" s="50"/>
      <c r="AQ13" s="33"/>
      <c r="AR13" s="50"/>
      <c r="AS13" s="33"/>
      <c r="AT13" s="50"/>
      <c r="AU13" s="33"/>
      <c r="AV13" s="50"/>
      <c r="AW13" s="33"/>
      <c r="AX13" s="50"/>
      <c r="AY13" s="33"/>
      <c r="AZ13" s="50"/>
      <c r="BA13" s="33"/>
      <c r="BB13" s="50"/>
      <c r="BC13" s="33"/>
      <c r="BD13" s="50"/>
      <c r="BE13" s="33"/>
      <c r="BF13" s="50"/>
      <c r="BG13" s="33"/>
      <c r="BH13" s="50"/>
      <c r="BI13" s="33"/>
      <c r="BJ13" s="50"/>
      <c r="BK13" s="33"/>
      <c r="BL13" s="50"/>
      <c r="BM13" s="33"/>
      <c r="BN13" s="50"/>
      <c r="BO13" s="33"/>
    </row>
    <row r="14" outlineLevel="1">
      <c r="A14" s="42" t="str">
        <f>B14&amp;D14</f>
        <v>March</v>
      </c>
      <c r="B14" s="43" t="s">
        <v>50</v>
      </c>
      <c r="C14" s="43"/>
      <c r="D14" s="44" t="str">
        <f>IFERROR(VLOOKUP(C14,'Employees List'!$B$2:$C$28,2,0),"")</f>
        <v/>
      </c>
      <c r="E14" s="45">
        <f>(F14+G14+H14+I14+J14+K14+L14+M14+N14+O14+P14+Q14+R14+S14+T14+U14+V14+W14+X14+Y14+Z14+AA14+AB14+AC14+AD14+AE14+AF14+AG14+AH14+AI14+AJ14+AK14+AL14+AM14+AN14+AO14+AP14+AQ14+AR14+AS14+AT14+AU14+AV14+AW14+AX14+AY14+AZ14+BA14+BB14+BC14+BD14+BE14+BF14+BG14+BH14+BI14+BJ14+BK14+BL14+BM14+BN14+BO14)/2</f>
        <v>0</v>
      </c>
      <c r="F14" s="46" t="b">
        <v>0</v>
      </c>
      <c r="G14" s="46" t="b">
        <v>0</v>
      </c>
      <c r="H14" s="46" t="b">
        <v>0</v>
      </c>
      <c r="I14" s="46" t="b">
        <v>0</v>
      </c>
      <c r="J14" s="46" t="b">
        <v>0</v>
      </c>
      <c r="K14" s="46" t="b">
        <v>0</v>
      </c>
      <c r="L14" s="46" t="b">
        <v>0</v>
      </c>
      <c r="M14" s="46" t="b">
        <v>0</v>
      </c>
      <c r="N14" s="46" t="b">
        <v>0</v>
      </c>
      <c r="O14" s="46" t="b">
        <v>0</v>
      </c>
      <c r="P14" s="46" t="b">
        <v>0</v>
      </c>
      <c r="Q14" s="46" t="b">
        <v>0</v>
      </c>
      <c r="R14" s="46" t="b">
        <v>0</v>
      </c>
      <c r="S14" s="46" t="b">
        <v>0</v>
      </c>
      <c r="T14" s="46" t="b">
        <v>0</v>
      </c>
      <c r="U14" s="46" t="b">
        <v>0</v>
      </c>
      <c r="V14" s="46" t="b">
        <v>0</v>
      </c>
      <c r="W14" s="46" t="b">
        <v>0</v>
      </c>
      <c r="X14" s="46" t="b">
        <v>0</v>
      </c>
      <c r="Y14" s="46" t="b">
        <v>0</v>
      </c>
      <c r="Z14" s="46" t="b">
        <v>0</v>
      </c>
      <c r="AA14" s="46" t="b">
        <v>0</v>
      </c>
      <c r="AB14" s="46" t="b">
        <v>0</v>
      </c>
      <c r="AC14" s="46" t="b">
        <v>0</v>
      </c>
      <c r="AD14" s="46" t="b">
        <v>0</v>
      </c>
      <c r="AE14" s="46" t="b">
        <v>0</v>
      </c>
      <c r="AF14" s="46" t="b">
        <v>0</v>
      </c>
      <c r="AG14" s="46" t="b">
        <v>0</v>
      </c>
      <c r="AH14" s="46" t="b">
        <v>0</v>
      </c>
      <c r="AI14" s="46" t="b">
        <v>0</v>
      </c>
      <c r="AJ14" s="46" t="b">
        <v>0</v>
      </c>
      <c r="AK14" s="46" t="b">
        <v>0</v>
      </c>
      <c r="AL14" s="46" t="b">
        <v>0</v>
      </c>
      <c r="AM14" s="46" t="b">
        <v>0</v>
      </c>
      <c r="AN14" s="46" t="b">
        <v>0</v>
      </c>
      <c r="AO14" s="46" t="b">
        <v>0</v>
      </c>
      <c r="AP14" s="46" t="b">
        <v>0</v>
      </c>
      <c r="AQ14" s="46" t="b">
        <v>0</v>
      </c>
      <c r="AR14" s="46" t="b">
        <v>0</v>
      </c>
      <c r="AS14" s="46" t="b">
        <v>0</v>
      </c>
      <c r="AT14" s="46" t="b">
        <v>0</v>
      </c>
      <c r="AU14" s="46" t="b">
        <v>0</v>
      </c>
      <c r="AV14" s="46" t="b">
        <v>0</v>
      </c>
      <c r="AW14" s="46" t="b">
        <v>0</v>
      </c>
      <c r="AX14" s="46" t="b">
        <v>0</v>
      </c>
      <c r="AY14" s="46" t="b">
        <v>0</v>
      </c>
      <c r="AZ14" s="46" t="b">
        <v>0</v>
      </c>
      <c r="BA14" s="46" t="b">
        <v>0</v>
      </c>
      <c r="BB14" s="46" t="b">
        <v>0</v>
      </c>
      <c r="BC14" s="46" t="b">
        <v>0</v>
      </c>
      <c r="BD14" s="46" t="b">
        <v>0</v>
      </c>
      <c r="BE14" s="46" t="b">
        <v>0</v>
      </c>
      <c r="BF14" s="46" t="b">
        <v>0</v>
      </c>
      <c r="BG14" s="46" t="b">
        <v>0</v>
      </c>
      <c r="BH14" s="46" t="b">
        <v>0</v>
      </c>
      <c r="BI14" s="46" t="b">
        <v>0</v>
      </c>
      <c r="BJ14" s="46" t="b">
        <v>0</v>
      </c>
      <c r="BK14" s="46" t="b">
        <v>0</v>
      </c>
      <c r="BL14" s="46" t="b">
        <v>0</v>
      </c>
      <c r="BM14" s="46" t="b">
        <v>0</v>
      </c>
      <c r="BN14" s="46" t="b">
        <v>0</v>
      </c>
      <c r="BO14" s="46" t="b">
        <v>0</v>
      </c>
    </row>
    <row r="15" outlineLevel="1">
      <c r="A15" s="47" t="str">
        <f>A14&amp;C15</f>
        <v>MarchOT HOURS</v>
      </c>
      <c r="B15" s="48"/>
      <c r="C15" s="49" t="s">
        <v>120</v>
      </c>
      <c r="D15" s="33"/>
      <c r="E15" s="45">
        <f>SUM(F15:BO15)</f>
        <v>0</v>
      </c>
      <c r="F15" s="50"/>
      <c r="G15" s="33"/>
      <c r="H15" s="50"/>
      <c r="I15" s="33"/>
      <c r="J15" s="50"/>
      <c r="K15" s="33"/>
      <c r="L15" s="50"/>
      <c r="M15" s="33"/>
      <c r="N15" s="50"/>
      <c r="O15" s="33"/>
      <c r="P15" s="50"/>
      <c r="Q15" s="33"/>
      <c r="R15" s="50"/>
      <c r="S15" s="33"/>
      <c r="T15" s="50"/>
      <c r="U15" s="33"/>
      <c r="V15" s="50"/>
      <c r="W15" s="33"/>
      <c r="X15" s="50"/>
      <c r="Y15" s="33"/>
      <c r="Z15" s="50"/>
      <c r="AA15" s="33"/>
      <c r="AB15" s="50"/>
      <c r="AC15" s="33"/>
      <c r="AD15" s="50"/>
      <c r="AE15" s="33"/>
      <c r="AF15" s="50"/>
      <c r="AG15" s="33"/>
      <c r="AH15" s="50"/>
      <c r="AI15" s="33"/>
      <c r="AJ15" s="50"/>
      <c r="AK15" s="33"/>
      <c r="AL15" s="50"/>
      <c r="AM15" s="33"/>
      <c r="AN15" s="50"/>
      <c r="AO15" s="33"/>
      <c r="AP15" s="50"/>
      <c r="AQ15" s="33"/>
      <c r="AR15" s="50"/>
      <c r="AS15" s="33"/>
      <c r="AT15" s="50"/>
      <c r="AU15" s="33"/>
      <c r="AV15" s="50"/>
      <c r="AW15" s="33"/>
      <c r="AX15" s="50"/>
      <c r="AY15" s="33"/>
      <c r="AZ15" s="50"/>
      <c r="BA15" s="33"/>
      <c r="BB15" s="50"/>
      <c r="BC15" s="33"/>
      <c r="BD15" s="50"/>
      <c r="BE15" s="33"/>
      <c r="BF15" s="50"/>
      <c r="BG15" s="33"/>
      <c r="BH15" s="50"/>
      <c r="BI15" s="33"/>
      <c r="BJ15" s="50"/>
      <c r="BK15" s="33"/>
      <c r="BL15" s="50"/>
      <c r="BM15" s="33"/>
      <c r="BN15" s="50"/>
      <c r="BO15" s="33"/>
    </row>
    <row r="16" outlineLevel="1">
      <c r="A16" s="42" t="str">
        <f>B16&amp;D16</f>
        <v>March</v>
      </c>
      <c r="B16" s="43" t="s">
        <v>50</v>
      </c>
      <c r="C16" s="43"/>
      <c r="D16" s="44" t="str">
        <f>IFERROR(VLOOKUP(C16,'Employees List'!$B$2:$C$28,2,0),"")</f>
        <v/>
      </c>
      <c r="E16" s="45">
        <f>(F16+G16+H16+I16+J16+K16+L16+M16+N16+O16+P16+Q16+R16+S16+T16+U16+V16+W16+X16+Y16+Z16+AA16+AB16+AC16+AD16+AE16+AF16+AG16+AH16+AI16+AJ16+AK16+AL16+AM16+AN16+AO16+AP16+AQ16+AR16+AS16+AT16+AU16+AV16+AW16+AX16+AY16+AZ16+BA16+BB16+BC16+BD16+BE16+BF16+BG16+BH16+BI16+BJ16+BK16+BL16+BM16+BN16+BO16)/2</f>
        <v>0</v>
      </c>
      <c r="F16" s="46" t="b">
        <v>0</v>
      </c>
      <c r="G16" s="46" t="b">
        <v>0</v>
      </c>
      <c r="H16" s="46" t="b">
        <v>0</v>
      </c>
      <c r="I16" s="46" t="b">
        <v>0</v>
      </c>
      <c r="J16" s="46" t="b">
        <v>0</v>
      </c>
      <c r="K16" s="46" t="b">
        <v>0</v>
      </c>
      <c r="L16" s="46" t="b">
        <v>0</v>
      </c>
      <c r="M16" s="46" t="b">
        <v>0</v>
      </c>
      <c r="N16" s="46" t="b">
        <v>0</v>
      </c>
      <c r="O16" s="46" t="b">
        <v>0</v>
      </c>
      <c r="P16" s="46" t="b">
        <v>0</v>
      </c>
      <c r="Q16" s="46" t="b">
        <v>0</v>
      </c>
      <c r="R16" s="46" t="b">
        <v>0</v>
      </c>
      <c r="S16" s="46" t="b">
        <v>0</v>
      </c>
      <c r="T16" s="46" t="b">
        <v>0</v>
      </c>
      <c r="U16" s="46" t="b">
        <v>0</v>
      </c>
      <c r="V16" s="46" t="b">
        <v>0</v>
      </c>
      <c r="W16" s="46" t="b">
        <v>0</v>
      </c>
      <c r="X16" s="46" t="b">
        <v>0</v>
      </c>
      <c r="Y16" s="46" t="b">
        <v>0</v>
      </c>
      <c r="Z16" s="46" t="b">
        <v>0</v>
      </c>
      <c r="AA16" s="46" t="b">
        <v>0</v>
      </c>
      <c r="AB16" s="46" t="b">
        <v>0</v>
      </c>
      <c r="AC16" s="46" t="b">
        <v>0</v>
      </c>
      <c r="AD16" s="46" t="b">
        <v>0</v>
      </c>
      <c r="AE16" s="46" t="b">
        <v>0</v>
      </c>
      <c r="AF16" s="46" t="b">
        <v>0</v>
      </c>
      <c r="AG16" s="46" t="b">
        <v>0</v>
      </c>
      <c r="AH16" s="46" t="b">
        <v>0</v>
      </c>
      <c r="AI16" s="46" t="b">
        <v>0</v>
      </c>
      <c r="AJ16" s="46" t="b">
        <v>0</v>
      </c>
      <c r="AK16" s="46" t="b">
        <v>0</v>
      </c>
      <c r="AL16" s="46" t="b">
        <v>0</v>
      </c>
      <c r="AM16" s="46" t="b">
        <v>0</v>
      </c>
      <c r="AN16" s="46" t="b">
        <v>0</v>
      </c>
      <c r="AO16" s="46" t="b">
        <v>0</v>
      </c>
      <c r="AP16" s="46" t="b">
        <v>0</v>
      </c>
      <c r="AQ16" s="46" t="b">
        <v>0</v>
      </c>
      <c r="AR16" s="46" t="b">
        <v>0</v>
      </c>
      <c r="AS16" s="46" t="b">
        <v>0</v>
      </c>
      <c r="AT16" s="46" t="b">
        <v>0</v>
      </c>
      <c r="AU16" s="46" t="b">
        <v>0</v>
      </c>
      <c r="AV16" s="46" t="b">
        <v>0</v>
      </c>
      <c r="AW16" s="46" t="b">
        <v>0</v>
      </c>
      <c r="AX16" s="46" t="b">
        <v>0</v>
      </c>
      <c r="AY16" s="46" t="b">
        <v>0</v>
      </c>
      <c r="AZ16" s="46" t="b">
        <v>0</v>
      </c>
      <c r="BA16" s="46" t="b">
        <v>0</v>
      </c>
      <c r="BB16" s="46" t="b">
        <v>0</v>
      </c>
      <c r="BC16" s="46" t="b">
        <v>0</v>
      </c>
      <c r="BD16" s="46" t="b">
        <v>0</v>
      </c>
      <c r="BE16" s="46" t="b">
        <v>0</v>
      </c>
      <c r="BF16" s="46" t="b">
        <v>0</v>
      </c>
      <c r="BG16" s="46" t="b">
        <v>0</v>
      </c>
      <c r="BH16" s="46" t="b">
        <v>0</v>
      </c>
      <c r="BI16" s="46" t="b">
        <v>0</v>
      </c>
      <c r="BJ16" s="46" t="b">
        <v>0</v>
      </c>
      <c r="BK16" s="46" t="b">
        <v>0</v>
      </c>
      <c r="BL16" s="46" t="b">
        <v>0</v>
      </c>
      <c r="BM16" s="46" t="b">
        <v>0</v>
      </c>
      <c r="BN16" s="46" t="b">
        <v>0</v>
      </c>
      <c r="BO16" s="46" t="b">
        <v>0</v>
      </c>
    </row>
    <row r="17" outlineLevel="1">
      <c r="A17" s="47" t="str">
        <f>A16&amp;C17</f>
        <v>MarchOT HOURS</v>
      </c>
      <c r="B17" s="48"/>
      <c r="C17" s="49" t="s">
        <v>120</v>
      </c>
      <c r="D17" s="33"/>
      <c r="E17" s="45">
        <f>SUM(F17:BO17)</f>
        <v>0</v>
      </c>
      <c r="F17" s="50"/>
      <c r="G17" s="33"/>
      <c r="H17" s="50"/>
      <c r="I17" s="33"/>
      <c r="J17" s="50"/>
      <c r="K17" s="33"/>
      <c r="L17" s="50"/>
      <c r="M17" s="33"/>
      <c r="N17" s="50"/>
      <c r="O17" s="33"/>
      <c r="P17" s="50"/>
      <c r="Q17" s="33"/>
      <c r="R17" s="50"/>
      <c r="S17" s="33"/>
      <c r="T17" s="50"/>
      <c r="U17" s="33"/>
      <c r="V17" s="50"/>
      <c r="W17" s="33"/>
      <c r="X17" s="50"/>
      <c r="Y17" s="33"/>
      <c r="Z17" s="50"/>
      <c r="AA17" s="33"/>
      <c r="AB17" s="50"/>
      <c r="AC17" s="33"/>
      <c r="AD17" s="50"/>
      <c r="AE17" s="33"/>
      <c r="AF17" s="50"/>
      <c r="AG17" s="33"/>
      <c r="AH17" s="50"/>
      <c r="AI17" s="33"/>
      <c r="AJ17" s="50"/>
      <c r="AK17" s="33"/>
      <c r="AL17" s="50"/>
      <c r="AM17" s="33"/>
      <c r="AN17" s="50"/>
      <c r="AO17" s="33"/>
      <c r="AP17" s="50"/>
      <c r="AQ17" s="33"/>
      <c r="AR17" s="50"/>
      <c r="AS17" s="33"/>
      <c r="AT17" s="50"/>
      <c r="AU17" s="33"/>
      <c r="AV17" s="50"/>
      <c r="AW17" s="33"/>
      <c r="AX17" s="50"/>
      <c r="AY17" s="33"/>
      <c r="AZ17" s="50"/>
      <c r="BA17" s="33"/>
      <c r="BB17" s="50"/>
      <c r="BC17" s="33"/>
      <c r="BD17" s="50"/>
      <c r="BE17" s="33"/>
      <c r="BF17" s="50"/>
      <c r="BG17" s="33"/>
      <c r="BH17" s="50"/>
      <c r="BI17" s="33"/>
      <c r="BJ17" s="50"/>
      <c r="BK17" s="33"/>
      <c r="BL17" s="50"/>
      <c r="BM17" s="33"/>
      <c r="BN17" s="50"/>
      <c r="BO17" s="33"/>
    </row>
    <row r="18" outlineLevel="1">
      <c r="A18" s="42" t="str">
        <f>B18&amp;D18</f>
        <v>March</v>
      </c>
      <c r="B18" s="43" t="s">
        <v>50</v>
      </c>
      <c r="C18" s="43"/>
      <c r="D18" s="44" t="str">
        <f>IFERROR(VLOOKUP(C18,'Employees List'!$B$2:$C$28,2,0),"")</f>
        <v/>
      </c>
      <c r="E18" s="45">
        <f>(F18+G18+H18+I18+J18+K18+L18+M18+N18+O18+P18+Q18+R18+S18+T18+U18+V18+W18+X18+Y18+Z18+AA18+AB18+AC18+AD18+AE18+AF18+AG18+AH18+AI18+AJ18+AK18+AL18+AM18+AN18+AO18+AP18+AQ18+AR18+AS18+AT18+AU18+AV18+AW18+AX18+AY18+AZ18+BA18+BB18+BC18+BD18+BE18+BF18+BG18+BH18+BI18+BJ18+BK18+BL18+BM18+BN18+BO18)/2</f>
        <v>0</v>
      </c>
      <c r="F18" s="46" t="b">
        <v>0</v>
      </c>
      <c r="G18" s="46" t="b">
        <v>0</v>
      </c>
      <c r="H18" s="46" t="b">
        <v>0</v>
      </c>
      <c r="I18" s="46" t="b">
        <v>0</v>
      </c>
      <c r="J18" s="46" t="b">
        <v>0</v>
      </c>
      <c r="K18" s="46" t="b">
        <v>0</v>
      </c>
      <c r="L18" s="46" t="b">
        <v>0</v>
      </c>
      <c r="M18" s="46" t="b">
        <v>0</v>
      </c>
      <c r="N18" s="46" t="b">
        <v>0</v>
      </c>
      <c r="O18" s="46" t="b">
        <v>0</v>
      </c>
      <c r="P18" s="46" t="b">
        <v>0</v>
      </c>
      <c r="Q18" s="46" t="b">
        <v>0</v>
      </c>
      <c r="R18" s="46" t="b">
        <v>0</v>
      </c>
      <c r="S18" s="46" t="b">
        <v>0</v>
      </c>
      <c r="T18" s="46" t="b">
        <v>0</v>
      </c>
      <c r="U18" s="46" t="b">
        <v>0</v>
      </c>
      <c r="V18" s="46" t="b">
        <v>0</v>
      </c>
      <c r="W18" s="46" t="b">
        <v>0</v>
      </c>
      <c r="X18" s="46" t="b">
        <v>0</v>
      </c>
      <c r="Y18" s="46" t="b">
        <v>0</v>
      </c>
      <c r="Z18" s="46" t="b">
        <v>0</v>
      </c>
      <c r="AA18" s="46" t="b">
        <v>0</v>
      </c>
      <c r="AB18" s="46" t="b">
        <v>0</v>
      </c>
      <c r="AC18" s="46" t="b">
        <v>0</v>
      </c>
      <c r="AD18" s="46" t="b">
        <v>0</v>
      </c>
      <c r="AE18" s="46" t="b">
        <v>0</v>
      </c>
      <c r="AF18" s="46" t="b">
        <v>0</v>
      </c>
      <c r="AG18" s="46" t="b">
        <v>0</v>
      </c>
      <c r="AH18" s="46" t="b">
        <v>0</v>
      </c>
      <c r="AI18" s="46" t="b">
        <v>0</v>
      </c>
      <c r="AJ18" s="46" t="b">
        <v>0</v>
      </c>
      <c r="AK18" s="46" t="b">
        <v>0</v>
      </c>
      <c r="AL18" s="46" t="b">
        <v>0</v>
      </c>
      <c r="AM18" s="46" t="b">
        <v>0</v>
      </c>
      <c r="AN18" s="46" t="b">
        <v>0</v>
      </c>
      <c r="AO18" s="46" t="b">
        <v>0</v>
      </c>
      <c r="AP18" s="46" t="b">
        <v>0</v>
      </c>
      <c r="AQ18" s="46" t="b">
        <v>0</v>
      </c>
      <c r="AR18" s="46" t="b">
        <v>0</v>
      </c>
      <c r="AS18" s="46" t="b">
        <v>0</v>
      </c>
      <c r="AT18" s="46" t="b">
        <v>0</v>
      </c>
      <c r="AU18" s="46" t="b">
        <v>0</v>
      </c>
      <c r="AV18" s="46" t="b">
        <v>0</v>
      </c>
      <c r="AW18" s="46" t="b">
        <v>0</v>
      </c>
      <c r="AX18" s="46" t="b">
        <v>0</v>
      </c>
      <c r="AY18" s="46" t="b">
        <v>0</v>
      </c>
      <c r="AZ18" s="46" t="b">
        <v>0</v>
      </c>
      <c r="BA18" s="46" t="b">
        <v>0</v>
      </c>
      <c r="BB18" s="46" t="b">
        <v>0</v>
      </c>
      <c r="BC18" s="46" t="b">
        <v>0</v>
      </c>
      <c r="BD18" s="46" t="b">
        <v>0</v>
      </c>
      <c r="BE18" s="46" t="b">
        <v>0</v>
      </c>
      <c r="BF18" s="46" t="b">
        <v>0</v>
      </c>
      <c r="BG18" s="46" t="b">
        <v>0</v>
      </c>
      <c r="BH18" s="46" t="b">
        <v>0</v>
      </c>
      <c r="BI18" s="46" t="b">
        <v>0</v>
      </c>
      <c r="BJ18" s="46" t="b">
        <v>0</v>
      </c>
      <c r="BK18" s="46" t="b">
        <v>0</v>
      </c>
      <c r="BL18" s="46" t="b">
        <v>0</v>
      </c>
      <c r="BM18" s="46" t="b">
        <v>0</v>
      </c>
      <c r="BN18" s="46" t="b">
        <v>0</v>
      </c>
      <c r="BO18" s="46" t="b">
        <v>0</v>
      </c>
    </row>
    <row r="19" outlineLevel="1">
      <c r="A19" s="47" t="str">
        <f>A18&amp;C19</f>
        <v>MarchOT HOURS</v>
      </c>
      <c r="B19" s="48"/>
      <c r="C19" s="49" t="s">
        <v>120</v>
      </c>
      <c r="D19" s="33"/>
      <c r="E19" s="45">
        <f>SUM(F19:BO19)</f>
        <v>0</v>
      </c>
      <c r="F19" s="50"/>
      <c r="G19" s="33"/>
      <c r="H19" s="50"/>
      <c r="I19" s="33"/>
      <c r="J19" s="50"/>
      <c r="K19" s="33"/>
      <c r="L19" s="50"/>
      <c r="M19" s="33"/>
      <c r="N19" s="50"/>
      <c r="O19" s="33"/>
      <c r="P19" s="50"/>
      <c r="Q19" s="33"/>
      <c r="R19" s="50"/>
      <c r="S19" s="33"/>
      <c r="T19" s="50"/>
      <c r="U19" s="33"/>
      <c r="V19" s="50"/>
      <c r="W19" s="33"/>
      <c r="X19" s="50"/>
      <c r="Y19" s="33"/>
      <c r="Z19" s="50"/>
      <c r="AA19" s="33"/>
      <c r="AB19" s="50"/>
      <c r="AC19" s="33"/>
      <c r="AD19" s="50"/>
      <c r="AE19" s="33"/>
      <c r="AF19" s="50"/>
      <c r="AG19" s="33"/>
      <c r="AH19" s="50"/>
      <c r="AI19" s="33"/>
      <c r="AJ19" s="50"/>
      <c r="AK19" s="33"/>
      <c r="AL19" s="50"/>
      <c r="AM19" s="33"/>
      <c r="AN19" s="50"/>
      <c r="AO19" s="33"/>
      <c r="AP19" s="50"/>
      <c r="AQ19" s="33"/>
      <c r="AR19" s="50"/>
      <c r="AS19" s="33"/>
      <c r="AT19" s="50"/>
      <c r="AU19" s="33"/>
      <c r="AV19" s="50"/>
      <c r="AW19" s="33"/>
      <c r="AX19" s="50"/>
      <c r="AY19" s="33"/>
      <c r="AZ19" s="50"/>
      <c r="BA19" s="33"/>
      <c r="BB19" s="50"/>
      <c r="BC19" s="33"/>
      <c r="BD19" s="50"/>
      <c r="BE19" s="33"/>
      <c r="BF19" s="50"/>
      <c r="BG19" s="33"/>
      <c r="BH19" s="50"/>
      <c r="BI19" s="33"/>
      <c r="BJ19" s="50"/>
      <c r="BK19" s="33"/>
      <c r="BL19" s="50"/>
      <c r="BM19" s="33"/>
      <c r="BN19" s="50"/>
      <c r="BO19" s="33"/>
    </row>
    <row r="20" outlineLevel="1">
      <c r="A20" s="42" t="str">
        <f>B20&amp;D20</f>
        <v>March</v>
      </c>
      <c r="B20" s="43" t="s">
        <v>50</v>
      </c>
      <c r="C20" s="43"/>
      <c r="D20" s="44" t="str">
        <f>IFERROR(VLOOKUP(C20,'Employees List'!$B$2:$C$28,2,0),"")</f>
        <v/>
      </c>
      <c r="E20" s="45">
        <f>(F20+G20+H20+I20+J20+K20+L20+M20+N20+O20+P20+Q20+R20+S20+T20+U20+V20+W20+X20+Y20+Z20+AA20+AB20+AC20+AD20+AE20+AF20+AG20+AH20+AI20+AJ20+AK20+AL20+AM20+AN20+AO20+AP20+AQ20+AR20+AS20+AT20+AU20+AV20+AW20+AX20+AY20+AZ20+BA20+BB20+BC20+BD20+BE20+BF20+BG20+BH20+BI20+BJ20+BK20+BL20+BM20+BN20+BO20)/2</f>
        <v>0</v>
      </c>
      <c r="F20" s="46" t="b">
        <v>0</v>
      </c>
      <c r="G20" s="46" t="b">
        <v>0</v>
      </c>
      <c r="H20" s="46" t="b">
        <v>0</v>
      </c>
      <c r="I20" s="46" t="b">
        <v>0</v>
      </c>
      <c r="J20" s="46" t="b">
        <v>0</v>
      </c>
      <c r="K20" s="46" t="b">
        <v>0</v>
      </c>
      <c r="L20" s="46" t="b">
        <v>0</v>
      </c>
      <c r="M20" s="46" t="b">
        <v>0</v>
      </c>
      <c r="N20" s="46" t="b">
        <v>0</v>
      </c>
      <c r="O20" s="46" t="b">
        <v>0</v>
      </c>
      <c r="P20" s="46" t="b">
        <v>0</v>
      </c>
      <c r="Q20" s="46" t="b">
        <v>0</v>
      </c>
      <c r="R20" s="46" t="b">
        <v>0</v>
      </c>
      <c r="S20" s="46" t="b">
        <v>0</v>
      </c>
      <c r="T20" s="46" t="b">
        <v>0</v>
      </c>
      <c r="U20" s="46" t="b">
        <v>0</v>
      </c>
      <c r="V20" s="46" t="b">
        <v>0</v>
      </c>
      <c r="W20" s="46" t="b">
        <v>0</v>
      </c>
      <c r="X20" s="46" t="b">
        <v>0</v>
      </c>
      <c r="Y20" s="46" t="b">
        <v>0</v>
      </c>
      <c r="Z20" s="46" t="b">
        <v>0</v>
      </c>
      <c r="AA20" s="46" t="b">
        <v>0</v>
      </c>
      <c r="AB20" s="46" t="b">
        <v>0</v>
      </c>
      <c r="AC20" s="46" t="b">
        <v>0</v>
      </c>
      <c r="AD20" s="46" t="b">
        <v>0</v>
      </c>
      <c r="AE20" s="46" t="b">
        <v>0</v>
      </c>
      <c r="AF20" s="46" t="b">
        <v>0</v>
      </c>
      <c r="AG20" s="46" t="b">
        <v>0</v>
      </c>
      <c r="AH20" s="46" t="b">
        <v>0</v>
      </c>
      <c r="AI20" s="46" t="b">
        <v>0</v>
      </c>
      <c r="AJ20" s="46" t="b">
        <v>0</v>
      </c>
      <c r="AK20" s="46" t="b">
        <v>0</v>
      </c>
      <c r="AL20" s="46" t="b">
        <v>0</v>
      </c>
      <c r="AM20" s="46" t="b">
        <v>0</v>
      </c>
      <c r="AN20" s="46" t="b">
        <v>0</v>
      </c>
      <c r="AO20" s="46" t="b">
        <v>0</v>
      </c>
      <c r="AP20" s="46" t="b">
        <v>0</v>
      </c>
      <c r="AQ20" s="46" t="b">
        <v>0</v>
      </c>
      <c r="AR20" s="46" t="b">
        <v>0</v>
      </c>
      <c r="AS20" s="46" t="b">
        <v>0</v>
      </c>
      <c r="AT20" s="46" t="b">
        <v>0</v>
      </c>
      <c r="AU20" s="46" t="b">
        <v>0</v>
      </c>
      <c r="AV20" s="46" t="b">
        <v>0</v>
      </c>
      <c r="AW20" s="46" t="b">
        <v>0</v>
      </c>
      <c r="AX20" s="46" t="b">
        <v>0</v>
      </c>
      <c r="AY20" s="46" t="b">
        <v>0</v>
      </c>
      <c r="AZ20" s="46" t="b">
        <v>0</v>
      </c>
      <c r="BA20" s="46" t="b">
        <v>0</v>
      </c>
      <c r="BB20" s="46" t="b">
        <v>0</v>
      </c>
      <c r="BC20" s="46" t="b">
        <v>0</v>
      </c>
      <c r="BD20" s="46" t="b">
        <v>0</v>
      </c>
      <c r="BE20" s="46" t="b">
        <v>0</v>
      </c>
      <c r="BF20" s="46" t="b">
        <v>0</v>
      </c>
      <c r="BG20" s="46" t="b">
        <v>0</v>
      </c>
      <c r="BH20" s="46" t="b">
        <v>0</v>
      </c>
      <c r="BI20" s="46" t="b">
        <v>0</v>
      </c>
      <c r="BJ20" s="46" t="b">
        <v>0</v>
      </c>
      <c r="BK20" s="46" t="b">
        <v>0</v>
      </c>
      <c r="BL20" s="46" t="b">
        <v>0</v>
      </c>
      <c r="BM20" s="46" t="b">
        <v>0</v>
      </c>
      <c r="BN20" s="46" t="b">
        <v>0</v>
      </c>
      <c r="BO20" s="46" t="b">
        <v>0</v>
      </c>
    </row>
    <row r="21" outlineLevel="1">
      <c r="A21" s="47" t="str">
        <f>A20&amp;C21</f>
        <v>MarchOT HOURS</v>
      </c>
      <c r="B21" s="48"/>
      <c r="C21" s="49" t="s">
        <v>120</v>
      </c>
      <c r="D21" s="33"/>
      <c r="E21" s="45">
        <f>SUM(F21:BO21)</f>
        <v>0</v>
      </c>
      <c r="F21" s="50"/>
      <c r="G21" s="33"/>
      <c r="H21" s="50"/>
      <c r="I21" s="33"/>
      <c r="J21" s="50"/>
      <c r="K21" s="33"/>
      <c r="L21" s="50"/>
      <c r="M21" s="33"/>
      <c r="N21" s="50"/>
      <c r="O21" s="33"/>
      <c r="P21" s="50"/>
      <c r="Q21" s="33"/>
      <c r="R21" s="50"/>
      <c r="S21" s="33"/>
      <c r="T21" s="50"/>
      <c r="U21" s="33"/>
      <c r="V21" s="50"/>
      <c r="W21" s="33"/>
      <c r="X21" s="50"/>
      <c r="Y21" s="33"/>
      <c r="Z21" s="50"/>
      <c r="AA21" s="33"/>
      <c r="AB21" s="50"/>
      <c r="AC21" s="33"/>
      <c r="AD21" s="50"/>
      <c r="AE21" s="33"/>
      <c r="AF21" s="50"/>
      <c r="AG21" s="33"/>
      <c r="AH21" s="50"/>
      <c r="AI21" s="33"/>
      <c r="AJ21" s="50"/>
      <c r="AK21" s="33"/>
      <c r="AL21" s="50"/>
      <c r="AM21" s="33"/>
      <c r="AN21" s="50"/>
      <c r="AO21" s="33"/>
      <c r="AP21" s="50"/>
      <c r="AQ21" s="33"/>
      <c r="AR21" s="50"/>
      <c r="AS21" s="33"/>
      <c r="AT21" s="50"/>
      <c r="AU21" s="33"/>
      <c r="AV21" s="50"/>
      <c r="AW21" s="33"/>
      <c r="AX21" s="50"/>
      <c r="AY21" s="33"/>
      <c r="AZ21" s="50"/>
      <c r="BA21" s="33"/>
      <c r="BB21" s="50"/>
      <c r="BC21" s="33"/>
      <c r="BD21" s="50"/>
      <c r="BE21" s="33"/>
      <c r="BF21" s="50"/>
      <c r="BG21" s="33"/>
      <c r="BH21" s="50"/>
      <c r="BI21" s="33"/>
      <c r="BJ21" s="50"/>
      <c r="BK21" s="33"/>
      <c r="BL21" s="50"/>
      <c r="BM21" s="33"/>
      <c r="BN21" s="50"/>
      <c r="BO21" s="33"/>
    </row>
    <row r="22" outlineLevel="1">
      <c r="A22" s="42" t="str">
        <f>B22&amp;D22</f>
        <v>March</v>
      </c>
      <c r="B22" s="43" t="s">
        <v>50</v>
      </c>
      <c r="C22" s="43"/>
      <c r="D22" s="44" t="str">
        <f>IFERROR(VLOOKUP(C22,'Employees List'!$B$2:$C$28,2,0),"")</f>
        <v/>
      </c>
      <c r="E22" s="45">
        <f>(F22+G22+H22+I22+J22+K22+L22+M22+N22+O22+P22+Q22+R22+S22+T22+U22+V22+W22+X22+Y22+Z22+AA22+AB22+AC22+AD22+AE22+AF22+AG22+AH22+AI22+AJ22+AK22+AL22+AM22+AN22+AO22+AP22+AQ22+AR22+AS22+AT22+AU22+AV22+AW22+AX22+AY22+AZ22+BA22+BB22+BC22+BD22+BE22+BF22+BG22+BH22+BI22+BJ22+BK22+BL22+BM22+BN22+BO22)/2</f>
        <v>0</v>
      </c>
      <c r="F22" s="46" t="b">
        <v>0</v>
      </c>
      <c r="G22" s="46" t="b">
        <v>0</v>
      </c>
      <c r="H22" s="46" t="b">
        <v>0</v>
      </c>
      <c r="I22" s="46" t="b">
        <v>0</v>
      </c>
      <c r="J22" s="46" t="b">
        <v>0</v>
      </c>
      <c r="K22" s="46" t="b">
        <v>0</v>
      </c>
      <c r="L22" s="46" t="b">
        <v>0</v>
      </c>
      <c r="M22" s="46" t="b">
        <v>0</v>
      </c>
      <c r="N22" s="46" t="b">
        <v>0</v>
      </c>
      <c r="O22" s="46" t="b">
        <v>0</v>
      </c>
      <c r="P22" s="46" t="b">
        <v>0</v>
      </c>
      <c r="Q22" s="46" t="b">
        <v>0</v>
      </c>
      <c r="R22" s="46" t="b">
        <v>0</v>
      </c>
      <c r="S22" s="46" t="b">
        <v>0</v>
      </c>
      <c r="T22" s="46" t="b">
        <v>0</v>
      </c>
      <c r="U22" s="46" t="b">
        <v>0</v>
      </c>
      <c r="V22" s="46" t="b">
        <v>0</v>
      </c>
      <c r="W22" s="46" t="b">
        <v>0</v>
      </c>
      <c r="X22" s="46" t="b">
        <v>0</v>
      </c>
      <c r="Y22" s="46" t="b">
        <v>0</v>
      </c>
      <c r="Z22" s="46" t="b">
        <v>0</v>
      </c>
      <c r="AA22" s="46" t="b">
        <v>0</v>
      </c>
      <c r="AB22" s="46" t="b">
        <v>0</v>
      </c>
      <c r="AC22" s="46" t="b">
        <v>0</v>
      </c>
      <c r="AD22" s="46" t="b">
        <v>0</v>
      </c>
      <c r="AE22" s="46" t="b">
        <v>0</v>
      </c>
      <c r="AF22" s="46" t="b">
        <v>0</v>
      </c>
      <c r="AG22" s="46" t="b">
        <v>0</v>
      </c>
      <c r="AH22" s="46" t="b">
        <v>0</v>
      </c>
      <c r="AI22" s="46" t="b">
        <v>0</v>
      </c>
      <c r="AJ22" s="46" t="b">
        <v>0</v>
      </c>
      <c r="AK22" s="46" t="b">
        <v>0</v>
      </c>
      <c r="AL22" s="46" t="b">
        <v>0</v>
      </c>
      <c r="AM22" s="46" t="b">
        <v>0</v>
      </c>
      <c r="AN22" s="46" t="b">
        <v>0</v>
      </c>
      <c r="AO22" s="46" t="b">
        <v>0</v>
      </c>
      <c r="AP22" s="46" t="b">
        <v>0</v>
      </c>
      <c r="AQ22" s="46" t="b">
        <v>0</v>
      </c>
      <c r="AR22" s="46" t="b">
        <v>0</v>
      </c>
      <c r="AS22" s="46" t="b">
        <v>0</v>
      </c>
      <c r="AT22" s="46" t="b">
        <v>0</v>
      </c>
      <c r="AU22" s="46" t="b">
        <v>0</v>
      </c>
      <c r="AV22" s="46" t="b">
        <v>0</v>
      </c>
      <c r="AW22" s="46" t="b">
        <v>0</v>
      </c>
      <c r="AX22" s="46" t="b">
        <v>0</v>
      </c>
      <c r="AY22" s="46" t="b">
        <v>0</v>
      </c>
      <c r="AZ22" s="46" t="b">
        <v>0</v>
      </c>
      <c r="BA22" s="46" t="b">
        <v>0</v>
      </c>
      <c r="BB22" s="46" t="b">
        <v>0</v>
      </c>
      <c r="BC22" s="46" t="b">
        <v>0</v>
      </c>
      <c r="BD22" s="46" t="b">
        <v>0</v>
      </c>
      <c r="BE22" s="46" t="b">
        <v>0</v>
      </c>
      <c r="BF22" s="46" t="b">
        <v>0</v>
      </c>
      <c r="BG22" s="46" t="b">
        <v>0</v>
      </c>
      <c r="BH22" s="46" t="b">
        <v>0</v>
      </c>
      <c r="BI22" s="46" t="b">
        <v>0</v>
      </c>
      <c r="BJ22" s="46" t="b">
        <v>0</v>
      </c>
      <c r="BK22" s="46" t="b">
        <v>0</v>
      </c>
      <c r="BL22" s="46" t="b">
        <v>0</v>
      </c>
      <c r="BM22" s="46" t="b">
        <v>0</v>
      </c>
      <c r="BN22" s="46" t="b">
        <v>0</v>
      </c>
      <c r="BO22" s="46" t="b">
        <v>0</v>
      </c>
    </row>
    <row r="23" outlineLevel="1">
      <c r="A23" s="47" t="str">
        <f>A22&amp;C23</f>
        <v>MarchOT HOURS</v>
      </c>
      <c r="B23" s="48"/>
      <c r="C23" s="49" t="s">
        <v>120</v>
      </c>
      <c r="D23" s="33"/>
      <c r="E23" s="45">
        <f>SUM(F23:BO23)</f>
        <v>0</v>
      </c>
      <c r="F23" s="50"/>
      <c r="G23" s="33"/>
      <c r="H23" s="50"/>
      <c r="I23" s="33"/>
      <c r="J23" s="50"/>
      <c r="K23" s="33"/>
      <c r="L23" s="50"/>
      <c r="M23" s="33"/>
      <c r="N23" s="50"/>
      <c r="O23" s="33"/>
      <c r="P23" s="50"/>
      <c r="Q23" s="33"/>
      <c r="R23" s="50"/>
      <c r="S23" s="33"/>
      <c r="T23" s="50"/>
      <c r="U23" s="33"/>
      <c r="V23" s="50"/>
      <c r="W23" s="33"/>
      <c r="X23" s="50"/>
      <c r="Y23" s="33"/>
      <c r="Z23" s="50"/>
      <c r="AA23" s="33"/>
      <c r="AB23" s="50"/>
      <c r="AC23" s="33"/>
      <c r="AD23" s="50"/>
      <c r="AE23" s="33"/>
      <c r="AF23" s="50"/>
      <c r="AG23" s="33"/>
      <c r="AH23" s="50"/>
      <c r="AI23" s="33"/>
      <c r="AJ23" s="50"/>
      <c r="AK23" s="33"/>
      <c r="AL23" s="50"/>
      <c r="AM23" s="33"/>
      <c r="AN23" s="50"/>
      <c r="AO23" s="33"/>
      <c r="AP23" s="50"/>
      <c r="AQ23" s="33"/>
      <c r="AR23" s="50"/>
      <c r="AS23" s="33"/>
      <c r="AT23" s="50"/>
      <c r="AU23" s="33"/>
      <c r="AV23" s="50"/>
      <c r="AW23" s="33"/>
      <c r="AX23" s="50"/>
      <c r="AY23" s="33"/>
      <c r="AZ23" s="50"/>
      <c r="BA23" s="33"/>
      <c r="BB23" s="50"/>
      <c r="BC23" s="33"/>
      <c r="BD23" s="50"/>
      <c r="BE23" s="33"/>
      <c r="BF23" s="50"/>
      <c r="BG23" s="33"/>
      <c r="BH23" s="50"/>
      <c r="BI23" s="33"/>
      <c r="BJ23" s="50"/>
      <c r="BK23" s="33"/>
      <c r="BL23" s="50"/>
      <c r="BM23" s="33"/>
      <c r="BN23" s="50"/>
      <c r="BO23" s="33"/>
    </row>
    <row r="24" outlineLevel="1">
      <c r="A24" s="42" t="str">
        <f>B24&amp;D24</f>
        <v>March</v>
      </c>
      <c r="B24" s="43" t="s">
        <v>50</v>
      </c>
      <c r="C24" s="43"/>
      <c r="D24" s="44" t="str">
        <f>IFERROR(VLOOKUP(C24,'Employees List'!$B$2:$C$28,2,0),"")</f>
        <v/>
      </c>
      <c r="E24" s="45">
        <f>(F24+G24+H24+I24+J24+K24+L24+M24+N24+O24+P24+Q24+R24+S24+T24+U24+V24+W24+X24+Y24+Z24+AA24+AB24+AC24+AD24+AE24+AF24+AG24+AH24+AI24+AJ24+AK24+AL24+AM24+AN24+AO24+AP24+AQ24+AR24+AS24+AT24+AU24+AV24+AW24+AX24+AY24+AZ24+BA24+BB24+BC24+BD24+BE24+BF24+BG24+BH24+BI24+BJ24+BK24+BL24+BM24+BN24+BO24)/2</f>
        <v>0</v>
      </c>
      <c r="F24" s="46" t="b">
        <v>0</v>
      </c>
      <c r="G24" s="46" t="b">
        <v>0</v>
      </c>
      <c r="H24" s="46" t="b">
        <v>0</v>
      </c>
      <c r="I24" s="46" t="b">
        <v>0</v>
      </c>
      <c r="J24" s="46" t="b">
        <v>0</v>
      </c>
      <c r="K24" s="46" t="b">
        <v>0</v>
      </c>
      <c r="L24" s="46" t="b">
        <v>0</v>
      </c>
      <c r="M24" s="46" t="b">
        <v>0</v>
      </c>
      <c r="N24" s="46" t="b">
        <v>0</v>
      </c>
      <c r="O24" s="46" t="b">
        <v>0</v>
      </c>
      <c r="P24" s="46" t="b">
        <v>0</v>
      </c>
      <c r="Q24" s="46" t="b">
        <v>0</v>
      </c>
      <c r="R24" s="46" t="b">
        <v>0</v>
      </c>
      <c r="S24" s="46" t="b">
        <v>0</v>
      </c>
      <c r="T24" s="46" t="b">
        <v>0</v>
      </c>
      <c r="U24" s="46" t="b">
        <v>0</v>
      </c>
      <c r="V24" s="46" t="b">
        <v>0</v>
      </c>
      <c r="W24" s="46" t="b">
        <v>0</v>
      </c>
      <c r="X24" s="46" t="b">
        <v>0</v>
      </c>
      <c r="Y24" s="46" t="b">
        <v>0</v>
      </c>
      <c r="Z24" s="46" t="b">
        <v>0</v>
      </c>
      <c r="AA24" s="46" t="b">
        <v>0</v>
      </c>
      <c r="AB24" s="46" t="b">
        <v>0</v>
      </c>
      <c r="AC24" s="46" t="b">
        <v>0</v>
      </c>
      <c r="AD24" s="46" t="b">
        <v>0</v>
      </c>
      <c r="AE24" s="46" t="b">
        <v>0</v>
      </c>
      <c r="AF24" s="46" t="b">
        <v>0</v>
      </c>
      <c r="AG24" s="46" t="b">
        <v>0</v>
      </c>
      <c r="AH24" s="46" t="b">
        <v>0</v>
      </c>
      <c r="AI24" s="46" t="b">
        <v>0</v>
      </c>
      <c r="AJ24" s="46" t="b">
        <v>0</v>
      </c>
      <c r="AK24" s="46" t="b">
        <v>0</v>
      </c>
      <c r="AL24" s="46" t="b">
        <v>0</v>
      </c>
      <c r="AM24" s="46" t="b">
        <v>0</v>
      </c>
      <c r="AN24" s="46" t="b">
        <v>0</v>
      </c>
      <c r="AO24" s="46" t="b">
        <v>0</v>
      </c>
      <c r="AP24" s="46" t="b">
        <v>0</v>
      </c>
      <c r="AQ24" s="46" t="b">
        <v>0</v>
      </c>
      <c r="AR24" s="46" t="b">
        <v>0</v>
      </c>
      <c r="AS24" s="46" t="b">
        <v>0</v>
      </c>
      <c r="AT24" s="46" t="b">
        <v>0</v>
      </c>
      <c r="AU24" s="46" t="b">
        <v>0</v>
      </c>
      <c r="AV24" s="46" t="b">
        <v>0</v>
      </c>
      <c r="AW24" s="46" t="b">
        <v>0</v>
      </c>
      <c r="AX24" s="46" t="b">
        <v>0</v>
      </c>
      <c r="AY24" s="46" t="b">
        <v>0</v>
      </c>
      <c r="AZ24" s="46" t="b">
        <v>0</v>
      </c>
      <c r="BA24" s="46" t="b">
        <v>0</v>
      </c>
      <c r="BB24" s="46" t="b">
        <v>0</v>
      </c>
      <c r="BC24" s="46" t="b">
        <v>0</v>
      </c>
      <c r="BD24" s="46" t="b">
        <v>0</v>
      </c>
      <c r="BE24" s="46" t="b">
        <v>0</v>
      </c>
      <c r="BF24" s="46" t="b">
        <v>0</v>
      </c>
      <c r="BG24" s="46" t="b">
        <v>0</v>
      </c>
      <c r="BH24" s="46" t="b">
        <v>0</v>
      </c>
      <c r="BI24" s="46" t="b">
        <v>0</v>
      </c>
      <c r="BJ24" s="46" t="b">
        <v>0</v>
      </c>
      <c r="BK24" s="46" t="b">
        <v>0</v>
      </c>
      <c r="BL24" s="46" t="b">
        <v>0</v>
      </c>
      <c r="BM24" s="46" t="b">
        <v>0</v>
      </c>
      <c r="BN24" s="46" t="b">
        <v>0</v>
      </c>
      <c r="BO24" s="46" t="b">
        <v>0</v>
      </c>
    </row>
    <row r="25" outlineLevel="1">
      <c r="A25" s="47" t="str">
        <f>A24&amp;C25</f>
        <v>MarchOT HOURS</v>
      </c>
      <c r="B25" s="48"/>
      <c r="C25" s="49" t="s">
        <v>120</v>
      </c>
      <c r="D25" s="33"/>
      <c r="E25" s="45">
        <f>SUM(F25:BO25)</f>
        <v>0</v>
      </c>
      <c r="F25" s="50"/>
      <c r="G25" s="33"/>
      <c r="H25" s="50"/>
      <c r="I25" s="33"/>
      <c r="J25" s="50"/>
      <c r="K25" s="33"/>
      <c r="L25" s="50"/>
      <c r="M25" s="33"/>
      <c r="N25" s="50"/>
      <c r="O25" s="33"/>
      <c r="P25" s="50"/>
      <c r="Q25" s="33"/>
      <c r="R25" s="50"/>
      <c r="S25" s="33"/>
      <c r="T25" s="50"/>
      <c r="U25" s="33"/>
      <c r="V25" s="50"/>
      <c r="W25" s="33"/>
      <c r="X25" s="50"/>
      <c r="Y25" s="33"/>
      <c r="Z25" s="50"/>
      <c r="AA25" s="33"/>
      <c r="AB25" s="50"/>
      <c r="AC25" s="33"/>
      <c r="AD25" s="50"/>
      <c r="AE25" s="33"/>
      <c r="AF25" s="50"/>
      <c r="AG25" s="33"/>
      <c r="AH25" s="50"/>
      <c r="AI25" s="33"/>
      <c r="AJ25" s="50"/>
      <c r="AK25" s="33"/>
      <c r="AL25" s="50"/>
      <c r="AM25" s="33"/>
      <c r="AN25" s="50"/>
      <c r="AO25" s="33"/>
      <c r="AP25" s="50"/>
      <c r="AQ25" s="33"/>
      <c r="AR25" s="50"/>
      <c r="AS25" s="33"/>
      <c r="AT25" s="50"/>
      <c r="AU25" s="33"/>
      <c r="AV25" s="50"/>
      <c r="AW25" s="33"/>
      <c r="AX25" s="50"/>
      <c r="AY25" s="33"/>
      <c r="AZ25" s="50"/>
      <c r="BA25" s="33"/>
      <c r="BB25" s="50"/>
      <c r="BC25" s="33"/>
      <c r="BD25" s="50"/>
      <c r="BE25" s="33"/>
      <c r="BF25" s="50"/>
      <c r="BG25" s="33"/>
      <c r="BH25" s="50"/>
      <c r="BI25" s="33"/>
      <c r="BJ25" s="50"/>
      <c r="BK25" s="33"/>
      <c r="BL25" s="50"/>
      <c r="BM25" s="33"/>
      <c r="BN25" s="50"/>
      <c r="BO25" s="33"/>
    </row>
    <row r="26" outlineLevel="1">
      <c r="A26" s="42" t="str">
        <f>B26&amp;D26</f>
        <v>March</v>
      </c>
      <c r="B26" s="43" t="s">
        <v>50</v>
      </c>
      <c r="C26" s="43"/>
      <c r="D26" s="44" t="str">
        <f>IFERROR(VLOOKUP(C26,'Employees List'!$B$2:$C$28,2,0),"")</f>
        <v/>
      </c>
      <c r="E26" s="45">
        <f>(F26+G26+H26+I26+J26+K26+L26+M26+N26+O26+P26+Q26+R26+S26+T26+U26+V26+W26+X26+Y26+Z26+AA26+AB26+AC26+AD26+AE26+AF26+AG26+AH26+AI26+AJ26+AK26+AL26+AM26+AN26+AO26+AP26+AQ26+AR26+AS26+AT26+AU26+AV26+AW26+AX26+AY26+AZ26+BA26+BB26+BC26+BD26+BE26+BF26+BG26+BH26+BI26+BJ26+BK26+BL26+BM26+BN26+BO26)/2</f>
        <v>0</v>
      </c>
      <c r="F26" s="46" t="b">
        <v>0</v>
      </c>
      <c r="G26" s="46" t="b">
        <v>0</v>
      </c>
      <c r="H26" s="46" t="b">
        <v>0</v>
      </c>
      <c r="I26" s="46" t="b">
        <v>0</v>
      </c>
      <c r="J26" s="46" t="b">
        <v>0</v>
      </c>
      <c r="K26" s="46" t="b">
        <v>0</v>
      </c>
      <c r="L26" s="46" t="b">
        <v>0</v>
      </c>
      <c r="M26" s="46" t="b">
        <v>0</v>
      </c>
      <c r="N26" s="46" t="b">
        <v>0</v>
      </c>
      <c r="O26" s="46" t="b">
        <v>0</v>
      </c>
      <c r="P26" s="46" t="b">
        <v>0</v>
      </c>
      <c r="Q26" s="46" t="b">
        <v>0</v>
      </c>
      <c r="R26" s="46" t="b">
        <v>0</v>
      </c>
      <c r="S26" s="46" t="b">
        <v>0</v>
      </c>
      <c r="T26" s="46" t="b">
        <v>0</v>
      </c>
      <c r="U26" s="46" t="b">
        <v>0</v>
      </c>
      <c r="V26" s="46" t="b">
        <v>0</v>
      </c>
      <c r="W26" s="46" t="b">
        <v>0</v>
      </c>
      <c r="X26" s="46" t="b">
        <v>0</v>
      </c>
      <c r="Y26" s="46" t="b">
        <v>0</v>
      </c>
      <c r="Z26" s="46" t="b">
        <v>0</v>
      </c>
      <c r="AA26" s="46" t="b">
        <v>0</v>
      </c>
      <c r="AB26" s="46" t="b">
        <v>0</v>
      </c>
      <c r="AC26" s="46" t="b">
        <v>0</v>
      </c>
      <c r="AD26" s="46" t="b">
        <v>0</v>
      </c>
      <c r="AE26" s="46" t="b">
        <v>0</v>
      </c>
      <c r="AF26" s="46" t="b">
        <v>0</v>
      </c>
      <c r="AG26" s="46" t="b">
        <v>0</v>
      </c>
      <c r="AH26" s="46" t="b">
        <v>0</v>
      </c>
      <c r="AI26" s="46" t="b">
        <v>0</v>
      </c>
      <c r="AJ26" s="46" t="b">
        <v>0</v>
      </c>
      <c r="AK26" s="46" t="b">
        <v>0</v>
      </c>
      <c r="AL26" s="46" t="b">
        <v>0</v>
      </c>
      <c r="AM26" s="46" t="b">
        <v>0</v>
      </c>
      <c r="AN26" s="46" t="b">
        <v>0</v>
      </c>
      <c r="AO26" s="46" t="b">
        <v>0</v>
      </c>
      <c r="AP26" s="46" t="b">
        <v>0</v>
      </c>
      <c r="AQ26" s="46" t="b">
        <v>0</v>
      </c>
      <c r="AR26" s="46" t="b">
        <v>0</v>
      </c>
      <c r="AS26" s="46" t="b">
        <v>0</v>
      </c>
      <c r="AT26" s="46" t="b">
        <v>0</v>
      </c>
      <c r="AU26" s="46" t="b">
        <v>0</v>
      </c>
      <c r="AV26" s="46" t="b">
        <v>0</v>
      </c>
      <c r="AW26" s="46" t="b">
        <v>0</v>
      </c>
      <c r="AX26" s="46" t="b">
        <v>0</v>
      </c>
      <c r="AY26" s="46" t="b">
        <v>0</v>
      </c>
      <c r="AZ26" s="46" t="b">
        <v>0</v>
      </c>
      <c r="BA26" s="46" t="b">
        <v>0</v>
      </c>
      <c r="BB26" s="46" t="b">
        <v>0</v>
      </c>
      <c r="BC26" s="46" t="b">
        <v>0</v>
      </c>
      <c r="BD26" s="46" t="b">
        <v>0</v>
      </c>
      <c r="BE26" s="46" t="b">
        <v>0</v>
      </c>
      <c r="BF26" s="46" t="b">
        <v>0</v>
      </c>
      <c r="BG26" s="46" t="b">
        <v>0</v>
      </c>
      <c r="BH26" s="46" t="b">
        <v>0</v>
      </c>
      <c r="BI26" s="46" t="b">
        <v>0</v>
      </c>
      <c r="BJ26" s="46" t="b">
        <v>0</v>
      </c>
      <c r="BK26" s="46" t="b">
        <v>0</v>
      </c>
      <c r="BL26" s="46" t="b">
        <v>0</v>
      </c>
      <c r="BM26" s="46" t="b">
        <v>0</v>
      </c>
      <c r="BN26" s="46" t="b">
        <v>0</v>
      </c>
      <c r="BO26" s="46" t="b">
        <v>0</v>
      </c>
    </row>
    <row r="27" outlineLevel="1">
      <c r="A27" s="47" t="str">
        <f>A26&amp;C27</f>
        <v>MarchOT HOURS</v>
      </c>
      <c r="B27" s="48"/>
      <c r="C27" s="49" t="s">
        <v>120</v>
      </c>
      <c r="D27" s="33"/>
      <c r="E27" s="45">
        <f>SUM(F27:BO27)</f>
        <v>0</v>
      </c>
      <c r="F27" s="50"/>
      <c r="G27" s="33"/>
      <c r="H27" s="50"/>
      <c r="I27" s="33"/>
      <c r="J27" s="50"/>
      <c r="K27" s="33"/>
      <c r="L27" s="50"/>
      <c r="M27" s="33"/>
      <c r="N27" s="50"/>
      <c r="O27" s="33"/>
      <c r="P27" s="50"/>
      <c r="Q27" s="33"/>
      <c r="R27" s="50"/>
      <c r="S27" s="33"/>
      <c r="T27" s="50"/>
      <c r="U27" s="33"/>
      <c r="V27" s="50"/>
      <c r="W27" s="33"/>
      <c r="X27" s="50"/>
      <c r="Y27" s="33"/>
      <c r="Z27" s="50"/>
      <c r="AA27" s="33"/>
      <c r="AB27" s="50"/>
      <c r="AC27" s="33"/>
      <c r="AD27" s="50"/>
      <c r="AE27" s="33"/>
      <c r="AF27" s="50"/>
      <c r="AG27" s="33"/>
      <c r="AH27" s="50"/>
      <c r="AI27" s="33"/>
      <c r="AJ27" s="50"/>
      <c r="AK27" s="33"/>
      <c r="AL27" s="50"/>
      <c r="AM27" s="33"/>
      <c r="AN27" s="50"/>
      <c r="AO27" s="33"/>
      <c r="AP27" s="50"/>
      <c r="AQ27" s="33"/>
      <c r="AR27" s="50"/>
      <c r="AS27" s="33"/>
      <c r="AT27" s="50"/>
      <c r="AU27" s="33"/>
      <c r="AV27" s="50"/>
      <c r="AW27" s="33"/>
      <c r="AX27" s="50"/>
      <c r="AY27" s="33"/>
      <c r="AZ27" s="50"/>
      <c r="BA27" s="33"/>
      <c r="BB27" s="50"/>
      <c r="BC27" s="33"/>
      <c r="BD27" s="50"/>
      <c r="BE27" s="33"/>
      <c r="BF27" s="50"/>
      <c r="BG27" s="33"/>
      <c r="BH27" s="50"/>
      <c r="BI27" s="33"/>
      <c r="BJ27" s="50"/>
      <c r="BK27" s="33"/>
      <c r="BL27" s="50"/>
      <c r="BM27" s="33"/>
      <c r="BN27" s="50"/>
      <c r="BO27" s="33"/>
    </row>
    <row r="28">
      <c r="A28" s="30"/>
      <c r="B28" s="31"/>
      <c r="C28" s="36">
        <v>45383.0</v>
      </c>
      <c r="D28" s="33"/>
      <c r="E28" s="34"/>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row>
    <row r="29" outlineLevel="1">
      <c r="A29" s="38"/>
      <c r="B29" s="39"/>
      <c r="C29" s="40" t="s">
        <v>1</v>
      </c>
      <c r="D29" s="40" t="s">
        <v>2</v>
      </c>
      <c r="E29" s="41" t="s">
        <v>117</v>
      </c>
      <c r="F29" s="40" t="s">
        <v>118</v>
      </c>
      <c r="G29" s="40" t="s">
        <v>119</v>
      </c>
      <c r="H29" s="40" t="s">
        <v>118</v>
      </c>
      <c r="I29" s="40" t="s">
        <v>119</v>
      </c>
      <c r="J29" s="40" t="s">
        <v>118</v>
      </c>
      <c r="K29" s="40" t="s">
        <v>119</v>
      </c>
      <c r="L29" s="40" t="s">
        <v>118</v>
      </c>
      <c r="M29" s="40" t="s">
        <v>119</v>
      </c>
      <c r="N29" s="40" t="s">
        <v>118</v>
      </c>
      <c r="O29" s="40" t="s">
        <v>119</v>
      </c>
      <c r="P29" s="40" t="s">
        <v>118</v>
      </c>
      <c r="Q29" s="40" t="s">
        <v>119</v>
      </c>
      <c r="R29" s="40" t="s">
        <v>118</v>
      </c>
      <c r="S29" s="40" t="s">
        <v>119</v>
      </c>
      <c r="T29" s="40" t="s">
        <v>118</v>
      </c>
      <c r="U29" s="40" t="s">
        <v>119</v>
      </c>
      <c r="V29" s="40" t="s">
        <v>118</v>
      </c>
      <c r="W29" s="40" t="s">
        <v>119</v>
      </c>
      <c r="X29" s="40" t="s">
        <v>118</v>
      </c>
      <c r="Y29" s="40" t="s">
        <v>119</v>
      </c>
      <c r="Z29" s="40" t="s">
        <v>118</v>
      </c>
      <c r="AA29" s="40" t="s">
        <v>119</v>
      </c>
      <c r="AB29" s="40" t="s">
        <v>118</v>
      </c>
      <c r="AC29" s="40" t="s">
        <v>119</v>
      </c>
      <c r="AD29" s="40" t="s">
        <v>118</v>
      </c>
      <c r="AE29" s="40" t="s">
        <v>119</v>
      </c>
      <c r="AF29" s="40" t="s">
        <v>118</v>
      </c>
      <c r="AG29" s="40" t="s">
        <v>119</v>
      </c>
      <c r="AH29" s="40" t="s">
        <v>118</v>
      </c>
      <c r="AI29" s="40" t="s">
        <v>119</v>
      </c>
      <c r="AJ29" s="40" t="s">
        <v>118</v>
      </c>
      <c r="AK29" s="40" t="s">
        <v>119</v>
      </c>
      <c r="AL29" s="40" t="s">
        <v>118</v>
      </c>
      <c r="AM29" s="40" t="s">
        <v>119</v>
      </c>
      <c r="AN29" s="40" t="s">
        <v>118</v>
      </c>
      <c r="AO29" s="40" t="s">
        <v>119</v>
      </c>
      <c r="AP29" s="40" t="s">
        <v>118</v>
      </c>
      <c r="AQ29" s="40" t="s">
        <v>119</v>
      </c>
      <c r="AR29" s="40" t="s">
        <v>118</v>
      </c>
      <c r="AS29" s="40" t="s">
        <v>119</v>
      </c>
      <c r="AT29" s="40" t="s">
        <v>118</v>
      </c>
      <c r="AU29" s="40" t="s">
        <v>119</v>
      </c>
      <c r="AV29" s="40" t="s">
        <v>118</v>
      </c>
      <c r="AW29" s="40" t="s">
        <v>119</v>
      </c>
      <c r="AX29" s="40" t="s">
        <v>118</v>
      </c>
      <c r="AY29" s="40" t="s">
        <v>119</v>
      </c>
      <c r="AZ29" s="40" t="s">
        <v>118</v>
      </c>
      <c r="BA29" s="40" t="s">
        <v>119</v>
      </c>
      <c r="BB29" s="40" t="s">
        <v>118</v>
      </c>
      <c r="BC29" s="40" t="s">
        <v>119</v>
      </c>
      <c r="BD29" s="40" t="s">
        <v>118</v>
      </c>
      <c r="BE29" s="40" t="s">
        <v>119</v>
      </c>
      <c r="BF29" s="40" t="s">
        <v>118</v>
      </c>
      <c r="BG29" s="40" t="s">
        <v>119</v>
      </c>
      <c r="BH29" s="40" t="s">
        <v>118</v>
      </c>
      <c r="BI29" s="40" t="s">
        <v>119</v>
      </c>
      <c r="BJ29" s="40" t="s">
        <v>118</v>
      </c>
      <c r="BK29" s="40" t="s">
        <v>119</v>
      </c>
      <c r="BL29" s="40" t="s">
        <v>118</v>
      </c>
      <c r="BM29" s="40" t="s">
        <v>119</v>
      </c>
      <c r="BN29" s="40" t="s">
        <v>118</v>
      </c>
      <c r="BO29" s="40" t="s">
        <v>119</v>
      </c>
    </row>
    <row r="30" outlineLevel="1">
      <c r="A30" s="42" t="str">
        <f>B30&amp;D30</f>
        <v>AprilBHUVANESWARAN</v>
      </c>
      <c r="B30" s="43" t="s">
        <v>8</v>
      </c>
      <c r="C30" s="43" t="s">
        <v>9</v>
      </c>
      <c r="D30" s="44" t="str">
        <f>IFERROR(VLOOKUP(C30,'Employees List'!$B$2:$C$28,2,0),"")</f>
        <v>BHUVANESWARAN</v>
      </c>
      <c r="E30" s="45">
        <f>(F30+G30+H30+I30+J30+K30+L30+M30+N30+O30+P30+Q30+R30+S30+T30+U30+V30+W30+X30+Y30+Z30+AA30+AB30+AC30+AD30+AE30+AF30+AG30+AH30+AI30+AJ30+AK30+AL30+AM30+AN30+AO30+AP30+AQ30+AR30+AS30+AT30+AU30+AV30+AW30+AX30+AY30+AZ30+BA30+BB30+BC30+BD30+BE30+BF30+BG30+BH30+BI30+BJ30+BK30+BL30+BM30+BN30+BO30)/2</f>
        <v>30</v>
      </c>
      <c r="F30" s="46" t="b">
        <v>1</v>
      </c>
      <c r="G30" s="46" t="b">
        <v>1</v>
      </c>
      <c r="H30" s="46" t="b">
        <v>1</v>
      </c>
      <c r="I30" s="46" t="b">
        <v>1</v>
      </c>
      <c r="J30" s="46" t="b">
        <v>1</v>
      </c>
      <c r="K30" s="46" t="b">
        <v>1</v>
      </c>
      <c r="L30" s="46" t="b">
        <v>1</v>
      </c>
      <c r="M30" s="46" t="b">
        <v>1</v>
      </c>
      <c r="N30" s="46" t="b">
        <v>1</v>
      </c>
      <c r="O30" s="46" t="b">
        <v>1</v>
      </c>
      <c r="P30" s="46" t="b">
        <v>1</v>
      </c>
      <c r="Q30" s="46" t="b">
        <v>1</v>
      </c>
      <c r="R30" s="46" t="b">
        <v>1</v>
      </c>
      <c r="S30" s="46" t="b">
        <v>1</v>
      </c>
      <c r="T30" s="46" t="b">
        <v>1</v>
      </c>
      <c r="U30" s="46" t="b">
        <v>1</v>
      </c>
      <c r="V30" s="46" t="b">
        <v>1</v>
      </c>
      <c r="W30" s="46" t="b">
        <v>1</v>
      </c>
      <c r="X30" s="46" t="b">
        <v>1</v>
      </c>
      <c r="Y30" s="46" t="b">
        <v>1</v>
      </c>
      <c r="Z30" s="46" t="b">
        <v>1</v>
      </c>
      <c r="AA30" s="46" t="b">
        <v>1</v>
      </c>
      <c r="AB30" s="46" t="b">
        <v>1</v>
      </c>
      <c r="AC30" s="46" t="b">
        <v>1</v>
      </c>
      <c r="AD30" s="46" t="b">
        <v>1</v>
      </c>
      <c r="AE30" s="46" t="b">
        <v>1</v>
      </c>
      <c r="AF30" s="46" t="b">
        <v>1</v>
      </c>
      <c r="AG30" s="46" t="b">
        <v>1</v>
      </c>
      <c r="AH30" s="46" t="b">
        <v>1</v>
      </c>
      <c r="AI30" s="46" t="b">
        <v>1</v>
      </c>
      <c r="AJ30" s="46" t="b">
        <v>1</v>
      </c>
      <c r="AK30" s="46" t="b">
        <v>1</v>
      </c>
      <c r="AL30" s="46" t="b">
        <v>1</v>
      </c>
      <c r="AM30" s="46" t="b">
        <v>1</v>
      </c>
      <c r="AN30" s="46" t="b">
        <v>1</v>
      </c>
      <c r="AO30" s="46" t="b">
        <v>1</v>
      </c>
      <c r="AP30" s="46" t="b">
        <v>1</v>
      </c>
      <c r="AQ30" s="46" t="b">
        <v>1</v>
      </c>
      <c r="AR30" s="46" t="b">
        <v>1</v>
      </c>
      <c r="AS30" s="46" t="b">
        <v>1</v>
      </c>
      <c r="AT30" s="46" t="b">
        <v>1</v>
      </c>
      <c r="AU30" s="46" t="b">
        <v>1</v>
      </c>
      <c r="AV30" s="46" t="b">
        <v>1</v>
      </c>
      <c r="AW30" s="46" t="b">
        <v>1</v>
      </c>
      <c r="AX30" s="46" t="b">
        <v>1</v>
      </c>
      <c r="AY30" s="46" t="b">
        <v>1</v>
      </c>
      <c r="AZ30" s="46" t="b">
        <v>1</v>
      </c>
      <c r="BA30" s="46" t="b">
        <v>1</v>
      </c>
      <c r="BB30" s="46" t="b">
        <v>1</v>
      </c>
      <c r="BC30" s="46" t="b">
        <v>1</v>
      </c>
      <c r="BD30" s="46" t="b">
        <v>1</v>
      </c>
      <c r="BE30" s="46" t="b">
        <v>1</v>
      </c>
      <c r="BF30" s="46" t="b">
        <v>1</v>
      </c>
      <c r="BG30" s="46" t="b">
        <v>1</v>
      </c>
      <c r="BH30" s="46" t="b">
        <v>1</v>
      </c>
      <c r="BI30" s="46" t="b">
        <v>1</v>
      </c>
      <c r="BJ30" s="46" t="b">
        <v>1</v>
      </c>
      <c r="BK30" s="46" t="b">
        <v>1</v>
      </c>
      <c r="BL30" s="46" t="b">
        <v>1</v>
      </c>
      <c r="BM30" s="46" t="b">
        <v>1</v>
      </c>
      <c r="BN30" s="46" t="b">
        <v>0</v>
      </c>
      <c r="BO30" s="46" t="b">
        <v>0</v>
      </c>
    </row>
    <row r="31" outlineLevel="1">
      <c r="A31" s="47" t="str">
        <f>A30&amp;C31</f>
        <v>AprilBHUVANESWARANOT HOURS</v>
      </c>
      <c r="B31" s="48"/>
      <c r="C31" s="49" t="s">
        <v>120</v>
      </c>
      <c r="D31" s="33"/>
      <c r="E31" s="45">
        <f>SUM(F31:BO31)</f>
        <v>0</v>
      </c>
      <c r="F31" s="50"/>
      <c r="G31" s="33"/>
      <c r="H31" s="50"/>
      <c r="I31" s="33"/>
      <c r="J31" s="50"/>
      <c r="K31" s="33"/>
      <c r="L31" s="50"/>
      <c r="M31" s="33"/>
      <c r="N31" s="50"/>
      <c r="O31" s="33"/>
      <c r="P31" s="50"/>
      <c r="Q31" s="33"/>
      <c r="R31" s="50"/>
      <c r="S31" s="33"/>
      <c r="T31" s="50"/>
      <c r="U31" s="33"/>
      <c r="V31" s="50"/>
      <c r="W31" s="33"/>
      <c r="X31" s="50"/>
      <c r="Y31" s="33"/>
      <c r="Z31" s="50"/>
      <c r="AA31" s="33"/>
      <c r="AB31" s="50"/>
      <c r="AC31" s="33"/>
      <c r="AD31" s="50"/>
      <c r="AE31" s="33"/>
      <c r="AF31" s="50"/>
      <c r="AG31" s="33"/>
      <c r="AH31" s="50"/>
      <c r="AI31" s="33"/>
      <c r="AJ31" s="50"/>
      <c r="AK31" s="33"/>
      <c r="AL31" s="50"/>
      <c r="AM31" s="33"/>
      <c r="AN31" s="50"/>
      <c r="AO31" s="33"/>
      <c r="AP31" s="50"/>
      <c r="AQ31" s="33"/>
      <c r="AR31" s="50"/>
      <c r="AS31" s="33"/>
      <c r="AT31" s="50"/>
      <c r="AU31" s="33"/>
      <c r="AV31" s="50"/>
      <c r="AW31" s="33"/>
      <c r="AX31" s="50"/>
      <c r="AY31" s="33"/>
      <c r="AZ31" s="50"/>
      <c r="BA31" s="33"/>
      <c r="BB31" s="50"/>
      <c r="BC31" s="33"/>
      <c r="BD31" s="50"/>
      <c r="BE31" s="33"/>
      <c r="BF31" s="50"/>
      <c r="BG31" s="33"/>
      <c r="BH31" s="50"/>
      <c r="BI31" s="33"/>
      <c r="BJ31" s="50"/>
      <c r="BK31" s="33"/>
      <c r="BL31" s="50"/>
      <c r="BM31" s="33"/>
      <c r="BN31" s="50"/>
      <c r="BO31" s="33"/>
    </row>
    <row r="32" outlineLevel="1">
      <c r="A32" s="42" t="str">
        <f>B32&amp;D32</f>
        <v>AprilSAGAR</v>
      </c>
      <c r="B32" s="43" t="s">
        <v>8</v>
      </c>
      <c r="C32" s="43" t="s">
        <v>93</v>
      </c>
      <c r="D32" s="51" t="s">
        <v>94</v>
      </c>
      <c r="E32" s="45">
        <f>(F32+G32+H32+I32+J32+K32+L32+M32+N32+O32+P32+Q32+R32+S32+T32+U32+V32+W32+X32+Y32+Z32+AA32+AB32+AC32+AD32+AE32+AF32+AG32+AH32+AI32+AJ32+AK32+AL32+AM32+AN32+AO32+AP32+AQ32+AR32+AS32+AT32+AU32+AV32+AW32+AX32+AY32+AZ32+BA32+BB32+BC32+BD32+BE32+BF32+BG32+BH32+BI32+BJ32+BK32+BL32+BM32+BN32+BO32)/2</f>
        <v>11</v>
      </c>
      <c r="F32" s="46" t="b">
        <v>1</v>
      </c>
      <c r="G32" s="46" t="b">
        <v>1</v>
      </c>
      <c r="H32" s="46" t="b">
        <v>1</v>
      </c>
      <c r="I32" s="46" t="b">
        <v>1</v>
      </c>
      <c r="J32" s="46" t="b">
        <v>1</v>
      </c>
      <c r="K32" s="46" t="b">
        <v>1</v>
      </c>
      <c r="L32" s="46" t="b">
        <v>1</v>
      </c>
      <c r="M32" s="46" t="b">
        <v>0</v>
      </c>
      <c r="N32" s="46" t="b">
        <v>1</v>
      </c>
      <c r="O32" s="46" t="b">
        <v>1</v>
      </c>
      <c r="P32" s="46" t="b">
        <v>1</v>
      </c>
      <c r="Q32" s="46" t="b">
        <v>1</v>
      </c>
      <c r="R32" s="46" t="b">
        <v>1</v>
      </c>
      <c r="S32" s="46" t="b">
        <v>1</v>
      </c>
      <c r="T32" s="46" t="b">
        <v>0</v>
      </c>
      <c r="U32" s="46" t="b">
        <v>0</v>
      </c>
      <c r="V32" s="46" t="b">
        <v>1</v>
      </c>
      <c r="W32" s="46" t="b">
        <v>1</v>
      </c>
      <c r="X32" s="46" t="b">
        <v>1</v>
      </c>
      <c r="Y32" s="46" t="b">
        <v>1</v>
      </c>
      <c r="Z32" s="46" t="b">
        <v>1</v>
      </c>
      <c r="AA32" s="46" t="b">
        <v>1</v>
      </c>
      <c r="AB32" s="46" t="b">
        <v>1</v>
      </c>
      <c r="AC32" s="46" t="b">
        <v>1</v>
      </c>
      <c r="AD32" s="46" t="b">
        <v>1</v>
      </c>
      <c r="AE32" s="46" t="b">
        <v>0</v>
      </c>
      <c r="AF32" s="46" t="b">
        <v>0</v>
      </c>
      <c r="AG32" s="46" t="b">
        <v>0</v>
      </c>
      <c r="AH32" s="46" t="b">
        <v>0</v>
      </c>
      <c r="AI32" s="46" t="b">
        <v>0</v>
      </c>
      <c r="AJ32" s="46" t="b">
        <v>0</v>
      </c>
      <c r="AK32" s="46" t="b">
        <v>0</v>
      </c>
      <c r="AL32" s="46" t="b">
        <v>0</v>
      </c>
      <c r="AM32" s="46" t="b">
        <v>0</v>
      </c>
      <c r="AN32" s="46" t="b">
        <v>0</v>
      </c>
      <c r="AO32" s="46" t="b">
        <v>0</v>
      </c>
      <c r="AP32" s="46" t="b">
        <v>0</v>
      </c>
      <c r="AQ32" s="46" t="b">
        <v>0</v>
      </c>
      <c r="AR32" s="46" t="b">
        <v>0</v>
      </c>
      <c r="AS32" s="46" t="b">
        <v>0</v>
      </c>
      <c r="AT32" s="46" t="b">
        <v>0</v>
      </c>
      <c r="AU32" s="46" t="b">
        <v>0</v>
      </c>
      <c r="AV32" s="46" t="b">
        <v>0</v>
      </c>
      <c r="AW32" s="46" t="b">
        <v>0</v>
      </c>
      <c r="AX32" s="46" t="b">
        <v>0</v>
      </c>
      <c r="AY32" s="46" t="b">
        <v>0</v>
      </c>
      <c r="AZ32" s="46" t="b">
        <v>0</v>
      </c>
      <c r="BA32" s="46" t="b">
        <v>0</v>
      </c>
      <c r="BB32" s="46" t="b">
        <v>0</v>
      </c>
      <c r="BC32" s="46" t="b">
        <v>0</v>
      </c>
      <c r="BD32" s="46" t="b">
        <v>0</v>
      </c>
      <c r="BE32" s="46" t="b">
        <v>0</v>
      </c>
      <c r="BF32" s="46" t="b">
        <v>0</v>
      </c>
      <c r="BG32" s="46" t="b">
        <v>0</v>
      </c>
      <c r="BH32" s="46" t="b">
        <v>0</v>
      </c>
      <c r="BI32" s="46" t="b">
        <v>0</v>
      </c>
      <c r="BJ32" s="46" t="b">
        <v>0</v>
      </c>
      <c r="BK32" s="46" t="b">
        <v>0</v>
      </c>
      <c r="BL32" s="46" t="b">
        <v>0</v>
      </c>
      <c r="BM32" s="46" t="b">
        <v>0</v>
      </c>
      <c r="BN32" s="46" t="b">
        <v>0</v>
      </c>
      <c r="BO32" s="46" t="b">
        <v>0</v>
      </c>
    </row>
    <row r="33" outlineLevel="1">
      <c r="A33" s="47" t="str">
        <f>A32&amp;C33</f>
        <v>AprilSAGAROT HOURS</v>
      </c>
      <c r="B33" s="48"/>
      <c r="C33" s="49" t="s">
        <v>120</v>
      </c>
      <c r="D33" s="33"/>
      <c r="E33" s="45">
        <f>SUM(F33:BO33)</f>
        <v>23</v>
      </c>
      <c r="F33" s="50">
        <v>2.0</v>
      </c>
      <c r="G33" s="33"/>
      <c r="H33" s="50">
        <v>2.0</v>
      </c>
      <c r="I33" s="33"/>
      <c r="J33" s="50">
        <v>3.0</v>
      </c>
      <c r="K33" s="33"/>
      <c r="L33" s="50">
        <v>2.0</v>
      </c>
      <c r="M33" s="33"/>
      <c r="N33" s="50">
        <v>1.0</v>
      </c>
      <c r="O33" s="33"/>
      <c r="P33" s="50"/>
      <c r="Q33" s="33"/>
      <c r="R33" s="50">
        <v>6.0</v>
      </c>
      <c r="S33" s="33"/>
      <c r="T33" s="50"/>
      <c r="U33" s="33"/>
      <c r="V33" s="50">
        <v>2.0</v>
      </c>
      <c r="W33" s="33"/>
      <c r="X33" s="50">
        <v>3.0</v>
      </c>
      <c r="Y33" s="33"/>
      <c r="Z33" s="50">
        <v>2.0</v>
      </c>
      <c r="AA33" s="33"/>
      <c r="AB33" s="50"/>
      <c r="AC33" s="33"/>
      <c r="AD33" s="50"/>
      <c r="AE33" s="33"/>
      <c r="AF33" s="50"/>
      <c r="AG33" s="33"/>
      <c r="AH33" s="50"/>
      <c r="AI33" s="33"/>
      <c r="AJ33" s="50"/>
      <c r="AK33" s="33"/>
      <c r="AL33" s="50"/>
      <c r="AM33" s="33"/>
      <c r="AN33" s="50"/>
      <c r="AO33" s="33"/>
      <c r="AP33" s="50"/>
      <c r="AQ33" s="33"/>
      <c r="AR33" s="50"/>
      <c r="AS33" s="33"/>
      <c r="AT33" s="50"/>
      <c r="AU33" s="33"/>
      <c r="AV33" s="50"/>
      <c r="AW33" s="33"/>
      <c r="AX33" s="50"/>
      <c r="AY33" s="33"/>
      <c r="AZ33" s="50"/>
      <c r="BA33" s="33"/>
      <c r="BB33" s="50"/>
      <c r="BC33" s="33"/>
      <c r="BD33" s="50"/>
      <c r="BE33" s="33"/>
      <c r="BF33" s="50"/>
      <c r="BG33" s="33"/>
      <c r="BH33" s="50"/>
      <c r="BI33" s="33"/>
      <c r="BJ33" s="50"/>
      <c r="BK33" s="33"/>
      <c r="BL33" s="50"/>
      <c r="BM33" s="33"/>
      <c r="BN33" s="50"/>
      <c r="BO33" s="33"/>
    </row>
    <row r="34" outlineLevel="1">
      <c r="A34" s="42" t="str">
        <f>B34&amp;D34</f>
        <v>AprilGANESH</v>
      </c>
      <c r="B34" s="43" t="s">
        <v>8</v>
      </c>
      <c r="C34" s="43" t="s">
        <v>18</v>
      </c>
      <c r="D34" s="44" t="str">
        <f>IFERROR(VLOOKUP(C34,'Employees List'!$B$2:$C$28,2,0),"")</f>
        <v>GANESH</v>
      </c>
      <c r="E34" s="45">
        <f>(F34+G34+H34+I34+J34+K34+L34+M34+N34+O34+P34+Q34+R34+S34+T34+U34+V34+W34+X34+Y34+Z34+AA34+AB34+AC34+AD34+AE34+AF34+AG34+AH34+AI34+AJ34+AK34+AL34+AM34+AN34+AO34+AP34+AQ34+AR34+AS34+AT34+AU34+AV34+AW34+AX34+AY34+AZ34+BA34+BB34+BC34+BD34+BE34+BF34+BG34+BH34+BI34+BJ34+BK34+BL34+BM34+BN34+BO34)/2</f>
        <v>24</v>
      </c>
      <c r="F34" s="46" t="b">
        <v>1</v>
      </c>
      <c r="G34" s="46" t="b">
        <v>1</v>
      </c>
      <c r="H34" s="46" t="b">
        <v>1</v>
      </c>
      <c r="I34" s="46" t="b">
        <v>1</v>
      </c>
      <c r="J34" s="46" t="b">
        <v>1</v>
      </c>
      <c r="K34" s="46" t="b">
        <v>1</v>
      </c>
      <c r="L34" s="46" t="b">
        <v>1</v>
      </c>
      <c r="M34" s="46" t="b">
        <v>0</v>
      </c>
      <c r="N34" s="46" t="b">
        <v>1</v>
      </c>
      <c r="O34" s="46" t="b">
        <v>1</v>
      </c>
      <c r="P34" s="46" t="b">
        <v>1</v>
      </c>
      <c r="Q34" s="46" t="b">
        <v>1</v>
      </c>
      <c r="R34" s="46" t="b">
        <v>1</v>
      </c>
      <c r="S34" s="46" t="b">
        <v>1</v>
      </c>
      <c r="T34" s="46" t="b">
        <v>1</v>
      </c>
      <c r="U34" s="46" t="b">
        <v>1</v>
      </c>
      <c r="V34" s="46" t="b">
        <v>1</v>
      </c>
      <c r="W34" s="46" t="b">
        <v>0</v>
      </c>
      <c r="X34" s="46" t="b">
        <v>0</v>
      </c>
      <c r="Y34" s="46" t="b">
        <v>0</v>
      </c>
      <c r="Z34" s="46" t="b">
        <v>0</v>
      </c>
      <c r="AA34" s="46" t="b">
        <v>0</v>
      </c>
      <c r="AB34" s="46" t="b">
        <v>1</v>
      </c>
      <c r="AC34" s="46" t="b">
        <v>1</v>
      </c>
      <c r="AD34" s="46" t="b">
        <v>1</v>
      </c>
      <c r="AE34" s="46" t="b">
        <v>1</v>
      </c>
      <c r="AF34" s="46" t="b">
        <v>1</v>
      </c>
      <c r="AG34" s="46" t="b">
        <v>1</v>
      </c>
      <c r="AH34" s="46" t="b">
        <v>1</v>
      </c>
      <c r="AI34" s="46" t="b">
        <v>1</v>
      </c>
      <c r="AJ34" s="46" t="b">
        <v>1</v>
      </c>
      <c r="AK34" s="46" t="b">
        <v>1</v>
      </c>
      <c r="AL34" s="46" t="b">
        <v>1</v>
      </c>
      <c r="AM34" s="46" t="b">
        <v>1</v>
      </c>
      <c r="AN34" s="46" t="b">
        <v>0</v>
      </c>
      <c r="AO34" s="46" t="b">
        <v>0</v>
      </c>
      <c r="AP34" s="46" t="b">
        <v>1</v>
      </c>
      <c r="AQ34" s="46" t="b">
        <v>1</v>
      </c>
      <c r="AR34" s="46" t="b">
        <v>1</v>
      </c>
      <c r="AS34" s="46" t="b">
        <v>1</v>
      </c>
      <c r="AT34" s="46" t="b">
        <v>1</v>
      </c>
      <c r="AU34" s="46" t="b">
        <v>1</v>
      </c>
      <c r="AV34" s="46" t="b">
        <v>1</v>
      </c>
      <c r="AW34" s="46" t="b">
        <v>1</v>
      </c>
      <c r="AX34" s="46" t="b">
        <v>0</v>
      </c>
      <c r="AY34" s="46" t="b">
        <v>0</v>
      </c>
      <c r="AZ34" s="46" t="b">
        <v>0</v>
      </c>
      <c r="BA34" s="46" t="b">
        <v>0</v>
      </c>
      <c r="BB34" s="46" t="b">
        <v>1</v>
      </c>
      <c r="BC34" s="46" t="b">
        <v>1</v>
      </c>
      <c r="BD34" s="46" t="b">
        <v>1</v>
      </c>
      <c r="BE34" s="46" t="b">
        <v>1</v>
      </c>
      <c r="BF34" s="46" t="b">
        <v>1</v>
      </c>
      <c r="BG34" s="46" t="b">
        <v>1</v>
      </c>
      <c r="BH34" s="46" t="b">
        <v>1</v>
      </c>
      <c r="BI34" s="46" t="b">
        <v>1</v>
      </c>
      <c r="BJ34" s="46" t="b">
        <v>1</v>
      </c>
      <c r="BK34" s="46" t="b">
        <v>1</v>
      </c>
      <c r="BL34" s="46" t="b">
        <v>1</v>
      </c>
      <c r="BM34" s="46" t="b">
        <v>1</v>
      </c>
      <c r="BN34" s="46" t="b">
        <v>0</v>
      </c>
      <c r="BO34" s="46" t="b">
        <v>0</v>
      </c>
    </row>
    <row r="35" outlineLevel="1">
      <c r="A35" s="47" t="str">
        <f>A34&amp;C35</f>
        <v>AprilGANESHOT HOURS</v>
      </c>
      <c r="B35" s="48"/>
      <c r="C35" s="49" t="s">
        <v>120</v>
      </c>
      <c r="D35" s="33"/>
      <c r="E35" s="45">
        <f>SUM(F35:BO35)</f>
        <v>55</v>
      </c>
      <c r="F35" s="50">
        <v>2.0</v>
      </c>
      <c r="G35" s="33"/>
      <c r="H35" s="50">
        <v>2.0</v>
      </c>
      <c r="I35" s="33"/>
      <c r="J35" s="50">
        <v>3.0</v>
      </c>
      <c r="K35" s="33"/>
      <c r="L35" s="50">
        <v>2.0</v>
      </c>
      <c r="M35" s="33"/>
      <c r="N35" s="50"/>
      <c r="O35" s="33"/>
      <c r="P35" s="50">
        <v>3.0</v>
      </c>
      <c r="Q35" s="33"/>
      <c r="R35" s="50">
        <v>8.0</v>
      </c>
      <c r="S35" s="33"/>
      <c r="T35" s="50"/>
      <c r="U35" s="33"/>
      <c r="V35" s="50"/>
      <c r="W35" s="33"/>
      <c r="X35" s="50"/>
      <c r="Y35" s="33"/>
      <c r="Z35" s="50"/>
      <c r="AA35" s="33"/>
      <c r="AB35" s="50">
        <v>2.0</v>
      </c>
      <c r="AC35" s="33"/>
      <c r="AD35" s="50">
        <v>2.0</v>
      </c>
      <c r="AE35" s="33"/>
      <c r="AF35" s="50">
        <v>1.0</v>
      </c>
      <c r="AG35" s="33"/>
      <c r="AH35" s="50">
        <v>2.0</v>
      </c>
      <c r="AI35" s="33"/>
      <c r="AJ35" s="50"/>
      <c r="AK35" s="33"/>
      <c r="AL35" s="50"/>
      <c r="AM35" s="33"/>
      <c r="AN35" s="50"/>
      <c r="AO35" s="33"/>
      <c r="AP35" s="50"/>
      <c r="AQ35" s="33"/>
      <c r="AR35" s="50">
        <v>3.0</v>
      </c>
      <c r="AS35" s="33"/>
      <c r="AT35" s="50"/>
      <c r="AU35" s="33"/>
      <c r="AV35" s="50">
        <v>4.0</v>
      </c>
      <c r="AW35" s="33"/>
      <c r="AX35" s="50"/>
      <c r="AY35" s="33"/>
      <c r="AZ35" s="50"/>
      <c r="BA35" s="33"/>
      <c r="BB35" s="50">
        <v>3.0</v>
      </c>
      <c r="BC35" s="33"/>
      <c r="BD35" s="50">
        <v>4.0</v>
      </c>
      <c r="BE35" s="33"/>
      <c r="BF35" s="50">
        <v>2.0</v>
      </c>
      <c r="BG35" s="33"/>
      <c r="BH35" s="50">
        <v>8.0</v>
      </c>
      <c r="BI35" s="33"/>
      <c r="BJ35" s="50">
        <v>2.0</v>
      </c>
      <c r="BK35" s="33"/>
      <c r="BL35" s="50">
        <v>2.0</v>
      </c>
      <c r="BM35" s="33"/>
      <c r="BN35" s="50"/>
      <c r="BO35" s="33"/>
    </row>
    <row r="36" outlineLevel="1">
      <c r="A36" s="42" t="str">
        <f>B36&amp;D36</f>
        <v>AprilVASANTHA</v>
      </c>
      <c r="B36" s="43" t="s">
        <v>8</v>
      </c>
      <c r="C36" s="43" t="s">
        <v>13</v>
      </c>
      <c r="D36" s="44" t="str">
        <f>IFERROR(VLOOKUP(C36,'Employees List'!$B$2:$C$28,2,0),"")</f>
        <v>VASANTHA</v>
      </c>
      <c r="E36" s="45">
        <f>(F36+G36+H36+I36+J36+K36+L36+M36+N36+O36+P36+Q36+R36+S36+T36+U36+V36+W36+X36+Y36+Z36+AA36+AB36+AC36+AD36+AE36+AF36+AG36+AH36+AI36+AJ36+AK36+AL36+AM36+AN36+AO36+AP36+AQ36+AR36+AS36+AT36+AU36+AV36+AW36+AX36+AY36+AZ36+BA36+BB36+BC36+BD36+BE36+BF36+BG36+BH36+BI36+BJ36+BK36+BL36+BM36+BN36+BO36)/2</f>
        <v>21</v>
      </c>
      <c r="F36" s="46" t="b">
        <v>1</v>
      </c>
      <c r="G36" s="46" t="b">
        <v>1</v>
      </c>
      <c r="H36" s="46" t="b">
        <v>1</v>
      </c>
      <c r="I36" s="46" t="b">
        <v>1</v>
      </c>
      <c r="J36" s="46" t="b">
        <v>1</v>
      </c>
      <c r="K36" s="46" t="b">
        <v>1</v>
      </c>
      <c r="L36" s="46" t="b">
        <v>1</v>
      </c>
      <c r="M36" s="46" t="b">
        <v>1</v>
      </c>
      <c r="N36" s="46" t="b">
        <v>1</v>
      </c>
      <c r="O36" s="46" t="b">
        <v>1</v>
      </c>
      <c r="P36" s="46" t="b">
        <v>1</v>
      </c>
      <c r="Q36" s="46" t="b">
        <v>1</v>
      </c>
      <c r="R36" s="46" t="b">
        <v>1</v>
      </c>
      <c r="S36" s="46" t="b">
        <v>1</v>
      </c>
      <c r="T36" s="46" t="b">
        <v>1</v>
      </c>
      <c r="U36" s="46" t="b">
        <v>1</v>
      </c>
      <c r="V36" s="46" t="b">
        <v>1</v>
      </c>
      <c r="W36" s="46" t="b">
        <v>1</v>
      </c>
      <c r="X36" s="46" t="b">
        <v>1</v>
      </c>
      <c r="Y36" s="46" t="b">
        <v>1</v>
      </c>
      <c r="Z36" s="46" t="b">
        <v>1</v>
      </c>
      <c r="AA36" s="46" t="b">
        <v>1</v>
      </c>
      <c r="AB36" s="46" t="b">
        <v>1</v>
      </c>
      <c r="AC36" s="46" t="b">
        <v>1</v>
      </c>
      <c r="AD36" s="46" t="b">
        <v>1</v>
      </c>
      <c r="AE36" s="46" t="b">
        <v>1</v>
      </c>
      <c r="AF36" s="46" t="b">
        <v>0</v>
      </c>
      <c r="AG36" s="46" t="b">
        <v>0</v>
      </c>
      <c r="AH36" s="46" t="b">
        <v>1</v>
      </c>
      <c r="AI36" s="46" t="b">
        <v>1</v>
      </c>
      <c r="AJ36" s="46" t="b">
        <v>1</v>
      </c>
      <c r="AK36" s="46" t="b">
        <v>1</v>
      </c>
      <c r="AL36" s="46" t="b">
        <v>1</v>
      </c>
      <c r="AM36" s="46" t="b">
        <v>1</v>
      </c>
      <c r="AN36" s="46" t="b">
        <v>1</v>
      </c>
      <c r="AO36" s="46" t="b">
        <v>1</v>
      </c>
      <c r="AP36" s="46" t="b">
        <v>1</v>
      </c>
      <c r="AQ36" s="46" t="b">
        <v>1</v>
      </c>
      <c r="AR36" s="46" t="b">
        <v>0</v>
      </c>
      <c r="AS36" s="46" t="b">
        <v>0</v>
      </c>
      <c r="AT36" s="46" t="b">
        <v>0</v>
      </c>
      <c r="AU36" s="46" t="b">
        <v>0</v>
      </c>
      <c r="AV36" s="46" t="b">
        <v>0</v>
      </c>
      <c r="AW36" s="46" t="b">
        <v>0</v>
      </c>
      <c r="AX36" s="46" t="b">
        <v>0</v>
      </c>
      <c r="AY36" s="46" t="b">
        <v>0</v>
      </c>
      <c r="AZ36" s="46" t="b">
        <v>0</v>
      </c>
      <c r="BA36" s="46" t="b">
        <v>0</v>
      </c>
      <c r="BB36" s="46" t="b">
        <v>0</v>
      </c>
      <c r="BC36" s="46" t="b">
        <v>0</v>
      </c>
      <c r="BD36" s="46" t="b">
        <v>0</v>
      </c>
      <c r="BE36" s="46" t="b">
        <v>0</v>
      </c>
      <c r="BF36" s="46" t="b">
        <v>0</v>
      </c>
      <c r="BG36" s="46" t="b">
        <v>0</v>
      </c>
      <c r="BH36" s="46" t="b">
        <v>1</v>
      </c>
      <c r="BI36" s="46" t="b">
        <v>1</v>
      </c>
      <c r="BJ36" s="46" t="b">
        <v>1</v>
      </c>
      <c r="BK36" s="46" t="b">
        <v>1</v>
      </c>
      <c r="BL36" s="46" t="b">
        <v>1</v>
      </c>
      <c r="BM36" s="46" t="b">
        <v>1</v>
      </c>
      <c r="BN36" s="46" t="b">
        <v>0</v>
      </c>
      <c r="BO36" s="46" t="b">
        <v>0</v>
      </c>
    </row>
    <row r="37" outlineLevel="1">
      <c r="A37" s="52"/>
      <c r="B37" s="33"/>
      <c r="C37" s="49" t="s">
        <v>120</v>
      </c>
      <c r="D37" s="53"/>
      <c r="E37" s="45">
        <f>SUM(F37:BO37)</f>
        <v>33</v>
      </c>
      <c r="F37" s="50">
        <v>2.0</v>
      </c>
      <c r="G37" s="33"/>
      <c r="H37" s="50"/>
      <c r="I37" s="33"/>
      <c r="J37" s="50"/>
      <c r="K37" s="33"/>
      <c r="L37" s="50">
        <v>2.0</v>
      </c>
      <c r="M37" s="33"/>
      <c r="N37" s="50"/>
      <c r="O37" s="33"/>
      <c r="P37" s="50">
        <v>2.0</v>
      </c>
      <c r="Q37" s="33"/>
      <c r="R37" s="50">
        <v>5.0</v>
      </c>
      <c r="S37" s="33"/>
      <c r="T37" s="50"/>
      <c r="U37" s="33"/>
      <c r="V37" s="50">
        <v>2.0</v>
      </c>
      <c r="W37" s="33"/>
      <c r="X37" s="50">
        <v>2.0</v>
      </c>
      <c r="Y37" s="33"/>
      <c r="Z37" s="50">
        <v>2.0</v>
      </c>
      <c r="AA37" s="33"/>
      <c r="AB37" s="50"/>
      <c r="AC37" s="33"/>
      <c r="AD37" s="50">
        <v>2.0</v>
      </c>
      <c r="AE37" s="33"/>
      <c r="AF37" s="50"/>
      <c r="AG37" s="33"/>
      <c r="AH37" s="50"/>
      <c r="AI37" s="33"/>
      <c r="AJ37" s="50"/>
      <c r="AK37" s="33"/>
      <c r="AL37" s="50">
        <v>2.0</v>
      </c>
      <c r="AM37" s="33"/>
      <c r="AN37" s="50"/>
      <c r="AO37" s="33"/>
      <c r="AP37" s="50"/>
      <c r="AQ37" s="33"/>
      <c r="AR37" s="50"/>
      <c r="AS37" s="33"/>
      <c r="AT37" s="50"/>
      <c r="AU37" s="33"/>
      <c r="AV37" s="50"/>
      <c r="AW37" s="33"/>
      <c r="AX37" s="50"/>
      <c r="AY37" s="33"/>
      <c r="AZ37" s="50"/>
      <c r="BA37" s="33"/>
      <c r="BB37" s="50"/>
      <c r="BC37" s="33"/>
      <c r="BD37" s="50"/>
      <c r="BE37" s="33"/>
      <c r="BF37" s="50"/>
      <c r="BG37" s="33"/>
      <c r="BH37" s="50">
        <v>8.0</v>
      </c>
      <c r="BI37" s="33"/>
      <c r="BJ37" s="50">
        <v>2.0</v>
      </c>
      <c r="BK37" s="33"/>
      <c r="BL37" s="50">
        <v>2.0</v>
      </c>
      <c r="BM37" s="33"/>
      <c r="BN37" s="50"/>
      <c r="BO37" s="33"/>
    </row>
    <row r="38" outlineLevel="1">
      <c r="A38" s="42" t="str">
        <f>B38&amp;D38</f>
        <v>AprilSUNDARI</v>
      </c>
      <c r="B38" s="43" t="s">
        <v>8</v>
      </c>
      <c r="C38" s="43" t="s">
        <v>64</v>
      </c>
      <c r="D38" s="44" t="str">
        <f>IFERROR(VLOOKUP(C38,'Employees List'!$B$2:$C$28,2,0),"")</f>
        <v>SUNDARI</v>
      </c>
      <c r="E38" s="45">
        <f>(F38+G38+H38+I38+J38+K38+L38+M38+N38+O38+P38+Q38+R38+S38+T38+U38+V38+W38+X38+Y38+Z38+AA38+AB38+AC38+AD38+AE38+AF38+AG38+AH38+AI38+AJ38+AK38+AL38+AM38+AN38+AO38+AP38+AQ38+AR38+AS38+AT38+AU38+AV38+AW38+AX38+AY38+AZ38+BA38+BB38+BC38+BD38+BE38+BF38+BG38+BH38+BI38+BJ38+BK38+BL38+BM38+BN38+BO38)/2</f>
        <v>30</v>
      </c>
      <c r="F38" s="46" t="b">
        <v>1</v>
      </c>
      <c r="G38" s="46" t="b">
        <v>1</v>
      </c>
      <c r="H38" s="46" t="b">
        <v>1</v>
      </c>
      <c r="I38" s="46" t="b">
        <v>1</v>
      </c>
      <c r="J38" s="46" t="b">
        <v>1</v>
      </c>
      <c r="K38" s="46" t="b">
        <v>1</v>
      </c>
      <c r="L38" s="46" t="b">
        <v>1</v>
      </c>
      <c r="M38" s="46" t="b">
        <v>1</v>
      </c>
      <c r="N38" s="46" t="b">
        <v>1</v>
      </c>
      <c r="O38" s="46" t="b">
        <v>1</v>
      </c>
      <c r="P38" s="46" t="b">
        <v>1</v>
      </c>
      <c r="Q38" s="46" t="b">
        <v>1</v>
      </c>
      <c r="R38" s="46" t="b">
        <v>1</v>
      </c>
      <c r="S38" s="46" t="b">
        <v>1</v>
      </c>
      <c r="T38" s="46" t="b">
        <v>1</v>
      </c>
      <c r="U38" s="46" t="b">
        <v>1</v>
      </c>
      <c r="V38" s="46" t="b">
        <v>1</v>
      </c>
      <c r="W38" s="46" t="b">
        <v>1</v>
      </c>
      <c r="X38" s="46" t="b">
        <v>1</v>
      </c>
      <c r="Y38" s="46" t="b">
        <v>1</v>
      </c>
      <c r="Z38" s="46" t="b">
        <v>1</v>
      </c>
      <c r="AA38" s="46" t="b">
        <v>1</v>
      </c>
      <c r="AB38" s="46" t="b">
        <v>1</v>
      </c>
      <c r="AC38" s="46" t="b">
        <v>1</v>
      </c>
      <c r="AD38" s="46" t="b">
        <v>1</v>
      </c>
      <c r="AE38" s="46" t="b">
        <v>1</v>
      </c>
      <c r="AF38" s="46" t="b">
        <v>1</v>
      </c>
      <c r="AG38" s="46" t="b">
        <v>1</v>
      </c>
      <c r="AH38" s="46" t="b">
        <v>1</v>
      </c>
      <c r="AI38" s="46" t="b">
        <v>1</v>
      </c>
      <c r="AJ38" s="46" t="b">
        <v>1</v>
      </c>
      <c r="AK38" s="46" t="b">
        <v>1</v>
      </c>
      <c r="AL38" s="46" t="b">
        <v>1</v>
      </c>
      <c r="AM38" s="46" t="b">
        <v>1</v>
      </c>
      <c r="AN38" s="46" t="b">
        <v>1</v>
      </c>
      <c r="AO38" s="46" t="b">
        <v>1</v>
      </c>
      <c r="AP38" s="46" t="b">
        <v>1</v>
      </c>
      <c r="AQ38" s="46" t="b">
        <v>1</v>
      </c>
      <c r="AR38" s="46" t="b">
        <v>1</v>
      </c>
      <c r="AS38" s="46" t="b">
        <v>1</v>
      </c>
      <c r="AT38" s="46" t="b">
        <v>1</v>
      </c>
      <c r="AU38" s="46" t="b">
        <v>1</v>
      </c>
      <c r="AV38" s="46" t="b">
        <v>1</v>
      </c>
      <c r="AW38" s="46" t="b">
        <v>1</v>
      </c>
      <c r="AX38" s="46" t="b">
        <v>1</v>
      </c>
      <c r="AY38" s="46" t="b">
        <v>1</v>
      </c>
      <c r="AZ38" s="46" t="b">
        <v>1</v>
      </c>
      <c r="BA38" s="46" t="b">
        <v>1</v>
      </c>
      <c r="BB38" s="46" t="b">
        <v>1</v>
      </c>
      <c r="BC38" s="46" t="b">
        <v>1</v>
      </c>
      <c r="BD38" s="46" t="b">
        <v>1</v>
      </c>
      <c r="BE38" s="46" t="b">
        <v>1</v>
      </c>
      <c r="BF38" s="46" t="b">
        <v>1</v>
      </c>
      <c r="BG38" s="46" t="b">
        <v>1</v>
      </c>
      <c r="BH38" s="46" t="b">
        <v>1</v>
      </c>
      <c r="BI38" s="46" t="b">
        <v>1</v>
      </c>
      <c r="BJ38" s="46" t="b">
        <v>1</v>
      </c>
      <c r="BK38" s="46" t="b">
        <v>1</v>
      </c>
      <c r="BL38" s="46" t="b">
        <v>1</v>
      </c>
      <c r="BM38" s="46" t="b">
        <v>1</v>
      </c>
      <c r="BN38" s="46" t="b">
        <v>0</v>
      </c>
      <c r="BO38" s="46" t="b">
        <v>0</v>
      </c>
    </row>
    <row r="39" outlineLevel="1">
      <c r="A39" s="47" t="str">
        <f>A38&amp;C39</f>
        <v>AprilSUNDARIOT HOURS</v>
      </c>
      <c r="B39" s="48"/>
      <c r="C39" s="49" t="s">
        <v>120</v>
      </c>
      <c r="D39" s="33"/>
      <c r="E39" s="45">
        <f>SUM(F39:BO39)</f>
        <v>10</v>
      </c>
      <c r="F39" s="50"/>
      <c r="G39" s="33"/>
      <c r="H39" s="50"/>
      <c r="I39" s="33"/>
      <c r="J39" s="50"/>
      <c r="K39" s="33"/>
      <c r="L39" s="50"/>
      <c r="M39" s="33"/>
      <c r="N39" s="50"/>
      <c r="O39" s="33"/>
      <c r="P39" s="50"/>
      <c r="Q39" s="33"/>
      <c r="R39" s="50"/>
      <c r="S39" s="33"/>
      <c r="T39" s="50"/>
      <c r="U39" s="33"/>
      <c r="V39" s="50"/>
      <c r="W39" s="33"/>
      <c r="X39" s="50"/>
      <c r="Y39" s="33"/>
      <c r="Z39" s="50"/>
      <c r="AA39" s="33"/>
      <c r="AB39" s="50"/>
      <c r="AC39" s="33"/>
      <c r="AD39" s="50"/>
      <c r="AE39" s="33"/>
      <c r="AF39" s="50"/>
      <c r="AG39" s="33"/>
      <c r="AH39" s="50"/>
      <c r="AI39" s="33"/>
      <c r="AJ39" s="50">
        <v>1.0</v>
      </c>
      <c r="AK39" s="33"/>
      <c r="AL39" s="50"/>
      <c r="AM39" s="33"/>
      <c r="AN39" s="50">
        <v>1.0</v>
      </c>
      <c r="AO39" s="33"/>
      <c r="AP39" s="50"/>
      <c r="AQ39" s="33"/>
      <c r="AR39" s="50"/>
      <c r="AS39" s="33"/>
      <c r="AT39" s="50"/>
      <c r="AU39" s="33"/>
      <c r="AV39" s="50">
        <v>1.0</v>
      </c>
      <c r="AW39" s="33"/>
      <c r="AX39" s="50">
        <v>1.0</v>
      </c>
      <c r="AY39" s="33"/>
      <c r="AZ39" s="50">
        <v>1.0</v>
      </c>
      <c r="BA39" s="33"/>
      <c r="BB39" s="50">
        <v>1.0</v>
      </c>
      <c r="BC39" s="33"/>
      <c r="BD39" s="50">
        <v>1.0</v>
      </c>
      <c r="BE39" s="33"/>
      <c r="BF39" s="50">
        <v>1.0</v>
      </c>
      <c r="BG39" s="33"/>
      <c r="BH39" s="50"/>
      <c r="BI39" s="33"/>
      <c r="BJ39" s="50"/>
      <c r="BK39" s="33"/>
      <c r="BL39" s="50">
        <v>2.0</v>
      </c>
      <c r="BM39" s="33"/>
      <c r="BN39" s="50"/>
      <c r="BO39" s="33"/>
    </row>
    <row r="40" outlineLevel="1">
      <c r="A40" s="42" t="str">
        <f>B40&amp;D40</f>
        <v>AprilADHIKARI BALIA</v>
      </c>
      <c r="B40" s="43" t="s">
        <v>8</v>
      </c>
      <c r="C40" s="43" t="s">
        <v>22</v>
      </c>
      <c r="D40" s="44" t="str">
        <f>IFERROR(VLOOKUP(C40,'Employees List'!$B$2:$C$28,2,0),"")</f>
        <v>ADHIKARI BALIA</v>
      </c>
      <c r="E40" s="45">
        <f>(F40+G40+H40+I40+J40+K40+L40+M40+N40+O40+P40+Q40+R40+S40+T40+U40+V40+W40+X40+Y40+Z40+AA40+AB40+AC40+AD40+AE40+AF40+AG40+AH40+AI40+AJ40+AK40+AL40+AM40+AN40+AO40+AP40+AQ40+AR40+AS40+AT40+AU40+AV40+AW40+AX40+AY40+AZ40+BA40+BB40+BC40+BD40+BE40+BF40+BG40+BH40+BI40+BJ40+BK40+BL40+BM40+BN40+BO40)/2</f>
        <v>11.5</v>
      </c>
      <c r="F40" s="46" t="b">
        <v>1</v>
      </c>
      <c r="G40" s="46" t="b">
        <v>1</v>
      </c>
      <c r="H40" s="46" t="b">
        <v>1</v>
      </c>
      <c r="I40" s="46" t="b">
        <v>1</v>
      </c>
      <c r="J40" s="46" t="b">
        <v>1</v>
      </c>
      <c r="K40" s="46" t="b">
        <v>1</v>
      </c>
      <c r="L40" s="46" t="b">
        <v>1</v>
      </c>
      <c r="M40" s="46" t="b">
        <v>1</v>
      </c>
      <c r="N40" s="46" t="b">
        <v>1</v>
      </c>
      <c r="O40" s="46" t="b">
        <v>1</v>
      </c>
      <c r="P40" s="46" t="b">
        <v>1</v>
      </c>
      <c r="Q40" s="46" t="b">
        <v>1</v>
      </c>
      <c r="R40" s="46" t="b">
        <v>1</v>
      </c>
      <c r="S40" s="46" t="b">
        <v>1</v>
      </c>
      <c r="T40" s="46" t="b">
        <v>0</v>
      </c>
      <c r="U40" s="46" t="b">
        <v>0</v>
      </c>
      <c r="V40" s="46" t="b">
        <v>1</v>
      </c>
      <c r="W40" s="46" t="b">
        <v>1</v>
      </c>
      <c r="X40" s="46" t="b">
        <v>1</v>
      </c>
      <c r="Y40" s="46" t="b">
        <v>1</v>
      </c>
      <c r="Z40" s="46" t="b">
        <v>1</v>
      </c>
      <c r="AA40" s="46" t="b">
        <v>1</v>
      </c>
      <c r="AB40" s="46" t="b">
        <v>1</v>
      </c>
      <c r="AC40" s="46" t="b">
        <v>1</v>
      </c>
      <c r="AD40" s="46" t="b">
        <v>1</v>
      </c>
      <c r="AE40" s="46" t="b">
        <v>0</v>
      </c>
      <c r="AF40" s="46" t="b">
        <v>0</v>
      </c>
      <c r="AG40" s="46" t="b">
        <v>0</v>
      </c>
      <c r="AH40" s="46" t="b">
        <v>0</v>
      </c>
      <c r="AI40" s="46" t="b">
        <v>0</v>
      </c>
      <c r="AJ40" s="46" t="b">
        <v>0</v>
      </c>
      <c r="AK40" s="46" t="b">
        <v>0</v>
      </c>
      <c r="AL40" s="46" t="b">
        <v>0</v>
      </c>
      <c r="AM40" s="46" t="b">
        <v>0</v>
      </c>
      <c r="AN40" s="46" t="b">
        <v>0</v>
      </c>
      <c r="AO40" s="46" t="b">
        <v>0</v>
      </c>
      <c r="AP40" s="46" t="b">
        <v>0</v>
      </c>
      <c r="AQ40" s="46" t="b">
        <v>0</v>
      </c>
      <c r="AR40" s="46" t="b">
        <v>0</v>
      </c>
      <c r="AS40" s="46" t="b">
        <v>0</v>
      </c>
      <c r="AT40" s="46" t="b">
        <v>0</v>
      </c>
      <c r="AU40" s="46" t="b">
        <v>0</v>
      </c>
      <c r="AV40" s="46" t="b">
        <v>0</v>
      </c>
      <c r="AW40" s="46" t="b">
        <v>0</v>
      </c>
      <c r="AX40" s="46" t="b">
        <v>0</v>
      </c>
      <c r="AY40" s="46" t="b">
        <v>0</v>
      </c>
      <c r="AZ40" s="46" t="b">
        <v>0</v>
      </c>
      <c r="BA40" s="46" t="b">
        <v>0</v>
      </c>
      <c r="BB40" s="46" t="b">
        <v>0</v>
      </c>
      <c r="BC40" s="46" t="b">
        <v>0</v>
      </c>
      <c r="BD40" s="46" t="b">
        <v>0</v>
      </c>
      <c r="BE40" s="46" t="b">
        <v>0</v>
      </c>
      <c r="BF40" s="46" t="b">
        <v>0</v>
      </c>
      <c r="BG40" s="46" t="b">
        <v>0</v>
      </c>
      <c r="BH40" s="46" t="b">
        <v>0</v>
      </c>
      <c r="BI40" s="46" t="b">
        <v>0</v>
      </c>
      <c r="BJ40" s="46" t="b">
        <v>0</v>
      </c>
      <c r="BK40" s="46" t="b">
        <v>0</v>
      </c>
      <c r="BL40" s="46" t="b">
        <v>0</v>
      </c>
      <c r="BM40" s="46" t="b">
        <v>0</v>
      </c>
      <c r="BN40" s="46" t="b">
        <v>0</v>
      </c>
      <c r="BO40" s="46" t="b">
        <v>0</v>
      </c>
    </row>
    <row r="41" outlineLevel="1">
      <c r="A41" s="47" t="str">
        <f>A40&amp;C41</f>
        <v>AprilADHIKARI BALIAOT HOURS</v>
      </c>
      <c r="B41" s="48"/>
      <c r="C41" s="49" t="s">
        <v>120</v>
      </c>
      <c r="D41" s="33"/>
      <c r="E41" s="45">
        <f>SUM(F41:BO41)</f>
        <v>29</v>
      </c>
      <c r="F41" s="50">
        <v>2.0</v>
      </c>
      <c r="G41" s="33"/>
      <c r="H41" s="50">
        <v>4.0</v>
      </c>
      <c r="I41" s="33"/>
      <c r="J41" s="50">
        <v>3.0</v>
      </c>
      <c r="K41" s="33"/>
      <c r="L41" s="50">
        <v>4.0</v>
      </c>
      <c r="M41" s="33"/>
      <c r="N41" s="50">
        <v>1.0</v>
      </c>
      <c r="O41" s="33"/>
      <c r="P41" s="50"/>
      <c r="Q41" s="33"/>
      <c r="R41" s="50">
        <v>6.0</v>
      </c>
      <c r="S41" s="33"/>
      <c r="T41" s="50"/>
      <c r="U41" s="33"/>
      <c r="V41" s="50">
        <v>2.0</v>
      </c>
      <c r="W41" s="33"/>
      <c r="X41" s="50">
        <v>3.0</v>
      </c>
      <c r="Y41" s="33"/>
      <c r="Z41" s="50">
        <v>2.0</v>
      </c>
      <c r="AA41" s="33"/>
      <c r="AB41" s="50">
        <v>2.0</v>
      </c>
      <c r="AC41" s="33"/>
      <c r="AD41" s="50"/>
      <c r="AE41" s="33"/>
      <c r="AF41" s="50"/>
      <c r="AG41" s="33"/>
      <c r="AH41" s="50"/>
      <c r="AI41" s="33"/>
      <c r="AJ41" s="50"/>
      <c r="AK41" s="33"/>
      <c r="AL41" s="50"/>
      <c r="AM41" s="33"/>
      <c r="AN41" s="50"/>
      <c r="AO41" s="33"/>
      <c r="AP41" s="50"/>
      <c r="AQ41" s="33"/>
      <c r="AR41" s="50"/>
      <c r="AS41" s="33"/>
      <c r="AT41" s="50"/>
      <c r="AU41" s="33"/>
      <c r="AV41" s="50"/>
      <c r="AW41" s="33"/>
      <c r="AX41" s="50"/>
      <c r="AY41" s="33"/>
      <c r="AZ41" s="50"/>
      <c r="BA41" s="33"/>
      <c r="BB41" s="50"/>
      <c r="BC41" s="33"/>
      <c r="BD41" s="50"/>
      <c r="BE41" s="33"/>
      <c r="BF41" s="50"/>
      <c r="BG41" s="33"/>
      <c r="BH41" s="50"/>
      <c r="BI41" s="33"/>
      <c r="BJ41" s="50"/>
      <c r="BK41" s="33"/>
      <c r="BL41" s="50"/>
      <c r="BM41" s="33"/>
      <c r="BN41" s="50"/>
      <c r="BO41" s="33"/>
    </row>
    <row r="42" outlineLevel="1">
      <c r="A42" s="42" t="str">
        <f>B42&amp;D42</f>
        <v>AprilMathi</v>
      </c>
      <c r="B42" s="43" t="s">
        <v>8</v>
      </c>
      <c r="C42" s="43" t="s">
        <v>70</v>
      </c>
      <c r="D42" s="44" t="str">
        <f>IFERROR(VLOOKUP(C42,'Employees List'!$B$2:$C$28,2,0),"")</f>
        <v>Mathi</v>
      </c>
      <c r="E42" s="45">
        <f>(F42+G42+H42+I42+J42+K42+L42+M42+N42+O42+P42+Q42+R42+S42+T42+U42+V42+W42+X42+Y42+Z42+AA42+AB42+AC42+AD42+AE42+AF42+AG42+AH42+AI42+AJ42+AK42+AL42+AM42+AN42+AO42+AP42+AQ42+AR42+AS42+AT42+AU42+AV42+AW42+AX42+AY42+AZ42+BA42+BB42+BC42+BD42+BE42+BF42+BG42+BH42+BI42+BJ42+BK42+BL42+BM42+BN42+BO42)/2</f>
        <v>28</v>
      </c>
      <c r="F42" s="46" t="b">
        <v>1</v>
      </c>
      <c r="G42" s="46" t="b">
        <v>1</v>
      </c>
      <c r="H42" s="46" t="b">
        <v>1</v>
      </c>
      <c r="I42" s="46" t="b">
        <v>1</v>
      </c>
      <c r="J42" s="46" t="b">
        <v>1</v>
      </c>
      <c r="K42" s="46" t="b">
        <v>1</v>
      </c>
      <c r="L42" s="46" t="b">
        <v>1</v>
      </c>
      <c r="M42" s="46" t="b">
        <v>1</v>
      </c>
      <c r="N42" s="46" t="b">
        <v>1</v>
      </c>
      <c r="O42" s="46" t="b">
        <v>1</v>
      </c>
      <c r="P42" s="46" t="b">
        <v>1</v>
      </c>
      <c r="Q42" s="46" t="b">
        <v>1</v>
      </c>
      <c r="R42" s="46" t="b">
        <v>1</v>
      </c>
      <c r="S42" s="46" t="b">
        <v>1</v>
      </c>
      <c r="T42" s="46" t="b">
        <v>1</v>
      </c>
      <c r="U42" s="46" t="b">
        <v>1</v>
      </c>
      <c r="V42" s="46" t="b">
        <v>1</v>
      </c>
      <c r="W42" s="46" t="b">
        <v>1</v>
      </c>
      <c r="X42" s="46" t="b">
        <v>1</v>
      </c>
      <c r="Y42" s="46" t="b">
        <v>1</v>
      </c>
      <c r="Z42" s="46" t="b">
        <v>1</v>
      </c>
      <c r="AA42" s="46" t="b">
        <v>1</v>
      </c>
      <c r="AB42" s="46" t="b">
        <v>0</v>
      </c>
      <c r="AC42" s="46" t="b">
        <v>0</v>
      </c>
      <c r="AD42" s="46" t="b">
        <v>0</v>
      </c>
      <c r="AE42" s="46" t="b">
        <v>0</v>
      </c>
      <c r="AF42" s="46" t="b">
        <v>1</v>
      </c>
      <c r="AG42" s="46" t="b">
        <v>1</v>
      </c>
      <c r="AH42" s="46" t="b">
        <v>1</v>
      </c>
      <c r="AI42" s="46" t="b">
        <v>1</v>
      </c>
      <c r="AJ42" s="46" t="b">
        <v>1</v>
      </c>
      <c r="AK42" s="46" t="b">
        <v>1</v>
      </c>
      <c r="AL42" s="46" t="b">
        <v>1</v>
      </c>
      <c r="AM42" s="46" t="b">
        <v>1</v>
      </c>
      <c r="AN42" s="46" t="b">
        <v>1</v>
      </c>
      <c r="AO42" s="46" t="b">
        <v>1</v>
      </c>
      <c r="AP42" s="46" t="b">
        <v>1</v>
      </c>
      <c r="AQ42" s="46" t="b">
        <v>1</v>
      </c>
      <c r="AR42" s="46" t="b">
        <v>1</v>
      </c>
      <c r="AS42" s="46" t="b">
        <v>1</v>
      </c>
      <c r="AT42" s="46" t="b">
        <v>1</v>
      </c>
      <c r="AU42" s="46" t="b">
        <v>1</v>
      </c>
      <c r="AV42" s="46" t="b">
        <v>1</v>
      </c>
      <c r="AW42" s="46" t="b">
        <v>1</v>
      </c>
      <c r="AX42" s="46" t="b">
        <v>1</v>
      </c>
      <c r="AY42" s="46" t="b">
        <v>1</v>
      </c>
      <c r="AZ42" s="46" t="b">
        <v>1</v>
      </c>
      <c r="BA42" s="46" t="b">
        <v>1</v>
      </c>
      <c r="BB42" s="46" t="b">
        <v>1</v>
      </c>
      <c r="BC42" s="46" t="b">
        <v>1</v>
      </c>
      <c r="BD42" s="46" t="b">
        <v>1</v>
      </c>
      <c r="BE42" s="46" t="b">
        <v>1</v>
      </c>
      <c r="BF42" s="46" t="b">
        <v>1</v>
      </c>
      <c r="BG42" s="46" t="b">
        <v>1</v>
      </c>
      <c r="BH42" s="46" t="b">
        <v>1</v>
      </c>
      <c r="BI42" s="46" t="b">
        <v>1</v>
      </c>
      <c r="BJ42" s="46" t="b">
        <v>1</v>
      </c>
      <c r="BK42" s="46" t="b">
        <v>1</v>
      </c>
      <c r="BL42" s="46" t="b">
        <v>1</v>
      </c>
      <c r="BM42" s="46" t="b">
        <v>1</v>
      </c>
      <c r="BN42" s="46" t="b">
        <v>0</v>
      </c>
      <c r="BO42" s="46" t="b">
        <v>0</v>
      </c>
    </row>
    <row r="43" outlineLevel="1">
      <c r="A43" s="47" t="str">
        <f>A42&amp;C43</f>
        <v>AprilMathiOT HOURS</v>
      </c>
      <c r="B43" s="48"/>
      <c r="C43" s="49" t="s">
        <v>120</v>
      </c>
      <c r="D43" s="33"/>
      <c r="E43" s="45">
        <f>SUM(F43:BO43)</f>
        <v>70</v>
      </c>
      <c r="F43" s="50">
        <v>1.0</v>
      </c>
      <c r="G43" s="33"/>
      <c r="H43" s="50">
        <v>1.0</v>
      </c>
      <c r="I43" s="33"/>
      <c r="J43" s="50"/>
      <c r="K43" s="33"/>
      <c r="L43" s="50">
        <v>3.0</v>
      </c>
      <c r="M43" s="33"/>
      <c r="N43" s="50">
        <v>2.0</v>
      </c>
      <c r="O43" s="33"/>
      <c r="P43" s="50">
        <v>4.0</v>
      </c>
      <c r="Q43" s="33"/>
      <c r="R43" s="50"/>
      <c r="S43" s="33"/>
      <c r="T43" s="50"/>
      <c r="U43" s="33"/>
      <c r="V43" s="50">
        <v>2.0</v>
      </c>
      <c r="W43" s="33"/>
      <c r="X43" s="50">
        <v>4.0</v>
      </c>
      <c r="Y43" s="33"/>
      <c r="Z43" s="50">
        <v>4.0</v>
      </c>
      <c r="AA43" s="33"/>
      <c r="AB43" s="50"/>
      <c r="AC43" s="33"/>
      <c r="AD43" s="50"/>
      <c r="AE43" s="33"/>
      <c r="AF43" s="50"/>
      <c r="AG43" s="33"/>
      <c r="AH43" s="50">
        <v>1.0</v>
      </c>
      <c r="AI43" s="33"/>
      <c r="AJ43" s="50"/>
      <c r="AK43" s="33"/>
      <c r="AL43" s="50">
        <v>4.0</v>
      </c>
      <c r="AM43" s="33"/>
      <c r="AN43" s="50">
        <v>3.0</v>
      </c>
      <c r="AO43" s="33"/>
      <c r="AP43" s="50"/>
      <c r="AQ43" s="33"/>
      <c r="AR43" s="50">
        <v>5.0</v>
      </c>
      <c r="AS43" s="33"/>
      <c r="AT43" s="50"/>
      <c r="AU43" s="33"/>
      <c r="AV43" s="50">
        <v>5.0</v>
      </c>
      <c r="AW43" s="33"/>
      <c r="AX43" s="50">
        <v>4.0</v>
      </c>
      <c r="AY43" s="33"/>
      <c r="AZ43" s="50">
        <v>7.0</v>
      </c>
      <c r="BA43" s="33"/>
      <c r="BB43" s="50">
        <v>3.0</v>
      </c>
      <c r="BC43" s="33"/>
      <c r="BD43" s="50">
        <v>5.0</v>
      </c>
      <c r="BE43" s="33"/>
      <c r="BF43" s="50">
        <v>5.0</v>
      </c>
      <c r="BG43" s="33"/>
      <c r="BH43" s="50"/>
      <c r="BI43" s="33"/>
      <c r="BJ43" s="50">
        <v>4.0</v>
      </c>
      <c r="BK43" s="33"/>
      <c r="BL43" s="50">
        <v>3.0</v>
      </c>
      <c r="BM43" s="33"/>
      <c r="BN43" s="50"/>
      <c r="BO43" s="33"/>
    </row>
    <row r="44" outlineLevel="1">
      <c r="A44" s="42" t="str">
        <f>B44&amp;D44</f>
        <v>AprilLIPAN</v>
      </c>
      <c r="B44" s="43" t="s">
        <v>8</v>
      </c>
      <c r="C44" s="43" t="s">
        <v>83</v>
      </c>
      <c r="D44" s="44" t="str">
        <f>IFERROR(VLOOKUP(C44,'Employees List'!$B$2:$C$28,2,0),"")</f>
        <v>LIPAN</v>
      </c>
      <c r="E44" s="45">
        <f t="shared" ref="E44:E46" si="1">(F44+G44+H44+I44+J44+K44+L44+M44+N44+O44+P44+Q44+R44+S44+T44+U44+V44+W44+X44+Y44+Z44+AA44+AB44+AC44+AD44+AE44+AF44+AG44+AH44+AI44+AJ44+AK44+AL44+AM44+AN44+AO44+AP44+AQ44+AR44+AS44+AT44+AU44+AV44+AW44+AX44+AY44+AZ44+BA44+BB44+BC44+BD44+BE44+BF44+BG44+BH44+BI44+BJ44+BK44+BL44+BM44+BN44+BO44)/2</f>
        <v>11.5</v>
      </c>
      <c r="F44" s="46" t="b">
        <v>1</v>
      </c>
      <c r="G44" s="46" t="b">
        <v>1</v>
      </c>
      <c r="H44" s="46" t="b">
        <v>1</v>
      </c>
      <c r="I44" s="46" t="b">
        <v>1</v>
      </c>
      <c r="J44" s="46" t="b">
        <v>1</v>
      </c>
      <c r="K44" s="46" t="b">
        <v>1</v>
      </c>
      <c r="L44" s="46" t="b">
        <v>1</v>
      </c>
      <c r="M44" s="46" t="b">
        <v>1</v>
      </c>
      <c r="N44" s="46" t="b">
        <v>0</v>
      </c>
      <c r="O44" s="46" t="b">
        <v>0</v>
      </c>
      <c r="P44" s="46" t="b">
        <v>1</v>
      </c>
      <c r="Q44" s="46" t="b">
        <v>1</v>
      </c>
      <c r="R44" s="46" t="b">
        <v>1</v>
      </c>
      <c r="S44" s="46" t="b">
        <v>1</v>
      </c>
      <c r="T44" s="46" t="b">
        <v>1</v>
      </c>
      <c r="U44" s="46" t="b">
        <v>1</v>
      </c>
      <c r="V44" s="46" t="b">
        <v>1</v>
      </c>
      <c r="W44" s="46" t="b">
        <v>1</v>
      </c>
      <c r="X44" s="46" t="b">
        <v>1</v>
      </c>
      <c r="Y44" s="46" t="b">
        <v>1</v>
      </c>
      <c r="Z44" s="46" t="b">
        <v>1</v>
      </c>
      <c r="AA44" s="46" t="b">
        <v>1</v>
      </c>
      <c r="AB44" s="46" t="b">
        <v>1</v>
      </c>
      <c r="AC44" s="46" t="b">
        <v>1</v>
      </c>
      <c r="AD44" s="46" t="b">
        <v>1</v>
      </c>
      <c r="AE44" s="46" t="b">
        <v>0</v>
      </c>
      <c r="AF44" s="46" t="b">
        <v>0</v>
      </c>
      <c r="AG44" s="46" t="b">
        <v>0</v>
      </c>
      <c r="AH44" s="46" t="b">
        <v>0</v>
      </c>
      <c r="AI44" s="46" t="b">
        <v>0</v>
      </c>
      <c r="AJ44" s="46" t="b">
        <v>0</v>
      </c>
      <c r="AK44" s="46" t="b">
        <v>0</v>
      </c>
      <c r="AL44" s="46" t="b">
        <v>0</v>
      </c>
      <c r="AM44" s="46" t="b">
        <v>0</v>
      </c>
      <c r="AN44" s="46" t="b">
        <v>0</v>
      </c>
      <c r="AO44" s="46" t="b">
        <v>0</v>
      </c>
      <c r="AP44" s="46" t="b">
        <v>0</v>
      </c>
      <c r="AQ44" s="46" t="b">
        <v>0</v>
      </c>
      <c r="AR44" s="46" t="b">
        <v>0</v>
      </c>
      <c r="AS44" s="46" t="b">
        <v>0</v>
      </c>
      <c r="AT44" s="46" t="b">
        <v>0</v>
      </c>
      <c r="AU44" s="46" t="b">
        <v>0</v>
      </c>
      <c r="AV44" s="46" t="b">
        <v>0</v>
      </c>
      <c r="AW44" s="46" t="b">
        <v>0</v>
      </c>
      <c r="AX44" s="46" t="b">
        <v>0</v>
      </c>
      <c r="AY44" s="46" t="b">
        <v>0</v>
      </c>
      <c r="AZ44" s="46" t="b">
        <v>0</v>
      </c>
      <c r="BA44" s="46" t="b">
        <v>0</v>
      </c>
      <c r="BB44" s="46" t="b">
        <v>0</v>
      </c>
      <c r="BC44" s="46" t="b">
        <v>0</v>
      </c>
      <c r="BD44" s="46" t="b">
        <v>0</v>
      </c>
      <c r="BE44" s="46" t="b">
        <v>0</v>
      </c>
      <c r="BF44" s="46" t="b">
        <v>0</v>
      </c>
      <c r="BG44" s="46" t="b">
        <v>0</v>
      </c>
      <c r="BH44" s="46" t="b">
        <v>0</v>
      </c>
      <c r="BI44" s="46" t="b">
        <v>0</v>
      </c>
      <c r="BJ44" s="46" t="b">
        <v>0</v>
      </c>
      <c r="BK44" s="46" t="b">
        <v>0</v>
      </c>
      <c r="BL44" s="46" t="b">
        <v>0</v>
      </c>
      <c r="BM44" s="46" t="b">
        <v>0</v>
      </c>
      <c r="BN44" s="46" t="b">
        <v>0</v>
      </c>
      <c r="BO44" s="46" t="b">
        <v>0</v>
      </c>
    </row>
    <row r="45" outlineLevel="1">
      <c r="A45" s="47" t="str">
        <f>A44&amp;C45</f>
        <v>AprilLIPANOT HOURS</v>
      </c>
      <c r="B45" s="48"/>
      <c r="C45" s="49" t="s">
        <v>120</v>
      </c>
      <c r="D45" s="33"/>
      <c r="E45" s="45">
        <f t="shared" si="1"/>
        <v>21</v>
      </c>
      <c r="F45" s="50">
        <v>2.0</v>
      </c>
      <c r="G45" s="33"/>
      <c r="H45" s="50">
        <v>2.0</v>
      </c>
      <c r="I45" s="33"/>
      <c r="J45" s="50">
        <v>3.0</v>
      </c>
      <c r="K45" s="33"/>
      <c r="L45" s="50">
        <v>6.0</v>
      </c>
      <c r="M45" s="33"/>
      <c r="N45" s="50"/>
      <c r="O45" s="33"/>
      <c r="P45" s="50">
        <v>6.0</v>
      </c>
      <c r="Q45" s="33"/>
      <c r="R45" s="50">
        <v>8.0</v>
      </c>
      <c r="S45" s="33"/>
      <c r="T45" s="50">
        <v>1.0</v>
      </c>
      <c r="U45" s="33"/>
      <c r="V45" s="50">
        <v>2.0</v>
      </c>
      <c r="W45" s="33"/>
      <c r="X45" s="50">
        <v>5.0</v>
      </c>
      <c r="Y45" s="33"/>
      <c r="Z45" s="50">
        <v>5.0</v>
      </c>
      <c r="AA45" s="33"/>
      <c r="AB45" s="50">
        <v>2.0</v>
      </c>
      <c r="AC45" s="33"/>
      <c r="AD45" s="50"/>
      <c r="AE45" s="33"/>
      <c r="AF45" s="50"/>
      <c r="AG45" s="33"/>
      <c r="AH45" s="50"/>
      <c r="AI45" s="33"/>
      <c r="AJ45" s="50"/>
      <c r="AK45" s="33"/>
      <c r="AL45" s="50"/>
      <c r="AM45" s="33"/>
      <c r="AN45" s="50"/>
      <c r="AO45" s="33"/>
      <c r="AP45" s="50"/>
      <c r="AQ45" s="33"/>
      <c r="AR45" s="50"/>
      <c r="AS45" s="33"/>
      <c r="AT45" s="50"/>
      <c r="AU45" s="33"/>
      <c r="AV45" s="50"/>
      <c r="AW45" s="33"/>
      <c r="AX45" s="50"/>
      <c r="AY45" s="33"/>
      <c r="AZ45" s="50"/>
      <c r="BA45" s="33"/>
      <c r="BB45" s="50"/>
      <c r="BC45" s="33"/>
      <c r="BD45" s="50"/>
      <c r="BE45" s="33"/>
      <c r="BF45" s="50"/>
      <c r="BG45" s="33"/>
      <c r="BH45" s="50"/>
      <c r="BI45" s="33"/>
      <c r="BJ45" s="50"/>
      <c r="BK45" s="33"/>
      <c r="BL45" s="50"/>
      <c r="BM45" s="33"/>
      <c r="BN45" s="50"/>
      <c r="BO45" s="33"/>
    </row>
    <row r="46" outlineLevel="1">
      <c r="A46" s="42" t="str">
        <f>B46&amp;D46</f>
        <v>AprilSANJAI BHAGAT</v>
      </c>
      <c r="B46" s="43" t="s">
        <v>8</v>
      </c>
      <c r="C46" s="43" t="s">
        <v>30</v>
      </c>
      <c r="D46" s="44" t="str">
        <f>IFERROR(VLOOKUP(C46,'Employees List'!$B$2:$C$28,2,0),"")</f>
        <v>SANJAI BHAGAT</v>
      </c>
      <c r="E46" s="45">
        <f t="shared" si="1"/>
        <v>12.5</v>
      </c>
      <c r="F46" s="46" t="b">
        <v>1</v>
      </c>
      <c r="G46" s="46" t="b">
        <v>1</v>
      </c>
      <c r="H46" s="46" t="b">
        <v>1</v>
      </c>
      <c r="I46" s="46" t="b">
        <v>1</v>
      </c>
      <c r="J46" s="46" t="b">
        <v>1</v>
      </c>
      <c r="K46" s="46" t="b">
        <v>1</v>
      </c>
      <c r="L46" s="46" t="b">
        <v>1</v>
      </c>
      <c r="M46" s="46" t="b">
        <v>1</v>
      </c>
      <c r="N46" s="46" t="b">
        <v>1</v>
      </c>
      <c r="O46" s="46" t="b">
        <v>1</v>
      </c>
      <c r="P46" s="46" t="b">
        <v>1</v>
      </c>
      <c r="Q46" s="46" t="b">
        <v>1</v>
      </c>
      <c r="R46" s="46" t="b">
        <v>1</v>
      </c>
      <c r="S46" s="46" t="b">
        <v>1</v>
      </c>
      <c r="T46" s="46" t="b">
        <v>1</v>
      </c>
      <c r="U46" s="46" t="b">
        <v>1</v>
      </c>
      <c r="V46" s="46" t="b">
        <v>1</v>
      </c>
      <c r="W46" s="46" t="b">
        <v>1</v>
      </c>
      <c r="X46" s="46" t="b">
        <v>1</v>
      </c>
      <c r="Y46" s="46" t="b">
        <v>1</v>
      </c>
      <c r="Z46" s="46" t="b">
        <v>1</v>
      </c>
      <c r="AA46" s="46" t="b">
        <v>1</v>
      </c>
      <c r="AB46" s="46" t="b">
        <v>1</v>
      </c>
      <c r="AC46" s="46" t="b">
        <v>1</v>
      </c>
      <c r="AD46" s="46" t="b">
        <v>1</v>
      </c>
      <c r="AE46" s="46" t="b">
        <v>0</v>
      </c>
      <c r="AF46" s="46" t="b">
        <v>0</v>
      </c>
      <c r="AG46" s="46" t="b">
        <v>0</v>
      </c>
      <c r="AH46" s="46" t="b">
        <v>0</v>
      </c>
      <c r="AI46" s="46" t="b">
        <v>0</v>
      </c>
      <c r="AJ46" s="46" t="b">
        <v>0</v>
      </c>
      <c r="AK46" s="46" t="b">
        <v>0</v>
      </c>
      <c r="AL46" s="46" t="b">
        <v>0</v>
      </c>
      <c r="AM46" s="46" t="b">
        <v>0</v>
      </c>
      <c r="AN46" s="46" t="b">
        <v>0</v>
      </c>
      <c r="AO46" s="46" t="b">
        <v>0</v>
      </c>
      <c r="AP46" s="46" t="b">
        <v>0</v>
      </c>
      <c r="AQ46" s="46" t="b">
        <v>0</v>
      </c>
      <c r="AR46" s="46" t="b">
        <v>0</v>
      </c>
      <c r="AS46" s="46" t="b">
        <v>0</v>
      </c>
      <c r="AT46" s="46" t="b">
        <v>0</v>
      </c>
      <c r="AU46" s="46" t="b">
        <v>0</v>
      </c>
      <c r="AV46" s="46" t="b">
        <v>0</v>
      </c>
      <c r="AW46" s="46" t="b">
        <v>0</v>
      </c>
      <c r="AX46" s="46" t="b">
        <v>0</v>
      </c>
      <c r="AY46" s="46" t="b">
        <v>0</v>
      </c>
      <c r="AZ46" s="46" t="b">
        <v>0</v>
      </c>
      <c r="BA46" s="46" t="b">
        <v>0</v>
      </c>
      <c r="BB46" s="46" t="b">
        <v>0</v>
      </c>
      <c r="BC46" s="46" t="b">
        <v>0</v>
      </c>
      <c r="BD46" s="46" t="b">
        <v>0</v>
      </c>
      <c r="BE46" s="46" t="b">
        <v>0</v>
      </c>
      <c r="BF46" s="46" t="b">
        <v>0</v>
      </c>
      <c r="BG46" s="46" t="b">
        <v>0</v>
      </c>
      <c r="BH46" s="46" t="b">
        <v>0</v>
      </c>
      <c r="BI46" s="46" t="b">
        <v>0</v>
      </c>
      <c r="BJ46" s="46" t="b">
        <v>0</v>
      </c>
      <c r="BK46" s="46" t="b">
        <v>0</v>
      </c>
      <c r="BL46" s="46" t="b">
        <v>0</v>
      </c>
      <c r="BM46" s="46" t="b">
        <v>0</v>
      </c>
      <c r="BN46" s="46" t="b">
        <v>0</v>
      </c>
      <c r="BO46" s="46" t="b">
        <v>0</v>
      </c>
    </row>
    <row r="47" outlineLevel="1">
      <c r="A47" s="47" t="str">
        <f>A46&amp;C47</f>
        <v>AprilSANJAI BHAGATOT HOURS</v>
      </c>
      <c r="B47" s="48"/>
      <c r="C47" s="49" t="s">
        <v>120</v>
      </c>
      <c r="D47" s="33"/>
      <c r="E47" s="45">
        <f>SUM(F47:BO47)</f>
        <v>51</v>
      </c>
      <c r="F47" s="50">
        <v>2.0</v>
      </c>
      <c r="G47" s="33"/>
      <c r="H47" s="50">
        <v>4.0</v>
      </c>
      <c r="I47" s="33"/>
      <c r="J47" s="50">
        <v>3.0</v>
      </c>
      <c r="K47" s="33"/>
      <c r="L47" s="50">
        <v>6.0</v>
      </c>
      <c r="M47" s="33"/>
      <c r="N47" s="50">
        <v>3.0</v>
      </c>
      <c r="O47" s="33"/>
      <c r="P47" s="50">
        <v>6.0</v>
      </c>
      <c r="Q47" s="33"/>
      <c r="R47" s="50">
        <v>8.0</v>
      </c>
      <c r="S47" s="33"/>
      <c r="T47" s="50">
        <v>1.0</v>
      </c>
      <c r="U47" s="33"/>
      <c r="V47" s="50">
        <v>3.0</v>
      </c>
      <c r="W47" s="33"/>
      <c r="X47" s="50">
        <v>5.0</v>
      </c>
      <c r="Y47" s="33"/>
      <c r="Z47" s="50">
        <v>5.0</v>
      </c>
      <c r="AA47" s="33"/>
      <c r="AB47" s="50">
        <v>5.0</v>
      </c>
      <c r="AC47" s="33"/>
      <c r="AD47" s="50"/>
      <c r="AE47" s="33"/>
      <c r="AF47" s="50"/>
      <c r="AG47" s="33"/>
      <c r="AH47" s="50"/>
      <c r="AI47" s="33"/>
      <c r="AJ47" s="50"/>
      <c r="AK47" s="33"/>
      <c r="AL47" s="50"/>
      <c r="AM47" s="33"/>
      <c r="AN47" s="50"/>
      <c r="AO47" s="33"/>
      <c r="AP47" s="50"/>
      <c r="AQ47" s="33"/>
      <c r="AR47" s="50"/>
      <c r="AS47" s="33"/>
      <c r="AT47" s="50"/>
      <c r="AU47" s="33"/>
      <c r="AV47" s="50"/>
      <c r="AW47" s="33"/>
      <c r="AX47" s="50"/>
      <c r="AY47" s="33"/>
      <c r="AZ47" s="50"/>
      <c r="BA47" s="33"/>
      <c r="BB47" s="50"/>
      <c r="BC47" s="33"/>
      <c r="BD47" s="50"/>
      <c r="BE47" s="33"/>
      <c r="BF47" s="50"/>
      <c r="BG47" s="33"/>
      <c r="BH47" s="50"/>
      <c r="BI47" s="33"/>
      <c r="BJ47" s="50"/>
      <c r="BK47" s="33"/>
      <c r="BL47" s="50"/>
      <c r="BM47" s="33"/>
      <c r="BN47" s="50"/>
      <c r="BO47" s="33"/>
    </row>
    <row r="48" outlineLevel="1">
      <c r="A48" s="42" t="str">
        <f>B48&amp;D48</f>
        <v>AprilCHINMAY PRADHAN</v>
      </c>
      <c r="B48" s="43" t="s">
        <v>8</v>
      </c>
      <c r="C48" s="43" t="s">
        <v>95</v>
      </c>
      <c r="D48" s="44" t="str">
        <f>IFERROR(VLOOKUP(C48,'Employees List'!$B$2:$C$999,2,0),"")</f>
        <v>CHINMAY PRADHAN</v>
      </c>
      <c r="E48" s="45">
        <f>(F48+G48+H48+I48+J48+K48+L48+M48+N48+O48+P48+Q48+R48+S48+T48+U48+V48+W48+X48+Y48+Z48+AA48+AB48+AC48+AD48+AE48+AF48+AG48+AH48+AI48+AJ48+AK48+AL48+AM48+AN48+AO48+AP48+AQ48+AR48+AS48+AT48+AU48+AV48+AW48+AX48+AY48+AZ48+BA48+BB48+BC48+BD48+BE48+BF48+BG48+BH48+BI48+BJ48+BK48+BL48+BM48+BN48+BO48)/2</f>
        <v>10</v>
      </c>
      <c r="F48" s="46" t="b">
        <v>1</v>
      </c>
      <c r="G48" s="46" t="b">
        <v>1</v>
      </c>
      <c r="H48" s="46" t="b">
        <v>1</v>
      </c>
      <c r="I48" s="46" t="b">
        <v>1</v>
      </c>
      <c r="J48" s="46" t="b">
        <v>1</v>
      </c>
      <c r="K48" s="46" t="b">
        <v>1</v>
      </c>
      <c r="L48" s="46" t="b">
        <v>1</v>
      </c>
      <c r="M48" s="46" t="b">
        <v>0</v>
      </c>
      <c r="N48" s="46" t="b">
        <v>1</v>
      </c>
      <c r="O48" s="46" t="b">
        <v>1</v>
      </c>
      <c r="P48" s="46" t="b">
        <v>1</v>
      </c>
      <c r="Q48" s="46" t="b">
        <v>1</v>
      </c>
      <c r="R48" s="46" t="b">
        <v>1</v>
      </c>
      <c r="S48" s="46" t="b">
        <v>1</v>
      </c>
      <c r="T48" s="46" t="b">
        <v>1</v>
      </c>
      <c r="U48" s="46" t="b">
        <v>1</v>
      </c>
      <c r="V48" s="46" t="b">
        <v>0</v>
      </c>
      <c r="W48" s="46" t="b">
        <v>0</v>
      </c>
      <c r="X48" s="46" t="b">
        <v>0</v>
      </c>
      <c r="Y48" s="46" t="b">
        <v>0</v>
      </c>
      <c r="Z48" s="46" t="b">
        <v>1</v>
      </c>
      <c r="AA48" s="46" t="b">
        <v>1</v>
      </c>
      <c r="AB48" s="46" t="b">
        <v>1</v>
      </c>
      <c r="AC48" s="46" t="b">
        <v>1</v>
      </c>
      <c r="AD48" s="46" t="b">
        <v>1</v>
      </c>
      <c r="AE48" s="46" t="b">
        <v>0</v>
      </c>
      <c r="AF48" s="46" t="b">
        <v>0</v>
      </c>
      <c r="AG48" s="46" t="b">
        <v>0</v>
      </c>
      <c r="AH48" s="46" t="b">
        <v>0</v>
      </c>
      <c r="AI48" s="46" t="b">
        <v>0</v>
      </c>
      <c r="AJ48" s="46" t="b">
        <v>0</v>
      </c>
      <c r="AK48" s="46" t="b">
        <v>0</v>
      </c>
      <c r="AL48" s="46" t="b">
        <v>0</v>
      </c>
      <c r="AM48" s="46" t="b">
        <v>0</v>
      </c>
      <c r="AN48" s="46" t="b">
        <v>0</v>
      </c>
      <c r="AO48" s="46" t="b">
        <v>0</v>
      </c>
      <c r="AP48" s="46" t="b">
        <v>0</v>
      </c>
      <c r="AQ48" s="46" t="b">
        <v>0</v>
      </c>
      <c r="AR48" s="46" t="b">
        <v>0</v>
      </c>
      <c r="AS48" s="46" t="b">
        <v>0</v>
      </c>
      <c r="AT48" s="46" t="b">
        <v>0</v>
      </c>
      <c r="AU48" s="46" t="b">
        <v>0</v>
      </c>
      <c r="AV48" s="46" t="b">
        <v>0</v>
      </c>
      <c r="AW48" s="46" t="b">
        <v>0</v>
      </c>
      <c r="AX48" s="46" t="b">
        <v>0</v>
      </c>
      <c r="AY48" s="46" t="b">
        <v>0</v>
      </c>
      <c r="AZ48" s="46" t="b">
        <v>0</v>
      </c>
      <c r="BA48" s="46" t="b">
        <v>0</v>
      </c>
      <c r="BB48" s="46" t="b">
        <v>0</v>
      </c>
      <c r="BC48" s="46" t="b">
        <v>0</v>
      </c>
      <c r="BD48" s="46" t="b">
        <v>0</v>
      </c>
      <c r="BE48" s="46" t="b">
        <v>0</v>
      </c>
      <c r="BF48" s="46" t="b">
        <v>0</v>
      </c>
      <c r="BG48" s="46" t="b">
        <v>0</v>
      </c>
      <c r="BH48" s="46" t="b">
        <v>0</v>
      </c>
      <c r="BI48" s="46" t="b">
        <v>0</v>
      </c>
      <c r="BJ48" s="46" t="b">
        <v>0</v>
      </c>
      <c r="BK48" s="46" t="b">
        <v>0</v>
      </c>
      <c r="BL48" s="46" t="b">
        <v>0</v>
      </c>
      <c r="BM48" s="46" t="b">
        <v>0</v>
      </c>
      <c r="BN48" s="46" t="b">
        <v>0</v>
      </c>
      <c r="BO48" s="46" t="b">
        <v>0</v>
      </c>
    </row>
    <row r="49" outlineLevel="1">
      <c r="A49" s="47" t="str">
        <f>A48&amp;C49</f>
        <v>AprilCHINMAY PRADHANOT HOURS</v>
      </c>
      <c r="B49" s="48"/>
      <c r="C49" s="49" t="s">
        <v>120</v>
      </c>
      <c r="D49" s="33"/>
      <c r="E49" s="45">
        <f>SUM(F49:BO49)</f>
        <v>10</v>
      </c>
      <c r="F49" s="50"/>
      <c r="G49" s="33"/>
      <c r="H49" s="50">
        <v>2.0</v>
      </c>
      <c r="I49" s="33"/>
      <c r="J49" s="50"/>
      <c r="K49" s="33"/>
      <c r="L49" s="50">
        <v>2.0</v>
      </c>
      <c r="M49" s="33"/>
      <c r="N49" s="50"/>
      <c r="O49" s="33"/>
      <c r="P49" s="50">
        <v>1.0</v>
      </c>
      <c r="Q49" s="33"/>
      <c r="R49" s="50">
        <v>5.0</v>
      </c>
      <c r="S49" s="33"/>
      <c r="T49" s="50"/>
      <c r="U49" s="33"/>
      <c r="V49" s="50"/>
      <c r="W49" s="33"/>
      <c r="X49" s="50"/>
      <c r="Y49" s="33"/>
      <c r="Z49" s="50"/>
      <c r="AA49" s="33"/>
      <c r="AB49" s="50"/>
      <c r="AC49" s="33"/>
      <c r="AD49" s="50"/>
      <c r="AE49" s="33"/>
      <c r="AF49" s="50"/>
      <c r="AG49" s="33"/>
      <c r="AH49" s="50"/>
      <c r="AI49" s="33"/>
      <c r="AJ49" s="50"/>
      <c r="AK49" s="33"/>
      <c r="AL49" s="50"/>
      <c r="AM49" s="33"/>
      <c r="AN49" s="50"/>
      <c r="AO49" s="33"/>
      <c r="AP49" s="50"/>
      <c r="AQ49" s="33"/>
      <c r="AR49" s="50"/>
      <c r="AS49" s="33"/>
      <c r="AT49" s="50"/>
      <c r="AU49" s="33"/>
      <c r="AV49" s="50"/>
      <c r="AW49" s="33"/>
      <c r="AX49" s="50"/>
      <c r="AY49" s="33"/>
      <c r="AZ49" s="50"/>
      <c r="BA49" s="33"/>
      <c r="BB49" s="50"/>
      <c r="BC49" s="33"/>
      <c r="BD49" s="50"/>
      <c r="BE49" s="33"/>
      <c r="BF49" s="50"/>
      <c r="BG49" s="33"/>
      <c r="BH49" s="50"/>
      <c r="BI49" s="33"/>
      <c r="BJ49" s="50"/>
      <c r="BK49" s="33"/>
      <c r="BL49" s="50"/>
      <c r="BM49" s="33"/>
      <c r="BN49" s="50"/>
      <c r="BO49" s="33"/>
    </row>
    <row r="50" outlineLevel="1">
      <c r="A50" s="42" t="str">
        <f>B50&amp;D50</f>
        <v>April</v>
      </c>
      <c r="B50" s="43" t="s">
        <v>8</v>
      </c>
      <c r="C50" s="43"/>
      <c r="D50" s="44" t="str">
        <f>IFERROR(VLOOKUP(C50,'Employees List'!$B$2:$C$28,2,0),"")</f>
        <v/>
      </c>
      <c r="E50" s="45">
        <f>(F50+G50+H50+I50+J50+K50+L50+M50+N50+O50+P50+Q50+R50+S50+T50+U50+V50+W50+X50+Y50+Z50+AA50+AB50+AC50+AD50+AE50+AF50+AG50+AH50+AI50+AJ50+AK50+AL50+AM50+AN50+AO50+AP50+AQ50+AR50+AS50+AT50+AU50+AV50+AW50+AX50+AY50+AZ50+BA50+BB50+BC50+BD50+BE50+BF50+BG50+BH50+BI50+BJ50+BK50+BL50+BM50+BN50+BO50)/2</f>
        <v>0</v>
      </c>
      <c r="F50" s="46" t="b">
        <v>0</v>
      </c>
      <c r="G50" s="46" t="b">
        <v>0</v>
      </c>
      <c r="H50" s="46" t="b">
        <v>0</v>
      </c>
      <c r="I50" s="46" t="b">
        <v>0</v>
      </c>
      <c r="J50" s="46" t="b">
        <v>0</v>
      </c>
      <c r="K50" s="46" t="b">
        <v>0</v>
      </c>
      <c r="L50" s="46" t="b">
        <v>0</v>
      </c>
      <c r="M50" s="46" t="b">
        <v>0</v>
      </c>
      <c r="N50" s="46" t="b">
        <v>0</v>
      </c>
      <c r="O50" s="46" t="b">
        <v>0</v>
      </c>
      <c r="P50" s="46" t="b">
        <v>0</v>
      </c>
      <c r="Q50" s="46" t="b">
        <v>0</v>
      </c>
      <c r="R50" s="46" t="b">
        <v>0</v>
      </c>
      <c r="S50" s="46" t="b">
        <v>0</v>
      </c>
      <c r="T50" s="46" t="b">
        <v>0</v>
      </c>
      <c r="U50" s="46" t="b">
        <v>0</v>
      </c>
      <c r="V50" s="46" t="b">
        <v>0</v>
      </c>
      <c r="W50" s="46" t="b">
        <v>0</v>
      </c>
      <c r="X50" s="46" t="b">
        <v>0</v>
      </c>
      <c r="Y50" s="46" t="b">
        <v>0</v>
      </c>
      <c r="Z50" s="46" t="b">
        <v>0</v>
      </c>
      <c r="AA50" s="46" t="b">
        <v>0</v>
      </c>
      <c r="AB50" s="46" t="b">
        <v>0</v>
      </c>
      <c r="AC50" s="46" t="b">
        <v>0</v>
      </c>
      <c r="AD50" s="46" t="b">
        <v>0</v>
      </c>
      <c r="AE50" s="46" t="b">
        <v>0</v>
      </c>
      <c r="AF50" s="46" t="b">
        <v>0</v>
      </c>
      <c r="AG50" s="46" t="b">
        <v>0</v>
      </c>
      <c r="AH50" s="46" t="b">
        <v>0</v>
      </c>
      <c r="AI50" s="46" t="b">
        <v>0</v>
      </c>
      <c r="AJ50" s="46" t="b">
        <v>0</v>
      </c>
      <c r="AK50" s="46" t="b">
        <v>0</v>
      </c>
      <c r="AL50" s="46" t="b">
        <v>0</v>
      </c>
      <c r="AM50" s="46" t="b">
        <v>0</v>
      </c>
      <c r="AN50" s="46" t="b">
        <v>0</v>
      </c>
      <c r="AO50" s="46" t="b">
        <v>0</v>
      </c>
      <c r="AP50" s="46" t="b">
        <v>0</v>
      </c>
      <c r="AQ50" s="46" t="b">
        <v>0</v>
      </c>
      <c r="AR50" s="46" t="b">
        <v>0</v>
      </c>
      <c r="AS50" s="46" t="b">
        <v>0</v>
      </c>
      <c r="AT50" s="46" t="b">
        <v>0</v>
      </c>
      <c r="AU50" s="46" t="b">
        <v>0</v>
      </c>
      <c r="AV50" s="46" t="b">
        <v>0</v>
      </c>
      <c r="AW50" s="46" t="b">
        <v>0</v>
      </c>
      <c r="AX50" s="46" t="b">
        <v>0</v>
      </c>
      <c r="AY50" s="46" t="b">
        <v>0</v>
      </c>
      <c r="AZ50" s="46" t="b">
        <v>0</v>
      </c>
      <c r="BA50" s="46" t="b">
        <v>0</v>
      </c>
      <c r="BB50" s="46" t="b">
        <v>0</v>
      </c>
      <c r="BC50" s="46" t="b">
        <v>0</v>
      </c>
      <c r="BD50" s="46" t="b">
        <v>0</v>
      </c>
      <c r="BE50" s="46" t="b">
        <v>0</v>
      </c>
      <c r="BF50" s="46" t="b">
        <v>0</v>
      </c>
      <c r="BG50" s="46" t="b">
        <v>0</v>
      </c>
      <c r="BH50" s="46" t="b">
        <v>0</v>
      </c>
      <c r="BI50" s="46" t="b">
        <v>0</v>
      </c>
      <c r="BJ50" s="46" t="b">
        <v>0</v>
      </c>
      <c r="BK50" s="46" t="b">
        <v>0</v>
      </c>
      <c r="BL50" s="46" t="b">
        <v>0</v>
      </c>
      <c r="BM50" s="46" t="b">
        <v>0</v>
      </c>
      <c r="BN50" s="46" t="b">
        <v>0</v>
      </c>
      <c r="BO50" s="46" t="b">
        <v>0</v>
      </c>
    </row>
    <row r="51" outlineLevel="1">
      <c r="A51" s="47" t="str">
        <f>A50&amp;C51</f>
        <v>AprilOT HOURS</v>
      </c>
      <c r="B51" s="48"/>
      <c r="C51" s="49" t="s">
        <v>120</v>
      </c>
      <c r="D51" s="33"/>
      <c r="E51" s="45">
        <f>SUM(F51:BO51)</f>
        <v>0</v>
      </c>
      <c r="F51" s="50"/>
      <c r="G51" s="33"/>
      <c r="H51" s="50"/>
      <c r="I51" s="33"/>
      <c r="J51" s="50"/>
      <c r="K51" s="33"/>
      <c r="L51" s="50"/>
      <c r="M51" s="33"/>
      <c r="N51" s="50"/>
      <c r="O51" s="33"/>
      <c r="P51" s="50"/>
      <c r="Q51" s="33"/>
      <c r="R51" s="50"/>
      <c r="S51" s="33"/>
      <c r="T51" s="50"/>
      <c r="U51" s="33"/>
      <c r="V51" s="50"/>
      <c r="W51" s="33"/>
      <c r="X51" s="50"/>
      <c r="Y51" s="33"/>
      <c r="Z51" s="50"/>
      <c r="AA51" s="33"/>
      <c r="AB51" s="50"/>
      <c r="AC51" s="33"/>
      <c r="AD51" s="50"/>
      <c r="AE51" s="33"/>
      <c r="AF51" s="50"/>
      <c r="AG51" s="33"/>
      <c r="AH51" s="50"/>
      <c r="AI51" s="33"/>
      <c r="AJ51" s="50"/>
      <c r="AK51" s="33"/>
      <c r="AL51" s="50"/>
      <c r="AM51" s="33"/>
      <c r="AN51" s="50"/>
      <c r="AO51" s="33"/>
      <c r="AP51" s="50"/>
      <c r="AQ51" s="33"/>
      <c r="AR51" s="50"/>
      <c r="AS51" s="33"/>
      <c r="AT51" s="50"/>
      <c r="AU51" s="33"/>
      <c r="AV51" s="50"/>
      <c r="AW51" s="33"/>
      <c r="AX51" s="50"/>
      <c r="AY51" s="33"/>
      <c r="AZ51" s="50"/>
      <c r="BA51" s="33"/>
      <c r="BB51" s="50"/>
      <c r="BC51" s="33"/>
      <c r="BD51" s="50"/>
      <c r="BE51" s="33"/>
      <c r="BF51" s="50"/>
      <c r="BG51" s="33"/>
      <c r="BH51" s="50"/>
      <c r="BI51" s="33"/>
      <c r="BJ51" s="50"/>
      <c r="BK51" s="33"/>
      <c r="BL51" s="50"/>
      <c r="BM51" s="33"/>
      <c r="BN51" s="50"/>
      <c r="BO51" s="33"/>
    </row>
    <row r="52" collapsed="1">
      <c r="A52" s="30"/>
      <c r="B52" s="31"/>
      <c r="C52" s="36">
        <v>45413.0</v>
      </c>
      <c r="D52" s="33"/>
      <c r="E52" s="34"/>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row>
    <row r="53" hidden="1" outlineLevel="1">
      <c r="A53" s="42" t="str">
        <f>B53&amp;D53</f>
        <v>MayBHUVANESWARAN</v>
      </c>
      <c r="B53" s="43" t="s">
        <v>12</v>
      </c>
      <c r="C53" s="43" t="s">
        <v>9</v>
      </c>
      <c r="D53" s="44" t="str">
        <f>IFERROR(VLOOKUP(C53,'Employees List'!$B$2:$C$28,2,0),"")</f>
        <v>BHUVANESWARAN</v>
      </c>
      <c r="E53" s="45">
        <f>(F53+G53+H53+I53+J53+K53+L53+M53+N53+O53+P53+Q53+R53+S53+T53+U53+V53+W53+X53+Y53+Z53+AA53+AB53+AC53+AD53+AE53+AF53+AG53+AH53+AI53+AJ53+AK53+AL53+AM53+AN53+AO53+AP53+AQ53+AR53+AS53+AT53+AU53+AV53+AW53+AX53+AY53+AZ53+BA53+BB53+BC53+BD53+BE53+BF53+BG53+BH53+BI53+BJ53+BK53+BL53+BM53+BN53+BO53)/2</f>
        <v>31</v>
      </c>
      <c r="F53" s="54" t="b">
        <v>1</v>
      </c>
      <c r="G53" s="54" t="b">
        <v>1</v>
      </c>
      <c r="H53" s="54" t="b">
        <v>1</v>
      </c>
      <c r="I53" s="54" t="b">
        <v>1</v>
      </c>
      <c r="J53" s="54" t="b">
        <v>1</v>
      </c>
      <c r="K53" s="54" t="b">
        <v>1</v>
      </c>
      <c r="L53" s="54" t="b">
        <v>1</v>
      </c>
      <c r="M53" s="54" t="b">
        <v>1</v>
      </c>
      <c r="N53" s="54" t="b">
        <v>1</v>
      </c>
      <c r="O53" s="54" t="b">
        <v>1</v>
      </c>
      <c r="P53" s="54" t="b">
        <v>1</v>
      </c>
      <c r="Q53" s="54" t="b">
        <v>1</v>
      </c>
      <c r="R53" s="54" t="b">
        <v>1</v>
      </c>
      <c r="S53" s="54" t="b">
        <v>1</v>
      </c>
      <c r="T53" s="54" t="b">
        <v>1</v>
      </c>
      <c r="U53" s="54" t="b">
        <v>1</v>
      </c>
      <c r="V53" s="54" t="b">
        <v>1</v>
      </c>
      <c r="W53" s="54" t="b">
        <v>1</v>
      </c>
      <c r="X53" s="54" t="b">
        <v>1</v>
      </c>
      <c r="Y53" s="54" t="b">
        <v>1</v>
      </c>
      <c r="Z53" s="54" t="b">
        <v>1</v>
      </c>
      <c r="AA53" s="54" t="b">
        <v>1</v>
      </c>
      <c r="AB53" s="54" t="b">
        <v>1</v>
      </c>
      <c r="AC53" s="54" t="b">
        <v>1</v>
      </c>
      <c r="AD53" s="54" t="b">
        <v>1</v>
      </c>
      <c r="AE53" s="54" t="b">
        <v>1</v>
      </c>
      <c r="AF53" s="54" t="b">
        <v>1</v>
      </c>
      <c r="AG53" s="54" t="b">
        <v>1</v>
      </c>
      <c r="AH53" s="54" t="b">
        <v>1</v>
      </c>
      <c r="AI53" s="54" t="b">
        <v>1</v>
      </c>
      <c r="AJ53" s="54" t="b">
        <v>1</v>
      </c>
      <c r="AK53" s="54" t="b">
        <v>1</v>
      </c>
      <c r="AL53" s="54" t="b">
        <v>1</v>
      </c>
      <c r="AM53" s="54" t="b">
        <v>1</v>
      </c>
      <c r="AN53" s="54" t="b">
        <v>1</v>
      </c>
      <c r="AO53" s="54" t="b">
        <v>1</v>
      </c>
      <c r="AP53" s="54" t="b">
        <v>1</v>
      </c>
      <c r="AQ53" s="54" t="b">
        <v>1</v>
      </c>
      <c r="AR53" s="54" t="b">
        <v>1</v>
      </c>
      <c r="AS53" s="54" t="b">
        <v>1</v>
      </c>
      <c r="AT53" s="54" t="b">
        <v>1</v>
      </c>
      <c r="AU53" s="54" t="b">
        <v>1</v>
      </c>
      <c r="AV53" s="54" t="b">
        <v>1</v>
      </c>
      <c r="AW53" s="54" t="b">
        <v>1</v>
      </c>
      <c r="AX53" s="54" t="b">
        <v>1</v>
      </c>
      <c r="AY53" s="54" t="b">
        <v>1</v>
      </c>
      <c r="AZ53" s="54" t="b">
        <v>1</v>
      </c>
      <c r="BA53" s="54" t="b">
        <v>1</v>
      </c>
      <c r="BB53" s="54" t="b">
        <v>1</v>
      </c>
      <c r="BC53" s="54" t="b">
        <v>1</v>
      </c>
      <c r="BD53" s="54" t="b">
        <v>1</v>
      </c>
      <c r="BE53" s="54" t="b">
        <v>1</v>
      </c>
      <c r="BF53" s="54" t="b">
        <v>1</v>
      </c>
      <c r="BG53" s="54" t="b">
        <v>1</v>
      </c>
      <c r="BH53" s="54" t="b">
        <v>1</v>
      </c>
      <c r="BI53" s="54" t="b">
        <v>1</v>
      </c>
      <c r="BJ53" s="54" t="b">
        <v>1</v>
      </c>
      <c r="BK53" s="54" t="b">
        <v>1</v>
      </c>
      <c r="BL53" s="54" t="b">
        <v>1</v>
      </c>
      <c r="BM53" s="54" t="b">
        <v>1</v>
      </c>
      <c r="BN53" s="54" t="b">
        <v>1</v>
      </c>
      <c r="BO53" s="54" t="b">
        <v>1</v>
      </c>
    </row>
    <row r="54" hidden="1" outlineLevel="1">
      <c r="A54" s="47" t="str">
        <f>A53&amp;C54</f>
        <v>MayBHUVANESWARANOT HOURS</v>
      </c>
      <c r="B54" s="48"/>
      <c r="C54" s="49" t="s">
        <v>120</v>
      </c>
      <c r="D54" s="33"/>
      <c r="E54" s="45">
        <f>SUM(F54:BO54)</f>
        <v>0</v>
      </c>
      <c r="F54" s="50"/>
      <c r="G54" s="33"/>
      <c r="H54" s="50"/>
      <c r="I54" s="33"/>
      <c r="J54" s="50"/>
      <c r="K54" s="33"/>
      <c r="L54" s="50"/>
      <c r="M54" s="33"/>
      <c r="N54" s="50"/>
      <c r="O54" s="33"/>
      <c r="P54" s="50"/>
      <c r="Q54" s="33"/>
      <c r="R54" s="50"/>
      <c r="S54" s="33"/>
      <c r="T54" s="50"/>
      <c r="U54" s="33"/>
      <c r="V54" s="50"/>
      <c r="W54" s="33"/>
      <c r="X54" s="50"/>
      <c r="Y54" s="33"/>
      <c r="Z54" s="50"/>
      <c r="AA54" s="33"/>
      <c r="AB54" s="50"/>
      <c r="AC54" s="33"/>
      <c r="AD54" s="50"/>
      <c r="AE54" s="33"/>
      <c r="AF54" s="50"/>
      <c r="AG54" s="33"/>
      <c r="AH54" s="50"/>
      <c r="AI54" s="33"/>
      <c r="AJ54" s="50"/>
      <c r="AK54" s="33"/>
      <c r="AL54" s="50"/>
      <c r="AM54" s="33"/>
      <c r="AN54" s="50"/>
      <c r="AO54" s="33"/>
      <c r="AP54" s="50"/>
      <c r="AQ54" s="33"/>
      <c r="AR54" s="50"/>
      <c r="AS54" s="33"/>
      <c r="AT54" s="50"/>
      <c r="AU54" s="33"/>
      <c r="AV54" s="50"/>
      <c r="AW54" s="33"/>
      <c r="AX54" s="50"/>
      <c r="AY54" s="33"/>
      <c r="AZ54" s="50"/>
      <c r="BA54" s="33"/>
      <c r="BB54" s="50"/>
      <c r="BC54" s="33"/>
      <c r="BD54" s="50"/>
      <c r="BE54" s="33"/>
      <c r="BF54" s="50"/>
      <c r="BG54" s="33"/>
      <c r="BH54" s="50"/>
      <c r="BI54" s="33"/>
      <c r="BJ54" s="50"/>
      <c r="BK54" s="33"/>
      <c r="BL54" s="50"/>
      <c r="BM54" s="33"/>
      <c r="BN54" s="50"/>
      <c r="BO54" s="33"/>
    </row>
    <row r="55" hidden="1" outlineLevel="1">
      <c r="A55" s="42" t="str">
        <f>B55&amp;D55</f>
        <v>MayGANESH</v>
      </c>
      <c r="B55" s="43" t="s">
        <v>12</v>
      </c>
      <c r="C55" s="43" t="s">
        <v>18</v>
      </c>
      <c r="D55" s="44" t="str">
        <f>IFERROR(VLOOKUP(C55,'Employees List'!$B$2:$C$28,2,0),"")</f>
        <v>GANESH</v>
      </c>
      <c r="E55" s="45">
        <f>(F55+G55+H55+I55+J55+K55+L55+M55+N55+O55+P55+Q55+R55+S55+T55+U55+V55+W55+X55+Y55+Z55+AA55+AB55+AC55+AD55+AE55+AF55+AG55+AH55+AI55+AJ55+AK55+AL55+AM55+AN55+AO55+AP55+AQ55+AR55+AS55+AT55+AU55+AV55+AW55+AX55+AY55+AZ55+BA55+BB55+BC55+BD55+BE55+BF55+BG55+BH55+BI55+BJ55+BK55+BL55+BM55+BN55+BO55)/2</f>
        <v>21</v>
      </c>
      <c r="F55" s="54" t="b">
        <v>1</v>
      </c>
      <c r="G55" s="54" t="b">
        <v>1</v>
      </c>
      <c r="H55" s="54" t="b">
        <v>0</v>
      </c>
      <c r="I55" s="54" t="b">
        <v>0</v>
      </c>
      <c r="J55" s="54" t="b">
        <v>1</v>
      </c>
      <c r="K55" s="54" t="b">
        <v>1</v>
      </c>
      <c r="L55" s="54" t="b">
        <v>1</v>
      </c>
      <c r="M55" s="54" t="b">
        <v>1</v>
      </c>
      <c r="N55" s="54" t="b">
        <v>1</v>
      </c>
      <c r="O55" s="54" t="b">
        <v>1</v>
      </c>
      <c r="P55" s="54" t="b">
        <v>1</v>
      </c>
      <c r="Q55" s="54" t="b">
        <v>1</v>
      </c>
      <c r="R55" s="54" t="b">
        <v>0</v>
      </c>
      <c r="S55" s="54" t="b">
        <v>0</v>
      </c>
      <c r="T55" s="54" t="b">
        <v>0</v>
      </c>
      <c r="U55" s="54" t="b">
        <v>0</v>
      </c>
      <c r="V55" s="54" t="b">
        <v>0</v>
      </c>
      <c r="W55" s="54" t="b">
        <v>0</v>
      </c>
      <c r="X55" s="54" t="b">
        <v>0</v>
      </c>
      <c r="Y55" s="54" t="b">
        <v>0</v>
      </c>
      <c r="Z55" s="54" t="b">
        <v>0</v>
      </c>
      <c r="AA55" s="54" t="b">
        <v>0</v>
      </c>
      <c r="AB55" s="54" t="b">
        <v>0</v>
      </c>
      <c r="AC55" s="54" t="b">
        <v>0</v>
      </c>
      <c r="AD55" s="54" t="b">
        <v>0</v>
      </c>
      <c r="AE55" s="54" t="b">
        <v>0</v>
      </c>
      <c r="AF55" s="54" t="b">
        <v>0</v>
      </c>
      <c r="AG55" s="54" t="b">
        <v>0</v>
      </c>
      <c r="AH55" s="54" t="b">
        <v>1</v>
      </c>
      <c r="AI55" s="54" t="b">
        <v>1</v>
      </c>
      <c r="AJ55" s="54" t="b">
        <v>1</v>
      </c>
      <c r="AK55" s="54" t="b">
        <v>1</v>
      </c>
      <c r="AL55" s="54" t="b">
        <v>1</v>
      </c>
      <c r="AM55" s="54" t="b">
        <v>1</v>
      </c>
      <c r="AN55" s="54" t="b">
        <v>1</v>
      </c>
      <c r="AO55" s="54" t="b">
        <v>1</v>
      </c>
      <c r="AP55" s="54" t="b">
        <v>1</v>
      </c>
      <c r="AQ55" s="54" t="b">
        <v>1</v>
      </c>
      <c r="AR55" s="54" t="b">
        <v>1</v>
      </c>
      <c r="AS55" s="54" t="b">
        <v>1</v>
      </c>
      <c r="AT55" s="54" t="b">
        <v>1</v>
      </c>
      <c r="AU55" s="54" t="b">
        <v>1</v>
      </c>
      <c r="AV55" s="54" t="b">
        <v>1</v>
      </c>
      <c r="AW55" s="54" t="b">
        <v>1</v>
      </c>
      <c r="AX55" s="54" t="b">
        <v>1</v>
      </c>
      <c r="AY55" s="54" t="b">
        <v>1</v>
      </c>
      <c r="AZ55" s="54" t="b">
        <v>0</v>
      </c>
      <c r="BA55" s="54" t="b">
        <v>0</v>
      </c>
      <c r="BB55" s="54" t="b">
        <v>1</v>
      </c>
      <c r="BC55" s="54" t="b">
        <v>1</v>
      </c>
      <c r="BD55" s="54" t="b">
        <v>1</v>
      </c>
      <c r="BE55" s="54" t="b">
        <v>1</v>
      </c>
      <c r="BF55" s="54" t="b">
        <v>1</v>
      </c>
      <c r="BG55" s="54" t="b">
        <v>1</v>
      </c>
      <c r="BH55" s="54" t="b">
        <v>1</v>
      </c>
      <c r="BI55" s="54" t="b">
        <v>1</v>
      </c>
      <c r="BJ55" s="54" t="b">
        <v>1</v>
      </c>
      <c r="BK55" s="54" t="b">
        <v>1</v>
      </c>
      <c r="BL55" s="54" t="b">
        <v>1</v>
      </c>
      <c r="BM55" s="54" t="b">
        <v>1</v>
      </c>
      <c r="BN55" s="54" t="b">
        <v>1</v>
      </c>
      <c r="BO55" s="54" t="b">
        <v>1</v>
      </c>
    </row>
    <row r="56" hidden="1" outlineLevel="1">
      <c r="A56" s="47" t="str">
        <f>A55&amp;C56</f>
        <v>MayGANESHOT HOURS</v>
      </c>
      <c r="B56" s="48"/>
      <c r="C56" s="49" t="s">
        <v>120</v>
      </c>
      <c r="D56" s="33"/>
      <c r="E56" s="45">
        <f>SUM(F56:BO56)</f>
        <v>30</v>
      </c>
      <c r="F56" s="50"/>
      <c r="G56" s="33"/>
      <c r="H56" s="50"/>
      <c r="I56" s="33"/>
      <c r="J56" s="50"/>
      <c r="K56" s="33"/>
      <c r="L56" s="50">
        <v>2.0</v>
      </c>
      <c r="M56" s="33"/>
      <c r="N56" s="50"/>
      <c r="O56" s="33"/>
      <c r="P56" s="50"/>
      <c r="Q56" s="33"/>
      <c r="R56" s="50"/>
      <c r="S56" s="33"/>
      <c r="T56" s="50"/>
      <c r="U56" s="33"/>
      <c r="V56" s="50"/>
      <c r="W56" s="33"/>
      <c r="X56" s="50"/>
      <c r="Y56" s="33"/>
      <c r="Z56" s="50"/>
      <c r="AA56" s="33"/>
      <c r="AB56" s="50"/>
      <c r="AC56" s="33"/>
      <c r="AD56" s="50"/>
      <c r="AE56" s="33"/>
      <c r="AF56" s="50"/>
      <c r="AG56" s="33"/>
      <c r="AH56" s="50">
        <v>2.0</v>
      </c>
      <c r="AI56" s="33"/>
      <c r="AJ56" s="50">
        <v>2.0</v>
      </c>
      <c r="AK56" s="33"/>
      <c r="AL56" s="50">
        <v>2.0</v>
      </c>
      <c r="AM56" s="33"/>
      <c r="AN56" s="50">
        <v>2.0</v>
      </c>
      <c r="AO56" s="33"/>
      <c r="AP56" s="50"/>
      <c r="AQ56" s="33"/>
      <c r="AR56" s="50">
        <v>2.0</v>
      </c>
      <c r="AS56" s="33"/>
      <c r="AT56" s="50"/>
      <c r="AU56" s="33"/>
      <c r="AV56" s="50">
        <v>2.0</v>
      </c>
      <c r="AW56" s="33"/>
      <c r="AX56" s="50">
        <v>1.0</v>
      </c>
      <c r="AY56" s="33"/>
      <c r="AZ56" s="50"/>
      <c r="BA56" s="33"/>
      <c r="BB56" s="50"/>
      <c r="BC56" s="33"/>
      <c r="BD56" s="50"/>
      <c r="BE56" s="33"/>
      <c r="BF56" s="50">
        <v>7.0</v>
      </c>
      <c r="BG56" s="33"/>
      <c r="BH56" s="50">
        <v>4.0</v>
      </c>
      <c r="BI56" s="33"/>
      <c r="BJ56" s="50">
        <v>4.0</v>
      </c>
      <c r="BK56" s="33"/>
      <c r="BL56" s="50"/>
      <c r="BM56" s="33"/>
      <c r="BN56" s="50"/>
      <c r="BO56" s="33"/>
    </row>
    <row r="57" hidden="1" outlineLevel="1">
      <c r="A57" s="42" t="str">
        <f>B57&amp;D57</f>
        <v>MayVASANTHA</v>
      </c>
      <c r="B57" s="43" t="s">
        <v>12</v>
      </c>
      <c r="C57" s="43" t="s">
        <v>13</v>
      </c>
      <c r="D57" s="44" t="str">
        <f>IFERROR(VLOOKUP(C57,'Employees List'!$B$2:$C$28,2,0),"")</f>
        <v>VASANTHA</v>
      </c>
      <c r="E57" s="45">
        <f>(F57+G57+H57+I57+J57+K57+L57+M57+N57+O57+P57+Q57+R57+S57+T57+U57+V57+W57+X57+Y57+Z57+AA57+AB57+AC57+AD57+AE57+AF57+AG57+AH57+AI57+AJ57+AK57+AL57+AM57+AN57+AO57+AP57+AQ57+AR57+AS57+AT57+AU57+AV57+AW57+AX57+AY57+AZ57+BA57+BB57+BC57+BD57+BE57+BF57+BG57+BH57+BI57+BJ57+BK57+BL57+BM57+BN57+BO57)/2</f>
        <v>28.5</v>
      </c>
      <c r="F57" s="54" t="b">
        <v>1</v>
      </c>
      <c r="G57" s="54" t="b">
        <v>1</v>
      </c>
      <c r="H57" s="54" t="b">
        <v>1</v>
      </c>
      <c r="I57" s="54" t="b">
        <v>1</v>
      </c>
      <c r="J57" s="54" t="b">
        <v>1</v>
      </c>
      <c r="K57" s="54" t="b">
        <v>1</v>
      </c>
      <c r="L57" s="54" t="b">
        <v>1</v>
      </c>
      <c r="M57" s="54" t="b">
        <v>1</v>
      </c>
      <c r="N57" s="54" t="b">
        <v>1</v>
      </c>
      <c r="O57" s="54" t="b">
        <v>1</v>
      </c>
      <c r="P57" s="54" t="b">
        <v>1</v>
      </c>
      <c r="Q57" s="54" t="b">
        <v>1</v>
      </c>
      <c r="R57" s="54" t="b">
        <v>1</v>
      </c>
      <c r="S57" s="54" t="b">
        <v>1</v>
      </c>
      <c r="T57" s="54" t="b">
        <v>1</v>
      </c>
      <c r="U57" s="54" t="b">
        <v>1</v>
      </c>
      <c r="V57" s="54" t="b">
        <v>0</v>
      </c>
      <c r="W57" s="54" t="b">
        <v>1</v>
      </c>
      <c r="X57" s="54" t="b">
        <v>1</v>
      </c>
      <c r="Y57" s="54" t="b">
        <v>1</v>
      </c>
      <c r="Z57" s="54" t="b">
        <v>1</v>
      </c>
      <c r="AA57" s="54" t="b">
        <v>1</v>
      </c>
      <c r="AB57" s="54" t="b">
        <v>1</v>
      </c>
      <c r="AC57" s="54" t="b">
        <v>1</v>
      </c>
      <c r="AD57" s="54" t="b">
        <v>1</v>
      </c>
      <c r="AE57" s="54" t="b">
        <v>1</v>
      </c>
      <c r="AF57" s="54" t="b">
        <v>0</v>
      </c>
      <c r="AG57" s="54" t="b">
        <v>0</v>
      </c>
      <c r="AH57" s="54" t="b">
        <v>0</v>
      </c>
      <c r="AI57" s="54" t="b">
        <v>0</v>
      </c>
      <c r="AJ57" s="54" t="b">
        <v>1</v>
      </c>
      <c r="AK57" s="54" t="b">
        <v>1</v>
      </c>
      <c r="AL57" s="54" t="b">
        <v>1</v>
      </c>
      <c r="AM57" s="54" t="b">
        <v>1</v>
      </c>
      <c r="AN57" s="54" t="b">
        <v>1</v>
      </c>
      <c r="AO57" s="54" t="b">
        <v>1</v>
      </c>
      <c r="AP57" s="54" t="b">
        <v>1</v>
      </c>
      <c r="AQ57" s="54" t="b">
        <v>1</v>
      </c>
      <c r="AR57" s="54" t="b">
        <v>1</v>
      </c>
      <c r="AS57" s="54" t="b">
        <v>1</v>
      </c>
      <c r="AT57" s="54" t="b">
        <v>1</v>
      </c>
      <c r="AU57" s="54" t="b">
        <v>1</v>
      </c>
      <c r="AV57" s="54" t="b">
        <v>1</v>
      </c>
      <c r="AW57" s="54" t="b">
        <v>1</v>
      </c>
      <c r="AX57" s="54" t="b">
        <v>1</v>
      </c>
      <c r="AY57" s="54" t="b">
        <v>1</v>
      </c>
      <c r="AZ57" s="54" t="b">
        <v>1</v>
      </c>
      <c r="BA57" s="54" t="b">
        <v>1</v>
      </c>
      <c r="BB57" s="54" t="b">
        <v>1</v>
      </c>
      <c r="BC57" s="54" t="b">
        <v>1</v>
      </c>
      <c r="BD57" s="54" t="b">
        <v>1</v>
      </c>
      <c r="BE57" s="54" t="b">
        <v>1</v>
      </c>
      <c r="BF57" s="54" t="b">
        <v>1</v>
      </c>
      <c r="BG57" s="54" t="b">
        <v>1</v>
      </c>
      <c r="BH57" s="54" t="b">
        <v>1</v>
      </c>
      <c r="BI57" s="54" t="b">
        <v>1</v>
      </c>
      <c r="BJ57" s="54" t="b">
        <v>1</v>
      </c>
      <c r="BK57" s="54" t="b">
        <v>1</v>
      </c>
      <c r="BL57" s="54" t="b">
        <v>1</v>
      </c>
      <c r="BM57" s="54" t="b">
        <v>1</v>
      </c>
      <c r="BN57" s="54" t="b">
        <v>1</v>
      </c>
      <c r="BO57" s="54" t="b">
        <v>1</v>
      </c>
    </row>
    <row r="58" hidden="1" outlineLevel="1">
      <c r="A58" s="47" t="str">
        <f>A57&amp;C58</f>
        <v>MayVASANTHAOT HOURS</v>
      </c>
      <c r="B58" s="48"/>
      <c r="C58" s="49" t="s">
        <v>120</v>
      </c>
      <c r="D58" s="33"/>
      <c r="E58" s="45">
        <f>SUM(F58:BO58)</f>
        <v>18</v>
      </c>
      <c r="F58" s="50"/>
      <c r="G58" s="33"/>
      <c r="H58" s="50">
        <v>2.0</v>
      </c>
      <c r="I58" s="33"/>
      <c r="J58" s="50"/>
      <c r="K58" s="33"/>
      <c r="L58" s="50">
        <v>2.0</v>
      </c>
      <c r="M58" s="33"/>
      <c r="N58" s="50"/>
      <c r="O58" s="33"/>
      <c r="P58" s="50">
        <v>2.0</v>
      </c>
      <c r="Q58" s="33"/>
      <c r="R58" s="50"/>
      <c r="S58" s="33"/>
      <c r="T58" s="50"/>
      <c r="U58" s="33"/>
      <c r="V58" s="50"/>
      <c r="W58" s="33"/>
      <c r="X58" s="50">
        <v>2.0</v>
      </c>
      <c r="Y58" s="33"/>
      <c r="Z58" s="50">
        <v>2.0</v>
      </c>
      <c r="AA58" s="33"/>
      <c r="AB58" s="50"/>
      <c r="AC58" s="33"/>
      <c r="AD58" s="50">
        <v>2.0</v>
      </c>
      <c r="AE58" s="33"/>
      <c r="AF58" s="50"/>
      <c r="AG58" s="33"/>
      <c r="AH58" s="50"/>
      <c r="AI58" s="33"/>
      <c r="AJ58" s="50">
        <v>2.0</v>
      </c>
      <c r="AK58" s="33"/>
      <c r="AL58" s="50">
        <v>2.0</v>
      </c>
      <c r="AM58" s="33"/>
      <c r="AN58" s="50"/>
      <c r="AO58" s="33"/>
      <c r="AP58" s="50"/>
      <c r="AQ58" s="33"/>
      <c r="AR58" s="50"/>
      <c r="AS58" s="33"/>
      <c r="AT58" s="50"/>
      <c r="AU58" s="33"/>
      <c r="AV58" s="50"/>
      <c r="AW58" s="33"/>
      <c r="AX58" s="50"/>
      <c r="AY58" s="33"/>
      <c r="AZ58" s="50"/>
      <c r="BA58" s="33"/>
      <c r="BB58" s="50"/>
      <c r="BC58" s="33"/>
      <c r="BD58" s="50"/>
      <c r="BE58" s="33"/>
      <c r="BF58" s="50">
        <v>2.0</v>
      </c>
      <c r="BG58" s="33"/>
      <c r="BH58" s="50"/>
      <c r="BI58" s="33"/>
      <c r="BJ58" s="50"/>
      <c r="BK58" s="33"/>
      <c r="BL58" s="50"/>
      <c r="BM58" s="33"/>
      <c r="BN58" s="50"/>
      <c r="BO58" s="33"/>
    </row>
    <row r="59" hidden="1" outlineLevel="1">
      <c r="A59" s="42" t="str">
        <f>B59&amp;D59</f>
        <v>MaySUNDARI</v>
      </c>
      <c r="B59" s="43" t="s">
        <v>12</v>
      </c>
      <c r="C59" s="43" t="s">
        <v>64</v>
      </c>
      <c r="D59" s="44" t="str">
        <f>IFERROR(VLOOKUP(C59,'Employees List'!$B$2:$C$28,2,0),"")</f>
        <v>SUNDARI</v>
      </c>
      <c r="E59" s="45">
        <f>(F59+G59+H59+I59+J59+K59+L59+M59+N59+O59+P59+Q59+R59+S59+T59+U59+V59+W59+X59+Y59+Z59+AA59+AB59+AC59+AD59+AE59+AF59+AG59+AH59+AI59+AJ59+AK59+AL59+AM59+AN59+AO59+AP59+AQ59+AR59+AS59+AT59+AU59+AV59+AW59+AX59+AY59+AZ59+BA59+BB59+BC59+BD59+BE59+BF59+BG59+BH59+BI59+BJ59+BK59+BL59+BM59+BN59+BO59)/2</f>
        <v>31</v>
      </c>
      <c r="F59" s="54" t="b">
        <v>1</v>
      </c>
      <c r="G59" s="54" t="b">
        <v>1</v>
      </c>
      <c r="H59" s="54" t="b">
        <v>1</v>
      </c>
      <c r="I59" s="54" t="b">
        <v>1</v>
      </c>
      <c r="J59" s="54" t="b">
        <v>1</v>
      </c>
      <c r="K59" s="54" t="b">
        <v>1</v>
      </c>
      <c r="L59" s="54" t="b">
        <v>1</v>
      </c>
      <c r="M59" s="54" t="b">
        <v>1</v>
      </c>
      <c r="N59" s="54" t="b">
        <v>1</v>
      </c>
      <c r="O59" s="54" t="b">
        <v>1</v>
      </c>
      <c r="P59" s="54" t="b">
        <v>1</v>
      </c>
      <c r="Q59" s="54" t="b">
        <v>1</v>
      </c>
      <c r="R59" s="54" t="b">
        <v>1</v>
      </c>
      <c r="S59" s="54" t="b">
        <v>1</v>
      </c>
      <c r="T59" s="54" t="b">
        <v>1</v>
      </c>
      <c r="U59" s="54" t="b">
        <v>1</v>
      </c>
      <c r="V59" s="54" t="b">
        <v>1</v>
      </c>
      <c r="W59" s="54" t="b">
        <v>1</v>
      </c>
      <c r="X59" s="54" t="b">
        <v>1</v>
      </c>
      <c r="Y59" s="54" t="b">
        <v>1</v>
      </c>
      <c r="Z59" s="54" t="b">
        <v>1</v>
      </c>
      <c r="AA59" s="54" t="b">
        <v>1</v>
      </c>
      <c r="AB59" s="54" t="b">
        <v>1</v>
      </c>
      <c r="AC59" s="54" t="b">
        <v>1</v>
      </c>
      <c r="AD59" s="54" t="b">
        <v>1</v>
      </c>
      <c r="AE59" s="54" t="b">
        <v>1</v>
      </c>
      <c r="AF59" s="54" t="b">
        <v>1</v>
      </c>
      <c r="AG59" s="54" t="b">
        <v>1</v>
      </c>
      <c r="AH59" s="54" t="b">
        <v>1</v>
      </c>
      <c r="AI59" s="54" t="b">
        <v>1</v>
      </c>
      <c r="AJ59" s="54" t="b">
        <v>1</v>
      </c>
      <c r="AK59" s="54" t="b">
        <v>1</v>
      </c>
      <c r="AL59" s="54" t="b">
        <v>1</v>
      </c>
      <c r="AM59" s="54" t="b">
        <v>1</v>
      </c>
      <c r="AN59" s="54" t="b">
        <v>1</v>
      </c>
      <c r="AO59" s="54" t="b">
        <v>1</v>
      </c>
      <c r="AP59" s="54" t="b">
        <v>1</v>
      </c>
      <c r="AQ59" s="54" t="b">
        <v>1</v>
      </c>
      <c r="AR59" s="54" t="b">
        <v>1</v>
      </c>
      <c r="AS59" s="54" t="b">
        <v>1</v>
      </c>
      <c r="AT59" s="54" t="b">
        <v>1</v>
      </c>
      <c r="AU59" s="54" t="b">
        <v>1</v>
      </c>
      <c r="AV59" s="54" t="b">
        <v>1</v>
      </c>
      <c r="AW59" s="54" t="b">
        <v>1</v>
      </c>
      <c r="AX59" s="54" t="b">
        <v>1</v>
      </c>
      <c r="AY59" s="54" t="b">
        <v>1</v>
      </c>
      <c r="AZ59" s="54" t="b">
        <v>1</v>
      </c>
      <c r="BA59" s="54" t="b">
        <v>1</v>
      </c>
      <c r="BB59" s="54" t="b">
        <v>1</v>
      </c>
      <c r="BC59" s="54" t="b">
        <v>1</v>
      </c>
      <c r="BD59" s="54" t="b">
        <v>1</v>
      </c>
      <c r="BE59" s="54" t="b">
        <v>1</v>
      </c>
      <c r="BF59" s="54" t="b">
        <v>1</v>
      </c>
      <c r="BG59" s="54" t="b">
        <v>1</v>
      </c>
      <c r="BH59" s="54" t="b">
        <v>1</v>
      </c>
      <c r="BI59" s="54" t="b">
        <v>1</v>
      </c>
      <c r="BJ59" s="54" t="b">
        <v>1</v>
      </c>
      <c r="BK59" s="54" t="b">
        <v>1</v>
      </c>
      <c r="BL59" s="54" t="b">
        <v>1</v>
      </c>
      <c r="BM59" s="54" t="b">
        <v>1</v>
      </c>
      <c r="BN59" s="54" t="b">
        <v>1</v>
      </c>
      <c r="BO59" s="54" t="b">
        <v>1</v>
      </c>
    </row>
    <row r="60" hidden="1" outlineLevel="1">
      <c r="A60" s="47" t="str">
        <f>A59&amp;C60</f>
        <v>MaySUNDARIOT HOURS</v>
      </c>
      <c r="B60" s="48"/>
      <c r="C60" s="49" t="s">
        <v>120</v>
      </c>
      <c r="D60" s="33"/>
      <c r="E60" s="45">
        <f>SUM(F60:BO60)</f>
        <v>8</v>
      </c>
      <c r="F60" s="50"/>
      <c r="G60" s="33"/>
      <c r="H60" s="50"/>
      <c r="I60" s="33"/>
      <c r="J60" s="50"/>
      <c r="K60" s="33"/>
      <c r="L60" s="50"/>
      <c r="M60" s="33"/>
      <c r="N60" s="50"/>
      <c r="O60" s="33"/>
      <c r="P60" s="50"/>
      <c r="Q60" s="33"/>
      <c r="R60" s="50"/>
      <c r="S60" s="33"/>
      <c r="T60" s="50"/>
      <c r="U60" s="33"/>
      <c r="V60" s="50"/>
      <c r="W60" s="33"/>
      <c r="X60" s="50">
        <v>2.0</v>
      </c>
      <c r="Y60" s="33"/>
      <c r="Z60" s="50">
        <v>1.0</v>
      </c>
      <c r="AA60" s="33"/>
      <c r="AB60" s="50"/>
      <c r="AC60" s="33"/>
      <c r="AD60" s="50"/>
      <c r="AE60" s="33"/>
      <c r="AF60" s="50"/>
      <c r="AG60" s="33"/>
      <c r="AH60" s="50"/>
      <c r="AI60" s="33"/>
      <c r="AJ60" s="50"/>
      <c r="AK60" s="33"/>
      <c r="AL60" s="50"/>
      <c r="AM60" s="33"/>
      <c r="AN60" s="50"/>
      <c r="AO60" s="33"/>
      <c r="AP60" s="50"/>
      <c r="AQ60" s="33"/>
      <c r="AR60" s="50">
        <v>1.0</v>
      </c>
      <c r="AS60" s="33"/>
      <c r="AT60" s="50"/>
      <c r="AU60" s="33"/>
      <c r="AV60" s="50"/>
      <c r="AW60" s="33"/>
      <c r="AX60" s="50"/>
      <c r="AY60" s="33"/>
      <c r="AZ60" s="50">
        <v>1.0</v>
      </c>
      <c r="BA60" s="33"/>
      <c r="BB60" s="50">
        <v>1.0</v>
      </c>
      <c r="BC60" s="33"/>
      <c r="BD60" s="50"/>
      <c r="BE60" s="33"/>
      <c r="BF60" s="50"/>
      <c r="BG60" s="33"/>
      <c r="BH60" s="50">
        <v>1.0</v>
      </c>
      <c r="BI60" s="33"/>
      <c r="BJ60" s="50">
        <v>1.0</v>
      </c>
      <c r="BK60" s="33"/>
      <c r="BL60" s="50"/>
      <c r="BM60" s="33"/>
      <c r="BN60" s="50"/>
      <c r="BO60" s="33"/>
    </row>
    <row r="61" hidden="1" outlineLevel="1">
      <c r="A61" s="42" t="str">
        <f>B61&amp;D61</f>
        <v>MayADHIKARI BALIA</v>
      </c>
      <c r="B61" s="43" t="s">
        <v>12</v>
      </c>
      <c r="C61" s="43" t="s">
        <v>22</v>
      </c>
      <c r="D61" s="44" t="str">
        <f>IFERROR(VLOOKUP(C61,'Employees List'!$B$2:$C$28,2,0),"")</f>
        <v>ADHIKARI BALIA</v>
      </c>
      <c r="E61" s="45">
        <f>(F61+G61+H61+I61+J61+K61+L61+M61+N61+O61+P61+Q61+R61+S61+T61+U61+V61+W61+X61+Y61+Z61+AA61+AB61+AC61+AD61+AE61+AF61+AG61+AH61+AI61+AJ61+AK61+AL61+AM61+AN61+AO61+AP61+AQ61+AR61+AS61+AT61+AU61+AV61+AW61+AX61+AY61+AZ61+BA61+BB61+BC61+BD61+BE61+BF61+BG61+BH61+BI61+BJ61+BK61+BL61+BM61+BN61+BO61)/2</f>
        <v>18.5</v>
      </c>
      <c r="F61" s="54" t="b">
        <v>0</v>
      </c>
      <c r="G61" s="54" t="b">
        <v>0</v>
      </c>
      <c r="H61" s="54" t="b">
        <v>0</v>
      </c>
      <c r="I61" s="54" t="b">
        <v>0</v>
      </c>
      <c r="J61" s="54" t="b">
        <v>0</v>
      </c>
      <c r="K61" s="54" t="b">
        <v>0</v>
      </c>
      <c r="L61" s="54" t="b">
        <v>0</v>
      </c>
      <c r="M61" s="54" t="b">
        <v>0</v>
      </c>
      <c r="N61" s="54" t="b">
        <v>0</v>
      </c>
      <c r="O61" s="54" t="b">
        <v>0</v>
      </c>
      <c r="P61" s="54" t="b">
        <v>0</v>
      </c>
      <c r="Q61" s="54" t="b">
        <v>0</v>
      </c>
      <c r="R61" s="54" t="b">
        <v>0</v>
      </c>
      <c r="S61" s="54" t="b">
        <v>0</v>
      </c>
      <c r="T61" s="54" t="b">
        <v>0</v>
      </c>
      <c r="U61" s="54" t="b">
        <v>0</v>
      </c>
      <c r="V61" s="54" t="b">
        <v>0</v>
      </c>
      <c r="W61" s="54" t="b">
        <v>0</v>
      </c>
      <c r="X61" s="54" t="b">
        <v>0</v>
      </c>
      <c r="Y61" s="54" t="b">
        <v>0</v>
      </c>
      <c r="Z61" s="54" t="b">
        <v>0</v>
      </c>
      <c r="AA61" s="54" t="b">
        <v>0</v>
      </c>
      <c r="AB61" s="54" t="b">
        <v>0</v>
      </c>
      <c r="AC61" s="54" t="b">
        <v>0</v>
      </c>
      <c r="AD61" s="54" t="b">
        <v>1</v>
      </c>
      <c r="AE61" s="54" t="b">
        <v>1</v>
      </c>
      <c r="AF61" s="54" t="b">
        <v>1</v>
      </c>
      <c r="AG61" s="54" t="b">
        <v>1</v>
      </c>
      <c r="AH61" s="54" t="b">
        <v>1</v>
      </c>
      <c r="AI61" s="54" t="b">
        <v>1</v>
      </c>
      <c r="AJ61" s="54" t="b">
        <v>1</v>
      </c>
      <c r="AK61" s="54" t="b">
        <v>1</v>
      </c>
      <c r="AL61" s="54" t="b">
        <v>1</v>
      </c>
      <c r="AM61" s="54" t="b">
        <v>1</v>
      </c>
      <c r="AN61" s="54" t="b">
        <v>1</v>
      </c>
      <c r="AO61" s="54" t="b">
        <v>1</v>
      </c>
      <c r="AP61" s="54" t="b">
        <v>1</v>
      </c>
      <c r="AQ61" s="54" t="b">
        <v>1</v>
      </c>
      <c r="AR61" s="54" t="b">
        <v>1</v>
      </c>
      <c r="AS61" s="54" t="b">
        <v>0</v>
      </c>
      <c r="AT61" s="54" t="b">
        <v>1</v>
      </c>
      <c r="AU61" s="54" t="b">
        <v>1</v>
      </c>
      <c r="AV61" s="54" t="b">
        <v>1</v>
      </c>
      <c r="AW61" s="54" t="b">
        <v>1</v>
      </c>
      <c r="AX61" s="54" t="b">
        <v>1</v>
      </c>
      <c r="AY61" s="54" t="b">
        <v>1</v>
      </c>
      <c r="AZ61" s="54" t="b">
        <v>1</v>
      </c>
      <c r="BA61" s="54" t="b">
        <v>1</v>
      </c>
      <c r="BB61" s="54" t="b">
        <v>1</v>
      </c>
      <c r="BC61" s="54" t="b">
        <v>1</v>
      </c>
      <c r="BD61" s="54" t="b">
        <v>1</v>
      </c>
      <c r="BE61" s="54" t="b">
        <v>1</v>
      </c>
      <c r="BF61" s="54" t="b">
        <v>1</v>
      </c>
      <c r="BG61" s="54" t="b">
        <v>1</v>
      </c>
      <c r="BH61" s="54" t="b">
        <v>1</v>
      </c>
      <c r="BI61" s="54" t="b">
        <v>1</v>
      </c>
      <c r="BJ61" s="54" t="b">
        <v>1</v>
      </c>
      <c r="BK61" s="54" t="b">
        <v>1</v>
      </c>
      <c r="BL61" s="54" t="b">
        <v>1</v>
      </c>
      <c r="BM61" s="54" t="b">
        <v>1</v>
      </c>
      <c r="BN61" s="54" t="b">
        <v>1</v>
      </c>
      <c r="BO61" s="54" t="b">
        <v>1</v>
      </c>
    </row>
    <row r="62" hidden="1" outlineLevel="1">
      <c r="A62" s="47" t="str">
        <f>A61&amp;C62</f>
        <v>MayADHIKARI BALIAOT HOURS</v>
      </c>
      <c r="B62" s="48"/>
      <c r="C62" s="49" t="s">
        <v>120</v>
      </c>
      <c r="D62" s="33"/>
      <c r="E62" s="45">
        <f>SUM(F62:BO62)</f>
        <v>73</v>
      </c>
      <c r="F62" s="50"/>
      <c r="G62" s="33"/>
      <c r="H62" s="50"/>
      <c r="I62" s="33"/>
      <c r="J62" s="50"/>
      <c r="K62" s="33"/>
      <c r="L62" s="50"/>
      <c r="M62" s="33"/>
      <c r="N62" s="50"/>
      <c r="O62" s="33"/>
      <c r="P62" s="50"/>
      <c r="Q62" s="33"/>
      <c r="R62" s="50"/>
      <c r="S62" s="33"/>
      <c r="T62" s="50"/>
      <c r="U62" s="33"/>
      <c r="V62" s="50"/>
      <c r="W62" s="33"/>
      <c r="X62" s="50"/>
      <c r="Y62" s="33"/>
      <c r="Z62" s="50"/>
      <c r="AA62" s="33"/>
      <c r="AB62" s="50"/>
      <c r="AC62" s="33"/>
      <c r="AD62" s="50">
        <v>4.0</v>
      </c>
      <c r="AE62" s="33"/>
      <c r="AF62" s="50">
        <v>2.0</v>
      </c>
      <c r="AG62" s="33"/>
      <c r="AH62" s="50">
        <v>6.0</v>
      </c>
      <c r="AI62" s="33"/>
      <c r="AJ62" s="50">
        <v>2.0</v>
      </c>
      <c r="AK62" s="33"/>
      <c r="AL62" s="50">
        <v>4.0</v>
      </c>
      <c r="AM62" s="33"/>
      <c r="AN62" s="50">
        <v>8.0</v>
      </c>
      <c r="AO62" s="33"/>
      <c r="AP62" s="50"/>
      <c r="AQ62" s="33"/>
      <c r="AR62" s="50">
        <v>4.0</v>
      </c>
      <c r="AS62" s="33"/>
      <c r="AT62" s="50">
        <v>7.0</v>
      </c>
      <c r="AU62" s="33"/>
      <c r="AV62" s="50"/>
      <c r="AW62" s="33"/>
      <c r="AX62" s="50">
        <v>2.0</v>
      </c>
      <c r="AY62" s="33"/>
      <c r="AZ62" s="50">
        <v>2.0</v>
      </c>
      <c r="BA62" s="33"/>
      <c r="BB62" s="50">
        <v>7.0</v>
      </c>
      <c r="BC62" s="33"/>
      <c r="BD62" s="50"/>
      <c r="BE62" s="33"/>
      <c r="BF62" s="50">
        <v>9.0</v>
      </c>
      <c r="BG62" s="33"/>
      <c r="BH62" s="50">
        <v>8.0</v>
      </c>
      <c r="BI62" s="33"/>
      <c r="BJ62" s="50">
        <v>4.0</v>
      </c>
      <c r="BK62" s="33"/>
      <c r="BL62" s="50">
        <v>2.0</v>
      </c>
      <c r="BM62" s="33"/>
      <c r="BN62" s="50">
        <v>2.0</v>
      </c>
      <c r="BO62" s="33"/>
    </row>
    <row r="63" hidden="1" outlineLevel="1">
      <c r="A63" s="42" t="str">
        <f>B63&amp;D63</f>
        <v>MayMathi</v>
      </c>
      <c r="B63" s="43" t="s">
        <v>12</v>
      </c>
      <c r="C63" s="43" t="s">
        <v>70</v>
      </c>
      <c r="D63" s="44" t="str">
        <f>IFERROR(VLOOKUP(C63,'Employees List'!$B$2:$C$28,2,0),"")</f>
        <v>Mathi</v>
      </c>
      <c r="E63" s="45">
        <f>(F63+G63+H63+I63+J63+K63+L63+M63+N63+O63+P63+Q63+R63+S63+T63+U63+V63+W63+X63+Y63+Z63+AA63+AB63+AC63+AD63+AE63+AF63+AG63+AH63+AI63+AJ63+AK63+AL63+AM63+AN63+AO63+AP63+AQ63+AR63+AS63+AT63+AU63+AV63+AW63+AX63+AY63+AZ63+BA63+BB63+BC63+BD63+BE63+BF63+BG63+BH63+BI63+BJ63+BK63+BL63+BM63+BN63+BO63)/2</f>
        <v>30.5</v>
      </c>
      <c r="F63" s="54" t="b">
        <v>1</v>
      </c>
      <c r="G63" s="54" t="b">
        <v>1</v>
      </c>
      <c r="H63" s="54" t="b">
        <v>1</v>
      </c>
      <c r="I63" s="54" t="b">
        <v>1</v>
      </c>
      <c r="J63" s="54" t="b">
        <v>1</v>
      </c>
      <c r="K63" s="54" t="b">
        <v>1</v>
      </c>
      <c r="L63" s="54" t="b">
        <v>1</v>
      </c>
      <c r="M63" s="54" t="b">
        <v>1</v>
      </c>
      <c r="N63" s="54" t="b">
        <v>1</v>
      </c>
      <c r="O63" s="54" t="b">
        <v>1</v>
      </c>
      <c r="P63" s="54" t="b">
        <v>1</v>
      </c>
      <c r="Q63" s="54" t="b">
        <v>1</v>
      </c>
      <c r="R63" s="54" t="b">
        <v>1</v>
      </c>
      <c r="S63" s="54" t="b">
        <v>1</v>
      </c>
      <c r="T63" s="54" t="b">
        <v>1</v>
      </c>
      <c r="U63" s="54" t="b">
        <v>1</v>
      </c>
      <c r="V63" s="54" t="b">
        <v>1</v>
      </c>
      <c r="W63" s="54" t="b">
        <v>1</v>
      </c>
      <c r="X63" s="54" t="b">
        <v>1</v>
      </c>
      <c r="Y63" s="54" t="b">
        <v>1</v>
      </c>
      <c r="Z63" s="54" t="b">
        <v>1</v>
      </c>
      <c r="AA63" s="54" t="b">
        <v>1</v>
      </c>
      <c r="AB63" s="54" t="b">
        <v>1</v>
      </c>
      <c r="AC63" s="54" t="b">
        <v>1</v>
      </c>
      <c r="AD63" s="54" t="b">
        <v>1</v>
      </c>
      <c r="AE63" s="54" t="b">
        <v>1</v>
      </c>
      <c r="AF63" s="54" t="b">
        <v>1</v>
      </c>
      <c r="AG63" s="54" t="b">
        <v>1</v>
      </c>
      <c r="AH63" s="54" t="b">
        <v>1</v>
      </c>
      <c r="AI63" s="54" t="b">
        <v>1</v>
      </c>
      <c r="AJ63" s="54" t="b">
        <v>1</v>
      </c>
      <c r="AK63" s="54" t="b">
        <v>1</v>
      </c>
      <c r="AL63" s="54" t="b">
        <v>1</v>
      </c>
      <c r="AM63" s="54" t="b">
        <v>1</v>
      </c>
      <c r="AN63" s="54" t="b">
        <v>1</v>
      </c>
      <c r="AO63" s="54" t="b">
        <v>1</v>
      </c>
      <c r="AP63" s="54" t="b">
        <v>1</v>
      </c>
      <c r="AQ63" s="54" t="b">
        <v>1</v>
      </c>
      <c r="AR63" s="54" t="b">
        <v>1</v>
      </c>
      <c r="AS63" s="54" t="b">
        <v>1</v>
      </c>
      <c r="AT63" s="54" t="b">
        <v>1</v>
      </c>
      <c r="AU63" s="54" t="b">
        <v>1</v>
      </c>
      <c r="AV63" s="54" t="b">
        <v>1</v>
      </c>
      <c r="AW63" s="54" t="b">
        <v>1</v>
      </c>
      <c r="AX63" s="54" t="b">
        <v>1</v>
      </c>
      <c r="AY63" s="54" t="b">
        <v>1</v>
      </c>
      <c r="AZ63" s="54" t="b">
        <v>1</v>
      </c>
      <c r="BA63" s="54" t="b">
        <v>1</v>
      </c>
      <c r="BB63" s="54" t="b">
        <v>1</v>
      </c>
      <c r="BC63" s="54" t="b">
        <v>1</v>
      </c>
      <c r="BD63" s="54" t="b">
        <v>1</v>
      </c>
      <c r="BE63" s="54" t="b">
        <v>1</v>
      </c>
      <c r="BF63" s="54" t="b">
        <v>1</v>
      </c>
      <c r="BG63" s="54" t="b">
        <v>1</v>
      </c>
      <c r="BH63" s="54" t="b">
        <v>0</v>
      </c>
      <c r="BI63" s="54" t="b">
        <v>1</v>
      </c>
      <c r="BJ63" s="54" t="b">
        <v>1</v>
      </c>
      <c r="BK63" s="54" t="b">
        <v>1</v>
      </c>
      <c r="BL63" s="54" t="b">
        <v>1</v>
      </c>
      <c r="BM63" s="54" t="b">
        <v>1</v>
      </c>
      <c r="BN63" s="54" t="b">
        <v>1</v>
      </c>
      <c r="BO63" s="54" t="b">
        <v>1</v>
      </c>
    </row>
    <row r="64" hidden="1" outlineLevel="1">
      <c r="A64" s="47" t="str">
        <f>A63&amp;C64</f>
        <v>MayMathiOT HOURS</v>
      </c>
      <c r="B64" s="48"/>
      <c r="C64" s="49" t="s">
        <v>120</v>
      </c>
      <c r="D64" s="33"/>
      <c r="E64" s="45">
        <f>SUM(F64:BO64)</f>
        <v>50</v>
      </c>
      <c r="F64" s="50"/>
      <c r="G64" s="33"/>
      <c r="H64" s="50">
        <v>4.0</v>
      </c>
      <c r="I64" s="33"/>
      <c r="J64" s="50"/>
      <c r="K64" s="33"/>
      <c r="L64" s="50">
        <v>4.0</v>
      </c>
      <c r="M64" s="33"/>
      <c r="N64" s="50"/>
      <c r="O64" s="33"/>
      <c r="P64" s="50">
        <v>4.0</v>
      </c>
      <c r="Q64" s="33"/>
      <c r="R64" s="50">
        <v>2.0</v>
      </c>
      <c r="S64" s="33"/>
      <c r="T64" s="50"/>
      <c r="U64" s="33"/>
      <c r="V64" s="50">
        <v>3.0</v>
      </c>
      <c r="W64" s="33"/>
      <c r="X64" s="50">
        <v>1.0</v>
      </c>
      <c r="Y64" s="33"/>
      <c r="Z64" s="50">
        <v>1.0</v>
      </c>
      <c r="AA64" s="33"/>
      <c r="AB64" s="50"/>
      <c r="AC64" s="33"/>
      <c r="AD64" s="50">
        <v>3.0</v>
      </c>
      <c r="AE64" s="33"/>
      <c r="AF64" s="50">
        <v>1.0</v>
      </c>
      <c r="AG64" s="33"/>
      <c r="AH64" s="50">
        <v>4.0</v>
      </c>
      <c r="AI64" s="33"/>
      <c r="AJ64" s="50"/>
      <c r="AK64" s="33"/>
      <c r="AL64" s="50">
        <v>2.0</v>
      </c>
      <c r="AM64" s="33"/>
      <c r="AN64" s="50">
        <v>1.0</v>
      </c>
      <c r="AO64" s="33"/>
      <c r="AP64" s="50"/>
      <c r="AQ64" s="33"/>
      <c r="AR64" s="50">
        <v>3.0</v>
      </c>
      <c r="AS64" s="33"/>
      <c r="AT64" s="50">
        <v>1.0</v>
      </c>
      <c r="AU64" s="33"/>
      <c r="AV64" s="50">
        <v>1.0</v>
      </c>
      <c r="AW64" s="33"/>
      <c r="AX64" s="50">
        <v>3.0</v>
      </c>
      <c r="AY64" s="33"/>
      <c r="AZ64" s="50"/>
      <c r="BA64" s="33"/>
      <c r="BB64" s="50"/>
      <c r="BC64" s="33"/>
      <c r="BD64" s="50"/>
      <c r="BE64" s="33"/>
      <c r="BF64" s="50">
        <v>1.0</v>
      </c>
      <c r="BG64" s="33"/>
      <c r="BH64" s="50">
        <v>3.0</v>
      </c>
      <c r="BI64" s="33"/>
      <c r="BJ64" s="50">
        <v>2.0</v>
      </c>
      <c r="BK64" s="33"/>
      <c r="BL64" s="50"/>
      <c r="BM64" s="33"/>
      <c r="BN64" s="50">
        <v>6.0</v>
      </c>
      <c r="BO64" s="33"/>
    </row>
    <row r="65" hidden="1" outlineLevel="1">
      <c r="A65" s="42" t="str">
        <f>B65&amp;D65</f>
        <v>MayRUPESH</v>
      </c>
      <c r="B65" s="43" t="s">
        <v>12</v>
      </c>
      <c r="C65" s="43" t="s">
        <v>26</v>
      </c>
      <c r="D65" s="44" t="str">
        <f>IFERROR(VLOOKUP(C65,'Employees List'!$B$2:$C$28,2,0),"")</f>
        <v>RUPESH</v>
      </c>
      <c r="E65" s="45">
        <f>(F65+G65+H65+I65+J65+K65+L65+M65+N65+O65+P65+Q65+R65+S65+T65+U65+V65+W65+X65+Y65+Z65+AA65+AB65+AC65+AD65+AE65+AF65+AG65+AH65+AI65+AJ65+AK65+AL65+AM65+AN65+AO65+AP65+AQ65+AR65+AS65+AT65+AU65+AV65+AW65+AX65+AY65+AZ65+BA65+BB65+BC65+BD65+BE65+BF65+BG65+BH65+BI65+BJ65+BK65+BL65+BM65+BN65+BO65)/2</f>
        <v>19</v>
      </c>
      <c r="F65" s="54" t="b">
        <v>0</v>
      </c>
      <c r="G65" s="54" t="b">
        <v>0</v>
      </c>
      <c r="H65" s="54" t="b">
        <v>0</v>
      </c>
      <c r="I65" s="54" t="b">
        <v>0</v>
      </c>
      <c r="J65" s="54" t="b">
        <v>0</v>
      </c>
      <c r="K65" s="54" t="b">
        <v>0</v>
      </c>
      <c r="L65" s="54" t="b">
        <v>0</v>
      </c>
      <c r="M65" s="54" t="b">
        <v>0</v>
      </c>
      <c r="N65" s="54" t="b">
        <v>0</v>
      </c>
      <c r="O65" s="54" t="b">
        <v>0</v>
      </c>
      <c r="P65" s="54" t="b">
        <v>0</v>
      </c>
      <c r="Q65" s="54" t="b">
        <v>0</v>
      </c>
      <c r="R65" s="54" t="b">
        <v>0</v>
      </c>
      <c r="S65" s="54" t="b">
        <v>0</v>
      </c>
      <c r="T65" s="54" t="b">
        <v>0</v>
      </c>
      <c r="U65" s="54" t="b">
        <v>0</v>
      </c>
      <c r="V65" s="54" t="b">
        <v>0</v>
      </c>
      <c r="W65" s="54" t="b">
        <v>0</v>
      </c>
      <c r="X65" s="54" t="b">
        <v>0</v>
      </c>
      <c r="Y65" s="54" t="b">
        <v>0</v>
      </c>
      <c r="Z65" s="54" t="b">
        <v>0</v>
      </c>
      <c r="AA65" s="54" t="b">
        <v>0</v>
      </c>
      <c r="AB65" s="54" t="b">
        <v>0</v>
      </c>
      <c r="AC65" s="54" t="b">
        <v>0</v>
      </c>
      <c r="AD65" s="54" t="b">
        <v>1</v>
      </c>
      <c r="AE65" s="54" t="b">
        <v>1</v>
      </c>
      <c r="AF65" s="54" t="b">
        <v>1</v>
      </c>
      <c r="AG65" s="54" t="b">
        <v>1</v>
      </c>
      <c r="AH65" s="54" t="b">
        <v>1</v>
      </c>
      <c r="AI65" s="54" t="b">
        <v>1</v>
      </c>
      <c r="AJ65" s="54" t="b">
        <v>1</v>
      </c>
      <c r="AK65" s="54" t="b">
        <v>1</v>
      </c>
      <c r="AL65" s="54" t="b">
        <v>1</v>
      </c>
      <c r="AM65" s="54" t="b">
        <v>1</v>
      </c>
      <c r="AN65" s="54" t="b">
        <v>1</v>
      </c>
      <c r="AO65" s="54" t="b">
        <v>1</v>
      </c>
      <c r="AP65" s="54" t="b">
        <v>1</v>
      </c>
      <c r="AQ65" s="54" t="b">
        <v>1</v>
      </c>
      <c r="AR65" s="54" t="b">
        <v>1</v>
      </c>
      <c r="AS65" s="54" t="b">
        <v>1</v>
      </c>
      <c r="AT65" s="54" t="b">
        <v>1</v>
      </c>
      <c r="AU65" s="54" t="b">
        <v>1</v>
      </c>
      <c r="AV65" s="54" t="b">
        <v>1</v>
      </c>
      <c r="AW65" s="54" t="b">
        <v>1</v>
      </c>
      <c r="AX65" s="54" t="b">
        <v>1</v>
      </c>
      <c r="AY65" s="54" t="b">
        <v>1</v>
      </c>
      <c r="AZ65" s="54" t="b">
        <v>1</v>
      </c>
      <c r="BA65" s="54" t="b">
        <v>1</v>
      </c>
      <c r="BB65" s="54" t="b">
        <v>1</v>
      </c>
      <c r="BC65" s="54" t="b">
        <v>1</v>
      </c>
      <c r="BD65" s="54" t="b">
        <v>1</v>
      </c>
      <c r="BE65" s="54" t="b">
        <v>1</v>
      </c>
      <c r="BF65" s="54" t="b">
        <v>1</v>
      </c>
      <c r="BG65" s="54" t="b">
        <v>1</v>
      </c>
      <c r="BH65" s="54" t="b">
        <v>1</v>
      </c>
      <c r="BI65" s="54" t="b">
        <v>1</v>
      </c>
      <c r="BJ65" s="54" t="b">
        <v>1</v>
      </c>
      <c r="BK65" s="54" t="b">
        <v>1</v>
      </c>
      <c r="BL65" s="54" t="b">
        <v>1</v>
      </c>
      <c r="BM65" s="54" t="b">
        <v>1</v>
      </c>
      <c r="BN65" s="54" t="b">
        <v>1</v>
      </c>
      <c r="BO65" s="54" t="b">
        <v>1</v>
      </c>
    </row>
    <row r="66" hidden="1" outlineLevel="1">
      <c r="A66" s="47" t="str">
        <f>A65&amp;C66</f>
        <v>MayRUPESHOT HOURS</v>
      </c>
      <c r="B66" s="48"/>
      <c r="C66" s="49" t="s">
        <v>120</v>
      </c>
      <c r="D66" s="33"/>
      <c r="E66" s="45">
        <f>SUM(F66:BO66)</f>
        <v>77</v>
      </c>
      <c r="F66" s="50"/>
      <c r="G66" s="33"/>
      <c r="H66" s="50"/>
      <c r="I66" s="33"/>
      <c r="J66" s="50"/>
      <c r="K66" s="33"/>
      <c r="L66" s="50"/>
      <c r="M66" s="33"/>
      <c r="N66" s="50"/>
      <c r="O66" s="33"/>
      <c r="P66" s="50"/>
      <c r="Q66" s="33"/>
      <c r="R66" s="50"/>
      <c r="S66" s="33"/>
      <c r="T66" s="50"/>
      <c r="U66" s="33"/>
      <c r="V66" s="50"/>
      <c r="W66" s="33"/>
      <c r="X66" s="50"/>
      <c r="Y66" s="33"/>
      <c r="Z66" s="50"/>
      <c r="AA66" s="33"/>
      <c r="AB66" s="50"/>
      <c r="AC66" s="33"/>
      <c r="AD66" s="50">
        <v>4.0</v>
      </c>
      <c r="AE66" s="33"/>
      <c r="AF66" s="50">
        <v>2.0</v>
      </c>
      <c r="AG66" s="33"/>
      <c r="AH66" s="50">
        <v>6.0</v>
      </c>
      <c r="AI66" s="33"/>
      <c r="AJ66" s="50">
        <v>2.0</v>
      </c>
      <c r="AK66" s="33"/>
      <c r="AL66" s="50">
        <v>4.0</v>
      </c>
      <c r="AM66" s="33"/>
      <c r="AN66" s="50">
        <v>10.0</v>
      </c>
      <c r="AO66" s="33"/>
      <c r="AP66" s="50"/>
      <c r="AQ66" s="33"/>
      <c r="AR66" s="50">
        <v>4.0</v>
      </c>
      <c r="AS66" s="33"/>
      <c r="AT66" s="50">
        <v>7.0</v>
      </c>
      <c r="AU66" s="33"/>
      <c r="AV66" s="50">
        <v>2.0</v>
      </c>
      <c r="AW66" s="33"/>
      <c r="AX66" s="50">
        <v>2.0</v>
      </c>
      <c r="AY66" s="33"/>
      <c r="AZ66" s="50">
        <v>2.0</v>
      </c>
      <c r="BA66" s="33"/>
      <c r="BB66" s="50">
        <v>7.0</v>
      </c>
      <c r="BC66" s="33"/>
      <c r="BD66" s="50"/>
      <c r="BE66" s="33"/>
      <c r="BF66" s="50">
        <v>9.0</v>
      </c>
      <c r="BG66" s="33"/>
      <c r="BH66" s="50">
        <v>8.0</v>
      </c>
      <c r="BI66" s="33"/>
      <c r="BJ66" s="50">
        <v>4.0</v>
      </c>
      <c r="BK66" s="33"/>
      <c r="BL66" s="50">
        <v>2.0</v>
      </c>
      <c r="BM66" s="33"/>
      <c r="BN66" s="50">
        <v>2.0</v>
      </c>
      <c r="BO66" s="33"/>
    </row>
    <row r="67" hidden="1" outlineLevel="1">
      <c r="A67" s="42" t="str">
        <f>B67&amp;D67</f>
        <v>MaySANJAI BHAGAT</v>
      </c>
      <c r="B67" s="43" t="s">
        <v>12</v>
      </c>
      <c r="C67" s="43" t="s">
        <v>30</v>
      </c>
      <c r="D67" s="44" t="str">
        <f>IFERROR(VLOOKUP(C67,'Employees List'!$B$2:$C$28,2,0),"")</f>
        <v>SANJAI BHAGAT</v>
      </c>
      <c r="E67" s="45">
        <f>(F67+G67+H67+I67+J67+K67+L67+M67+N67+O67+P67+Q67+R67+S67+T67+U67+V67+W67+X67+Y67+Z67+AA67+AB67+AC67+AD67+AE67+AF67+AG67+AH67+AI67+AJ67+AK67+AL67+AM67+AN67+AO67+AP67+AQ67+AR67+AS67+AT67+AU67+AV67+AW67+AX67+AY67+AZ67+BA67+BB67+BC67+BD67+BE67+BF67+BG67+BH67+BI67+BJ67+BK67+BL67+BM67+BN67+BO67)/2</f>
        <v>19</v>
      </c>
      <c r="F67" s="54" t="b">
        <v>0</v>
      </c>
      <c r="G67" s="54" t="b">
        <v>0</v>
      </c>
      <c r="H67" s="54" t="b">
        <v>0</v>
      </c>
      <c r="I67" s="54" t="b">
        <v>0</v>
      </c>
      <c r="J67" s="54" t="b">
        <v>0</v>
      </c>
      <c r="K67" s="54" t="b">
        <v>0</v>
      </c>
      <c r="L67" s="54" t="b">
        <v>0</v>
      </c>
      <c r="M67" s="54" t="b">
        <v>0</v>
      </c>
      <c r="N67" s="54" t="b">
        <v>0</v>
      </c>
      <c r="O67" s="54" t="b">
        <v>0</v>
      </c>
      <c r="P67" s="54" t="b">
        <v>0</v>
      </c>
      <c r="Q67" s="54" t="b">
        <v>0</v>
      </c>
      <c r="R67" s="54" t="b">
        <v>0</v>
      </c>
      <c r="S67" s="54" t="b">
        <v>0</v>
      </c>
      <c r="T67" s="54" t="b">
        <v>0</v>
      </c>
      <c r="U67" s="54" t="b">
        <v>0</v>
      </c>
      <c r="V67" s="54" t="b">
        <v>0</v>
      </c>
      <c r="W67" s="54" t="b">
        <v>0</v>
      </c>
      <c r="X67" s="54" t="b">
        <v>0</v>
      </c>
      <c r="Y67" s="54" t="b">
        <v>0</v>
      </c>
      <c r="Z67" s="54" t="b">
        <v>0</v>
      </c>
      <c r="AA67" s="54" t="b">
        <v>0</v>
      </c>
      <c r="AB67" s="54" t="b">
        <v>0</v>
      </c>
      <c r="AC67" s="54" t="b">
        <v>0</v>
      </c>
      <c r="AD67" s="54" t="b">
        <v>1</v>
      </c>
      <c r="AE67" s="54" t="b">
        <v>1</v>
      </c>
      <c r="AF67" s="54" t="b">
        <v>1</v>
      </c>
      <c r="AG67" s="54" t="b">
        <v>1</v>
      </c>
      <c r="AH67" s="54" t="b">
        <v>1</v>
      </c>
      <c r="AI67" s="54" t="b">
        <v>1</v>
      </c>
      <c r="AJ67" s="54" t="b">
        <v>1</v>
      </c>
      <c r="AK67" s="54" t="b">
        <v>1</v>
      </c>
      <c r="AL67" s="54" t="b">
        <v>1</v>
      </c>
      <c r="AM67" s="54" t="b">
        <v>1</v>
      </c>
      <c r="AN67" s="54" t="b">
        <v>1</v>
      </c>
      <c r="AO67" s="54" t="b">
        <v>1</v>
      </c>
      <c r="AP67" s="54" t="b">
        <v>1</v>
      </c>
      <c r="AQ67" s="54" t="b">
        <v>1</v>
      </c>
      <c r="AR67" s="54" t="b">
        <v>1</v>
      </c>
      <c r="AS67" s="54" t="b">
        <v>1</v>
      </c>
      <c r="AT67" s="54" t="b">
        <v>1</v>
      </c>
      <c r="AU67" s="54" t="b">
        <v>1</v>
      </c>
      <c r="AV67" s="54" t="b">
        <v>1</v>
      </c>
      <c r="AW67" s="54" t="b">
        <v>1</v>
      </c>
      <c r="AX67" s="54" t="b">
        <v>1</v>
      </c>
      <c r="AY67" s="54" t="b">
        <v>1</v>
      </c>
      <c r="AZ67" s="54" t="b">
        <v>1</v>
      </c>
      <c r="BA67" s="54" t="b">
        <v>1</v>
      </c>
      <c r="BB67" s="54" t="b">
        <v>1</v>
      </c>
      <c r="BC67" s="54" t="b">
        <v>1</v>
      </c>
      <c r="BD67" s="54" t="b">
        <v>1</v>
      </c>
      <c r="BE67" s="54" t="b">
        <v>1</v>
      </c>
      <c r="BF67" s="54" t="b">
        <v>1</v>
      </c>
      <c r="BG67" s="54" t="b">
        <v>1</v>
      </c>
      <c r="BH67" s="54" t="b">
        <v>1</v>
      </c>
      <c r="BI67" s="54" t="b">
        <v>1</v>
      </c>
      <c r="BJ67" s="54" t="b">
        <v>1</v>
      </c>
      <c r="BK67" s="54" t="b">
        <v>1</v>
      </c>
      <c r="BL67" s="54" t="b">
        <v>1</v>
      </c>
      <c r="BM67" s="54" t="b">
        <v>1</v>
      </c>
      <c r="BN67" s="54" t="b">
        <v>1</v>
      </c>
      <c r="BO67" s="54" t="b">
        <v>1</v>
      </c>
    </row>
    <row r="68" hidden="1" outlineLevel="1">
      <c r="A68" s="47" t="str">
        <f>A67&amp;C68</f>
        <v>MaySANJAI BHAGATOT HOURS</v>
      </c>
      <c r="B68" s="48"/>
      <c r="C68" s="49" t="s">
        <v>120</v>
      </c>
      <c r="D68" s="33"/>
      <c r="E68" s="45">
        <f>SUM(F68:BO68)</f>
        <v>79</v>
      </c>
      <c r="F68" s="50"/>
      <c r="G68" s="33"/>
      <c r="H68" s="50"/>
      <c r="I68" s="33"/>
      <c r="J68" s="50"/>
      <c r="K68" s="33"/>
      <c r="L68" s="50"/>
      <c r="M68" s="33"/>
      <c r="N68" s="50"/>
      <c r="O68" s="33"/>
      <c r="P68" s="50"/>
      <c r="Q68" s="33"/>
      <c r="R68" s="50"/>
      <c r="S68" s="33"/>
      <c r="T68" s="50"/>
      <c r="U68" s="33"/>
      <c r="V68" s="50"/>
      <c r="W68" s="33"/>
      <c r="X68" s="50"/>
      <c r="Y68" s="33"/>
      <c r="Z68" s="50"/>
      <c r="AA68" s="33"/>
      <c r="AB68" s="50"/>
      <c r="AC68" s="33"/>
      <c r="AD68" s="50">
        <v>4.0</v>
      </c>
      <c r="AE68" s="33"/>
      <c r="AF68" s="50">
        <v>2.0</v>
      </c>
      <c r="AG68" s="33"/>
      <c r="AH68" s="50">
        <v>6.0</v>
      </c>
      <c r="AI68" s="33"/>
      <c r="AJ68" s="50">
        <v>2.0</v>
      </c>
      <c r="AK68" s="33"/>
      <c r="AL68" s="50">
        <v>4.0</v>
      </c>
      <c r="AM68" s="33"/>
      <c r="AN68" s="50">
        <v>10.0</v>
      </c>
      <c r="AO68" s="33"/>
      <c r="AP68" s="50"/>
      <c r="AQ68" s="33"/>
      <c r="AR68" s="50">
        <v>4.0</v>
      </c>
      <c r="AS68" s="33"/>
      <c r="AT68" s="50">
        <v>7.0</v>
      </c>
      <c r="AU68" s="33"/>
      <c r="AV68" s="50">
        <v>2.0</v>
      </c>
      <c r="AW68" s="33"/>
      <c r="AX68" s="50">
        <v>4.0</v>
      </c>
      <c r="AY68" s="33"/>
      <c r="AZ68" s="50">
        <v>2.0</v>
      </c>
      <c r="BA68" s="33"/>
      <c r="BB68" s="50">
        <v>7.0</v>
      </c>
      <c r="BC68" s="33"/>
      <c r="BD68" s="50"/>
      <c r="BE68" s="33"/>
      <c r="BF68" s="50">
        <v>9.0</v>
      </c>
      <c r="BG68" s="33"/>
      <c r="BH68" s="50">
        <v>8.0</v>
      </c>
      <c r="BI68" s="33"/>
      <c r="BJ68" s="50">
        <v>4.0</v>
      </c>
      <c r="BK68" s="33"/>
      <c r="BL68" s="50">
        <v>2.0</v>
      </c>
      <c r="BM68" s="33"/>
      <c r="BN68" s="50">
        <v>2.0</v>
      </c>
      <c r="BO68" s="33"/>
    </row>
    <row r="69" hidden="1" outlineLevel="1">
      <c r="A69" s="42" t="str">
        <f>B69&amp;D69</f>
        <v>May</v>
      </c>
      <c r="B69" s="43" t="s">
        <v>12</v>
      </c>
      <c r="C69" s="43"/>
      <c r="D69" s="44" t="str">
        <f>IFERROR(VLOOKUP(C69,'Employees List'!$B$2:$C$28,2,0),"")</f>
        <v/>
      </c>
      <c r="E69" s="45">
        <f>(F69+G69+H69+I69+J69+K69+L69+M69+N69+O69+P69+Q69+R69+S69+T69+U69+V69+W69+X69+Y69+Z69+AA69+AB69+AC69+AD69+AE69+AF69+AG69+AH69+AI69+AJ69+AK69+AL69+AM69+AN69+AO69+AP69+AQ69+AR69+AS69+AT69+AU69+AV69+AW69+AX69+AY69+AZ69+BA69+BB69+BC69+BD69+BE69+BF69+BG69+BH69+BI69+BJ69+BK69+BL69+BM69+BN69+BO69)/2</f>
        <v>0</v>
      </c>
      <c r="F69" s="54" t="b">
        <v>0</v>
      </c>
      <c r="G69" s="54" t="b">
        <v>0</v>
      </c>
      <c r="H69" s="54" t="b">
        <v>0</v>
      </c>
      <c r="I69" s="54" t="b">
        <v>0</v>
      </c>
      <c r="J69" s="54" t="b">
        <v>0</v>
      </c>
      <c r="K69" s="54" t="b">
        <v>0</v>
      </c>
      <c r="L69" s="54" t="b">
        <v>0</v>
      </c>
      <c r="M69" s="54" t="b">
        <v>0</v>
      </c>
      <c r="N69" s="54" t="b">
        <v>0</v>
      </c>
      <c r="O69" s="54" t="b">
        <v>0</v>
      </c>
      <c r="P69" s="54" t="b">
        <v>0</v>
      </c>
      <c r="Q69" s="54" t="b">
        <v>0</v>
      </c>
      <c r="R69" s="54" t="b">
        <v>0</v>
      </c>
      <c r="S69" s="54" t="b">
        <v>0</v>
      </c>
      <c r="T69" s="54" t="b">
        <v>0</v>
      </c>
      <c r="U69" s="54" t="b">
        <v>0</v>
      </c>
      <c r="V69" s="54" t="b">
        <v>0</v>
      </c>
      <c r="W69" s="54" t="b">
        <v>0</v>
      </c>
      <c r="X69" s="54" t="b">
        <v>0</v>
      </c>
      <c r="Y69" s="54" t="b">
        <v>0</v>
      </c>
      <c r="Z69" s="54" t="b">
        <v>0</v>
      </c>
      <c r="AA69" s="54" t="b">
        <v>0</v>
      </c>
      <c r="AB69" s="54" t="b">
        <v>0</v>
      </c>
      <c r="AC69" s="54" t="b">
        <v>0</v>
      </c>
      <c r="AD69" s="54" t="b">
        <v>0</v>
      </c>
      <c r="AE69" s="54" t="b">
        <v>0</v>
      </c>
      <c r="AF69" s="54" t="b">
        <v>0</v>
      </c>
      <c r="AG69" s="54" t="b">
        <v>0</v>
      </c>
      <c r="AH69" s="54" t="b">
        <v>0</v>
      </c>
      <c r="AI69" s="54" t="b">
        <v>0</v>
      </c>
      <c r="AJ69" s="54" t="b">
        <v>0</v>
      </c>
      <c r="AK69" s="54" t="b">
        <v>0</v>
      </c>
      <c r="AL69" s="54" t="b">
        <v>0</v>
      </c>
      <c r="AM69" s="54" t="b">
        <v>0</v>
      </c>
      <c r="AN69" s="54" t="b">
        <v>0</v>
      </c>
      <c r="AO69" s="54" t="b">
        <v>0</v>
      </c>
      <c r="AP69" s="54" t="b">
        <v>0</v>
      </c>
      <c r="AQ69" s="54" t="b">
        <v>0</v>
      </c>
      <c r="AR69" s="54" t="b">
        <v>0</v>
      </c>
      <c r="AS69" s="54" t="b">
        <v>0</v>
      </c>
      <c r="AT69" s="54" t="b">
        <v>0</v>
      </c>
      <c r="AU69" s="54" t="b">
        <v>0</v>
      </c>
      <c r="AV69" s="54" t="b">
        <v>0</v>
      </c>
      <c r="AW69" s="54" t="b">
        <v>0</v>
      </c>
      <c r="AX69" s="54" t="b">
        <v>0</v>
      </c>
      <c r="AY69" s="54" t="b">
        <v>0</v>
      </c>
      <c r="AZ69" s="54" t="b">
        <v>0</v>
      </c>
      <c r="BA69" s="54" t="b">
        <v>0</v>
      </c>
      <c r="BB69" s="54" t="b">
        <v>0</v>
      </c>
      <c r="BC69" s="54" t="b">
        <v>0</v>
      </c>
      <c r="BD69" s="54" t="b">
        <v>0</v>
      </c>
      <c r="BE69" s="54" t="b">
        <v>0</v>
      </c>
      <c r="BF69" s="54" t="b">
        <v>0</v>
      </c>
      <c r="BG69" s="54" t="b">
        <v>0</v>
      </c>
      <c r="BH69" s="54" t="b">
        <v>0</v>
      </c>
      <c r="BI69" s="54" t="b">
        <v>0</v>
      </c>
      <c r="BJ69" s="54" t="b">
        <v>0</v>
      </c>
      <c r="BK69" s="54" t="b">
        <v>0</v>
      </c>
      <c r="BL69" s="54" t="b">
        <v>0</v>
      </c>
      <c r="BM69" s="54" t="b">
        <v>0</v>
      </c>
      <c r="BN69" s="54" t="b">
        <v>0</v>
      </c>
      <c r="BO69" s="54" t="b">
        <v>0</v>
      </c>
    </row>
    <row r="70" hidden="1" outlineLevel="1">
      <c r="A70" s="47" t="str">
        <f>A69&amp;C70</f>
        <v>MayOT HOURS</v>
      </c>
      <c r="B70" s="48"/>
      <c r="C70" s="49" t="s">
        <v>120</v>
      </c>
      <c r="D70" s="33"/>
      <c r="E70" s="45">
        <f>SUM(F70:BO70)</f>
        <v>0</v>
      </c>
      <c r="F70" s="50"/>
      <c r="G70" s="33"/>
      <c r="H70" s="50"/>
      <c r="I70" s="33"/>
      <c r="J70" s="50"/>
      <c r="K70" s="33"/>
      <c r="L70" s="50"/>
      <c r="M70" s="33"/>
      <c r="N70" s="50"/>
      <c r="O70" s="33"/>
      <c r="P70" s="50"/>
      <c r="Q70" s="33"/>
      <c r="R70" s="50"/>
      <c r="S70" s="33"/>
      <c r="T70" s="50"/>
      <c r="U70" s="33"/>
      <c r="V70" s="50"/>
      <c r="W70" s="33"/>
      <c r="X70" s="50"/>
      <c r="Y70" s="33"/>
      <c r="Z70" s="50"/>
      <c r="AA70" s="33"/>
      <c r="AB70" s="50"/>
      <c r="AC70" s="33"/>
      <c r="AD70" s="50"/>
      <c r="AE70" s="33"/>
      <c r="AF70" s="50"/>
      <c r="AG70" s="33"/>
      <c r="AH70" s="50"/>
      <c r="AI70" s="33"/>
      <c r="AJ70" s="50"/>
      <c r="AK70" s="33"/>
      <c r="AL70" s="50"/>
      <c r="AM70" s="33"/>
      <c r="AN70" s="50"/>
      <c r="AO70" s="33"/>
      <c r="AP70" s="50"/>
      <c r="AQ70" s="33"/>
      <c r="AR70" s="50"/>
      <c r="AS70" s="33"/>
      <c r="AT70" s="50"/>
      <c r="AU70" s="33"/>
      <c r="AV70" s="50"/>
      <c r="AW70" s="33"/>
      <c r="AX70" s="50"/>
      <c r="AY70" s="33"/>
      <c r="AZ70" s="50"/>
      <c r="BA70" s="33"/>
      <c r="BB70" s="50"/>
      <c r="BC70" s="33"/>
      <c r="BD70" s="50"/>
      <c r="BE70" s="33"/>
      <c r="BF70" s="50"/>
      <c r="BG70" s="33"/>
      <c r="BH70" s="50"/>
      <c r="BI70" s="33"/>
      <c r="BJ70" s="50"/>
      <c r="BK70" s="33"/>
      <c r="BL70" s="50"/>
      <c r="BM70" s="33"/>
      <c r="BN70" s="50"/>
      <c r="BO70" s="33"/>
    </row>
    <row r="71" hidden="1" outlineLevel="1">
      <c r="A71" s="42" t="str">
        <f>B71&amp;D71</f>
        <v>May</v>
      </c>
      <c r="B71" s="43" t="s">
        <v>12</v>
      </c>
      <c r="C71" s="43"/>
      <c r="D71" s="44" t="str">
        <f>IFERROR(VLOOKUP(C71,'Employees List'!$B$2:$C$28,2,0),"")</f>
        <v/>
      </c>
      <c r="E71" s="45">
        <f>(F71+G71+H71+I71+J71+K71+L71+M71+N71+O71+P71+Q71+R71+S71+T71+U71+V71+W71+X71+Y71+Z71+AA71+AB71+AC71+AD71+AE71+AF71+AG71+AH71+AI71+AJ71+AK71+AL71+AM71+AN71+AO71+AP71+AQ71+AR71+AS71+AT71+AU71+AV71+AW71+AX71+AY71+AZ71+BA71+BB71+BC71+BD71+BE71+BF71+BG71+BH71+BI71+BJ71+BK71+BL71+BM71+BN71+BO71)/2</f>
        <v>0</v>
      </c>
      <c r="F71" s="54" t="b">
        <v>0</v>
      </c>
      <c r="G71" s="54" t="b">
        <v>0</v>
      </c>
      <c r="H71" s="54" t="b">
        <v>0</v>
      </c>
      <c r="I71" s="54" t="b">
        <v>0</v>
      </c>
      <c r="J71" s="54" t="b">
        <v>0</v>
      </c>
      <c r="K71" s="54" t="b">
        <v>0</v>
      </c>
      <c r="L71" s="54" t="b">
        <v>0</v>
      </c>
      <c r="M71" s="54" t="b">
        <v>0</v>
      </c>
      <c r="N71" s="54" t="b">
        <v>0</v>
      </c>
      <c r="O71" s="54" t="b">
        <v>0</v>
      </c>
      <c r="P71" s="54" t="b">
        <v>0</v>
      </c>
      <c r="Q71" s="54" t="b">
        <v>0</v>
      </c>
      <c r="R71" s="54" t="b">
        <v>0</v>
      </c>
      <c r="S71" s="54" t="b">
        <v>0</v>
      </c>
      <c r="T71" s="54" t="b">
        <v>0</v>
      </c>
      <c r="U71" s="54" t="b">
        <v>0</v>
      </c>
      <c r="V71" s="54" t="b">
        <v>0</v>
      </c>
      <c r="W71" s="54" t="b">
        <v>0</v>
      </c>
      <c r="X71" s="54" t="b">
        <v>0</v>
      </c>
      <c r="Y71" s="54" t="b">
        <v>0</v>
      </c>
      <c r="Z71" s="54" t="b">
        <v>0</v>
      </c>
      <c r="AA71" s="54" t="b">
        <v>0</v>
      </c>
      <c r="AB71" s="54" t="b">
        <v>0</v>
      </c>
      <c r="AC71" s="54" t="b">
        <v>0</v>
      </c>
      <c r="AD71" s="54" t="b">
        <v>0</v>
      </c>
      <c r="AE71" s="54" t="b">
        <v>0</v>
      </c>
      <c r="AF71" s="54" t="b">
        <v>0</v>
      </c>
      <c r="AG71" s="54" t="b">
        <v>0</v>
      </c>
      <c r="AH71" s="54" t="b">
        <v>0</v>
      </c>
      <c r="AI71" s="54" t="b">
        <v>0</v>
      </c>
      <c r="AJ71" s="54" t="b">
        <v>0</v>
      </c>
      <c r="AK71" s="54" t="b">
        <v>0</v>
      </c>
      <c r="AL71" s="54" t="b">
        <v>0</v>
      </c>
      <c r="AM71" s="54" t="b">
        <v>0</v>
      </c>
      <c r="AN71" s="54" t="b">
        <v>0</v>
      </c>
      <c r="AO71" s="54" t="b">
        <v>0</v>
      </c>
      <c r="AP71" s="54" t="b">
        <v>0</v>
      </c>
      <c r="AQ71" s="54" t="b">
        <v>0</v>
      </c>
      <c r="AR71" s="54" t="b">
        <v>0</v>
      </c>
      <c r="AS71" s="54" t="b">
        <v>0</v>
      </c>
      <c r="AT71" s="54" t="b">
        <v>0</v>
      </c>
      <c r="AU71" s="54" t="b">
        <v>0</v>
      </c>
      <c r="AV71" s="54" t="b">
        <v>0</v>
      </c>
      <c r="AW71" s="54" t="b">
        <v>0</v>
      </c>
      <c r="AX71" s="54" t="b">
        <v>0</v>
      </c>
      <c r="AY71" s="54" t="b">
        <v>0</v>
      </c>
      <c r="AZ71" s="54" t="b">
        <v>0</v>
      </c>
      <c r="BA71" s="54" t="b">
        <v>0</v>
      </c>
      <c r="BB71" s="54" t="b">
        <v>0</v>
      </c>
      <c r="BC71" s="54" t="b">
        <v>0</v>
      </c>
      <c r="BD71" s="54" t="b">
        <v>0</v>
      </c>
      <c r="BE71" s="54" t="b">
        <v>0</v>
      </c>
      <c r="BF71" s="54" t="b">
        <v>0</v>
      </c>
      <c r="BG71" s="54" t="b">
        <v>0</v>
      </c>
      <c r="BH71" s="54" t="b">
        <v>0</v>
      </c>
      <c r="BI71" s="54" t="b">
        <v>0</v>
      </c>
      <c r="BJ71" s="54" t="b">
        <v>0</v>
      </c>
      <c r="BK71" s="54" t="b">
        <v>0</v>
      </c>
      <c r="BL71" s="54" t="b">
        <v>0</v>
      </c>
      <c r="BM71" s="54" t="b">
        <v>0</v>
      </c>
      <c r="BN71" s="54" t="b">
        <v>0</v>
      </c>
      <c r="BO71" s="54" t="b">
        <v>0</v>
      </c>
    </row>
    <row r="72" hidden="1" outlineLevel="1">
      <c r="A72" s="47" t="str">
        <f>A71&amp;C72</f>
        <v>MayOT HOURS</v>
      </c>
      <c r="B72" s="48"/>
      <c r="C72" s="49" t="s">
        <v>120</v>
      </c>
      <c r="D72" s="33"/>
      <c r="E72" s="45">
        <f>SUM(F72:BO72)</f>
        <v>0</v>
      </c>
      <c r="F72" s="50"/>
      <c r="G72" s="33"/>
      <c r="H72" s="50"/>
      <c r="I72" s="33"/>
      <c r="J72" s="50"/>
      <c r="K72" s="33"/>
      <c r="L72" s="50"/>
      <c r="M72" s="33"/>
      <c r="N72" s="50"/>
      <c r="O72" s="33"/>
      <c r="P72" s="50"/>
      <c r="Q72" s="33"/>
      <c r="R72" s="50"/>
      <c r="S72" s="33"/>
      <c r="T72" s="50"/>
      <c r="U72" s="33"/>
      <c r="V72" s="50"/>
      <c r="W72" s="33"/>
      <c r="X72" s="50"/>
      <c r="Y72" s="33"/>
      <c r="Z72" s="50"/>
      <c r="AA72" s="33"/>
      <c r="AB72" s="50"/>
      <c r="AC72" s="33"/>
      <c r="AD72" s="50"/>
      <c r="AE72" s="33"/>
      <c r="AF72" s="50"/>
      <c r="AG72" s="33"/>
      <c r="AH72" s="50"/>
      <c r="AI72" s="33"/>
      <c r="AJ72" s="50"/>
      <c r="AK72" s="33"/>
      <c r="AL72" s="50"/>
      <c r="AM72" s="33"/>
      <c r="AN72" s="50"/>
      <c r="AO72" s="33"/>
      <c r="AP72" s="50"/>
      <c r="AQ72" s="33"/>
      <c r="AR72" s="50"/>
      <c r="AS72" s="33"/>
      <c r="AT72" s="50"/>
      <c r="AU72" s="33"/>
      <c r="AV72" s="50"/>
      <c r="AW72" s="33"/>
      <c r="AX72" s="50"/>
      <c r="AY72" s="33"/>
      <c r="AZ72" s="50"/>
      <c r="BA72" s="33"/>
      <c r="BB72" s="50"/>
      <c r="BC72" s="33"/>
      <c r="BD72" s="50"/>
      <c r="BE72" s="33"/>
      <c r="BF72" s="50"/>
      <c r="BG72" s="33"/>
      <c r="BH72" s="50"/>
      <c r="BI72" s="33"/>
      <c r="BJ72" s="50"/>
      <c r="BK72" s="33"/>
      <c r="BL72" s="50"/>
      <c r="BM72" s="33"/>
      <c r="BN72" s="50"/>
      <c r="BO72" s="33"/>
    </row>
    <row r="73" hidden="1" outlineLevel="1">
      <c r="A73" s="42" t="str">
        <f>B73&amp;D73</f>
        <v>May</v>
      </c>
      <c r="B73" s="43" t="s">
        <v>12</v>
      </c>
      <c r="C73" s="43"/>
      <c r="D73" s="44" t="str">
        <f>IFERROR(VLOOKUP(C73,'Employees List'!$B$2:$C$28,2,0),"")</f>
        <v/>
      </c>
      <c r="E73" s="45">
        <f>(F73+G73+H73+I73+J73+K73+L73+M73+N73+O73+P73+Q73+R73+S73+T73+U73+V73+W73+X73+Y73+Z73+AA73+AB73+AC73+AD73+AE73+AF73+AG73+AH73+AI73+AJ73+AK73+AL73+AM73+AN73+AO73+AP73+AQ73+AR73+AS73+AT73+AU73+AV73+AW73+AX73+AY73+AZ73+BA73+BB73+BC73+BD73+BE73+BF73+BG73+BH73+BI73+BJ73+BK73+BL73+BM73+BN73+BO73)/2</f>
        <v>0</v>
      </c>
      <c r="F73" s="54" t="b">
        <v>0</v>
      </c>
      <c r="G73" s="54" t="b">
        <v>0</v>
      </c>
      <c r="H73" s="54" t="b">
        <v>0</v>
      </c>
      <c r="I73" s="54" t="b">
        <v>0</v>
      </c>
      <c r="J73" s="54" t="b">
        <v>0</v>
      </c>
      <c r="K73" s="54" t="b">
        <v>0</v>
      </c>
      <c r="L73" s="54" t="b">
        <v>0</v>
      </c>
      <c r="M73" s="54" t="b">
        <v>0</v>
      </c>
      <c r="N73" s="54" t="b">
        <v>0</v>
      </c>
      <c r="O73" s="54" t="b">
        <v>0</v>
      </c>
      <c r="P73" s="54" t="b">
        <v>0</v>
      </c>
      <c r="Q73" s="54" t="b">
        <v>0</v>
      </c>
      <c r="R73" s="54" t="b">
        <v>0</v>
      </c>
      <c r="S73" s="54" t="b">
        <v>0</v>
      </c>
      <c r="T73" s="54" t="b">
        <v>0</v>
      </c>
      <c r="U73" s="54" t="b">
        <v>0</v>
      </c>
      <c r="V73" s="54" t="b">
        <v>0</v>
      </c>
      <c r="W73" s="54" t="b">
        <v>0</v>
      </c>
      <c r="X73" s="54" t="b">
        <v>0</v>
      </c>
      <c r="Y73" s="54" t="b">
        <v>0</v>
      </c>
      <c r="Z73" s="54" t="b">
        <v>0</v>
      </c>
      <c r="AA73" s="54" t="b">
        <v>0</v>
      </c>
      <c r="AB73" s="54" t="b">
        <v>0</v>
      </c>
      <c r="AC73" s="54" t="b">
        <v>0</v>
      </c>
      <c r="AD73" s="54" t="b">
        <v>0</v>
      </c>
      <c r="AE73" s="54" t="b">
        <v>0</v>
      </c>
      <c r="AF73" s="54" t="b">
        <v>0</v>
      </c>
      <c r="AG73" s="54" t="b">
        <v>0</v>
      </c>
      <c r="AH73" s="54" t="b">
        <v>0</v>
      </c>
      <c r="AI73" s="54" t="b">
        <v>0</v>
      </c>
      <c r="AJ73" s="54" t="b">
        <v>0</v>
      </c>
      <c r="AK73" s="54" t="b">
        <v>0</v>
      </c>
      <c r="AL73" s="54" t="b">
        <v>0</v>
      </c>
      <c r="AM73" s="54" t="b">
        <v>0</v>
      </c>
      <c r="AN73" s="54" t="b">
        <v>0</v>
      </c>
      <c r="AO73" s="54" t="b">
        <v>0</v>
      </c>
      <c r="AP73" s="54" t="b">
        <v>0</v>
      </c>
      <c r="AQ73" s="54" t="b">
        <v>0</v>
      </c>
      <c r="AR73" s="54" t="b">
        <v>0</v>
      </c>
      <c r="AS73" s="54" t="b">
        <v>0</v>
      </c>
      <c r="AT73" s="54" t="b">
        <v>0</v>
      </c>
      <c r="AU73" s="54" t="b">
        <v>0</v>
      </c>
      <c r="AV73" s="54" t="b">
        <v>0</v>
      </c>
      <c r="AW73" s="54" t="b">
        <v>0</v>
      </c>
      <c r="AX73" s="54" t="b">
        <v>0</v>
      </c>
      <c r="AY73" s="54" t="b">
        <v>0</v>
      </c>
      <c r="AZ73" s="54" t="b">
        <v>0</v>
      </c>
      <c r="BA73" s="54" t="b">
        <v>0</v>
      </c>
      <c r="BB73" s="54" t="b">
        <v>0</v>
      </c>
      <c r="BC73" s="54" t="b">
        <v>0</v>
      </c>
      <c r="BD73" s="54" t="b">
        <v>0</v>
      </c>
      <c r="BE73" s="54" t="b">
        <v>0</v>
      </c>
      <c r="BF73" s="54" t="b">
        <v>0</v>
      </c>
      <c r="BG73" s="54" t="b">
        <v>0</v>
      </c>
      <c r="BH73" s="54" t="b">
        <v>0</v>
      </c>
      <c r="BI73" s="54" t="b">
        <v>0</v>
      </c>
      <c r="BJ73" s="54" t="b">
        <v>0</v>
      </c>
      <c r="BK73" s="54" t="b">
        <v>0</v>
      </c>
      <c r="BL73" s="54" t="b">
        <v>0</v>
      </c>
      <c r="BM73" s="54" t="b">
        <v>0</v>
      </c>
      <c r="BN73" s="54" t="b">
        <v>0</v>
      </c>
      <c r="BO73" s="54" t="b">
        <v>0</v>
      </c>
    </row>
    <row r="74" hidden="1" outlineLevel="1">
      <c r="A74" s="47" t="str">
        <f>A73&amp;C74</f>
        <v>MayOT HOURS</v>
      </c>
      <c r="B74" s="48"/>
      <c r="C74" s="49" t="s">
        <v>120</v>
      </c>
      <c r="D74" s="33"/>
      <c r="E74" s="45">
        <f>SUM(F74:BO74)</f>
        <v>0</v>
      </c>
      <c r="F74" s="50"/>
      <c r="G74" s="33"/>
      <c r="H74" s="50"/>
      <c r="I74" s="33"/>
      <c r="J74" s="50"/>
      <c r="K74" s="33"/>
      <c r="L74" s="50"/>
      <c r="M74" s="33"/>
      <c r="N74" s="50"/>
      <c r="O74" s="33"/>
      <c r="P74" s="50"/>
      <c r="Q74" s="33"/>
      <c r="R74" s="50"/>
      <c r="S74" s="33"/>
      <c r="T74" s="50"/>
      <c r="U74" s="33"/>
      <c r="V74" s="50"/>
      <c r="W74" s="33"/>
      <c r="X74" s="50"/>
      <c r="Y74" s="33"/>
      <c r="Z74" s="50"/>
      <c r="AA74" s="33"/>
      <c r="AB74" s="50"/>
      <c r="AC74" s="33"/>
      <c r="AD74" s="50"/>
      <c r="AE74" s="33"/>
      <c r="AF74" s="50"/>
      <c r="AG74" s="33"/>
      <c r="AH74" s="50"/>
      <c r="AI74" s="33"/>
      <c r="AJ74" s="50"/>
      <c r="AK74" s="33"/>
      <c r="AL74" s="50"/>
      <c r="AM74" s="33"/>
      <c r="AN74" s="50"/>
      <c r="AO74" s="33"/>
      <c r="AP74" s="50"/>
      <c r="AQ74" s="33"/>
      <c r="AR74" s="50"/>
      <c r="AS74" s="33"/>
      <c r="AT74" s="50"/>
      <c r="AU74" s="33"/>
      <c r="AV74" s="50"/>
      <c r="AW74" s="33"/>
      <c r="AX74" s="50"/>
      <c r="AY74" s="33"/>
      <c r="AZ74" s="50"/>
      <c r="BA74" s="33"/>
      <c r="BB74" s="50"/>
      <c r="BC74" s="33"/>
      <c r="BD74" s="50"/>
      <c r="BE74" s="33"/>
      <c r="BF74" s="50"/>
      <c r="BG74" s="33"/>
      <c r="BH74" s="50"/>
      <c r="BI74" s="33"/>
      <c r="BJ74" s="50"/>
      <c r="BK74" s="33"/>
      <c r="BL74" s="50"/>
      <c r="BM74" s="33"/>
      <c r="BN74" s="50"/>
      <c r="BO74" s="33"/>
    </row>
    <row r="75" collapsed="1">
      <c r="A75" s="30"/>
      <c r="B75" s="31"/>
      <c r="C75" s="36">
        <v>45444.0</v>
      </c>
      <c r="D75" s="33"/>
      <c r="E75" s="34"/>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row>
    <row r="76" hidden="1" outlineLevel="1">
      <c r="A76" s="42" t="str">
        <f>B76&amp;D76</f>
        <v>JuneBHUVANESWARAN</v>
      </c>
      <c r="B76" s="43" t="s">
        <v>17</v>
      </c>
      <c r="C76" s="43" t="s">
        <v>9</v>
      </c>
      <c r="D76" s="44" t="str">
        <f>IFERROR(VLOOKUP(C76,'Employees List'!$B$2:$C$28,2,0),"")</f>
        <v>BHUVANESWARAN</v>
      </c>
      <c r="E76" s="45">
        <f>(F76+G76+H76+I76+J76+K76+L76+M76+N76+O76+P76+Q76+R76+S76+T76+U76+V76+W76+X76+Y76+Z76+AA76+AB76+AC76+AD76+AE76+AF76+AG76+AH76+AI76+AJ76+AK76+AL76+AM76+AN76+AO76+AP76+AQ76+AR76+AS76+AT76+AU76+AV76+AW76+AX76+AY76+AZ76+BA76+BB76+BC76+BD76+BE76+BF76+BG76+BH76+BI76+BJ76+BK76+BL76+BM76+BN76+BO76)/2</f>
        <v>30</v>
      </c>
      <c r="F76" s="46" t="b">
        <v>1</v>
      </c>
      <c r="G76" s="46" t="b">
        <v>1</v>
      </c>
      <c r="H76" s="46" t="b">
        <v>1</v>
      </c>
      <c r="I76" s="46" t="b">
        <v>1</v>
      </c>
      <c r="J76" s="46" t="b">
        <v>1</v>
      </c>
      <c r="K76" s="46" t="b">
        <v>1</v>
      </c>
      <c r="L76" s="46" t="b">
        <v>1</v>
      </c>
      <c r="M76" s="46" t="b">
        <v>1</v>
      </c>
      <c r="N76" s="46" t="b">
        <v>1</v>
      </c>
      <c r="O76" s="46" t="b">
        <v>1</v>
      </c>
      <c r="P76" s="46" t="b">
        <v>1</v>
      </c>
      <c r="Q76" s="46" t="b">
        <v>1</v>
      </c>
      <c r="R76" s="46" t="b">
        <v>1</v>
      </c>
      <c r="S76" s="46" t="b">
        <v>1</v>
      </c>
      <c r="T76" s="46" t="b">
        <v>1</v>
      </c>
      <c r="U76" s="46" t="b">
        <v>1</v>
      </c>
      <c r="V76" s="46" t="b">
        <v>1</v>
      </c>
      <c r="W76" s="46" t="b">
        <v>1</v>
      </c>
      <c r="X76" s="46" t="b">
        <v>1</v>
      </c>
      <c r="Y76" s="46" t="b">
        <v>1</v>
      </c>
      <c r="Z76" s="46" t="b">
        <v>1</v>
      </c>
      <c r="AA76" s="46" t="b">
        <v>1</v>
      </c>
      <c r="AB76" s="46" t="b">
        <v>1</v>
      </c>
      <c r="AC76" s="46" t="b">
        <v>1</v>
      </c>
      <c r="AD76" s="46" t="b">
        <v>1</v>
      </c>
      <c r="AE76" s="46" t="b">
        <v>1</v>
      </c>
      <c r="AF76" s="46" t="b">
        <v>1</v>
      </c>
      <c r="AG76" s="46" t="b">
        <v>1</v>
      </c>
      <c r="AH76" s="46" t="b">
        <v>1</v>
      </c>
      <c r="AI76" s="46" t="b">
        <v>1</v>
      </c>
      <c r="AJ76" s="46" t="b">
        <v>1</v>
      </c>
      <c r="AK76" s="46" t="b">
        <v>1</v>
      </c>
      <c r="AL76" s="46" t="b">
        <v>1</v>
      </c>
      <c r="AM76" s="46" t="b">
        <v>1</v>
      </c>
      <c r="AN76" s="46" t="b">
        <v>1</v>
      </c>
      <c r="AO76" s="46" t="b">
        <v>1</v>
      </c>
      <c r="AP76" s="46" t="b">
        <v>1</v>
      </c>
      <c r="AQ76" s="46" t="b">
        <v>1</v>
      </c>
      <c r="AR76" s="46" t="b">
        <v>1</v>
      </c>
      <c r="AS76" s="46" t="b">
        <v>1</v>
      </c>
      <c r="AT76" s="46" t="b">
        <v>1</v>
      </c>
      <c r="AU76" s="46" t="b">
        <v>1</v>
      </c>
      <c r="AV76" s="46" t="b">
        <v>1</v>
      </c>
      <c r="AW76" s="46" t="b">
        <v>1</v>
      </c>
      <c r="AX76" s="46" t="b">
        <v>1</v>
      </c>
      <c r="AY76" s="46" t="b">
        <v>1</v>
      </c>
      <c r="AZ76" s="46" t="b">
        <v>1</v>
      </c>
      <c r="BA76" s="46" t="b">
        <v>1</v>
      </c>
      <c r="BB76" s="46" t="b">
        <v>1</v>
      </c>
      <c r="BC76" s="46" t="b">
        <v>1</v>
      </c>
      <c r="BD76" s="46" t="b">
        <v>1</v>
      </c>
      <c r="BE76" s="46" t="b">
        <v>1</v>
      </c>
      <c r="BF76" s="46" t="b">
        <v>1</v>
      </c>
      <c r="BG76" s="46" t="b">
        <v>1</v>
      </c>
      <c r="BH76" s="46" t="b">
        <v>1</v>
      </c>
      <c r="BI76" s="46" t="b">
        <v>1</v>
      </c>
      <c r="BJ76" s="46" t="b">
        <v>1</v>
      </c>
      <c r="BK76" s="46" t="b">
        <v>1</v>
      </c>
      <c r="BL76" s="46" t="b">
        <v>1</v>
      </c>
      <c r="BM76" s="46" t="b">
        <v>1</v>
      </c>
      <c r="BN76" s="46" t="b">
        <v>0</v>
      </c>
      <c r="BO76" s="46" t="b">
        <v>0</v>
      </c>
    </row>
    <row r="77" hidden="1" outlineLevel="1">
      <c r="A77" s="47" t="str">
        <f>A76&amp;C77</f>
        <v>JuneBHUVANESWARANOT HOURS</v>
      </c>
      <c r="B77" s="48"/>
      <c r="C77" s="49" t="s">
        <v>120</v>
      </c>
      <c r="D77" s="33"/>
      <c r="E77" s="45">
        <f>SUM(F77:BO77)</f>
        <v>0</v>
      </c>
      <c r="F77" s="50"/>
      <c r="G77" s="33"/>
      <c r="H77" s="50"/>
      <c r="I77" s="33"/>
      <c r="J77" s="50"/>
      <c r="K77" s="33"/>
      <c r="L77" s="50"/>
      <c r="M77" s="33"/>
      <c r="N77" s="50"/>
      <c r="O77" s="33"/>
      <c r="P77" s="50"/>
      <c r="Q77" s="33"/>
      <c r="R77" s="46"/>
      <c r="S77" s="46"/>
      <c r="T77" s="50"/>
      <c r="U77" s="33"/>
      <c r="V77" s="50"/>
      <c r="W77" s="33"/>
      <c r="X77" s="50"/>
      <c r="Y77" s="33"/>
      <c r="Z77" s="50"/>
      <c r="AA77" s="33"/>
      <c r="AB77" s="50"/>
      <c r="AC77" s="33"/>
      <c r="AD77" s="50"/>
      <c r="AE77" s="33"/>
      <c r="AF77" s="50"/>
      <c r="AG77" s="33"/>
      <c r="AH77" s="50"/>
      <c r="AI77" s="33"/>
      <c r="AJ77" s="50"/>
      <c r="AK77" s="33"/>
      <c r="AL77" s="50"/>
      <c r="AM77" s="33"/>
      <c r="AN77" s="50"/>
      <c r="AO77" s="33"/>
      <c r="AP77" s="50"/>
      <c r="AQ77" s="33"/>
      <c r="AR77" s="50"/>
      <c r="AS77" s="33"/>
      <c r="AT77" s="50"/>
      <c r="AU77" s="33"/>
      <c r="AV77" s="50"/>
      <c r="AW77" s="33"/>
      <c r="AX77" s="50"/>
      <c r="AY77" s="33"/>
      <c r="AZ77" s="50"/>
      <c r="BA77" s="33"/>
      <c r="BB77" s="50"/>
      <c r="BC77" s="33"/>
      <c r="BD77" s="50"/>
      <c r="BE77" s="33"/>
      <c r="BF77" s="50"/>
      <c r="BG77" s="33"/>
      <c r="BH77" s="50"/>
      <c r="BI77" s="33"/>
      <c r="BJ77" s="50"/>
      <c r="BK77" s="33"/>
      <c r="BL77" s="50"/>
      <c r="BM77" s="33"/>
      <c r="BN77" s="50"/>
      <c r="BO77" s="33"/>
    </row>
    <row r="78" hidden="1" outlineLevel="1">
      <c r="A78" s="42" t="str">
        <f>B78&amp;D78</f>
        <v>JuneGANESH</v>
      </c>
      <c r="B78" s="43" t="s">
        <v>17</v>
      </c>
      <c r="C78" s="43" t="s">
        <v>18</v>
      </c>
      <c r="D78" s="44" t="str">
        <f>IFERROR(VLOOKUP(C78,'Employees List'!$B$2:$C$28,2,0),"")</f>
        <v>GANESH</v>
      </c>
      <c r="E78" s="45">
        <f>(F78+G78+H78+I78+J78+K78+L78+M78+N78+O78+P78+Q78+R78+S78+T78+U78+V78+W78+X78+Y78+Z78+AA78+AB78+AC78+AD78+AE78+AF78+AG78+AH78+AI78+AJ78+AK78+AL78+AM78+AN78+AO78+AP78+AQ78+AR78+AS78+AT78+AU78+AV78+AW78+AX78+AY78+AZ78+BA78+BB78+BC78+BD78+BE78+BF78+BG78+BH78+BI78+BJ78+BK78+BL78+BM78+BN78+BO78)/2</f>
        <v>30</v>
      </c>
      <c r="F78" s="46" t="b">
        <v>1</v>
      </c>
      <c r="G78" s="46" t="b">
        <v>1</v>
      </c>
      <c r="H78" s="46" t="b">
        <v>1</v>
      </c>
      <c r="I78" s="46" t="b">
        <v>1</v>
      </c>
      <c r="J78" s="46" t="b">
        <v>1</v>
      </c>
      <c r="K78" s="46" t="b">
        <v>1</v>
      </c>
      <c r="L78" s="46" t="b">
        <v>1</v>
      </c>
      <c r="M78" s="46" t="b">
        <v>1</v>
      </c>
      <c r="N78" s="46" t="b">
        <v>1</v>
      </c>
      <c r="O78" s="46" t="b">
        <v>1</v>
      </c>
      <c r="P78" s="46" t="b">
        <v>1</v>
      </c>
      <c r="Q78" s="46" t="b">
        <v>1</v>
      </c>
      <c r="R78" s="46" t="b">
        <v>1</v>
      </c>
      <c r="S78" s="46" t="b">
        <v>1</v>
      </c>
      <c r="T78" s="46" t="b">
        <v>1</v>
      </c>
      <c r="U78" s="46" t="b">
        <v>1</v>
      </c>
      <c r="V78" s="46" t="b">
        <v>1</v>
      </c>
      <c r="W78" s="46" t="b">
        <v>1</v>
      </c>
      <c r="X78" s="46" t="b">
        <v>1</v>
      </c>
      <c r="Y78" s="46" t="b">
        <v>1</v>
      </c>
      <c r="Z78" s="46" t="b">
        <v>1</v>
      </c>
      <c r="AA78" s="46" t="b">
        <v>1</v>
      </c>
      <c r="AB78" s="46" t="b">
        <v>1</v>
      </c>
      <c r="AC78" s="46" t="b">
        <v>1</v>
      </c>
      <c r="AD78" s="46" t="b">
        <v>1</v>
      </c>
      <c r="AE78" s="46" t="b">
        <v>1</v>
      </c>
      <c r="AF78" s="46" t="b">
        <v>1</v>
      </c>
      <c r="AG78" s="46" t="b">
        <v>1</v>
      </c>
      <c r="AH78" s="46" t="b">
        <v>1</v>
      </c>
      <c r="AI78" s="46" t="b">
        <v>1</v>
      </c>
      <c r="AJ78" s="46" t="b">
        <v>1</v>
      </c>
      <c r="AK78" s="46" t="b">
        <v>1</v>
      </c>
      <c r="AL78" s="46" t="b">
        <v>1</v>
      </c>
      <c r="AM78" s="46" t="b">
        <v>1</v>
      </c>
      <c r="AN78" s="46" t="b">
        <v>1</v>
      </c>
      <c r="AO78" s="46" t="b">
        <v>1</v>
      </c>
      <c r="AP78" s="46" t="b">
        <v>1</v>
      </c>
      <c r="AQ78" s="46" t="b">
        <v>1</v>
      </c>
      <c r="AR78" s="46" t="b">
        <v>1</v>
      </c>
      <c r="AS78" s="46" t="b">
        <v>1</v>
      </c>
      <c r="AT78" s="46" t="b">
        <v>1</v>
      </c>
      <c r="AU78" s="46" t="b">
        <v>1</v>
      </c>
      <c r="AV78" s="46" t="b">
        <v>1</v>
      </c>
      <c r="AW78" s="46" t="b">
        <v>1</v>
      </c>
      <c r="AX78" s="46" t="b">
        <v>1</v>
      </c>
      <c r="AY78" s="46" t="b">
        <v>1</v>
      </c>
      <c r="AZ78" s="46" t="b">
        <v>1</v>
      </c>
      <c r="BA78" s="46" t="b">
        <v>1</v>
      </c>
      <c r="BB78" s="46" t="b">
        <v>1</v>
      </c>
      <c r="BC78" s="46" t="b">
        <v>1</v>
      </c>
      <c r="BD78" s="46" t="b">
        <v>1</v>
      </c>
      <c r="BE78" s="46" t="b">
        <v>1</v>
      </c>
      <c r="BF78" s="46" t="b">
        <v>1</v>
      </c>
      <c r="BG78" s="46" t="b">
        <v>1</v>
      </c>
      <c r="BH78" s="46" t="b">
        <v>1</v>
      </c>
      <c r="BI78" s="46" t="b">
        <v>1</v>
      </c>
      <c r="BJ78" s="46" t="b">
        <v>1</v>
      </c>
      <c r="BK78" s="46" t="b">
        <v>1</v>
      </c>
      <c r="BL78" s="46" t="b">
        <v>1</v>
      </c>
      <c r="BM78" s="46" t="b">
        <v>1</v>
      </c>
      <c r="BN78" s="46" t="b">
        <v>0</v>
      </c>
      <c r="BO78" s="46" t="b">
        <v>0</v>
      </c>
    </row>
    <row r="79" hidden="1" outlineLevel="1">
      <c r="A79" s="47" t="str">
        <f>A78&amp;C79</f>
        <v>JuneGANESHOT HOURS</v>
      </c>
      <c r="B79" s="48"/>
      <c r="C79" s="49" t="s">
        <v>120</v>
      </c>
      <c r="D79" s="33"/>
      <c r="E79" s="45">
        <f>(F79+G79+H79+I79+J79+K79+L79+M79+N79+O79+P79+Q79+R79+S79+T79+U79+V79+W79+X79+Y79+Z79+AA79+AB79+AC79+AD79+AE79+AF79+AG79+AH79+AI79+AJ79+AK79+AL79+AM79+AN79+AO79+AP79+AQ79+AR79+AS79+AT79+AU79+AV79+AW79+AX79+AY79+AZ79+BA79+BB79+BC79+BD79+BE79+BF79+BG79+BH79+BI79+BJ79+BK79+BL79+BM79+BN79+BO79)</f>
        <v>41</v>
      </c>
      <c r="F79" s="50"/>
      <c r="G79" s="33"/>
      <c r="H79" s="50"/>
      <c r="I79" s="33"/>
      <c r="J79" s="50">
        <v>2.0</v>
      </c>
      <c r="K79" s="33"/>
      <c r="L79" s="50">
        <v>1.0</v>
      </c>
      <c r="M79" s="33"/>
      <c r="N79" s="50">
        <v>3.0</v>
      </c>
      <c r="O79" s="33"/>
      <c r="P79" s="50">
        <v>2.0</v>
      </c>
      <c r="Q79" s="33"/>
      <c r="R79" s="50">
        <v>2.0</v>
      </c>
      <c r="S79" s="33"/>
      <c r="T79" s="50"/>
      <c r="U79" s="33"/>
      <c r="V79" s="50"/>
      <c r="W79" s="33"/>
      <c r="X79" s="50">
        <v>2.0</v>
      </c>
      <c r="Y79" s="33"/>
      <c r="Z79" s="50">
        <v>3.0</v>
      </c>
      <c r="AA79" s="33"/>
      <c r="AB79" s="50">
        <v>2.0</v>
      </c>
      <c r="AC79" s="33"/>
      <c r="AD79" s="50">
        <v>2.0</v>
      </c>
      <c r="AE79" s="33"/>
      <c r="AF79" s="50">
        <v>2.0</v>
      </c>
      <c r="AG79" s="33"/>
      <c r="AH79" s="50">
        <v>3.0</v>
      </c>
      <c r="AI79" s="33"/>
      <c r="AJ79" s="50">
        <v>7.0</v>
      </c>
      <c r="AK79" s="33"/>
      <c r="AL79" s="50">
        <v>2.0</v>
      </c>
      <c r="AM79" s="33"/>
      <c r="AN79" s="50">
        <v>2.0</v>
      </c>
      <c r="AO79" s="33"/>
      <c r="AP79" s="50">
        <v>2.0</v>
      </c>
      <c r="AQ79" s="33"/>
      <c r="AR79" s="50"/>
      <c r="AS79" s="33"/>
      <c r="AT79" s="50"/>
      <c r="AU79" s="33"/>
      <c r="AV79" s="50"/>
      <c r="AW79" s="33"/>
      <c r="AX79" s="50"/>
      <c r="AY79" s="33"/>
      <c r="AZ79" s="50">
        <v>2.0</v>
      </c>
      <c r="BA79" s="33"/>
      <c r="BB79" s="50">
        <v>2.0</v>
      </c>
      <c r="BC79" s="33"/>
      <c r="BD79" s="50"/>
      <c r="BE79" s="33"/>
      <c r="BF79" s="50"/>
      <c r="BG79" s="33"/>
      <c r="BH79" s="50"/>
      <c r="BI79" s="33"/>
      <c r="BJ79" s="50"/>
      <c r="BK79" s="33"/>
      <c r="BL79" s="50"/>
      <c r="BM79" s="33"/>
      <c r="BN79" s="50"/>
      <c r="BO79" s="33"/>
    </row>
    <row r="80" hidden="1" outlineLevel="1">
      <c r="A80" s="42" t="str">
        <f>B80&amp;D80</f>
        <v>JuneVASANTHA</v>
      </c>
      <c r="B80" s="43" t="s">
        <v>17</v>
      </c>
      <c r="C80" s="43" t="s">
        <v>13</v>
      </c>
      <c r="D80" s="44" t="str">
        <f>IFERROR(VLOOKUP(C80,'Employees List'!$B$2:$C$28,2,0),"")</f>
        <v>VASANTHA</v>
      </c>
      <c r="E80" s="45">
        <f>(F80+G80+H80+I80+J80+K80+L80+M80+N80+O80+P80+Q80+R80+S80+T80+U80+V80+W80+X80+Y80+Z80+AA80+AB80+AC80+AD80+AE80+AF80+AG80+AH80+AI80+AJ80+AK80+AL80+AM80+AN80+AO80+AP80+AQ80+AR80+AS80+AT80+AU80+AV80+AW80+AX80+AY80+AZ80+BA80+BB80+BC80+BD80+BE80+BF80+BG80+BH80+BI80+BJ80+BK80+BL80+BM80+BN80+BO80)/2</f>
        <v>28</v>
      </c>
      <c r="F80" s="46" t="b">
        <v>1</v>
      </c>
      <c r="G80" s="46" t="b">
        <v>1</v>
      </c>
      <c r="H80" s="46" t="b">
        <v>1</v>
      </c>
      <c r="I80" s="46" t="b">
        <v>1</v>
      </c>
      <c r="J80" s="46" t="b">
        <v>0</v>
      </c>
      <c r="K80" s="46" t="b">
        <v>1</v>
      </c>
      <c r="L80" s="46" t="b">
        <v>1</v>
      </c>
      <c r="M80" s="46" t="b">
        <v>1</v>
      </c>
      <c r="N80" s="46" t="b">
        <v>1</v>
      </c>
      <c r="O80" s="46" t="b">
        <v>1</v>
      </c>
      <c r="P80" s="46" t="b">
        <v>1</v>
      </c>
      <c r="Q80" s="46" t="b">
        <v>1</v>
      </c>
      <c r="R80" s="46" t="b">
        <v>1</v>
      </c>
      <c r="S80" s="46" t="b">
        <v>1</v>
      </c>
      <c r="T80" s="46" t="b">
        <v>1</v>
      </c>
      <c r="U80" s="46" t="b">
        <v>1</v>
      </c>
      <c r="V80" s="46" t="b">
        <v>1</v>
      </c>
      <c r="W80" s="46" t="b">
        <v>1</v>
      </c>
      <c r="X80" s="46" t="b">
        <v>1</v>
      </c>
      <c r="Y80" s="46" t="b">
        <v>1</v>
      </c>
      <c r="Z80" s="46" t="b">
        <v>1</v>
      </c>
      <c r="AA80" s="46" t="b">
        <v>1</v>
      </c>
      <c r="AB80" s="46" t="b">
        <v>1</v>
      </c>
      <c r="AC80" s="46" t="b">
        <v>1</v>
      </c>
      <c r="AD80" s="46" t="b">
        <v>0</v>
      </c>
      <c r="AE80" s="46" t="b">
        <v>1</v>
      </c>
      <c r="AF80" s="46" t="b">
        <v>1</v>
      </c>
      <c r="AG80" s="46" t="b">
        <v>1</v>
      </c>
      <c r="AH80" s="46" t="b">
        <v>1</v>
      </c>
      <c r="AI80" s="46" t="b">
        <v>1</v>
      </c>
      <c r="AJ80" s="46" t="b">
        <v>1</v>
      </c>
      <c r="AK80" s="46" t="b">
        <v>1</v>
      </c>
      <c r="AL80" s="46" t="b">
        <v>1</v>
      </c>
      <c r="AM80" s="46" t="b">
        <v>1</v>
      </c>
      <c r="AN80" s="46" t="b">
        <v>1</v>
      </c>
      <c r="AO80" s="46" t="b">
        <v>1</v>
      </c>
      <c r="AP80" s="46" t="b">
        <v>1</v>
      </c>
      <c r="AQ80" s="46" t="b">
        <v>1</v>
      </c>
      <c r="AR80" s="46" t="b">
        <v>1</v>
      </c>
      <c r="AS80" s="46" t="b">
        <v>1</v>
      </c>
      <c r="AT80" s="46" t="b">
        <v>1</v>
      </c>
      <c r="AU80" s="46" t="b">
        <v>1</v>
      </c>
      <c r="AV80" s="46" t="b">
        <v>1</v>
      </c>
      <c r="AW80" s="46" t="b">
        <v>1</v>
      </c>
      <c r="AX80" s="46" t="b">
        <v>1</v>
      </c>
      <c r="AY80" s="46" t="b">
        <v>1</v>
      </c>
      <c r="AZ80" s="46" t="b">
        <v>1</v>
      </c>
      <c r="BA80" s="46" t="b">
        <v>1</v>
      </c>
      <c r="BB80" s="46" t="b">
        <v>1</v>
      </c>
      <c r="BC80" s="46" t="b">
        <v>1</v>
      </c>
      <c r="BD80" s="46" t="b">
        <v>1</v>
      </c>
      <c r="BE80" s="46" t="b">
        <v>1</v>
      </c>
      <c r="BF80" s="46" t="b">
        <v>0</v>
      </c>
      <c r="BG80" s="46" t="b">
        <v>0</v>
      </c>
      <c r="BH80" s="46" t="b">
        <v>1</v>
      </c>
      <c r="BI80" s="46" t="b">
        <v>1</v>
      </c>
      <c r="BJ80" s="46" t="b">
        <v>1</v>
      </c>
      <c r="BK80" s="46" t="b">
        <v>1</v>
      </c>
      <c r="BL80" s="46" t="b">
        <v>1</v>
      </c>
      <c r="BM80" s="46" t="b">
        <v>1</v>
      </c>
      <c r="BN80" s="46" t="b">
        <v>0</v>
      </c>
      <c r="BO80" s="46" t="b">
        <v>0</v>
      </c>
    </row>
    <row r="81" hidden="1" outlineLevel="1">
      <c r="A81" s="47" t="str">
        <f>A80&amp;C81</f>
        <v>JuneVASANTHAOT HOURS</v>
      </c>
      <c r="B81" s="48"/>
      <c r="C81" s="49" t="s">
        <v>120</v>
      </c>
      <c r="D81" s="33"/>
      <c r="E81" s="45">
        <f>(F81+G81+H81+I81+J81+K81+L81+M81+N81+O81+P81+Q81+R81+S81+T81+U81+V81+W81+X81+Y81+Z81+AA81+AB81+AC81+AD81+AE81+AF81+AG81+AH81+AI81+AJ81+AK81+AL81+AM81+AN81+AO81+AP81+AQ81+AR81+AS81+AT81+AU81+AV81+AW81+AX81+AY81+AZ81+BA81+BB81+BC81+BD81+BE81+BF81+BG81+BH81+BI81+BJ81+BK81+BL81+BM81+BN81+BO81)</f>
        <v>37</v>
      </c>
      <c r="F81" s="50"/>
      <c r="G81" s="33"/>
      <c r="H81" s="50">
        <v>5.0</v>
      </c>
      <c r="I81" s="33"/>
      <c r="J81" s="50"/>
      <c r="K81" s="33"/>
      <c r="L81" s="50"/>
      <c r="M81" s="33"/>
      <c r="N81" s="50">
        <v>2.0</v>
      </c>
      <c r="O81" s="33"/>
      <c r="P81" s="50">
        <v>2.0</v>
      </c>
      <c r="Q81" s="33"/>
      <c r="R81" s="50"/>
      <c r="S81" s="33"/>
      <c r="T81" s="50">
        <v>2.0</v>
      </c>
      <c r="U81" s="33"/>
      <c r="V81" s="50"/>
      <c r="W81" s="33"/>
      <c r="X81" s="50">
        <v>2.0</v>
      </c>
      <c r="Y81" s="33"/>
      <c r="Z81" s="50">
        <v>2.0</v>
      </c>
      <c r="AA81" s="33"/>
      <c r="AB81" s="50">
        <v>2.0</v>
      </c>
      <c r="AC81" s="33"/>
      <c r="AD81" s="50">
        <v>2.0</v>
      </c>
      <c r="AE81" s="33"/>
      <c r="AF81" s="50">
        <v>2.0</v>
      </c>
      <c r="AG81" s="33"/>
      <c r="AH81" s="50">
        <v>2.0</v>
      </c>
      <c r="AI81" s="33"/>
      <c r="AJ81" s="50">
        <v>6.0</v>
      </c>
      <c r="AK81" s="33"/>
      <c r="AL81" s="50">
        <v>2.0</v>
      </c>
      <c r="AM81" s="33"/>
      <c r="AN81" s="50">
        <v>2.0</v>
      </c>
      <c r="AO81" s="33"/>
      <c r="AP81" s="50">
        <v>2.0</v>
      </c>
      <c r="AQ81" s="33"/>
      <c r="AR81" s="50">
        <v>1.0</v>
      </c>
      <c r="AS81" s="33"/>
      <c r="AT81" s="50">
        <v>1.0</v>
      </c>
      <c r="AU81" s="33"/>
      <c r="AV81" s="50"/>
      <c r="AW81" s="33"/>
      <c r="AX81" s="50"/>
      <c r="AY81" s="33"/>
      <c r="AZ81" s="50"/>
      <c r="BA81" s="33"/>
      <c r="BB81" s="50"/>
      <c r="BC81" s="33"/>
      <c r="BD81" s="50"/>
      <c r="BE81" s="33"/>
      <c r="BF81" s="50"/>
      <c r="BG81" s="33"/>
      <c r="BH81" s="50"/>
      <c r="BI81" s="33"/>
      <c r="BJ81" s="50"/>
      <c r="BK81" s="33"/>
      <c r="BL81" s="50"/>
      <c r="BM81" s="33"/>
      <c r="BN81" s="50"/>
      <c r="BO81" s="33"/>
    </row>
    <row r="82" hidden="1" outlineLevel="1">
      <c r="A82" s="42" t="str">
        <f>B82&amp;D82</f>
        <v>JuneSUNDARI</v>
      </c>
      <c r="B82" s="43" t="s">
        <v>17</v>
      </c>
      <c r="C82" s="43" t="s">
        <v>64</v>
      </c>
      <c r="D82" s="44" t="str">
        <f>IFERROR(VLOOKUP(C82,'Employees List'!$B$2:$C$28,2,0),"")</f>
        <v>SUNDARI</v>
      </c>
      <c r="E82" s="45">
        <f>(F82+G82+H82+I82+J82+K82+L82+M82+N82+O82+P82+Q82+R82+S82+T82+U82+V82+W82+X82+Y82+Z82+AA82+AB82+AC82+AD82+AE82+AF82+AG82+AH82+AI82+AJ82+AK82+AL82+AM82+AN82+AO82+AP82+AQ82+AR82+AS82+AT82+AU82+AV82+AW82+AX82+AY82+AZ82+BA82+BB82+BC82+BD82+BE82+BF82+BG82+BH82+BI82+BJ82+BK82+BL82+BM82+BN82+BO82)/2</f>
        <v>30</v>
      </c>
      <c r="F82" s="46" t="b">
        <v>1</v>
      </c>
      <c r="G82" s="46" t="b">
        <v>1</v>
      </c>
      <c r="H82" s="46" t="b">
        <v>1</v>
      </c>
      <c r="I82" s="46" t="b">
        <v>1</v>
      </c>
      <c r="J82" s="46" t="b">
        <v>1</v>
      </c>
      <c r="K82" s="46" t="b">
        <v>1</v>
      </c>
      <c r="L82" s="46" t="b">
        <v>1</v>
      </c>
      <c r="M82" s="46" t="b">
        <v>1</v>
      </c>
      <c r="N82" s="46" t="b">
        <v>1</v>
      </c>
      <c r="O82" s="46" t="b">
        <v>1</v>
      </c>
      <c r="P82" s="46" t="b">
        <v>1</v>
      </c>
      <c r="Q82" s="46" t="b">
        <v>1</v>
      </c>
      <c r="R82" s="46" t="b">
        <v>1</v>
      </c>
      <c r="S82" s="46" t="b">
        <v>1</v>
      </c>
      <c r="T82" s="46" t="b">
        <v>1</v>
      </c>
      <c r="U82" s="46" t="b">
        <v>1</v>
      </c>
      <c r="V82" s="46" t="b">
        <v>1</v>
      </c>
      <c r="W82" s="46" t="b">
        <v>1</v>
      </c>
      <c r="X82" s="46" t="b">
        <v>1</v>
      </c>
      <c r="Y82" s="46" t="b">
        <v>1</v>
      </c>
      <c r="Z82" s="46" t="b">
        <v>1</v>
      </c>
      <c r="AA82" s="46" t="b">
        <v>1</v>
      </c>
      <c r="AB82" s="46" t="b">
        <v>1</v>
      </c>
      <c r="AC82" s="46" t="b">
        <v>1</v>
      </c>
      <c r="AD82" s="46" t="b">
        <v>1</v>
      </c>
      <c r="AE82" s="46" t="b">
        <v>1</v>
      </c>
      <c r="AF82" s="46" t="b">
        <v>1</v>
      </c>
      <c r="AG82" s="46" t="b">
        <v>1</v>
      </c>
      <c r="AH82" s="46" t="b">
        <v>1</v>
      </c>
      <c r="AI82" s="46" t="b">
        <v>1</v>
      </c>
      <c r="AJ82" s="46" t="b">
        <v>1</v>
      </c>
      <c r="AK82" s="46" t="b">
        <v>1</v>
      </c>
      <c r="AL82" s="46" t="b">
        <v>1</v>
      </c>
      <c r="AM82" s="46" t="b">
        <v>1</v>
      </c>
      <c r="AN82" s="46" t="b">
        <v>1</v>
      </c>
      <c r="AO82" s="46" t="b">
        <v>1</v>
      </c>
      <c r="AP82" s="46" t="b">
        <v>1</v>
      </c>
      <c r="AQ82" s="46" t="b">
        <v>1</v>
      </c>
      <c r="AR82" s="46" t="b">
        <v>1</v>
      </c>
      <c r="AS82" s="46" t="b">
        <v>1</v>
      </c>
      <c r="AT82" s="46" t="b">
        <v>1</v>
      </c>
      <c r="AU82" s="46" t="b">
        <v>1</v>
      </c>
      <c r="AV82" s="46" t="b">
        <v>1</v>
      </c>
      <c r="AW82" s="46" t="b">
        <v>1</v>
      </c>
      <c r="AX82" s="46" t="b">
        <v>1</v>
      </c>
      <c r="AY82" s="46" t="b">
        <v>1</v>
      </c>
      <c r="AZ82" s="46" t="b">
        <v>1</v>
      </c>
      <c r="BA82" s="46" t="b">
        <v>1</v>
      </c>
      <c r="BB82" s="46" t="b">
        <v>1</v>
      </c>
      <c r="BC82" s="46" t="b">
        <v>1</v>
      </c>
      <c r="BD82" s="46" t="b">
        <v>1</v>
      </c>
      <c r="BE82" s="46" t="b">
        <v>1</v>
      </c>
      <c r="BF82" s="46" t="b">
        <v>1</v>
      </c>
      <c r="BG82" s="46" t="b">
        <v>1</v>
      </c>
      <c r="BH82" s="46" t="b">
        <v>1</v>
      </c>
      <c r="BI82" s="46" t="b">
        <v>1</v>
      </c>
      <c r="BJ82" s="46" t="b">
        <v>1</v>
      </c>
      <c r="BK82" s="46" t="b">
        <v>1</v>
      </c>
      <c r="BL82" s="46" t="b">
        <v>1</v>
      </c>
      <c r="BM82" s="46" t="b">
        <v>1</v>
      </c>
      <c r="BN82" s="46" t="b">
        <v>0</v>
      </c>
      <c r="BO82" s="46" t="b">
        <v>0</v>
      </c>
    </row>
    <row r="83" hidden="1" outlineLevel="1">
      <c r="A83" s="47" t="str">
        <f>A82&amp;C83</f>
        <v>JuneSUNDARIOT HOURS</v>
      </c>
      <c r="B83" s="48"/>
      <c r="C83" s="49" t="s">
        <v>120</v>
      </c>
      <c r="D83" s="33"/>
      <c r="E83" s="45">
        <f>(F83+G83+H83+I83+J83+K83+L83+M83+N83+O83+P83+Q83+R83+S83+T83+U83+V83+W83+X83+Y83+Z83+AA83+AB83+AC83+AD83+AE83+AF83+AG83+AH83+AI83+AJ83+AK83+AL83+AM83+AN83+AO83+AP83+AQ83+AR83+AS83+AT83+AU83+AV83+AW83+AX83+AY83+AZ83+BA83+BB83+BC83+BD83+BE83+BF83+BG83+BH83+BI83+BJ83+BK83+BL83+BM83+BN83+BO83)</f>
        <v>3</v>
      </c>
      <c r="F83" s="50"/>
      <c r="G83" s="33"/>
      <c r="H83" s="50"/>
      <c r="I83" s="33"/>
      <c r="J83" s="50"/>
      <c r="K83" s="33"/>
      <c r="L83" s="50"/>
      <c r="M83" s="33"/>
      <c r="N83" s="50"/>
      <c r="O83" s="33"/>
      <c r="P83" s="50"/>
      <c r="Q83" s="33"/>
      <c r="R83" s="50"/>
      <c r="S83" s="33"/>
      <c r="T83" s="50"/>
      <c r="U83" s="33"/>
      <c r="V83" s="50"/>
      <c r="W83" s="33"/>
      <c r="X83" s="50">
        <v>1.0</v>
      </c>
      <c r="Y83" s="33"/>
      <c r="Z83" s="50"/>
      <c r="AA83" s="33"/>
      <c r="AB83" s="50"/>
      <c r="AC83" s="33"/>
      <c r="AD83" s="50"/>
      <c r="AE83" s="33"/>
      <c r="AF83" s="50"/>
      <c r="AG83" s="33"/>
      <c r="AH83" s="50">
        <v>1.0</v>
      </c>
      <c r="AI83" s="33"/>
      <c r="AJ83" s="50"/>
      <c r="AK83" s="33"/>
      <c r="AL83" s="50"/>
      <c r="AM83" s="33"/>
      <c r="AN83" s="50"/>
      <c r="AO83" s="33"/>
      <c r="AP83" s="50"/>
      <c r="AQ83" s="33"/>
      <c r="AR83" s="50"/>
      <c r="AS83" s="33"/>
      <c r="AT83" s="50"/>
      <c r="AU83" s="33"/>
      <c r="AV83" s="50"/>
      <c r="AW83" s="33"/>
      <c r="AX83" s="50"/>
      <c r="AY83" s="33"/>
      <c r="AZ83" s="50"/>
      <c r="BA83" s="33"/>
      <c r="BB83" s="50"/>
      <c r="BC83" s="33"/>
      <c r="BD83" s="50"/>
      <c r="BE83" s="33"/>
      <c r="BF83" s="50">
        <v>1.0</v>
      </c>
      <c r="BG83" s="33"/>
      <c r="BH83" s="50"/>
      <c r="BI83" s="33"/>
      <c r="BJ83" s="50"/>
      <c r="BK83" s="33"/>
      <c r="BL83" s="50"/>
      <c r="BM83" s="33"/>
      <c r="BN83" s="50"/>
      <c r="BO83" s="33"/>
    </row>
    <row r="84" hidden="1" outlineLevel="1">
      <c r="A84" s="42" t="str">
        <f>B84&amp;D84</f>
        <v>JuneADHIKARI BALIA</v>
      </c>
      <c r="B84" s="43" t="s">
        <v>17</v>
      </c>
      <c r="C84" s="43" t="s">
        <v>22</v>
      </c>
      <c r="D84" s="44" t="str">
        <f>IFERROR(VLOOKUP(C84,'Employees List'!$B$2:$C$28,2,0),"")</f>
        <v>ADHIKARI BALIA</v>
      </c>
      <c r="E84" s="45">
        <f>(F84+G84+H84+I84+J84+K84+L84+M84+N84+O84+P84+Q84+R84+S84+T84+U84+V84+W84+X84+Y84+Z84+AA84+AB84+AC84+AD84+AE84+AF84+AG84+AH84+AI84+AJ84+AK84+AL84+AM84+AN84+AO84+AP84+AQ84+AR84+AS84+AT84+AU84+AV84+AW84+AX84+AY84+AZ84+BA84+BB84+BC84+BD84+BE84+BF84+BG84+BH84+BI84+BJ84+BK84+BL84+BM84+BN84+BO84)/2</f>
        <v>30</v>
      </c>
      <c r="F84" s="46" t="b">
        <v>1</v>
      </c>
      <c r="G84" s="46" t="b">
        <v>1</v>
      </c>
      <c r="H84" s="46" t="b">
        <v>1</v>
      </c>
      <c r="I84" s="46" t="b">
        <v>1</v>
      </c>
      <c r="J84" s="46" t="b">
        <v>1</v>
      </c>
      <c r="K84" s="46" t="b">
        <v>1</v>
      </c>
      <c r="L84" s="46" t="b">
        <v>1</v>
      </c>
      <c r="M84" s="46" t="b">
        <v>1</v>
      </c>
      <c r="N84" s="46" t="b">
        <v>1</v>
      </c>
      <c r="O84" s="46" t="b">
        <v>1</v>
      </c>
      <c r="P84" s="46" t="b">
        <v>1</v>
      </c>
      <c r="Q84" s="46" t="b">
        <v>1</v>
      </c>
      <c r="R84" s="46" t="b">
        <v>1</v>
      </c>
      <c r="S84" s="46" t="b">
        <v>1</v>
      </c>
      <c r="T84" s="46" t="b">
        <v>1</v>
      </c>
      <c r="U84" s="46" t="b">
        <v>1</v>
      </c>
      <c r="V84" s="46" t="b">
        <v>1</v>
      </c>
      <c r="W84" s="46" t="b">
        <v>1</v>
      </c>
      <c r="X84" s="46" t="b">
        <v>1</v>
      </c>
      <c r="Y84" s="46" t="b">
        <v>1</v>
      </c>
      <c r="Z84" s="46" t="b">
        <v>1</v>
      </c>
      <c r="AA84" s="46" t="b">
        <v>1</v>
      </c>
      <c r="AB84" s="46" t="b">
        <v>1</v>
      </c>
      <c r="AC84" s="46" t="b">
        <v>1</v>
      </c>
      <c r="AD84" s="46" t="b">
        <v>1</v>
      </c>
      <c r="AE84" s="46" t="b">
        <v>1</v>
      </c>
      <c r="AF84" s="46" t="b">
        <v>1</v>
      </c>
      <c r="AG84" s="46" t="b">
        <v>1</v>
      </c>
      <c r="AH84" s="46" t="b">
        <v>1</v>
      </c>
      <c r="AI84" s="46" t="b">
        <v>1</v>
      </c>
      <c r="AJ84" s="46" t="b">
        <v>1</v>
      </c>
      <c r="AK84" s="46" t="b">
        <v>1</v>
      </c>
      <c r="AL84" s="46" t="b">
        <v>1</v>
      </c>
      <c r="AM84" s="46" t="b">
        <v>1</v>
      </c>
      <c r="AN84" s="46" t="b">
        <v>1</v>
      </c>
      <c r="AO84" s="46" t="b">
        <v>1</v>
      </c>
      <c r="AP84" s="46" t="b">
        <v>1</v>
      </c>
      <c r="AQ84" s="46" t="b">
        <v>1</v>
      </c>
      <c r="AR84" s="46" t="b">
        <v>1</v>
      </c>
      <c r="AS84" s="46" t="b">
        <v>1</v>
      </c>
      <c r="AT84" s="46" t="b">
        <v>1</v>
      </c>
      <c r="AU84" s="46" t="b">
        <v>1</v>
      </c>
      <c r="AV84" s="46" t="b">
        <v>1</v>
      </c>
      <c r="AW84" s="46" t="b">
        <v>1</v>
      </c>
      <c r="AX84" s="46" t="b">
        <v>1</v>
      </c>
      <c r="AY84" s="46" t="b">
        <v>1</v>
      </c>
      <c r="AZ84" s="46" t="b">
        <v>1</v>
      </c>
      <c r="BA84" s="46" t="b">
        <v>1</v>
      </c>
      <c r="BB84" s="46" t="b">
        <v>1</v>
      </c>
      <c r="BC84" s="46" t="b">
        <v>1</v>
      </c>
      <c r="BD84" s="46" t="b">
        <v>1</v>
      </c>
      <c r="BE84" s="46" t="b">
        <v>1</v>
      </c>
      <c r="BF84" s="46" t="b">
        <v>1</v>
      </c>
      <c r="BG84" s="46" t="b">
        <v>1</v>
      </c>
      <c r="BH84" s="46" t="b">
        <v>1</v>
      </c>
      <c r="BI84" s="46" t="b">
        <v>1</v>
      </c>
      <c r="BJ84" s="46" t="b">
        <v>1</v>
      </c>
      <c r="BK84" s="46" t="b">
        <v>1</v>
      </c>
      <c r="BL84" s="46" t="b">
        <v>1</v>
      </c>
      <c r="BM84" s="46" t="b">
        <v>1</v>
      </c>
      <c r="BN84" s="46" t="b">
        <v>0</v>
      </c>
      <c r="BO84" s="46" t="b">
        <v>0</v>
      </c>
    </row>
    <row r="85" hidden="1" outlineLevel="1">
      <c r="A85" s="47" t="str">
        <f>A84&amp;C85</f>
        <v>JuneADHIKARI BALIAOT HOURS</v>
      </c>
      <c r="B85" s="48"/>
      <c r="C85" s="49" t="s">
        <v>120</v>
      </c>
      <c r="D85" s="33"/>
      <c r="E85" s="45">
        <f>(F85+G85+H85+I85+J85+K85+L85+M85+N85+O85+P85+Q85+R85+S85+T85+U85+V85+W85+X85+Y85+Z85+AA85+AB85+AC85+AD85+AE85+AF85+AG85+AH85+AI85+AJ85+AK85+AL85+AM85+AN85+AO85+AP85+AQ85+AR85+AS85+AT85+AU85+AV85+AW85+AX85+AY85+AZ85+BA85+BB85+BC85+BD85+BE85+BF85+BG85+BH85+BI85+BJ85+BK85+BL85+BM85+BN85+BO85)</f>
        <v>96</v>
      </c>
      <c r="F85" s="50"/>
      <c r="G85" s="33"/>
      <c r="H85" s="50">
        <v>6.0</v>
      </c>
      <c r="I85" s="33"/>
      <c r="J85" s="50">
        <v>4.0</v>
      </c>
      <c r="K85" s="33"/>
      <c r="L85" s="50">
        <v>1.0</v>
      </c>
      <c r="M85" s="33"/>
      <c r="N85" s="50">
        <v>8.0</v>
      </c>
      <c r="O85" s="33"/>
      <c r="P85" s="50">
        <v>6.0</v>
      </c>
      <c r="Q85" s="33"/>
      <c r="R85" s="50">
        <v>2.0</v>
      </c>
      <c r="S85" s="33"/>
      <c r="T85" s="50">
        <v>5.0</v>
      </c>
      <c r="U85" s="33"/>
      <c r="V85" s="50"/>
      <c r="W85" s="33"/>
      <c r="X85" s="50">
        <v>6.0</v>
      </c>
      <c r="Y85" s="33"/>
      <c r="Z85" s="50">
        <v>3.0</v>
      </c>
      <c r="AA85" s="33"/>
      <c r="AB85" s="50">
        <v>6.0</v>
      </c>
      <c r="AC85" s="33"/>
      <c r="AD85" s="50">
        <v>5.0</v>
      </c>
      <c r="AE85" s="33"/>
      <c r="AF85" s="50">
        <v>2.0</v>
      </c>
      <c r="AG85" s="33"/>
      <c r="AH85" s="50">
        <v>5.0</v>
      </c>
      <c r="AI85" s="33"/>
      <c r="AJ85" s="50">
        <v>8.0</v>
      </c>
      <c r="AK85" s="33"/>
      <c r="AL85" s="50">
        <v>6.0</v>
      </c>
      <c r="AM85" s="33"/>
      <c r="AN85" s="50">
        <v>2.0</v>
      </c>
      <c r="AO85" s="33"/>
      <c r="AP85" s="50">
        <v>2.0</v>
      </c>
      <c r="AQ85" s="33"/>
      <c r="AR85" s="50">
        <v>4.0</v>
      </c>
      <c r="AS85" s="33"/>
      <c r="AT85" s="50">
        <v>1.0</v>
      </c>
      <c r="AU85" s="33"/>
      <c r="AV85" s="50"/>
      <c r="AW85" s="33"/>
      <c r="AX85" s="50"/>
      <c r="AY85" s="33"/>
      <c r="AZ85" s="50">
        <v>2.0</v>
      </c>
      <c r="BA85" s="33"/>
      <c r="BB85" s="50">
        <v>7.0</v>
      </c>
      <c r="BC85" s="33"/>
      <c r="BD85" s="50">
        <v>2.0</v>
      </c>
      <c r="BE85" s="33"/>
      <c r="BF85" s="50"/>
      <c r="BG85" s="33"/>
      <c r="BH85" s="50"/>
      <c r="BI85" s="33"/>
      <c r="BJ85" s="50">
        <v>3.0</v>
      </c>
      <c r="BK85" s="33"/>
      <c r="BL85" s="50"/>
      <c r="BM85" s="33"/>
      <c r="BN85" s="50"/>
      <c r="BO85" s="33"/>
    </row>
    <row r="86" hidden="1" outlineLevel="1">
      <c r="A86" s="42" t="str">
        <f>B86&amp;D86</f>
        <v>JuneMathi</v>
      </c>
      <c r="B86" s="43" t="s">
        <v>17</v>
      </c>
      <c r="C86" s="43" t="s">
        <v>70</v>
      </c>
      <c r="D86" s="44" t="str">
        <f>IFERROR(VLOOKUP(C86,'Employees List'!$B$2:$C$28,2,0),"")</f>
        <v>Mathi</v>
      </c>
      <c r="E86" s="45">
        <f>(F86+G86+H86+I86+J86+K86+L86+M86+N86+O86+P86+Q86+R86+S86+T86+U86+V86+W86+X86+Y86+Z86+AA86+AB86+AC86+AD86+AE86+AF86+AG86+AH86+AI86+AJ86+AK86+AL86+AM86+AN86+AO86+AP86+AQ86+AR86+AS86+AT86+AU86+AV86+AW86+AX86+AY86+AZ86+BA86+BB86+BC86+BD86+BE86+BF86+BG86+BH86+BI86+BJ86+BK86+BL86+BM86+BN86+BO86)/2</f>
        <v>28</v>
      </c>
      <c r="F86" s="46" t="b">
        <v>1</v>
      </c>
      <c r="G86" s="46" t="b">
        <v>1</v>
      </c>
      <c r="H86" s="46" t="b">
        <v>1</v>
      </c>
      <c r="I86" s="46" t="b">
        <v>1</v>
      </c>
      <c r="J86" s="46" t="b">
        <v>1</v>
      </c>
      <c r="K86" s="46" t="b">
        <v>1</v>
      </c>
      <c r="L86" s="46" t="b">
        <v>1</v>
      </c>
      <c r="M86" s="46" t="b">
        <v>1</v>
      </c>
      <c r="N86" s="46" t="b">
        <v>1</v>
      </c>
      <c r="O86" s="46" t="b">
        <v>1</v>
      </c>
      <c r="P86" s="46" t="b">
        <v>1</v>
      </c>
      <c r="Q86" s="46" t="b">
        <v>1</v>
      </c>
      <c r="R86" s="46" t="b">
        <v>1</v>
      </c>
      <c r="S86" s="46" t="b">
        <v>1</v>
      </c>
      <c r="T86" s="46" t="b">
        <v>1</v>
      </c>
      <c r="U86" s="46" t="b">
        <v>1</v>
      </c>
      <c r="V86" s="46" t="b">
        <v>1</v>
      </c>
      <c r="W86" s="46" t="b">
        <v>1</v>
      </c>
      <c r="X86" s="46" t="b">
        <v>1</v>
      </c>
      <c r="Y86" s="46" t="b">
        <v>1</v>
      </c>
      <c r="Z86" s="46" t="b">
        <v>0</v>
      </c>
      <c r="AA86" s="46" t="b">
        <v>0</v>
      </c>
      <c r="AB86" s="46" t="b">
        <v>1</v>
      </c>
      <c r="AC86" s="46" t="b">
        <v>1</v>
      </c>
      <c r="AD86" s="46" t="b">
        <v>1</v>
      </c>
      <c r="AE86" s="46" t="b">
        <v>1</v>
      </c>
      <c r="AF86" s="46" t="b">
        <v>1</v>
      </c>
      <c r="AG86" s="46" t="b">
        <v>1</v>
      </c>
      <c r="AH86" s="46" t="b">
        <v>1</v>
      </c>
      <c r="AI86" s="46" t="b">
        <v>1</v>
      </c>
      <c r="AJ86" s="46" t="b">
        <v>1</v>
      </c>
      <c r="AK86" s="46" t="b">
        <v>1</v>
      </c>
      <c r="AL86" s="46" t="b">
        <v>0</v>
      </c>
      <c r="AM86" s="46" t="b">
        <v>0</v>
      </c>
      <c r="AN86" s="46" t="b">
        <v>1</v>
      </c>
      <c r="AO86" s="46" t="b">
        <v>1</v>
      </c>
      <c r="AP86" s="46" t="b">
        <v>1</v>
      </c>
      <c r="AQ86" s="46" t="b">
        <v>1</v>
      </c>
      <c r="AR86" s="46" t="b">
        <v>1</v>
      </c>
      <c r="AS86" s="46" t="b">
        <v>1</v>
      </c>
      <c r="AT86" s="46" t="b">
        <v>1</v>
      </c>
      <c r="AU86" s="46" t="b">
        <v>1</v>
      </c>
      <c r="AV86" s="46" t="b">
        <v>1</v>
      </c>
      <c r="AW86" s="46" t="b">
        <v>1</v>
      </c>
      <c r="AX86" s="46" t="b">
        <v>1</v>
      </c>
      <c r="AY86" s="46" t="b">
        <v>1</v>
      </c>
      <c r="AZ86" s="46" t="b">
        <v>1</v>
      </c>
      <c r="BA86" s="46" t="b">
        <v>1</v>
      </c>
      <c r="BB86" s="46" t="b">
        <v>1</v>
      </c>
      <c r="BC86" s="46" t="b">
        <v>1</v>
      </c>
      <c r="BD86" s="46" t="b">
        <v>1</v>
      </c>
      <c r="BE86" s="46" t="b">
        <v>1</v>
      </c>
      <c r="BF86" s="46" t="b">
        <v>1</v>
      </c>
      <c r="BG86" s="46" t="b">
        <v>1</v>
      </c>
      <c r="BH86" s="46" t="b">
        <v>1</v>
      </c>
      <c r="BI86" s="46" t="b">
        <v>1</v>
      </c>
      <c r="BJ86" s="46" t="b">
        <v>1</v>
      </c>
      <c r="BK86" s="46" t="b">
        <v>1</v>
      </c>
      <c r="BL86" s="46" t="b">
        <v>1</v>
      </c>
      <c r="BM86" s="46" t="b">
        <v>1</v>
      </c>
      <c r="BN86" s="46" t="b">
        <v>0</v>
      </c>
      <c r="BO86" s="46" t="b">
        <v>0</v>
      </c>
    </row>
    <row r="87" hidden="1" outlineLevel="1">
      <c r="A87" s="47" t="str">
        <f>A86&amp;C87</f>
        <v>JuneMathiOT HOURS</v>
      </c>
      <c r="B87" s="48"/>
      <c r="C87" s="49" t="s">
        <v>120</v>
      </c>
      <c r="D87" s="33"/>
      <c r="E87" s="45">
        <f>(F87+G87+H87+I87+J87+K87+L87+M87+N87+O87+P87+Q87+R87+S87+T87+U87+V87+W87+X87+Y87+Z87+AA87+AB87+AC87+AD87+AE87+AF87+AG87+AH87+AI87+AJ87+AK87+AL87+AM87+AN87+AO87+AP87+AQ87+AR87+AS87+AT87+AU87+AV87+AW87+AX87+AY87+AZ87+BA87+BB87+BC87+BD87+BE87+BF87+BG87+BH87+BI87+BJ87+BK87+BL87+BM87+BN87+BO87)</f>
        <v>49</v>
      </c>
      <c r="F87" s="50"/>
      <c r="G87" s="33"/>
      <c r="H87" s="50"/>
      <c r="I87" s="33"/>
      <c r="J87" s="50">
        <v>3.0</v>
      </c>
      <c r="K87" s="33"/>
      <c r="L87" s="50"/>
      <c r="M87" s="33"/>
      <c r="N87" s="50">
        <v>3.0</v>
      </c>
      <c r="O87" s="33"/>
      <c r="P87" s="50">
        <v>1.0</v>
      </c>
      <c r="Q87" s="33"/>
      <c r="R87" s="50">
        <v>2.0</v>
      </c>
      <c r="S87" s="33"/>
      <c r="T87" s="50">
        <v>1.0</v>
      </c>
      <c r="U87" s="33"/>
      <c r="V87" s="50"/>
      <c r="W87" s="33"/>
      <c r="X87" s="50">
        <v>3.0</v>
      </c>
      <c r="Y87" s="33"/>
      <c r="Z87" s="50"/>
      <c r="AA87" s="33"/>
      <c r="AB87" s="50">
        <v>4.0</v>
      </c>
      <c r="AC87" s="33"/>
      <c r="AD87" s="50">
        <v>3.0</v>
      </c>
      <c r="AE87" s="33"/>
      <c r="AF87" s="50">
        <v>2.0</v>
      </c>
      <c r="AG87" s="33"/>
      <c r="AH87" s="50">
        <v>4.0</v>
      </c>
      <c r="AI87" s="33"/>
      <c r="AJ87" s="50"/>
      <c r="AK87" s="33"/>
      <c r="AL87" s="50"/>
      <c r="AM87" s="33"/>
      <c r="AN87" s="50">
        <v>1.0</v>
      </c>
      <c r="AO87" s="33"/>
      <c r="AP87" s="50">
        <v>4.0</v>
      </c>
      <c r="AQ87" s="33"/>
      <c r="AR87" s="50">
        <v>1.0</v>
      </c>
      <c r="AS87" s="33"/>
      <c r="AT87" s="50">
        <v>3.0</v>
      </c>
      <c r="AU87" s="33"/>
      <c r="AV87" s="50"/>
      <c r="AW87" s="33"/>
      <c r="AX87" s="50"/>
      <c r="AY87" s="33"/>
      <c r="AZ87" s="50">
        <v>1.0</v>
      </c>
      <c r="BA87" s="33"/>
      <c r="BB87" s="50">
        <v>3.0</v>
      </c>
      <c r="BC87" s="33"/>
      <c r="BD87" s="50">
        <v>3.0</v>
      </c>
      <c r="BE87" s="33"/>
      <c r="BF87" s="50"/>
      <c r="BG87" s="33"/>
      <c r="BH87" s="50">
        <v>4.0</v>
      </c>
      <c r="BI87" s="33"/>
      <c r="BJ87" s="50">
        <v>3.0</v>
      </c>
      <c r="BK87" s="33"/>
      <c r="BL87" s="50"/>
      <c r="BM87" s="33"/>
      <c r="BN87" s="50"/>
      <c r="BO87" s="33"/>
    </row>
    <row r="88" hidden="1" outlineLevel="1">
      <c r="A88" s="42" t="str">
        <f>B88&amp;D88</f>
        <v>JuneSANJAI BHAGAT</v>
      </c>
      <c r="B88" s="43" t="s">
        <v>17</v>
      </c>
      <c r="C88" s="43" t="s">
        <v>30</v>
      </c>
      <c r="D88" s="44" t="str">
        <f>IFERROR(VLOOKUP(C88,'Employees List'!$B$2:$C$28,2,0),"")</f>
        <v>SANJAI BHAGAT</v>
      </c>
      <c r="E88" s="45">
        <f>(F88+G88+H88+I88+J88+K88+L88+M88+N88+O88+P88+Q88+R88+S88+T88+U88+V88+W88+X88+Y88+Z88+AA88+AB88+AC88+AD88+AE88+AF88+AG88+AH88+AI88+AJ88+AK88+AL88+AM88+AN88+AO88+AP88+AQ88+AR88+AS88+AT88+AU88+AV88+AW88+AX88+AY88+AZ88+BA88+BB88+BC88+BD88+BE88+BF88+BG88+BH88+BI88+BJ88+BK88+BL88+BM88+BN88+BO88)/2</f>
        <v>30</v>
      </c>
      <c r="F88" s="46" t="b">
        <v>1</v>
      </c>
      <c r="G88" s="46" t="b">
        <v>1</v>
      </c>
      <c r="H88" s="46" t="b">
        <v>1</v>
      </c>
      <c r="I88" s="46" t="b">
        <v>1</v>
      </c>
      <c r="J88" s="46" t="b">
        <v>1</v>
      </c>
      <c r="K88" s="46" t="b">
        <v>1</v>
      </c>
      <c r="L88" s="46" t="b">
        <v>1</v>
      </c>
      <c r="M88" s="46" t="b">
        <v>1</v>
      </c>
      <c r="N88" s="46" t="b">
        <v>1</v>
      </c>
      <c r="O88" s="46" t="b">
        <v>1</v>
      </c>
      <c r="P88" s="46" t="b">
        <v>1</v>
      </c>
      <c r="Q88" s="46" t="b">
        <v>1</v>
      </c>
      <c r="R88" s="46" t="b">
        <v>1</v>
      </c>
      <c r="S88" s="46" t="b">
        <v>1</v>
      </c>
      <c r="T88" s="46" t="b">
        <v>1</v>
      </c>
      <c r="U88" s="46" t="b">
        <v>1</v>
      </c>
      <c r="V88" s="46" t="b">
        <v>1</v>
      </c>
      <c r="W88" s="46" t="b">
        <v>1</v>
      </c>
      <c r="X88" s="46" t="b">
        <v>1</v>
      </c>
      <c r="Y88" s="46" t="b">
        <v>1</v>
      </c>
      <c r="Z88" s="46" t="b">
        <v>1</v>
      </c>
      <c r="AA88" s="46" t="b">
        <v>1</v>
      </c>
      <c r="AB88" s="46" t="b">
        <v>1</v>
      </c>
      <c r="AC88" s="46" t="b">
        <v>1</v>
      </c>
      <c r="AD88" s="46" t="b">
        <v>1</v>
      </c>
      <c r="AE88" s="46" t="b">
        <v>1</v>
      </c>
      <c r="AF88" s="46" t="b">
        <v>1</v>
      </c>
      <c r="AG88" s="46" t="b">
        <v>1</v>
      </c>
      <c r="AH88" s="46" t="b">
        <v>1</v>
      </c>
      <c r="AI88" s="46" t="b">
        <v>1</v>
      </c>
      <c r="AJ88" s="46" t="b">
        <v>1</v>
      </c>
      <c r="AK88" s="46" t="b">
        <v>1</v>
      </c>
      <c r="AL88" s="46" t="b">
        <v>1</v>
      </c>
      <c r="AM88" s="46" t="b">
        <v>1</v>
      </c>
      <c r="AN88" s="46" t="b">
        <v>1</v>
      </c>
      <c r="AO88" s="46" t="b">
        <v>1</v>
      </c>
      <c r="AP88" s="46" t="b">
        <v>1</v>
      </c>
      <c r="AQ88" s="46" t="b">
        <v>1</v>
      </c>
      <c r="AR88" s="46" t="b">
        <v>1</v>
      </c>
      <c r="AS88" s="46" t="b">
        <v>1</v>
      </c>
      <c r="AT88" s="46" t="b">
        <v>1</v>
      </c>
      <c r="AU88" s="46" t="b">
        <v>1</v>
      </c>
      <c r="AV88" s="46" t="b">
        <v>1</v>
      </c>
      <c r="AW88" s="46" t="b">
        <v>1</v>
      </c>
      <c r="AX88" s="46" t="b">
        <v>1</v>
      </c>
      <c r="AY88" s="46" t="b">
        <v>1</v>
      </c>
      <c r="AZ88" s="46" t="b">
        <v>1</v>
      </c>
      <c r="BA88" s="46" t="b">
        <v>1</v>
      </c>
      <c r="BB88" s="46" t="b">
        <v>1</v>
      </c>
      <c r="BC88" s="46" t="b">
        <v>1</v>
      </c>
      <c r="BD88" s="46" t="b">
        <v>1</v>
      </c>
      <c r="BE88" s="46" t="b">
        <v>1</v>
      </c>
      <c r="BF88" s="46" t="b">
        <v>1</v>
      </c>
      <c r="BG88" s="46" t="b">
        <v>1</v>
      </c>
      <c r="BH88" s="46" t="b">
        <v>1</v>
      </c>
      <c r="BI88" s="46" t="b">
        <v>1</v>
      </c>
      <c r="BJ88" s="46" t="b">
        <v>1</v>
      </c>
      <c r="BK88" s="46" t="b">
        <v>1</v>
      </c>
      <c r="BL88" s="46" t="b">
        <v>1</v>
      </c>
      <c r="BM88" s="46" t="b">
        <v>1</v>
      </c>
      <c r="BN88" s="46" t="b">
        <v>0</v>
      </c>
      <c r="BO88" s="46" t="b">
        <v>0</v>
      </c>
    </row>
    <row r="89" hidden="1" outlineLevel="1">
      <c r="A89" s="47" t="str">
        <f>A88&amp;C89</f>
        <v>JuneSANJAI BHAGATOT HOURS</v>
      </c>
      <c r="B89" s="48"/>
      <c r="C89" s="49" t="s">
        <v>120</v>
      </c>
      <c r="D89" s="33"/>
      <c r="E89" s="45">
        <f>(F89+G89+H89+I89+J89+K89+L89+M89+N89+O89+P89+Q89+R89+S89+T89+U89+V89+W89+X89+Y89+Z89+AA89+AB89+AC89+AD89+AE89+AF89+AG89+AH89+AI89+AJ89+AK89+AL89+AM89+AN89+AO89+AP89+AQ89+AR89+AS89+AT89+AU89+AV89+AW89+AX89+AY89+AZ89+BA89+BB89+BC89+BD89+BE89+BF89+BG89+BH89+BI89+BJ89+BK89+BL89+BM89+BN89+BO89)</f>
        <v>130</v>
      </c>
      <c r="F89" s="50"/>
      <c r="G89" s="33"/>
      <c r="H89" s="50">
        <v>8.0</v>
      </c>
      <c r="I89" s="33"/>
      <c r="J89" s="50">
        <v>4.0</v>
      </c>
      <c r="K89" s="33"/>
      <c r="L89" s="50">
        <v>1.0</v>
      </c>
      <c r="M89" s="33"/>
      <c r="N89" s="50">
        <v>8.0</v>
      </c>
      <c r="O89" s="33"/>
      <c r="P89" s="50">
        <v>6.0</v>
      </c>
      <c r="Q89" s="33"/>
      <c r="R89" s="50">
        <v>4.0</v>
      </c>
      <c r="S89" s="33"/>
      <c r="T89" s="50">
        <v>5.0</v>
      </c>
      <c r="U89" s="33"/>
      <c r="V89" s="50">
        <v>8.0</v>
      </c>
      <c r="W89" s="33"/>
      <c r="X89" s="50">
        <v>6.0</v>
      </c>
      <c r="Y89" s="33"/>
      <c r="Z89" s="50">
        <v>6.0</v>
      </c>
      <c r="AA89" s="33"/>
      <c r="AB89" s="50">
        <v>5.0</v>
      </c>
      <c r="AC89" s="33"/>
      <c r="AD89" s="50">
        <v>6.0</v>
      </c>
      <c r="AE89" s="33"/>
      <c r="AF89" s="50">
        <v>2.0</v>
      </c>
      <c r="AG89" s="33"/>
      <c r="AH89" s="50">
        <v>8.0</v>
      </c>
      <c r="AI89" s="33"/>
      <c r="AJ89" s="50">
        <v>8.0</v>
      </c>
      <c r="AK89" s="33"/>
      <c r="AL89" s="50">
        <v>6.0</v>
      </c>
      <c r="AM89" s="33"/>
      <c r="AN89" s="50">
        <v>2.0</v>
      </c>
      <c r="AO89" s="33"/>
      <c r="AP89" s="50">
        <v>5.0</v>
      </c>
      <c r="AQ89" s="33"/>
      <c r="AR89" s="50">
        <v>4.0</v>
      </c>
      <c r="AS89" s="33"/>
      <c r="AT89" s="50">
        <v>4.0</v>
      </c>
      <c r="AU89" s="33"/>
      <c r="AV89" s="50">
        <v>3.0</v>
      </c>
      <c r="AW89" s="33"/>
      <c r="AX89" s="50">
        <v>2.0</v>
      </c>
      <c r="AY89" s="33"/>
      <c r="AZ89" s="50">
        <v>2.0</v>
      </c>
      <c r="BA89" s="33"/>
      <c r="BB89" s="50">
        <v>4.0</v>
      </c>
      <c r="BC89" s="33"/>
      <c r="BD89" s="50">
        <v>4.0</v>
      </c>
      <c r="BE89" s="33"/>
      <c r="BF89" s="50">
        <v>2.0</v>
      </c>
      <c r="BG89" s="33"/>
      <c r="BH89" s="50">
        <v>4.0</v>
      </c>
      <c r="BI89" s="33"/>
      <c r="BJ89" s="50">
        <v>3.0</v>
      </c>
      <c r="BK89" s="33"/>
      <c r="BL89" s="50"/>
      <c r="BM89" s="33"/>
      <c r="BN89" s="50"/>
      <c r="BO89" s="33"/>
    </row>
    <row r="90" hidden="1" outlineLevel="1">
      <c r="A90" s="42" t="str">
        <f>B90&amp;D90</f>
        <v>JuneRUPESH</v>
      </c>
      <c r="B90" s="43" t="s">
        <v>17</v>
      </c>
      <c r="C90" s="43" t="s">
        <v>26</v>
      </c>
      <c r="D90" s="44" t="str">
        <f>IFERROR(VLOOKUP(C90,'Employees List'!$B$2:$C$28,2,0),"")</f>
        <v>RUPESH</v>
      </c>
      <c r="E90" s="45">
        <f>(F90+G90+H90+I90+J90+K90+L90+M90+N90+O90+P90+Q90+R90+S90+T90+U90+V90+W90+X90+Y90+Z90+AA90+AB90+AC90+AD90+AE90+AF90+AG90+AH90+AI90+AJ90+AK90+AL90+AM90+AN90+AO90+AP90+AQ90+AR90+AS90+AT90+AU90+AV90+AW90+AX90+AY90+AZ90+BA90+BB90+BC90+BD90+BE90+BF90+BG90+BH90+BI90+BJ90+BK90+BL90+BM90+BN90+BO90)/2</f>
        <v>30</v>
      </c>
      <c r="F90" s="46" t="b">
        <v>1</v>
      </c>
      <c r="G90" s="46" t="b">
        <v>1</v>
      </c>
      <c r="H90" s="46" t="b">
        <v>1</v>
      </c>
      <c r="I90" s="46" t="b">
        <v>1</v>
      </c>
      <c r="J90" s="46" t="b">
        <v>1</v>
      </c>
      <c r="K90" s="46" t="b">
        <v>1</v>
      </c>
      <c r="L90" s="46" t="b">
        <v>1</v>
      </c>
      <c r="M90" s="46" t="b">
        <v>1</v>
      </c>
      <c r="N90" s="46" t="b">
        <v>1</v>
      </c>
      <c r="O90" s="46" t="b">
        <v>1</v>
      </c>
      <c r="P90" s="46" t="b">
        <v>1</v>
      </c>
      <c r="Q90" s="46" t="b">
        <v>1</v>
      </c>
      <c r="R90" s="46" t="b">
        <v>1</v>
      </c>
      <c r="S90" s="46" t="b">
        <v>1</v>
      </c>
      <c r="T90" s="46" t="b">
        <v>1</v>
      </c>
      <c r="U90" s="46" t="b">
        <v>1</v>
      </c>
      <c r="V90" s="46" t="b">
        <v>1</v>
      </c>
      <c r="W90" s="46" t="b">
        <v>1</v>
      </c>
      <c r="X90" s="46" t="b">
        <v>1</v>
      </c>
      <c r="Y90" s="46" t="b">
        <v>1</v>
      </c>
      <c r="Z90" s="46" t="b">
        <v>1</v>
      </c>
      <c r="AA90" s="46" t="b">
        <v>1</v>
      </c>
      <c r="AB90" s="46" t="b">
        <v>1</v>
      </c>
      <c r="AC90" s="46" t="b">
        <v>1</v>
      </c>
      <c r="AD90" s="46" t="b">
        <v>1</v>
      </c>
      <c r="AE90" s="46" t="b">
        <v>1</v>
      </c>
      <c r="AF90" s="46" t="b">
        <v>1</v>
      </c>
      <c r="AG90" s="46" t="b">
        <v>1</v>
      </c>
      <c r="AH90" s="46" t="b">
        <v>1</v>
      </c>
      <c r="AI90" s="46" t="b">
        <v>1</v>
      </c>
      <c r="AJ90" s="46" t="b">
        <v>1</v>
      </c>
      <c r="AK90" s="46" t="b">
        <v>1</v>
      </c>
      <c r="AL90" s="46" t="b">
        <v>1</v>
      </c>
      <c r="AM90" s="46" t="b">
        <v>1</v>
      </c>
      <c r="AN90" s="46" t="b">
        <v>1</v>
      </c>
      <c r="AO90" s="46" t="b">
        <v>1</v>
      </c>
      <c r="AP90" s="46" t="b">
        <v>1</v>
      </c>
      <c r="AQ90" s="46" t="b">
        <v>1</v>
      </c>
      <c r="AR90" s="46" t="b">
        <v>1</v>
      </c>
      <c r="AS90" s="46" t="b">
        <v>1</v>
      </c>
      <c r="AT90" s="46" t="b">
        <v>1</v>
      </c>
      <c r="AU90" s="46" t="b">
        <v>1</v>
      </c>
      <c r="AV90" s="46" t="b">
        <v>1</v>
      </c>
      <c r="AW90" s="46" t="b">
        <v>1</v>
      </c>
      <c r="AX90" s="46" t="b">
        <v>1</v>
      </c>
      <c r="AY90" s="46" t="b">
        <v>1</v>
      </c>
      <c r="AZ90" s="46" t="b">
        <v>1</v>
      </c>
      <c r="BA90" s="46" t="b">
        <v>1</v>
      </c>
      <c r="BB90" s="46" t="b">
        <v>1</v>
      </c>
      <c r="BC90" s="46" t="b">
        <v>1</v>
      </c>
      <c r="BD90" s="46" t="b">
        <v>1</v>
      </c>
      <c r="BE90" s="46" t="b">
        <v>1</v>
      </c>
      <c r="BF90" s="46" t="b">
        <v>1</v>
      </c>
      <c r="BG90" s="46" t="b">
        <v>1</v>
      </c>
      <c r="BH90" s="46" t="b">
        <v>1</v>
      </c>
      <c r="BI90" s="46" t="b">
        <v>1</v>
      </c>
      <c r="BJ90" s="46" t="b">
        <v>1</v>
      </c>
      <c r="BK90" s="46" t="b">
        <v>1</v>
      </c>
      <c r="BL90" s="46" t="b">
        <v>1</v>
      </c>
      <c r="BM90" s="46" t="b">
        <v>1</v>
      </c>
      <c r="BN90" s="46" t="b">
        <v>0</v>
      </c>
      <c r="BO90" s="46" t="b">
        <v>0</v>
      </c>
    </row>
    <row r="91" hidden="1" outlineLevel="1">
      <c r="A91" s="47" t="str">
        <f>A90&amp;C91</f>
        <v>JuneRUPESHOT HOURS</v>
      </c>
      <c r="B91" s="48"/>
      <c r="C91" s="49" t="s">
        <v>120</v>
      </c>
      <c r="D91" s="33"/>
      <c r="E91" s="45">
        <f>(F91+G91+H91+I91+J91+K91+L91+M91+N91+O91+P91+Q91+R91+S91+T91+U91+V91+W91+X91+Y91+Z91+AA91+AB91+AC91+AD91+AE91+AF91+AG91+AH91+AI91+AJ91+AK91+AL91+AM91+AN91+AO91+AP91+AQ91+AR91+AS91+AT91+AU91+AV91+AW91+AX91+AY91+AZ91+BA91+BB91+BC91+BD91+BE91+BF91+BG91+BH91+BI91+BJ91+BK91+BL91+BM91+BN91+BO91)</f>
        <v>111</v>
      </c>
      <c r="F91" s="50"/>
      <c r="G91" s="33"/>
      <c r="H91" s="50">
        <v>6.0</v>
      </c>
      <c r="I91" s="33"/>
      <c r="J91" s="50">
        <v>4.0</v>
      </c>
      <c r="K91" s="33"/>
      <c r="L91" s="50">
        <v>1.0</v>
      </c>
      <c r="M91" s="33"/>
      <c r="N91" s="50">
        <v>8.0</v>
      </c>
      <c r="O91" s="33"/>
      <c r="P91" s="50">
        <v>6.0</v>
      </c>
      <c r="Q91" s="33"/>
      <c r="R91" s="50">
        <v>2.0</v>
      </c>
      <c r="S91" s="33"/>
      <c r="T91" s="50">
        <v>5.0</v>
      </c>
      <c r="U91" s="33"/>
      <c r="V91" s="50">
        <v>8.0</v>
      </c>
      <c r="W91" s="33"/>
      <c r="X91" s="50">
        <v>6.0</v>
      </c>
      <c r="Y91" s="33"/>
      <c r="Z91" s="50">
        <v>3.0</v>
      </c>
      <c r="AA91" s="33"/>
      <c r="AB91" s="50">
        <v>6.0</v>
      </c>
      <c r="AC91" s="33"/>
      <c r="AD91" s="50">
        <v>5.0</v>
      </c>
      <c r="AE91" s="33"/>
      <c r="AF91" s="50">
        <v>2.0</v>
      </c>
      <c r="AG91" s="33"/>
      <c r="AH91" s="50">
        <v>8.0</v>
      </c>
      <c r="AI91" s="33"/>
      <c r="AJ91" s="50">
        <v>8.0</v>
      </c>
      <c r="AK91" s="33"/>
      <c r="AL91" s="50">
        <v>4.0</v>
      </c>
      <c r="AM91" s="33"/>
      <c r="AN91" s="50">
        <v>2.0</v>
      </c>
      <c r="AO91" s="33"/>
      <c r="AP91" s="50">
        <v>5.0</v>
      </c>
      <c r="AQ91" s="33"/>
      <c r="AR91" s="50">
        <v>4.0</v>
      </c>
      <c r="AS91" s="33"/>
      <c r="AT91" s="50">
        <v>1.0</v>
      </c>
      <c r="AU91" s="33"/>
      <c r="AV91" s="50"/>
      <c r="AW91" s="33"/>
      <c r="AX91" s="50"/>
      <c r="AY91" s="33"/>
      <c r="AZ91" s="50">
        <v>2.0</v>
      </c>
      <c r="BA91" s="33"/>
      <c r="BB91" s="50">
        <v>4.0</v>
      </c>
      <c r="BC91" s="33"/>
      <c r="BD91" s="50">
        <v>2.0</v>
      </c>
      <c r="BE91" s="33"/>
      <c r="BF91" s="50">
        <v>6.0</v>
      </c>
      <c r="BG91" s="33"/>
      <c r="BH91" s="50"/>
      <c r="BI91" s="33"/>
      <c r="BJ91" s="50">
        <v>3.0</v>
      </c>
      <c r="BK91" s="33"/>
      <c r="BL91" s="50"/>
      <c r="BM91" s="33"/>
      <c r="BN91" s="50"/>
      <c r="BO91" s="33"/>
    </row>
    <row r="92" hidden="1" outlineLevel="1">
      <c r="A92" s="42" t="str">
        <f>B92&amp;D92</f>
        <v>JuneLIPAN</v>
      </c>
      <c r="B92" s="43" t="s">
        <v>17</v>
      </c>
      <c r="C92" s="43" t="s">
        <v>83</v>
      </c>
      <c r="D92" s="44" t="str">
        <f>IFERROR(VLOOKUP(C92,'Employees List'!$B$2:$C$28,2,0),"")</f>
        <v>LIPAN</v>
      </c>
      <c r="E92" s="45">
        <f>(F92+G92+H92+I92+J92+K92+L92+M92+N92+O92+P92+Q92+R92+S92+T92+U92+V92+W92+X92+Y92+Z92+AA92+AB92+AC92+AD92+AE92+AF92+AG92+AH92+AI92+AJ92+AK92+AL92+AM92+AN92+AO92+AP92+AQ92+AR92+AS92+AT92+AU92+AV92+AW92+AX92+AY92+AZ92+BA92+BB92+BC92+BD92+BE92+BF92+BG92+BH92+BI92+BJ92+BK92+BL92+BM92+BN92+BO92)/2</f>
        <v>11</v>
      </c>
      <c r="F92" s="46" t="b">
        <v>0</v>
      </c>
      <c r="G92" s="46" t="b">
        <v>0</v>
      </c>
      <c r="H92" s="46" t="b">
        <v>0</v>
      </c>
      <c r="I92" s="46" t="b">
        <v>0</v>
      </c>
      <c r="J92" s="46" t="b">
        <v>0</v>
      </c>
      <c r="K92" s="46" t="b">
        <v>0</v>
      </c>
      <c r="L92" s="46" t="b">
        <v>0</v>
      </c>
      <c r="M92" s="46" t="b">
        <v>0</v>
      </c>
      <c r="N92" s="46" t="b">
        <v>0</v>
      </c>
      <c r="O92" s="46" t="b">
        <v>0</v>
      </c>
      <c r="P92" s="46" t="b">
        <v>0</v>
      </c>
      <c r="Q92" s="46" t="b">
        <v>0</v>
      </c>
      <c r="R92" s="46" t="b">
        <v>0</v>
      </c>
      <c r="S92" s="46" t="b">
        <v>0</v>
      </c>
      <c r="T92" s="46" t="b">
        <v>0</v>
      </c>
      <c r="U92" s="46" t="b">
        <v>0</v>
      </c>
      <c r="V92" s="46" t="b">
        <v>0</v>
      </c>
      <c r="W92" s="46" t="b">
        <v>0</v>
      </c>
      <c r="X92" s="46" t="b">
        <v>0</v>
      </c>
      <c r="Y92" s="46" t="b">
        <v>0</v>
      </c>
      <c r="Z92" s="46" t="b">
        <v>0</v>
      </c>
      <c r="AA92" s="46" t="b">
        <v>0</v>
      </c>
      <c r="AB92" s="46" t="b">
        <v>0</v>
      </c>
      <c r="AC92" s="46" t="b">
        <v>0</v>
      </c>
      <c r="AD92" s="46" t="b">
        <v>0</v>
      </c>
      <c r="AE92" s="46" t="b">
        <v>0</v>
      </c>
      <c r="AF92" s="46" t="b">
        <v>0</v>
      </c>
      <c r="AG92" s="46" t="b">
        <v>0</v>
      </c>
      <c r="AH92" s="46" t="b">
        <v>0</v>
      </c>
      <c r="AI92" s="46" t="b">
        <v>0</v>
      </c>
      <c r="AJ92" s="46" t="b">
        <v>0</v>
      </c>
      <c r="AK92" s="46" t="b">
        <v>0</v>
      </c>
      <c r="AL92" s="46" t="b">
        <v>0</v>
      </c>
      <c r="AM92" s="46" t="b">
        <v>0</v>
      </c>
      <c r="AN92" s="46" t="b">
        <v>0</v>
      </c>
      <c r="AO92" s="46" t="b">
        <v>0</v>
      </c>
      <c r="AP92" s="46" t="b">
        <v>0</v>
      </c>
      <c r="AQ92" s="46" t="b">
        <v>0</v>
      </c>
      <c r="AR92" s="46" t="b">
        <v>1</v>
      </c>
      <c r="AS92" s="46" t="b">
        <v>1</v>
      </c>
      <c r="AT92" s="46" t="b">
        <v>1</v>
      </c>
      <c r="AU92" s="46" t="b">
        <v>1</v>
      </c>
      <c r="AV92" s="46" t="b">
        <v>1</v>
      </c>
      <c r="AW92" s="46" t="b">
        <v>1</v>
      </c>
      <c r="AX92" s="46" t="b">
        <v>1</v>
      </c>
      <c r="AY92" s="46" t="b">
        <v>1</v>
      </c>
      <c r="AZ92" s="46" t="b">
        <v>1</v>
      </c>
      <c r="BA92" s="46" t="b">
        <v>1</v>
      </c>
      <c r="BB92" s="46" t="b">
        <v>1</v>
      </c>
      <c r="BC92" s="46" t="b">
        <v>1</v>
      </c>
      <c r="BD92" s="46" t="b">
        <v>1</v>
      </c>
      <c r="BE92" s="46" t="b">
        <v>1</v>
      </c>
      <c r="BF92" s="46" t="b">
        <v>1</v>
      </c>
      <c r="BG92" s="46" t="b">
        <v>1</v>
      </c>
      <c r="BH92" s="46" t="b">
        <v>1</v>
      </c>
      <c r="BI92" s="46" t="b">
        <v>1</v>
      </c>
      <c r="BJ92" s="46" t="b">
        <v>1</v>
      </c>
      <c r="BK92" s="46" t="b">
        <v>1</v>
      </c>
      <c r="BL92" s="46" t="b">
        <v>1</v>
      </c>
      <c r="BM92" s="46" t="b">
        <v>1</v>
      </c>
      <c r="BN92" s="46" t="b">
        <v>0</v>
      </c>
      <c r="BO92" s="46" t="b">
        <v>0</v>
      </c>
    </row>
    <row r="93" hidden="1" outlineLevel="1">
      <c r="A93" s="47" t="str">
        <f>A92&amp;C93</f>
        <v>JuneLIPANOT HOURS</v>
      </c>
      <c r="B93" s="48"/>
      <c r="C93" s="49" t="s">
        <v>120</v>
      </c>
      <c r="D93" s="33"/>
      <c r="E93" s="45">
        <f>(F93+G93+H93+I93+J93+K93+L93+M93+N93+O93+P93+Q93+R93+S93+T93+U93+V93+W93+X93+Y93+Z93+AA93+AB93+AC93+AD93+AE93+AF93+AG93+AH93+AI93+AJ93+AK93+AL93+AM93+AN93+AO93+AP93+AQ93+AR93+AS93+AT93+AU93+AV93+AW93+AX93+AY93+AZ93+BA93+BB93+BC93+BD93+BE93+BF93+BG93+BH93+BI93+BJ93+BK93+BL93+BM93+BN93+BO93)</f>
        <v>27</v>
      </c>
      <c r="F93" s="50"/>
      <c r="G93" s="33"/>
      <c r="H93" s="50"/>
      <c r="I93" s="33"/>
      <c r="J93" s="50"/>
      <c r="K93" s="33"/>
      <c r="L93" s="50"/>
      <c r="M93" s="33"/>
      <c r="N93" s="50"/>
      <c r="O93" s="33"/>
      <c r="P93" s="50"/>
      <c r="Q93" s="33"/>
      <c r="R93" s="50"/>
      <c r="S93" s="33"/>
      <c r="T93" s="50"/>
      <c r="U93" s="33"/>
      <c r="V93" s="50"/>
      <c r="W93" s="33"/>
      <c r="X93" s="50"/>
      <c r="Y93" s="33"/>
      <c r="Z93" s="50"/>
      <c r="AA93" s="33"/>
      <c r="AB93" s="50"/>
      <c r="AC93" s="33"/>
      <c r="AD93" s="50"/>
      <c r="AE93" s="33"/>
      <c r="AF93" s="50"/>
      <c r="AG93" s="33"/>
      <c r="AH93" s="50"/>
      <c r="AI93" s="33"/>
      <c r="AJ93" s="50"/>
      <c r="AK93" s="33"/>
      <c r="AL93" s="50"/>
      <c r="AM93" s="33"/>
      <c r="AN93" s="50"/>
      <c r="AO93" s="33"/>
      <c r="AP93" s="50"/>
      <c r="AQ93" s="33"/>
      <c r="AR93" s="50">
        <v>2.0</v>
      </c>
      <c r="AS93" s="33"/>
      <c r="AT93" s="50">
        <v>1.0</v>
      </c>
      <c r="AU93" s="33"/>
      <c r="AV93" s="50"/>
      <c r="AW93" s="33"/>
      <c r="AX93" s="50"/>
      <c r="AY93" s="33"/>
      <c r="AZ93" s="50">
        <v>2.0</v>
      </c>
      <c r="BA93" s="33"/>
      <c r="BB93" s="50">
        <v>7.0</v>
      </c>
      <c r="BC93" s="33"/>
      <c r="BD93" s="50">
        <v>2.0</v>
      </c>
      <c r="BE93" s="33"/>
      <c r="BF93" s="50">
        <v>6.0</v>
      </c>
      <c r="BG93" s="33"/>
      <c r="BH93" s="50">
        <v>4.0</v>
      </c>
      <c r="BI93" s="33"/>
      <c r="BJ93" s="50">
        <v>3.0</v>
      </c>
      <c r="BK93" s="33"/>
      <c r="BL93" s="50"/>
      <c r="BM93" s="33"/>
      <c r="BN93" s="50"/>
      <c r="BO93" s="33"/>
    </row>
    <row r="94" collapsed="1">
      <c r="A94" s="30"/>
      <c r="B94" s="31"/>
      <c r="C94" s="36">
        <v>45474.0</v>
      </c>
      <c r="D94" s="33"/>
      <c r="E94" s="34"/>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row>
    <row r="95" hidden="1" outlineLevel="1">
      <c r="A95" s="42" t="str">
        <f>B95&amp;D95</f>
        <v>JulyBHUVANESWARAN</v>
      </c>
      <c r="B95" s="43" t="s">
        <v>21</v>
      </c>
      <c r="C95" s="43" t="s">
        <v>9</v>
      </c>
      <c r="D95" s="44" t="str">
        <f>IFERROR(VLOOKUP(C95,'Employees List'!$B$2:$C$28,2,0),"")</f>
        <v>BHUVANESWARAN</v>
      </c>
      <c r="E95" s="45">
        <f>(F95+G95+H95+I95+J95+K95+L95+M95+N95+O95+P95+Q95+R95+S95+T95+U95+V95+W95+X95+Y95+Z95+AA95+AB95+AC95+AD95+AE95+AF95+AG95+AH95+AI95+AJ95+AK95+AL95+AM95+AN95+AO95+AP95+AQ95+AR95+AS95+AT95+AU95+AV95+AW95+AX95+AY95+AZ95+BA95+BB95+BC95+BD95+BE95+BF95+BG95+BH95+BI95+BJ95+BK95+BL95+BM95+BN95+BO95)/2</f>
        <v>31</v>
      </c>
      <c r="F95" s="46" t="b">
        <v>1</v>
      </c>
      <c r="G95" s="46" t="b">
        <v>1</v>
      </c>
      <c r="H95" s="46" t="b">
        <v>1</v>
      </c>
      <c r="I95" s="46" t="b">
        <v>1</v>
      </c>
      <c r="J95" s="46" t="b">
        <v>1</v>
      </c>
      <c r="K95" s="46" t="b">
        <v>1</v>
      </c>
      <c r="L95" s="46" t="b">
        <v>1</v>
      </c>
      <c r="M95" s="46" t="b">
        <v>1</v>
      </c>
      <c r="N95" s="46" t="b">
        <v>1</v>
      </c>
      <c r="O95" s="46" t="b">
        <v>1</v>
      </c>
      <c r="P95" s="46" t="b">
        <v>1</v>
      </c>
      <c r="Q95" s="46" t="b">
        <v>1</v>
      </c>
      <c r="R95" s="46" t="b">
        <v>1</v>
      </c>
      <c r="S95" s="46" t="b">
        <v>1</v>
      </c>
      <c r="T95" s="46" t="b">
        <v>1</v>
      </c>
      <c r="U95" s="46" t="b">
        <v>1</v>
      </c>
      <c r="V95" s="46" t="b">
        <v>1</v>
      </c>
      <c r="W95" s="46" t="b">
        <v>1</v>
      </c>
      <c r="X95" s="46" t="b">
        <v>1</v>
      </c>
      <c r="Y95" s="46" t="b">
        <v>1</v>
      </c>
      <c r="Z95" s="46" t="b">
        <v>1</v>
      </c>
      <c r="AA95" s="46" t="b">
        <v>1</v>
      </c>
      <c r="AB95" s="46" t="b">
        <v>1</v>
      </c>
      <c r="AC95" s="46" t="b">
        <v>1</v>
      </c>
      <c r="AD95" s="46" t="b">
        <v>1</v>
      </c>
      <c r="AE95" s="46" t="b">
        <v>1</v>
      </c>
      <c r="AF95" s="46" t="b">
        <v>1</v>
      </c>
      <c r="AG95" s="46" t="b">
        <v>1</v>
      </c>
      <c r="AH95" s="46" t="b">
        <v>1</v>
      </c>
      <c r="AI95" s="46" t="b">
        <v>1</v>
      </c>
      <c r="AJ95" s="46" t="b">
        <v>1</v>
      </c>
      <c r="AK95" s="46" t="b">
        <v>1</v>
      </c>
      <c r="AL95" s="46" t="b">
        <v>1</v>
      </c>
      <c r="AM95" s="46" t="b">
        <v>1</v>
      </c>
      <c r="AN95" s="46" t="b">
        <v>1</v>
      </c>
      <c r="AO95" s="46" t="b">
        <v>1</v>
      </c>
      <c r="AP95" s="46" t="b">
        <v>1</v>
      </c>
      <c r="AQ95" s="46" t="b">
        <v>1</v>
      </c>
      <c r="AR95" s="46" t="b">
        <v>1</v>
      </c>
      <c r="AS95" s="46" t="b">
        <v>1</v>
      </c>
      <c r="AT95" s="46" t="b">
        <v>1</v>
      </c>
      <c r="AU95" s="46" t="b">
        <v>1</v>
      </c>
      <c r="AV95" s="46" t="b">
        <v>1</v>
      </c>
      <c r="AW95" s="46" t="b">
        <v>1</v>
      </c>
      <c r="AX95" s="46" t="b">
        <v>1</v>
      </c>
      <c r="AY95" s="46" t="b">
        <v>1</v>
      </c>
      <c r="AZ95" s="46" t="b">
        <v>1</v>
      </c>
      <c r="BA95" s="46" t="b">
        <v>1</v>
      </c>
      <c r="BB95" s="46" t="b">
        <v>1</v>
      </c>
      <c r="BC95" s="46" t="b">
        <v>1</v>
      </c>
      <c r="BD95" s="46" t="b">
        <v>1</v>
      </c>
      <c r="BE95" s="46" t="b">
        <v>1</v>
      </c>
      <c r="BF95" s="46" t="b">
        <v>1</v>
      </c>
      <c r="BG95" s="46" t="b">
        <v>1</v>
      </c>
      <c r="BH95" s="46" t="b">
        <v>1</v>
      </c>
      <c r="BI95" s="46" t="b">
        <v>1</v>
      </c>
      <c r="BJ95" s="46" t="b">
        <v>1</v>
      </c>
      <c r="BK95" s="46" t="b">
        <v>1</v>
      </c>
      <c r="BL95" s="46" t="b">
        <v>1</v>
      </c>
      <c r="BM95" s="46" t="b">
        <v>1</v>
      </c>
      <c r="BN95" s="46" t="b">
        <v>1</v>
      </c>
      <c r="BO95" s="46" t="b">
        <v>1</v>
      </c>
    </row>
    <row r="96" hidden="1" outlineLevel="1">
      <c r="A96" s="47" t="str">
        <f>A95&amp;C96</f>
        <v>JulyBHUVANESWARANOT HOURS</v>
      </c>
      <c r="B96" s="48"/>
      <c r="C96" s="49" t="s">
        <v>120</v>
      </c>
      <c r="D96" s="33"/>
      <c r="E96" s="45">
        <f>(F96+G96+H96+I96+J96+K96+L96+M96+N96+O96+P96+Q96+R96+S96+T96+U96+V96+W96+X96+Y96+Z96+AA96+AB96+AC96+AD96+AE96+AF96+AG96+AH96+AI96+AJ96+AK96+AL96+AM96+AN96+AO96+AP96+AQ96+AR96+AS96+AT96+AU96+AV96+AW96+AX96+AY96+AZ96+BA96+BB96+BC96+BD96+BE96+BF96+BG96+BH96+BI96+BJ96+BK96+BL96+BM96+BN96+BO96)</f>
        <v>0</v>
      </c>
      <c r="F96" s="50"/>
      <c r="G96" s="33"/>
      <c r="H96" s="50"/>
      <c r="I96" s="33"/>
      <c r="J96" s="50"/>
      <c r="K96" s="33"/>
      <c r="L96" s="50"/>
      <c r="M96" s="33"/>
      <c r="N96" s="50"/>
      <c r="O96" s="33"/>
      <c r="P96" s="50"/>
      <c r="Q96" s="33"/>
      <c r="R96" s="46"/>
      <c r="S96" s="46"/>
      <c r="T96" s="50"/>
      <c r="U96" s="33"/>
      <c r="V96" s="50"/>
      <c r="W96" s="33"/>
      <c r="X96" s="50"/>
      <c r="Y96" s="33"/>
      <c r="Z96" s="50"/>
      <c r="AA96" s="33"/>
      <c r="AB96" s="50"/>
      <c r="AC96" s="33"/>
      <c r="AD96" s="50"/>
      <c r="AE96" s="33"/>
      <c r="AF96" s="50"/>
      <c r="AG96" s="33"/>
      <c r="AH96" s="50"/>
      <c r="AI96" s="33"/>
      <c r="AJ96" s="50"/>
      <c r="AK96" s="33"/>
      <c r="AL96" s="50"/>
      <c r="AM96" s="33"/>
      <c r="AN96" s="50"/>
      <c r="AO96" s="33"/>
      <c r="AP96" s="50"/>
      <c r="AQ96" s="33"/>
      <c r="AR96" s="50"/>
      <c r="AS96" s="33"/>
      <c r="AT96" s="50"/>
      <c r="AU96" s="33"/>
      <c r="AV96" s="50"/>
      <c r="AW96" s="33"/>
      <c r="AX96" s="50"/>
      <c r="AY96" s="33"/>
      <c r="AZ96" s="50"/>
      <c r="BA96" s="33"/>
      <c r="BB96" s="50"/>
      <c r="BC96" s="33"/>
      <c r="BD96" s="50"/>
      <c r="BE96" s="33"/>
      <c r="BF96" s="50"/>
      <c r="BG96" s="33"/>
      <c r="BH96" s="50"/>
      <c r="BI96" s="33"/>
      <c r="BJ96" s="50"/>
      <c r="BK96" s="33"/>
      <c r="BL96" s="50"/>
      <c r="BM96" s="33"/>
      <c r="BN96" s="50"/>
      <c r="BO96" s="33"/>
    </row>
    <row r="97" hidden="1" outlineLevel="1">
      <c r="A97" s="42" t="str">
        <f>B97&amp;D97</f>
        <v>JulyGANESH</v>
      </c>
      <c r="B97" s="43" t="s">
        <v>21</v>
      </c>
      <c r="C97" s="43" t="s">
        <v>18</v>
      </c>
      <c r="D97" s="44" t="str">
        <f>IFERROR(VLOOKUP(C97,'Employees List'!$B$2:$C$28,2,0),"")</f>
        <v>GANESH</v>
      </c>
      <c r="E97" s="45">
        <f>(F97+G97+H97+I97+J97+K97+L97+M97+N97+O97+P97+Q97+R97+S97+T97+U97+V97+W97+X97+Y97+Z97+AA97+AB97+AC97+AD97+AE97+AF97+AG97+AH97+AI97+AJ97+AK97+AL97+AM97+AN97+AO97+AP97+AQ97+AR97+AS97+AT97+AU97+AV97+AW97+AX97+AY97+AZ97+BA97+BB97+BC97+BD97+BE97+BF97+BG97+BH97+BI97+BJ97+BK97+BL97+BM97+BN97+BO97)/2</f>
        <v>25.5</v>
      </c>
      <c r="F97" s="46" t="b">
        <v>1</v>
      </c>
      <c r="G97" s="46" t="b">
        <v>0</v>
      </c>
      <c r="H97" s="46" t="b">
        <v>1</v>
      </c>
      <c r="I97" s="46" t="b">
        <v>1</v>
      </c>
      <c r="J97" s="46" t="b">
        <v>1</v>
      </c>
      <c r="K97" s="46" t="b">
        <v>1</v>
      </c>
      <c r="L97" s="46" t="b">
        <v>1</v>
      </c>
      <c r="M97" s="46" t="b">
        <v>1</v>
      </c>
      <c r="N97" s="46" t="b">
        <v>1</v>
      </c>
      <c r="O97" s="46" t="b">
        <v>1</v>
      </c>
      <c r="P97" s="46" t="b">
        <v>1</v>
      </c>
      <c r="Q97" s="46" t="b">
        <v>1</v>
      </c>
      <c r="R97" s="46" t="b">
        <v>1</v>
      </c>
      <c r="S97" s="46" t="b">
        <v>1</v>
      </c>
      <c r="T97" s="46" t="b">
        <v>1</v>
      </c>
      <c r="U97" s="46" t="b">
        <v>1</v>
      </c>
      <c r="V97" s="46" t="b">
        <v>1</v>
      </c>
      <c r="W97" s="46" t="b">
        <v>1</v>
      </c>
      <c r="X97" s="46" t="b">
        <v>0</v>
      </c>
      <c r="Y97" s="46" t="b">
        <v>0</v>
      </c>
      <c r="Z97" s="46" t="b">
        <v>0</v>
      </c>
      <c r="AA97" s="46" t="b">
        <v>0</v>
      </c>
      <c r="AB97" s="46" t="b">
        <v>1</v>
      </c>
      <c r="AC97" s="46" t="b">
        <v>1</v>
      </c>
      <c r="AD97" s="46" t="b">
        <v>1</v>
      </c>
      <c r="AE97" s="46" t="b">
        <v>1</v>
      </c>
      <c r="AF97" s="46" t="b">
        <v>1</v>
      </c>
      <c r="AG97" s="46" t="b">
        <v>1</v>
      </c>
      <c r="AH97" s="46" t="b">
        <v>0</v>
      </c>
      <c r="AI97" s="46" t="b">
        <v>0</v>
      </c>
      <c r="AJ97" s="46" t="b">
        <v>1</v>
      </c>
      <c r="AK97" s="46" t="b">
        <v>1</v>
      </c>
      <c r="AL97" s="46" t="b">
        <v>1</v>
      </c>
      <c r="AM97" s="46" t="b">
        <v>1</v>
      </c>
      <c r="AN97" s="46" t="b">
        <v>1</v>
      </c>
      <c r="AO97" s="46" t="b">
        <v>1</v>
      </c>
      <c r="AP97" s="46" t="b">
        <v>0</v>
      </c>
      <c r="AQ97" s="46" t="b">
        <v>0</v>
      </c>
      <c r="AR97" s="46" t="b">
        <v>1</v>
      </c>
      <c r="AS97" s="46" t="b">
        <v>1</v>
      </c>
      <c r="AT97" s="46" t="b">
        <v>1</v>
      </c>
      <c r="AU97" s="46" t="b">
        <v>1</v>
      </c>
      <c r="AV97" s="46" t="b">
        <v>1</v>
      </c>
      <c r="AW97" s="46" t="b">
        <v>1</v>
      </c>
      <c r="AX97" s="46" t="b">
        <v>1</v>
      </c>
      <c r="AY97" s="46" t="b">
        <v>1</v>
      </c>
      <c r="AZ97" s="46" t="b">
        <v>1</v>
      </c>
      <c r="BA97" s="46" t="b">
        <v>1</v>
      </c>
      <c r="BB97" s="46" t="b">
        <v>1</v>
      </c>
      <c r="BC97" s="46" t="b">
        <v>1</v>
      </c>
      <c r="BD97" s="46" t="b">
        <v>0</v>
      </c>
      <c r="BE97" s="46" t="b">
        <v>0</v>
      </c>
      <c r="BF97" s="46" t="b">
        <v>1</v>
      </c>
      <c r="BG97" s="46" t="b">
        <v>1</v>
      </c>
      <c r="BH97" s="46" t="b">
        <v>1</v>
      </c>
      <c r="BI97" s="46" t="b">
        <v>1</v>
      </c>
      <c r="BJ97" s="46" t="b">
        <v>1</v>
      </c>
      <c r="BK97" s="46" t="b">
        <v>1</v>
      </c>
      <c r="BL97" s="46" t="b">
        <v>1</v>
      </c>
      <c r="BM97" s="46" t="b">
        <v>1</v>
      </c>
      <c r="BN97" s="46" t="b">
        <v>1</v>
      </c>
      <c r="BO97" s="46" t="b">
        <v>1</v>
      </c>
    </row>
    <row r="98" hidden="1" outlineLevel="1">
      <c r="A98" s="47" t="str">
        <f>A97&amp;C98</f>
        <v>JulyGANESHOT HOURS</v>
      </c>
      <c r="B98" s="48"/>
      <c r="C98" s="49" t="s">
        <v>120</v>
      </c>
      <c r="D98" s="33"/>
      <c r="E98" s="45">
        <f>(F98+G98+H98+I98+J98+K98+L98+M98+N98+O98+P98+Q98+R98+S98+T98+U98+V98+W98+X98+Y98+Z98+AA98+AB98+AC98+AD98+AE98+AF98+AG98+AH98+AI98+AJ98+AK98+AL98+AM98+AN98+AO98+AP98+AQ98+AR98+AS98+AT98+AU98+AV98+AW98+AX98+AY98+AZ98+BA98+BB98+BC98+BD98+BE98+BF98+BG98+BH98+BI98+BJ98+BK98+BL98+BM98+BN98+BO98)</f>
        <v>9</v>
      </c>
      <c r="F98" s="50"/>
      <c r="G98" s="33"/>
      <c r="H98" s="50"/>
      <c r="I98" s="33"/>
      <c r="J98" s="50"/>
      <c r="K98" s="33"/>
      <c r="L98" s="50"/>
      <c r="M98" s="33"/>
      <c r="N98" s="50"/>
      <c r="O98" s="33"/>
      <c r="P98" s="55"/>
      <c r="Q98" s="33"/>
      <c r="R98" s="50"/>
      <c r="S98" s="33"/>
      <c r="T98" s="50"/>
      <c r="U98" s="33"/>
      <c r="V98" s="50"/>
      <c r="W98" s="33"/>
      <c r="X98" s="50"/>
      <c r="Y98" s="33"/>
      <c r="Z98" s="50"/>
      <c r="AA98" s="33"/>
      <c r="AB98" s="50"/>
      <c r="AC98" s="33"/>
      <c r="AD98" s="50"/>
      <c r="AE98" s="33"/>
      <c r="AF98" s="50"/>
      <c r="AG98" s="33"/>
      <c r="AH98" s="50"/>
      <c r="AI98" s="33"/>
      <c r="AJ98" s="50"/>
      <c r="AK98" s="33"/>
      <c r="AL98" s="50">
        <v>2.0</v>
      </c>
      <c r="AM98" s="33"/>
      <c r="AN98" s="50"/>
      <c r="AO98" s="33"/>
      <c r="AP98" s="50"/>
      <c r="AQ98" s="33"/>
      <c r="AR98" s="50">
        <v>1.0</v>
      </c>
      <c r="AS98" s="33"/>
      <c r="AT98" s="50"/>
      <c r="AU98" s="33"/>
      <c r="AV98" s="50">
        <v>2.0</v>
      </c>
      <c r="AW98" s="33"/>
      <c r="AX98" s="50">
        <v>2.0</v>
      </c>
      <c r="AY98" s="33"/>
      <c r="AZ98" s="50"/>
      <c r="BA98" s="33"/>
      <c r="BB98" s="50"/>
      <c r="BC98" s="33"/>
      <c r="BD98" s="50"/>
      <c r="BE98" s="33"/>
      <c r="BF98" s="50">
        <v>2.0</v>
      </c>
      <c r="BG98" s="33"/>
      <c r="BH98" s="50"/>
      <c r="BI98" s="33"/>
      <c r="BJ98" s="50"/>
      <c r="BK98" s="33"/>
      <c r="BL98" s="50"/>
      <c r="BM98" s="33"/>
      <c r="BN98" s="50"/>
      <c r="BO98" s="33"/>
    </row>
    <row r="99" hidden="1" outlineLevel="1">
      <c r="A99" s="42" t="str">
        <f>B99&amp;D99</f>
        <v>JulyVASANTHA</v>
      </c>
      <c r="B99" s="43" t="s">
        <v>21</v>
      </c>
      <c r="C99" s="43" t="s">
        <v>13</v>
      </c>
      <c r="D99" s="44" t="str">
        <f>IFERROR(VLOOKUP(C99,'Employees List'!$B$2:$C$28,2,0),"")</f>
        <v>VASANTHA</v>
      </c>
      <c r="E99" s="45">
        <f>(F99+G99+H99+I99+J99+K99+L99+M99+N99+O99+P99+Q99+R99+S99+T99+U99+V99+W99+X99+Y99+Z99+AA99+AB99+AC99+AD99+AE99+AF99+AG99+AH99+AI99+AJ99+AK99+AL99+AM99+AN99+AO99+AP99+AQ99+AR99+AS99+AT99+AU99+AV99+AW99+AX99+AY99+AZ99+BA99+BB99+BC99+BD99+BE99+BF99+BG99+BH99+BI99+BJ99+BK99+BL99+BM99+BN99+BO99)/2</f>
        <v>26.5</v>
      </c>
      <c r="F99" s="46" t="b">
        <v>1</v>
      </c>
      <c r="G99" s="46" t="b">
        <v>1</v>
      </c>
      <c r="H99" s="46" t="b">
        <v>1</v>
      </c>
      <c r="I99" s="46" t="b">
        <v>1</v>
      </c>
      <c r="J99" s="46" t="b">
        <v>1</v>
      </c>
      <c r="K99" s="46" t="b">
        <v>1</v>
      </c>
      <c r="L99" s="46" t="b">
        <v>1</v>
      </c>
      <c r="M99" s="46" t="b">
        <v>1</v>
      </c>
      <c r="N99" s="46" t="b">
        <v>1</v>
      </c>
      <c r="O99" s="46" t="b">
        <v>1</v>
      </c>
      <c r="P99" s="46" t="b">
        <v>1</v>
      </c>
      <c r="Q99" s="46" t="b">
        <v>1</v>
      </c>
      <c r="R99" s="46" t="b">
        <v>1</v>
      </c>
      <c r="S99" s="46" t="b">
        <v>1</v>
      </c>
      <c r="T99" s="46" t="b">
        <v>1</v>
      </c>
      <c r="U99" s="46" t="b">
        <v>1</v>
      </c>
      <c r="V99" s="46" t="b">
        <v>1</v>
      </c>
      <c r="W99" s="46" t="b">
        <v>1</v>
      </c>
      <c r="X99" s="46" t="b">
        <v>1</v>
      </c>
      <c r="Y99" s="46" t="b">
        <v>1</v>
      </c>
      <c r="Z99" s="46" t="b">
        <v>1</v>
      </c>
      <c r="AA99" s="46" t="b">
        <v>0</v>
      </c>
      <c r="AB99" s="46" t="b">
        <v>1</v>
      </c>
      <c r="AC99" s="46" t="b">
        <v>1</v>
      </c>
      <c r="AD99" s="46" t="b">
        <v>1</v>
      </c>
      <c r="AE99" s="46" t="b">
        <v>1</v>
      </c>
      <c r="AF99" s="46" t="b">
        <v>1</v>
      </c>
      <c r="AG99" s="46" t="b">
        <v>1</v>
      </c>
      <c r="AH99" s="46" t="b">
        <v>1</v>
      </c>
      <c r="AI99" s="46" t="b">
        <v>1</v>
      </c>
      <c r="AJ99" s="46" t="b">
        <v>1</v>
      </c>
      <c r="AK99" s="46" t="b">
        <v>1</v>
      </c>
      <c r="AL99" s="46" t="b">
        <v>0</v>
      </c>
      <c r="AM99" s="46" t="b">
        <v>0</v>
      </c>
      <c r="AN99" s="46" t="b">
        <v>0</v>
      </c>
      <c r="AO99" s="46" t="b">
        <v>0</v>
      </c>
      <c r="AP99" s="46" t="b">
        <v>0</v>
      </c>
      <c r="AQ99" s="46" t="b">
        <v>0</v>
      </c>
      <c r="AR99" s="46" t="b">
        <v>1</v>
      </c>
      <c r="AS99" s="46" t="b">
        <v>1</v>
      </c>
      <c r="AT99" s="46" t="b">
        <v>1</v>
      </c>
      <c r="AU99" s="46" t="b">
        <v>1</v>
      </c>
      <c r="AV99" s="46" t="b">
        <v>0</v>
      </c>
      <c r="AW99" s="46" t="b">
        <v>0</v>
      </c>
      <c r="AX99" s="46" t="b">
        <v>1</v>
      </c>
      <c r="AY99" s="46" t="b">
        <v>1</v>
      </c>
      <c r="AZ99" s="46" t="b">
        <v>1</v>
      </c>
      <c r="BA99" s="46" t="b">
        <v>1</v>
      </c>
      <c r="BB99" s="46" t="b">
        <v>1</v>
      </c>
      <c r="BC99" s="46" t="b">
        <v>1</v>
      </c>
      <c r="BD99" s="46" t="b">
        <v>1</v>
      </c>
      <c r="BE99" s="46" t="b">
        <v>1</v>
      </c>
      <c r="BF99" s="46" t="b">
        <v>1</v>
      </c>
      <c r="BG99" s="46" t="b">
        <v>1</v>
      </c>
      <c r="BH99" s="46" t="b">
        <v>1</v>
      </c>
      <c r="BI99" s="46" t="b">
        <v>1</v>
      </c>
      <c r="BJ99" s="46" t="b">
        <v>1</v>
      </c>
      <c r="BK99" s="46" t="b">
        <v>1</v>
      </c>
      <c r="BL99" s="46" t="b">
        <v>1</v>
      </c>
      <c r="BM99" s="46" t="b">
        <v>1</v>
      </c>
      <c r="BN99" s="46" t="b">
        <v>1</v>
      </c>
      <c r="BO99" s="46" t="b">
        <v>1</v>
      </c>
    </row>
    <row r="100" hidden="1" outlineLevel="1">
      <c r="A100" s="47" t="str">
        <f>A99&amp;C100</f>
        <v>JulyVASANTHAOT HOURS</v>
      </c>
      <c r="B100" s="48"/>
      <c r="C100" s="49" t="s">
        <v>120</v>
      </c>
      <c r="D100" s="33"/>
      <c r="E100" s="45">
        <f>(F100+G100+H100+I100+J100+K100+L100+M100+N100+O100+P100+Q100+R100+S100+T100+U100+V100+W100+X100+Y100+Z100+AA100+AB100+AC100+AD100+AE100+AF100+AG100+AH100+AI100+AJ100+AK100+AL100+AM100+AN100+AO100+AP100+AQ100+AR100+AS100+AT100+AU100+AV100+AW100+AX100+AY100+AZ100+BA100+BB100+BC100+BD100+BE100+BF100+BG100+BH100+BI100+BJ100+BK100+BL100+BM100+BN100+BO100)</f>
        <v>0</v>
      </c>
      <c r="F100" s="50"/>
      <c r="G100" s="33"/>
      <c r="H100" s="50"/>
      <c r="I100" s="33"/>
      <c r="J100" s="50"/>
      <c r="K100" s="33"/>
      <c r="L100" s="50"/>
      <c r="M100" s="33"/>
      <c r="N100" s="50"/>
      <c r="O100" s="33"/>
      <c r="P100" s="50"/>
      <c r="Q100" s="33"/>
      <c r="R100" s="50"/>
      <c r="S100" s="33"/>
      <c r="T100" s="50"/>
      <c r="U100" s="33"/>
      <c r="V100" s="50"/>
      <c r="W100" s="33"/>
      <c r="X100" s="50"/>
      <c r="Y100" s="33"/>
      <c r="Z100" s="50"/>
      <c r="AA100" s="33"/>
      <c r="AB100" s="50"/>
      <c r="AC100" s="33"/>
      <c r="AD100" s="50"/>
      <c r="AE100" s="33"/>
      <c r="AF100" s="50"/>
      <c r="AG100" s="33"/>
      <c r="AH100" s="50"/>
      <c r="AI100" s="33"/>
      <c r="AJ100" s="50"/>
      <c r="AK100" s="33"/>
      <c r="AL100" s="50"/>
      <c r="AM100" s="33"/>
      <c r="AN100" s="50"/>
      <c r="AO100" s="33"/>
      <c r="AP100" s="50"/>
      <c r="AQ100" s="33"/>
      <c r="AR100" s="50"/>
      <c r="AS100" s="33"/>
      <c r="AT100" s="50"/>
      <c r="AU100" s="33"/>
      <c r="AV100" s="50"/>
      <c r="AW100" s="33"/>
      <c r="AX100" s="50"/>
      <c r="AY100" s="33"/>
      <c r="AZ100" s="50"/>
      <c r="BA100" s="33"/>
      <c r="BB100" s="50"/>
      <c r="BC100" s="33"/>
      <c r="BD100" s="50"/>
      <c r="BE100" s="33"/>
      <c r="BF100" s="50"/>
      <c r="BG100" s="33"/>
      <c r="BH100" s="50"/>
      <c r="BI100" s="33"/>
      <c r="BJ100" s="50"/>
      <c r="BK100" s="33"/>
      <c r="BL100" s="50"/>
      <c r="BM100" s="33"/>
      <c r="BN100" s="50"/>
      <c r="BO100" s="33"/>
    </row>
    <row r="101" hidden="1" outlineLevel="1">
      <c r="A101" s="42" t="str">
        <f>B101&amp;D101</f>
        <v>JulySUNDARI</v>
      </c>
      <c r="B101" s="43" t="s">
        <v>21</v>
      </c>
      <c r="C101" s="43" t="s">
        <v>64</v>
      </c>
      <c r="D101" s="44" t="str">
        <f>IFERROR(VLOOKUP(C101,'Employees List'!$B$2:$C$28,2,0),"")</f>
        <v>SUNDARI</v>
      </c>
      <c r="E101" s="45">
        <f>(F95+G95+H95+I95+J95+K95+L95+M95+N95+O95+P95+Q95+R95+S95+T95+U95+V95+W95+X95+Y95+Z95+AA95+AB95+AC95+AD95+AE95+AF95+AG95+AH95+AI95+AJ95+AK95+AL95+AM95+AN95+AO95+AP95+AQ95+AR95+AS95+AT95+AU95+AV95+AW95+AX95+AY95+AZ95+BA95+BB95+BC95+BD95+BE95+BF95+BG95+BH95+BI95+BJ95+BK95+BL95+BM95+BN95+BO95)/2</f>
        <v>31</v>
      </c>
      <c r="F101" s="46" t="b">
        <v>1</v>
      </c>
      <c r="G101" s="46" t="b">
        <v>1</v>
      </c>
      <c r="H101" s="46" t="b">
        <v>1</v>
      </c>
      <c r="I101" s="46" t="b">
        <v>1</v>
      </c>
      <c r="J101" s="46" t="b">
        <v>1</v>
      </c>
      <c r="K101" s="46" t="b">
        <v>1</v>
      </c>
      <c r="L101" s="46" t="b">
        <v>1</v>
      </c>
      <c r="M101" s="46" t="b">
        <v>1</v>
      </c>
      <c r="N101" s="46" t="b">
        <v>1</v>
      </c>
      <c r="O101" s="46" t="b">
        <v>1</v>
      </c>
      <c r="P101" s="46" t="b">
        <v>1</v>
      </c>
      <c r="Q101" s="46" t="b">
        <v>1</v>
      </c>
      <c r="R101" s="46" t="b">
        <v>1</v>
      </c>
      <c r="S101" s="46" t="b">
        <v>1</v>
      </c>
      <c r="T101" s="46" t="b">
        <v>1</v>
      </c>
      <c r="U101" s="46" t="b">
        <v>1</v>
      </c>
      <c r="V101" s="46" t="b">
        <v>1</v>
      </c>
      <c r="W101" s="46" t="b">
        <v>1</v>
      </c>
      <c r="X101" s="46" t="b">
        <v>1</v>
      </c>
      <c r="Y101" s="46" t="b">
        <v>1</v>
      </c>
      <c r="Z101" s="46" t="b">
        <v>1</v>
      </c>
      <c r="AA101" s="46" t="b">
        <v>1</v>
      </c>
      <c r="AB101" s="46" t="b">
        <v>1</v>
      </c>
      <c r="AC101" s="46" t="b">
        <v>1</v>
      </c>
      <c r="AD101" s="46" t="b">
        <v>1</v>
      </c>
      <c r="AE101" s="46" t="b">
        <v>1</v>
      </c>
      <c r="AF101" s="46" t="b">
        <v>1</v>
      </c>
      <c r="AG101" s="46" t="b">
        <v>1</v>
      </c>
      <c r="AH101" s="46" t="b">
        <v>1</v>
      </c>
      <c r="AI101" s="46" t="b">
        <v>1</v>
      </c>
      <c r="AJ101" s="46" t="b">
        <v>1</v>
      </c>
      <c r="AK101" s="46" t="b">
        <v>1</v>
      </c>
      <c r="AL101" s="46" t="b">
        <v>1</v>
      </c>
      <c r="AM101" s="46" t="b">
        <v>1</v>
      </c>
      <c r="AN101" s="46" t="b">
        <v>1</v>
      </c>
      <c r="AO101" s="46" t="b">
        <v>1</v>
      </c>
      <c r="AP101" s="46" t="b">
        <v>1</v>
      </c>
      <c r="AQ101" s="46" t="b">
        <v>1</v>
      </c>
      <c r="AR101" s="46" t="b">
        <v>1</v>
      </c>
      <c r="AS101" s="46" t="b">
        <v>1</v>
      </c>
      <c r="AT101" s="46" t="b">
        <v>1</v>
      </c>
      <c r="AU101" s="46" t="b">
        <v>1</v>
      </c>
      <c r="AV101" s="46" t="b">
        <v>1</v>
      </c>
      <c r="AW101" s="46" t="b">
        <v>1</v>
      </c>
      <c r="AX101" s="46" t="b">
        <v>1</v>
      </c>
      <c r="AY101" s="46" t="b">
        <v>1</v>
      </c>
      <c r="AZ101" s="46" t="b">
        <v>1</v>
      </c>
      <c r="BA101" s="46" t="b">
        <v>1</v>
      </c>
      <c r="BB101" s="46" t="b">
        <v>1</v>
      </c>
      <c r="BC101" s="46" t="b">
        <v>1</v>
      </c>
      <c r="BD101" s="46" t="b">
        <v>1</v>
      </c>
      <c r="BE101" s="46" t="b">
        <v>1</v>
      </c>
      <c r="BF101" s="46" t="b">
        <v>1</v>
      </c>
      <c r="BG101" s="46" t="b">
        <v>1</v>
      </c>
      <c r="BH101" s="46" t="b">
        <v>1</v>
      </c>
      <c r="BI101" s="46" t="b">
        <v>1</v>
      </c>
      <c r="BJ101" s="46" t="b">
        <v>1</v>
      </c>
      <c r="BK101" s="46" t="b">
        <v>1</v>
      </c>
      <c r="BL101" s="46" t="b">
        <v>1</v>
      </c>
      <c r="BM101" s="46" t="b">
        <v>1</v>
      </c>
      <c r="BN101" s="46" t="b">
        <v>1</v>
      </c>
      <c r="BO101" s="46" t="b">
        <v>1</v>
      </c>
    </row>
    <row r="102" hidden="1" outlineLevel="1">
      <c r="A102" s="47" t="str">
        <f>A101&amp;C102</f>
        <v>JulySUNDARIOT HOURS</v>
      </c>
      <c r="B102" s="48"/>
      <c r="C102" s="49" t="s">
        <v>120</v>
      </c>
      <c r="D102" s="33"/>
      <c r="E102" s="45">
        <f>(F102+G102+H102+I102+J102+K102+L102+M102+N102+O102+P102+Q102+R102+S102+T102+U102+V102+W102+X102+Y102+Z102+AA102+AB102+AC102+AD102+AE102+AF102+AG102+AH102+AI102+AJ102+AK102+AL102+AM102+AN102+AO102+AP102+AQ102+AR102+AS102+AT102+AU102+AV102+AW102+AX102+AY102+AZ102+BA102+BB102+BC102+BD102+BE102+BF102+BG102+BH102+BI102+BJ102+BK102+BL102+BM102+BN102+BO102)</f>
        <v>10</v>
      </c>
      <c r="F102" s="50"/>
      <c r="G102" s="33"/>
      <c r="H102" s="50"/>
      <c r="I102" s="33"/>
      <c r="J102" s="50"/>
      <c r="K102" s="33"/>
      <c r="L102" s="50"/>
      <c r="M102" s="33"/>
      <c r="N102" s="50"/>
      <c r="O102" s="33"/>
      <c r="P102" s="50">
        <v>1.0</v>
      </c>
      <c r="Q102" s="33"/>
      <c r="R102" s="50"/>
      <c r="S102" s="33"/>
      <c r="T102" s="50"/>
      <c r="U102" s="33"/>
      <c r="V102" s="50">
        <v>1.0</v>
      </c>
      <c r="W102" s="33"/>
      <c r="X102" s="50">
        <v>2.0</v>
      </c>
      <c r="Y102" s="33"/>
      <c r="Z102" s="50"/>
      <c r="AA102" s="33"/>
      <c r="AB102" s="50"/>
      <c r="AC102" s="33"/>
      <c r="AD102" s="50"/>
      <c r="AE102" s="33"/>
      <c r="AF102" s="50"/>
      <c r="AG102" s="33"/>
      <c r="AH102" s="50"/>
      <c r="AI102" s="33"/>
      <c r="AJ102" s="50">
        <v>1.0</v>
      </c>
      <c r="AK102" s="33"/>
      <c r="AL102" s="50">
        <v>1.0</v>
      </c>
      <c r="AM102" s="33"/>
      <c r="AN102" s="50">
        <v>1.0</v>
      </c>
      <c r="AO102" s="33"/>
      <c r="AP102" s="50">
        <v>1.0</v>
      </c>
      <c r="AQ102" s="33"/>
      <c r="AR102" s="50">
        <v>1.0</v>
      </c>
      <c r="AS102" s="33"/>
      <c r="AT102" s="50"/>
      <c r="AU102" s="33"/>
      <c r="AV102" s="50">
        <v>1.0</v>
      </c>
      <c r="AW102" s="33"/>
      <c r="AX102" s="50"/>
      <c r="AY102" s="33"/>
      <c r="AZ102" s="50"/>
      <c r="BA102" s="33"/>
      <c r="BB102" s="50"/>
      <c r="BC102" s="33"/>
      <c r="BD102" s="50"/>
      <c r="BE102" s="33"/>
      <c r="BF102" s="50"/>
      <c r="BG102" s="33"/>
      <c r="BH102" s="50"/>
      <c r="BI102" s="33"/>
      <c r="BJ102" s="50"/>
      <c r="BK102" s="33"/>
      <c r="BL102" s="50"/>
      <c r="BM102" s="33"/>
      <c r="BN102" s="50"/>
      <c r="BO102" s="33"/>
    </row>
    <row r="103" hidden="1" outlineLevel="1">
      <c r="A103" s="42" t="str">
        <f>B103&amp;D103</f>
        <v>JulyADHIKARI BALIA</v>
      </c>
      <c r="B103" s="43" t="s">
        <v>21</v>
      </c>
      <c r="C103" s="43" t="s">
        <v>22</v>
      </c>
      <c r="D103" s="44" t="str">
        <f>IFERROR(VLOOKUP(C103,'Employees List'!$B$2:$C$28,2,0),"")</f>
        <v>ADHIKARI BALIA</v>
      </c>
      <c r="E103" s="45">
        <f>(F103+G103+H103+I103+J103+K103+L103+M103+N103+O103+P103+Q103+R103+S103+T103+U103+V103+W103+X103+Y103+Z103+AA103+AB103+AC103+AD103+AE103+AF103+AG103+AH103+AI103+AJ103+AK103+AL103+AM103+AN103+AO103+AP103+AQ103+AR103+AS103+AT103+AU103+AV103+AW103+AX103+AY103+AZ103+BA103+BB103+BC103+BD103+BE103+BF103+BG103+BH103+BI103+BJ103+BK103+BL103+BM103+BN103+BO103)/2</f>
        <v>30</v>
      </c>
      <c r="F103" s="46" t="b">
        <v>1</v>
      </c>
      <c r="G103" s="46" t="b">
        <v>1</v>
      </c>
      <c r="H103" s="46" t="b">
        <v>1</v>
      </c>
      <c r="I103" s="46" t="b">
        <v>1</v>
      </c>
      <c r="J103" s="46" t="b">
        <v>1</v>
      </c>
      <c r="K103" s="46" t="b">
        <v>1</v>
      </c>
      <c r="L103" s="46" t="b">
        <v>1</v>
      </c>
      <c r="M103" s="46" t="b">
        <v>1</v>
      </c>
      <c r="N103" s="46" t="b">
        <v>1</v>
      </c>
      <c r="O103" s="46" t="b">
        <v>1</v>
      </c>
      <c r="P103" s="46" t="b">
        <v>1</v>
      </c>
      <c r="Q103" s="46" t="b">
        <v>1</v>
      </c>
      <c r="R103" s="46" t="b">
        <v>1</v>
      </c>
      <c r="S103" s="46" t="b">
        <v>1</v>
      </c>
      <c r="T103" s="46" t="b">
        <v>1</v>
      </c>
      <c r="U103" s="46" t="b">
        <v>1</v>
      </c>
      <c r="V103" s="46" t="b">
        <v>1</v>
      </c>
      <c r="W103" s="46" t="b">
        <v>1</v>
      </c>
      <c r="X103" s="46" t="b">
        <v>1</v>
      </c>
      <c r="Y103" s="46" t="b">
        <v>1</v>
      </c>
      <c r="Z103" s="46" t="b">
        <v>1</v>
      </c>
      <c r="AA103" s="46" t="b">
        <v>1</v>
      </c>
      <c r="AB103" s="46" t="b">
        <v>0</v>
      </c>
      <c r="AC103" s="46" t="b">
        <v>0</v>
      </c>
      <c r="AD103" s="46" t="b">
        <v>1</v>
      </c>
      <c r="AE103" s="46" t="b">
        <v>1</v>
      </c>
      <c r="AF103" s="46" t="b">
        <v>1</v>
      </c>
      <c r="AG103" s="46" t="b">
        <v>1</v>
      </c>
      <c r="AH103" s="46" t="b">
        <v>1</v>
      </c>
      <c r="AI103" s="46" t="b">
        <v>1</v>
      </c>
      <c r="AJ103" s="46" t="b">
        <v>1</v>
      </c>
      <c r="AK103" s="46" t="b">
        <v>1</v>
      </c>
      <c r="AL103" s="46" t="b">
        <v>1</v>
      </c>
      <c r="AM103" s="46" t="b">
        <v>1</v>
      </c>
      <c r="AN103" s="46" t="b">
        <v>1</v>
      </c>
      <c r="AO103" s="46" t="b">
        <v>1</v>
      </c>
      <c r="AP103" s="46" t="b">
        <v>1</v>
      </c>
      <c r="AQ103" s="46" t="b">
        <v>1</v>
      </c>
      <c r="AR103" s="46" t="b">
        <v>1</v>
      </c>
      <c r="AS103" s="46" t="b">
        <v>1</v>
      </c>
      <c r="AT103" s="46" t="b">
        <v>1</v>
      </c>
      <c r="AU103" s="46" t="b">
        <v>1</v>
      </c>
      <c r="AV103" s="46" t="b">
        <v>1</v>
      </c>
      <c r="AW103" s="46" t="b">
        <v>1</v>
      </c>
      <c r="AX103" s="46" t="b">
        <v>1</v>
      </c>
      <c r="AY103" s="46" t="b">
        <v>1</v>
      </c>
      <c r="AZ103" s="46" t="b">
        <v>1</v>
      </c>
      <c r="BA103" s="46" t="b">
        <v>1</v>
      </c>
      <c r="BB103" s="46" t="b">
        <v>1</v>
      </c>
      <c r="BC103" s="46" t="b">
        <v>1</v>
      </c>
      <c r="BD103" s="46" t="b">
        <v>1</v>
      </c>
      <c r="BE103" s="46" t="b">
        <v>1</v>
      </c>
      <c r="BF103" s="46" t="b">
        <v>1</v>
      </c>
      <c r="BG103" s="46" t="b">
        <v>1</v>
      </c>
      <c r="BH103" s="46" t="b">
        <v>1</v>
      </c>
      <c r="BI103" s="46" t="b">
        <v>1</v>
      </c>
      <c r="BJ103" s="46" t="b">
        <v>1</v>
      </c>
      <c r="BK103" s="46" t="b">
        <v>1</v>
      </c>
      <c r="BL103" s="46" t="b">
        <v>1</v>
      </c>
      <c r="BM103" s="46" t="b">
        <v>1</v>
      </c>
      <c r="BN103" s="46" t="b">
        <v>1</v>
      </c>
      <c r="BO103" s="46" t="b">
        <v>1</v>
      </c>
    </row>
    <row r="104" hidden="1" outlineLevel="1">
      <c r="A104" s="47" t="str">
        <f>A103&amp;C104</f>
        <v>JulyADHIKARI BALIAOT HOURS</v>
      </c>
      <c r="B104" s="48"/>
      <c r="C104" s="49" t="s">
        <v>120</v>
      </c>
      <c r="D104" s="33"/>
      <c r="E104" s="45">
        <f>(F104+G104+H104+I104+J104+K104+L104+M104+N104+O104+P104+Q104+R104+S104+T104+U104+V104+W104+X104+Y104+Z104+AA104+AB104+AC104+AD104+AE104+AF104+AG104+AH104+AI104+AJ104+AK104+AL104+AM104+AN104+AO104+AP104+AQ104+AR104+AS104+AT104+AU104+AV104+AW104+AX104+AY104+AZ104+BA104+BB104+BC104+BD104+BE104+BF104+BG104+BH104+BI104+BJ104+BK104+BL104+BM104+BN104+BO104)</f>
        <v>45</v>
      </c>
      <c r="F104" s="50">
        <v>1.0</v>
      </c>
      <c r="G104" s="33"/>
      <c r="H104" s="50">
        <v>4.0</v>
      </c>
      <c r="I104" s="33"/>
      <c r="J104" s="50">
        <v>1.0</v>
      </c>
      <c r="K104" s="33"/>
      <c r="L104" s="50"/>
      <c r="M104" s="33"/>
      <c r="N104" s="50"/>
      <c r="O104" s="33"/>
      <c r="P104" s="50">
        <v>2.0</v>
      </c>
      <c r="Q104" s="33"/>
      <c r="R104" s="50"/>
      <c r="S104" s="33"/>
      <c r="T104" s="50"/>
      <c r="U104" s="33"/>
      <c r="V104" s="50">
        <v>3.0</v>
      </c>
      <c r="W104" s="33"/>
      <c r="X104" s="50"/>
      <c r="Y104" s="33"/>
      <c r="Z104" s="50">
        <v>1.0</v>
      </c>
      <c r="AA104" s="33"/>
      <c r="AB104" s="50"/>
      <c r="AC104" s="33"/>
      <c r="AD104" s="50"/>
      <c r="AE104" s="33"/>
      <c r="AF104" s="50"/>
      <c r="AG104" s="33"/>
      <c r="AH104" s="50"/>
      <c r="AI104" s="33"/>
      <c r="AJ104" s="50"/>
      <c r="AK104" s="33"/>
      <c r="AL104" s="50">
        <v>2.0</v>
      </c>
      <c r="AM104" s="33"/>
      <c r="AN104" s="50"/>
      <c r="AO104" s="33"/>
      <c r="AP104" s="50"/>
      <c r="AQ104" s="33"/>
      <c r="AR104" s="50">
        <v>1.0</v>
      </c>
      <c r="AS104" s="33"/>
      <c r="AT104" s="50"/>
      <c r="AU104" s="33"/>
      <c r="AV104" s="50">
        <v>4.0</v>
      </c>
      <c r="AW104" s="33"/>
      <c r="AX104" s="50">
        <v>5.0</v>
      </c>
      <c r="AY104" s="33"/>
      <c r="AZ104" s="50">
        <v>2.0</v>
      </c>
      <c r="BA104" s="33"/>
      <c r="BB104" s="50">
        <v>5.0</v>
      </c>
      <c r="BC104" s="33"/>
      <c r="BD104" s="50">
        <v>5.0</v>
      </c>
      <c r="BE104" s="33"/>
      <c r="BF104" s="50">
        <v>6.0</v>
      </c>
      <c r="BG104" s="33"/>
      <c r="BH104" s="50"/>
      <c r="BI104" s="33"/>
      <c r="BJ104" s="50"/>
      <c r="BK104" s="33"/>
      <c r="BL104" s="50"/>
      <c r="BM104" s="33"/>
      <c r="BN104" s="50">
        <v>3.0</v>
      </c>
      <c r="BO104" s="33"/>
    </row>
    <row r="105" hidden="1" outlineLevel="1">
      <c r="A105" s="42" t="str">
        <f>B105&amp;D105</f>
        <v>JulyMathi</v>
      </c>
      <c r="B105" s="43" t="s">
        <v>21</v>
      </c>
      <c r="C105" s="43" t="s">
        <v>70</v>
      </c>
      <c r="D105" s="44" t="str">
        <f>IFERROR(VLOOKUP(C105,'Employees List'!$B$2:$C$28,2,0),"")</f>
        <v>Mathi</v>
      </c>
      <c r="E105" s="45">
        <f>(F105+G105+H105+I105+J105+K105+L105+M105+N105+O105+P105+Q105+R105+S105+T105+U105+V105+W105+X105+Y105+Z105+AA105+AB105+AC105+AD105+AE105+AF105+AG105+AH105+AI105+AJ105+AK105+AL105+AM105+AN105+AO105+AP105+AQ105+AR105+AS105+AT105+AU105+AV105+AW105+AX105+AY105+AZ105+BA105+BB105+BC105+BD105+BE105+BF105+BG105+BH105+BI105+BJ105+BK105+BL105+BM105+BN105+BO105)/2</f>
        <v>26</v>
      </c>
      <c r="F105" s="46" t="b">
        <v>1</v>
      </c>
      <c r="G105" s="46" t="b">
        <v>1</v>
      </c>
      <c r="H105" s="46" t="b">
        <v>1</v>
      </c>
      <c r="I105" s="46" t="b">
        <v>1</v>
      </c>
      <c r="J105" s="46" t="b">
        <v>1</v>
      </c>
      <c r="K105" s="46" t="b">
        <v>1</v>
      </c>
      <c r="L105" s="46" t="b">
        <v>1</v>
      </c>
      <c r="M105" s="46" t="b">
        <v>1</v>
      </c>
      <c r="N105" s="46" t="b">
        <v>0</v>
      </c>
      <c r="O105" s="46" t="b">
        <v>0</v>
      </c>
      <c r="P105" s="46" t="b">
        <v>0</v>
      </c>
      <c r="Q105" s="46" t="b">
        <v>0</v>
      </c>
      <c r="R105" s="46" t="b">
        <v>0</v>
      </c>
      <c r="S105" s="46" t="b">
        <v>0</v>
      </c>
      <c r="T105" s="46" t="b">
        <v>0</v>
      </c>
      <c r="U105" s="46" t="b">
        <v>0</v>
      </c>
      <c r="V105" s="46" t="b">
        <v>0</v>
      </c>
      <c r="W105" s="46" t="b">
        <v>0</v>
      </c>
      <c r="X105" s="46" t="b">
        <v>1</v>
      </c>
      <c r="Y105" s="46" t="b">
        <v>1</v>
      </c>
      <c r="Z105" s="46" t="b">
        <v>1</v>
      </c>
      <c r="AA105" s="46" t="b">
        <v>1</v>
      </c>
      <c r="AB105" s="46" t="b">
        <v>1</v>
      </c>
      <c r="AC105" s="46" t="b">
        <v>1</v>
      </c>
      <c r="AD105" s="46" t="b">
        <v>1</v>
      </c>
      <c r="AE105" s="46" t="b">
        <v>1</v>
      </c>
      <c r="AF105" s="46" t="b">
        <v>1</v>
      </c>
      <c r="AG105" s="46" t="b">
        <v>1</v>
      </c>
      <c r="AH105" s="46" t="b">
        <v>1</v>
      </c>
      <c r="AI105" s="46" t="b">
        <v>1</v>
      </c>
      <c r="AJ105" s="46" t="b">
        <v>1</v>
      </c>
      <c r="AK105" s="46" t="b">
        <v>1</v>
      </c>
      <c r="AL105" s="46" t="b">
        <v>1</v>
      </c>
      <c r="AM105" s="46" t="b">
        <v>1</v>
      </c>
      <c r="AN105" s="46" t="b">
        <v>1</v>
      </c>
      <c r="AO105" s="46" t="b">
        <v>1</v>
      </c>
      <c r="AP105" s="46" t="b">
        <v>1</v>
      </c>
      <c r="AQ105" s="46" t="b">
        <v>1</v>
      </c>
      <c r="AR105" s="46" t="b">
        <v>1</v>
      </c>
      <c r="AS105" s="46" t="b">
        <v>1</v>
      </c>
      <c r="AT105" s="46" t="b">
        <v>1</v>
      </c>
      <c r="AU105" s="46" t="b">
        <v>1</v>
      </c>
      <c r="AV105" s="46" t="b">
        <v>1</v>
      </c>
      <c r="AW105" s="46" t="b">
        <v>1</v>
      </c>
      <c r="AX105" s="46" t="b">
        <v>1</v>
      </c>
      <c r="AY105" s="46" t="b">
        <v>1</v>
      </c>
      <c r="AZ105" s="46" t="b">
        <v>1</v>
      </c>
      <c r="BA105" s="46" t="b">
        <v>1</v>
      </c>
      <c r="BB105" s="46" t="b">
        <v>1</v>
      </c>
      <c r="BC105" s="46" t="b">
        <v>1</v>
      </c>
      <c r="BD105" s="46" t="b">
        <v>1</v>
      </c>
      <c r="BE105" s="46" t="b">
        <v>1</v>
      </c>
      <c r="BF105" s="46" t="b">
        <v>1</v>
      </c>
      <c r="BG105" s="46" t="b">
        <v>1</v>
      </c>
      <c r="BH105" s="46" t="b">
        <v>1</v>
      </c>
      <c r="BI105" s="46" t="b">
        <v>1</v>
      </c>
      <c r="BJ105" s="46" t="b">
        <v>1</v>
      </c>
      <c r="BK105" s="46" t="b">
        <v>1</v>
      </c>
      <c r="BL105" s="46" t="b">
        <v>1</v>
      </c>
      <c r="BM105" s="46" t="b">
        <v>1</v>
      </c>
      <c r="BN105" s="46" t="b">
        <v>1</v>
      </c>
      <c r="BO105" s="46" t="b">
        <v>1</v>
      </c>
    </row>
    <row r="106" hidden="1" outlineLevel="1">
      <c r="A106" s="47" t="str">
        <f>A105&amp;C106</f>
        <v>JulyMathiOT HOURS</v>
      </c>
      <c r="B106" s="48"/>
      <c r="C106" s="49" t="s">
        <v>120</v>
      </c>
      <c r="D106" s="33"/>
      <c r="E106" s="45">
        <f>(F106+G106+H106+I106+J106+K106+L106+M106+N106+O106+P106+Q106+R106+S106+T106+U106+V106+W106+X106+Y106+Z106+AA106+AB106+AC106+AD106+AE106+AF106+AG106+AH106+AI106+AJ106+AK106+AL106+AM106+AN106+AO106+AP106+AQ106+AR106+AS106+AT106+AU106+AV106+AW106+AX106+AY106+AZ106+BA106+BB106+BC106+BD106+BE106+BF106+BG106+BH106+BI106+BJ106+BK106+BL106+BM106+BN106+BO106)</f>
        <v>58</v>
      </c>
      <c r="F106" s="50">
        <v>2.0</v>
      </c>
      <c r="G106" s="33"/>
      <c r="H106" s="50">
        <v>3.0</v>
      </c>
      <c r="I106" s="33"/>
      <c r="J106" s="50"/>
      <c r="K106" s="33"/>
      <c r="L106" s="50"/>
      <c r="M106" s="33"/>
      <c r="N106" s="50"/>
      <c r="O106" s="33"/>
      <c r="P106" s="50"/>
      <c r="Q106" s="33"/>
      <c r="R106" s="50"/>
      <c r="S106" s="33"/>
      <c r="T106" s="50"/>
      <c r="U106" s="33"/>
      <c r="V106" s="50"/>
      <c r="W106" s="33"/>
      <c r="X106" s="50">
        <v>1.0</v>
      </c>
      <c r="Y106" s="33"/>
      <c r="Z106" s="50">
        <v>4.0</v>
      </c>
      <c r="AA106" s="33"/>
      <c r="AB106" s="50"/>
      <c r="AC106" s="33"/>
      <c r="AD106" s="50">
        <v>3.0</v>
      </c>
      <c r="AE106" s="33"/>
      <c r="AF106" s="50"/>
      <c r="AG106" s="33"/>
      <c r="AH106" s="50">
        <v>3.0</v>
      </c>
      <c r="AI106" s="33"/>
      <c r="AJ106" s="50">
        <v>2.0</v>
      </c>
      <c r="AK106" s="33"/>
      <c r="AL106" s="50">
        <v>3.0</v>
      </c>
      <c r="AM106" s="33"/>
      <c r="AN106" s="50">
        <v>3.0</v>
      </c>
      <c r="AO106" s="33"/>
      <c r="AP106" s="50">
        <v>2.0</v>
      </c>
      <c r="AQ106" s="33"/>
      <c r="AR106" s="50">
        <v>4.0</v>
      </c>
      <c r="AS106" s="33"/>
      <c r="AT106" s="50"/>
      <c r="AU106" s="33"/>
      <c r="AV106" s="50">
        <v>5.0</v>
      </c>
      <c r="AW106" s="33"/>
      <c r="AX106" s="50">
        <v>1.0</v>
      </c>
      <c r="AY106" s="33"/>
      <c r="AZ106" s="50">
        <v>3.0</v>
      </c>
      <c r="BA106" s="33"/>
      <c r="BB106" s="50">
        <v>4.0</v>
      </c>
      <c r="BC106" s="33"/>
      <c r="BD106" s="50">
        <v>2.0</v>
      </c>
      <c r="BE106" s="33"/>
      <c r="BF106" s="50">
        <v>4.0</v>
      </c>
      <c r="BG106" s="33"/>
      <c r="BH106" s="50"/>
      <c r="BI106" s="33"/>
      <c r="BJ106" s="50">
        <v>4.0</v>
      </c>
      <c r="BK106" s="33"/>
      <c r="BL106" s="50">
        <v>1.0</v>
      </c>
      <c r="BM106" s="33"/>
      <c r="BN106" s="50">
        <v>4.0</v>
      </c>
      <c r="BO106" s="33"/>
    </row>
    <row r="107" hidden="1" outlineLevel="1">
      <c r="A107" s="42" t="str">
        <f>B107&amp;D107</f>
        <v>JulyRUPESH</v>
      </c>
      <c r="B107" s="43" t="s">
        <v>21</v>
      </c>
      <c r="C107" s="43" t="s">
        <v>26</v>
      </c>
      <c r="D107" s="44" t="str">
        <f>IFERROR(VLOOKUP(C107,'Employees List'!$B$2:$C$28,2,0),"")</f>
        <v>RUPESH</v>
      </c>
      <c r="E107" s="45">
        <f>(F107+G107+H107+I107+J107+K107+L107+M107+N107+O107+P107+Q107+R107+S107+T107+U107+V107+W107+X107+Y107+Z107+AA107+AB107+AC107+AD107+AE107+AF107+AG107+AH107+AI107+AJ107+AK107+AL107+AM107+AN107+AO107+AP107+AQ107+AR107+AS107+AT107+AU107+AV107+AW107+AX107+AY107+AZ107+BA107+BB107+BC107+BD107+BE107+BF107+BG107+BH107+BI107+BJ107+BK107+BL107+BM107+BN107+BO107)/2</f>
        <v>31</v>
      </c>
      <c r="F107" s="46" t="b">
        <v>1</v>
      </c>
      <c r="G107" s="46" t="b">
        <v>1</v>
      </c>
      <c r="H107" s="46" t="b">
        <v>1</v>
      </c>
      <c r="I107" s="46" t="b">
        <v>1</v>
      </c>
      <c r="J107" s="46" t="b">
        <v>1</v>
      </c>
      <c r="K107" s="46" t="b">
        <v>1</v>
      </c>
      <c r="L107" s="46" t="b">
        <v>1</v>
      </c>
      <c r="M107" s="46" t="b">
        <v>1</v>
      </c>
      <c r="N107" s="46" t="b">
        <v>1</v>
      </c>
      <c r="O107" s="46" t="b">
        <v>1</v>
      </c>
      <c r="P107" s="46" t="b">
        <v>1</v>
      </c>
      <c r="Q107" s="46" t="b">
        <v>1</v>
      </c>
      <c r="R107" s="46" t="b">
        <v>1</v>
      </c>
      <c r="S107" s="46" t="b">
        <v>1</v>
      </c>
      <c r="T107" s="46" t="b">
        <v>1</v>
      </c>
      <c r="U107" s="46" t="b">
        <v>1</v>
      </c>
      <c r="V107" s="46" t="b">
        <v>1</v>
      </c>
      <c r="W107" s="46" t="b">
        <v>1</v>
      </c>
      <c r="X107" s="46" t="b">
        <v>1</v>
      </c>
      <c r="Y107" s="46" t="b">
        <v>1</v>
      </c>
      <c r="Z107" s="46" t="b">
        <v>1</v>
      </c>
      <c r="AA107" s="46" t="b">
        <v>1</v>
      </c>
      <c r="AB107" s="46" t="b">
        <v>1</v>
      </c>
      <c r="AC107" s="46" t="b">
        <v>1</v>
      </c>
      <c r="AD107" s="46" t="b">
        <v>1</v>
      </c>
      <c r="AE107" s="46" t="b">
        <v>1</v>
      </c>
      <c r="AF107" s="46" t="b">
        <v>1</v>
      </c>
      <c r="AG107" s="46" t="b">
        <v>1</v>
      </c>
      <c r="AH107" s="46" t="b">
        <v>1</v>
      </c>
      <c r="AI107" s="46" t="b">
        <v>1</v>
      </c>
      <c r="AJ107" s="46" t="b">
        <v>1</v>
      </c>
      <c r="AK107" s="46" t="b">
        <v>1</v>
      </c>
      <c r="AL107" s="46" t="b">
        <v>1</v>
      </c>
      <c r="AM107" s="46" t="b">
        <v>1</v>
      </c>
      <c r="AN107" s="46" t="b">
        <v>1</v>
      </c>
      <c r="AO107" s="46" t="b">
        <v>1</v>
      </c>
      <c r="AP107" s="46" t="b">
        <v>1</v>
      </c>
      <c r="AQ107" s="46" t="b">
        <v>1</v>
      </c>
      <c r="AR107" s="46" t="b">
        <v>1</v>
      </c>
      <c r="AS107" s="46" t="b">
        <v>1</v>
      </c>
      <c r="AT107" s="46" t="b">
        <v>1</v>
      </c>
      <c r="AU107" s="46" t="b">
        <v>1</v>
      </c>
      <c r="AV107" s="46" t="b">
        <v>1</v>
      </c>
      <c r="AW107" s="46" t="b">
        <v>1</v>
      </c>
      <c r="AX107" s="46" t="b">
        <v>1</v>
      </c>
      <c r="AY107" s="46" t="b">
        <v>1</v>
      </c>
      <c r="AZ107" s="46" t="b">
        <v>1</v>
      </c>
      <c r="BA107" s="46" t="b">
        <v>1</v>
      </c>
      <c r="BB107" s="46" t="b">
        <v>1</v>
      </c>
      <c r="BC107" s="46" t="b">
        <v>1</v>
      </c>
      <c r="BD107" s="46" t="b">
        <v>1</v>
      </c>
      <c r="BE107" s="46" t="b">
        <v>1</v>
      </c>
      <c r="BF107" s="46" t="b">
        <v>1</v>
      </c>
      <c r="BG107" s="46" t="b">
        <v>1</v>
      </c>
      <c r="BH107" s="46" t="b">
        <v>1</v>
      </c>
      <c r="BI107" s="46" t="b">
        <v>1</v>
      </c>
      <c r="BJ107" s="46" t="b">
        <v>1</v>
      </c>
      <c r="BK107" s="46" t="b">
        <v>1</v>
      </c>
      <c r="BL107" s="46" t="b">
        <v>1</v>
      </c>
      <c r="BM107" s="46" t="b">
        <v>1</v>
      </c>
      <c r="BN107" s="46" t="b">
        <v>1</v>
      </c>
      <c r="BO107" s="46" t="b">
        <v>1</v>
      </c>
    </row>
    <row r="108" hidden="1" outlineLevel="1">
      <c r="A108" s="47" t="str">
        <f>A107&amp;C108</f>
        <v>JulyRUPESHOT HOURS</v>
      </c>
      <c r="B108" s="48"/>
      <c r="C108" s="49" t="s">
        <v>120</v>
      </c>
      <c r="D108" s="33"/>
      <c r="E108" s="45">
        <f>(F108+G108+H108+I108+J108+K108+L108+M108+N108+O108+P108+Q108+R108+S108+T108+U108+V108+W108+X108+Y108+Z108+AA108+AB108+AC108+AD108+AE108+AF108+AG108+AH108+AI108+AJ108+AK108+AL108+AM108+AN108+AO108+AP108+AQ108+AR108+AS108+AT108+AU108+AV108+AW108+AX108+AY108+AZ108+BA108+BB108+BC108+BD108+BE108+BF108+BG108+BH108+BI108+BJ108+BK108+BL108+BM108+BN108+BO108)</f>
        <v>40</v>
      </c>
      <c r="F108" s="50">
        <v>1.0</v>
      </c>
      <c r="G108" s="33"/>
      <c r="H108" s="50"/>
      <c r="I108" s="33"/>
      <c r="J108" s="50">
        <v>1.0</v>
      </c>
      <c r="K108" s="33"/>
      <c r="L108" s="50"/>
      <c r="M108" s="33"/>
      <c r="N108" s="50">
        <v>3.0</v>
      </c>
      <c r="O108" s="33"/>
      <c r="P108" s="50">
        <v>3.0</v>
      </c>
      <c r="Q108" s="33"/>
      <c r="R108" s="50"/>
      <c r="S108" s="33"/>
      <c r="T108" s="50"/>
      <c r="U108" s="33"/>
      <c r="V108" s="50">
        <v>2.0</v>
      </c>
      <c r="W108" s="33"/>
      <c r="X108" s="50"/>
      <c r="Y108" s="33"/>
      <c r="Z108" s="50">
        <v>1.0</v>
      </c>
      <c r="AA108" s="33"/>
      <c r="AB108" s="50">
        <v>4.0</v>
      </c>
      <c r="AC108" s="33"/>
      <c r="AD108" s="50"/>
      <c r="AE108" s="33"/>
      <c r="AF108" s="50"/>
      <c r="AG108" s="33"/>
      <c r="AH108" s="50"/>
      <c r="AI108" s="33"/>
      <c r="AJ108" s="50"/>
      <c r="AK108" s="33"/>
      <c r="AL108" s="50">
        <v>2.0</v>
      </c>
      <c r="AM108" s="33"/>
      <c r="AN108" s="50"/>
      <c r="AO108" s="33"/>
      <c r="AP108" s="50"/>
      <c r="AQ108" s="33"/>
      <c r="AR108" s="50">
        <v>1.0</v>
      </c>
      <c r="AS108" s="33"/>
      <c r="AT108" s="50"/>
      <c r="AU108" s="33"/>
      <c r="AV108" s="50">
        <v>2.0</v>
      </c>
      <c r="AW108" s="33"/>
      <c r="AX108" s="50">
        <v>5.0</v>
      </c>
      <c r="AY108" s="33"/>
      <c r="AZ108" s="50">
        <v>2.0</v>
      </c>
      <c r="BA108" s="33"/>
      <c r="BB108" s="50">
        <v>5.0</v>
      </c>
      <c r="BC108" s="33"/>
      <c r="BD108" s="50">
        <v>2.0</v>
      </c>
      <c r="BE108" s="33"/>
      <c r="BF108" s="50">
        <v>6.0</v>
      </c>
      <c r="BG108" s="33"/>
      <c r="BH108" s="50"/>
      <c r="BI108" s="33"/>
      <c r="BJ108" s="50"/>
      <c r="BK108" s="33"/>
      <c r="BL108" s="50"/>
      <c r="BM108" s="33"/>
      <c r="BN108" s="50"/>
      <c r="BO108" s="33"/>
    </row>
    <row r="109" hidden="1" outlineLevel="1">
      <c r="A109" s="42" t="str">
        <f>B109&amp;D109</f>
        <v>JulyLIPAN</v>
      </c>
      <c r="B109" s="43" t="s">
        <v>21</v>
      </c>
      <c r="C109" s="43" t="s">
        <v>83</v>
      </c>
      <c r="D109" s="44" t="str">
        <f>IFERROR(VLOOKUP(C109,'Employees List'!$B$2:$C$28,2,0),"")</f>
        <v>LIPAN</v>
      </c>
      <c r="E109" s="45">
        <f>(F109+G109+H109+I109+J109+K109+L109+M109+N109+O109+P109+Q109+R109+S109+T109+U109+V109+W109+X109+Y109+Z109+AA109+AB109+AC109+AD109+AE109+AF109+AG109+AH109+AI109+AJ109+AK109+AL109+AM109+AN109+AO109+AP109+AQ109+AR109+AS109+AT109+AU109+AV109+AW109+AX109+AY109+AZ109+BA109+BB109+BC109+BD109+BE109+BF109+BG109+BH109+BI109+BJ109+BK109+BL109+BM109+BN109+BO109)/2</f>
        <v>30</v>
      </c>
      <c r="F109" s="46" t="b">
        <v>1</v>
      </c>
      <c r="G109" s="46" t="b">
        <v>1</v>
      </c>
      <c r="H109" s="46" t="b">
        <v>1</v>
      </c>
      <c r="I109" s="46" t="b">
        <v>1</v>
      </c>
      <c r="J109" s="46" t="b">
        <v>1</v>
      </c>
      <c r="K109" s="46" t="b">
        <v>1</v>
      </c>
      <c r="L109" s="46" t="b">
        <v>1</v>
      </c>
      <c r="M109" s="46" t="b">
        <v>1</v>
      </c>
      <c r="N109" s="46" t="b">
        <v>1</v>
      </c>
      <c r="O109" s="46" t="b">
        <v>1</v>
      </c>
      <c r="P109" s="46" t="b">
        <v>1</v>
      </c>
      <c r="Q109" s="46" t="b">
        <v>1</v>
      </c>
      <c r="R109" s="46" t="b">
        <v>1</v>
      </c>
      <c r="S109" s="46" t="b">
        <v>1</v>
      </c>
      <c r="T109" s="46" t="b">
        <v>1</v>
      </c>
      <c r="U109" s="46" t="b">
        <v>1</v>
      </c>
      <c r="V109" s="46" t="b">
        <v>1</v>
      </c>
      <c r="W109" s="46" t="b">
        <v>1</v>
      </c>
      <c r="X109" s="46" t="b">
        <v>1</v>
      </c>
      <c r="Y109" s="46" t="b">
        <v>1</v>
      </c>
      <c r="Z109" s="46" t="b">
        <v>1</v>
      </c>
      <c r="AA109" s="46" t="b">
        <v>1</v>
      </c>
      <c r="AB109" s="46" t="b">
        <v>1</v>
      </c>
      <c r="AC109" s="46" t="b">
        <v>1</v>
      </c>
      <c r="AD109" s="46" t="b">
        <v>1</v>
      </c>
      <c r="AE109" s="46" t="b">
        <v>1</v>
      </c>
      <c r="AF109" s="46" t="b">
        <v>1</v>
      </c>
      <c r="AG109" s="46" t="b">
        <v>1</v>
      </c>
      <c r="AH109" s="46" t="b">
        <v>1</v>
      </c>
      <c r="AI109" s="46" t="b">
        <v>1</v>
      </c>
      <c r="AJ109" s="46" t="b">
        <v>1</v>
      </c>
      <c r="AK109" s="46" t="b">
        <v>1</v>
      </c>
      <c r="AL109" s="46" t="b">
        <v>1</v>
      </c>
      <c r="AM109" s="46" t="b">
        <v>1</v>
      </c>
      <c r="AN109" s="46" t="b">
        <v>1</v>
      </c>
      <c r="AO109" s="46" t="b">
        <v>1</v>
      </c>
      <c r="AP109" s="46" t="b">
        <v>1</v>
      </c>
      <c r="AQ109" s="46" t="b">
        <v>1</v>
      </c>
      <c r="AR109" s="46" t="b">
        <v>1</v>
      </c>
      <c r="AS109" s="46" t="b">
        <v>1</v>
      </c>
      <c r="AT109" s="46" t="b">
        <v>1</v>
      </c>
      <c r="AU109" s="46" t="b">
        <v>1</v>
      </c>
      <c r="AV109" s="46" t="b">
        <v>1</v>
      </c>
      <c r="AW109" s="46" t="b">
        <v>1</v>
      </c>
      <c r="AX109" s="46" t="b">
        <v>0</v>
      </c>
      <c r="AY109" s="46" t="b">
        <v>0</v>
      </c>
      <c r="AZ109" s="46" t="b">
        <v>1</v>
      </c>
      <c r="BA109" s="46" t="b">
        <v>1</v>
      </c>
      <c r="BB109" s="46" t="b">
        <v>1</v>
      </c>
      <c r="BC109" s="46" t="b">
        <v>1</v>
      </c>
      <c r="BD109" s="46" t="b">
        <v>1</v>
      </c>
      <c r="BE109" s="46" t="b">
        <v>1</v>
      </c>
      <c r="BF109" s="46" t="b">
        <v>1</v>
      </c>
      <c r="BG109" s="46" t="b">
        <v>1</v>
      </c>
      <c r="BH109" s="46" t="b">
        <v>1</v>
      </c>
      <c r="BI109" s="46" t="b">
        <v>1</v>
      </c>
      <c r="BJ109" s="46" t="b">
        <v>1</v>
      </c>
      <c r="BK109" s="46" t="b">
        <v>1</v>
      </c>
      <c r="BL109" s="46" t="b">
        <v>1</v>
      </c>
      <c r="BM109" s="46" t="b">
        <v>1</v>
      </c>
      <c r="BN109" s="46" t="b">
        <v>1</v>
      </c>
      <c r="BO109" s="46" t="b">
        <v>1</v>
      </c>
    </row>
    <row r="110" hidden="1" outlineLevel="1">
      <c r="A110" s="47" t="str">
        <f>A109&amp;C110</f>
        <v>JulyLIPANOT HOURS</v>
      </c>
      <c r="B110" s="48"/>
      <c r="C110" s="49" t="s">
        <v>120</v>
      </c>
      <c r="D110" s="33"/>
      <c r="E110" s="45">
        <f>(F110+G110+H110+I110+J110+K110+L110+M110+N110+O110+P110+Q110+R110+S110+T110+U110+V110+W110+X110+Y110+Z110+AA110+AB110+AC110+AD110+AE110+AF110+AG110+AH110+AI110+AJ110+AK110+AL110+AM110+AN110+AO110+AP110+AQ110+AR110+AS110+AT110+AU110+AV110+AW110+AX110+AY110+AZ110+BA110+BB110+BC110+BD110+BE110+BF110+BG110+BH110+BI110+BJ110+BK110+BL110+BM110+BN110+BO110)</f>
        <v>66</v>
      </c>
      <c r="F110" s="50">
        <v>1.0</v>
      </c>
      <c r="G110" s="33"/>
      <c r="H110" s="50"/>
      <c r="I110" s="33"/>
      <c r="J110" s="50">
        <v>1.0</v>
      </c>
      <c r="K110" s="33"/>
      <c r="L110" s="50">
        <v>1.0</v>
      </c>
      <c r="M110" s="33"/>
      <c r="N110" s="50"/>
      <c r="O110" s="33"/>
      <c r="P110" s="50">
        <v>2.0</v>
      </c>
      <c r="Q110" s="33"/>
      <c r="R110" s="50"/>
      <c r="S110" s="33"/>
      <c r="T110" s="50"/>
      <c r="U110" s="33"/>
      <c r="V110" s="50">
        <v>3.0</v>
      </c>
      <c r="W110" s="33"/>
      <c r="X110" s="50"/>
      <c r="Y110" s="33"/>
      <c r="Z110" s="50">
        <v>5.0</v>
      </c>
      <c r="AA110" s="33"/>
      <c r="AB110" s="50">
        <v>4.0</v>
      </c>
      <c r="AC110" s="33"/>
      <c r="AD110" s="50"/>
      <c r="AE110" s="33"/>
      <c r="AF110" s="50"/>
      <c r="AG110" s="33"/>
      <c r="AH110" s="50"/>
      <c r="AI110" s="33"/>
      <c r="AJ110" s="50">
        <v>3.0</v>
      </c>
      <c r="AK110" s="33"/>
      <c r="AL110" s="50">
        <v>2.0</v>
      </c>
      <c r="AM110" s="33"/>
      <c r="AN110" s="50">
        <v>4.0</v>
      </c>
      <c r="AO110" s="33"/>
      <c r="AP110" s="50">
        <v>2.0</v>
      </c>
      <c r="AQ110" s="33"/>
      <c r="AR110" s="50">
        <v>5.0</v>
      </c>
      <c r="AS110" s="33"/>
      <c r="AT110" s="50">
        <v>4.0</v>
      </c>
      <c r="AU110" s="33"/>
      <c r="AV110" s="50">
        <v>4.0</v>
      </c>
      <c r="AW110" s="33"/>
      <c r="AX110" s="50"/>
      <c r="AY110" s="33"/>
      <c r="AZ110" s="50">
        <v>2.0</v>
      </c>
      <c r="BA110" s="33"/>
      <c r="BB110" s="50">
        <v>5.0</v>
      </c>
      <c r="BC110" s="33"/>
      <c r="BD110" s="50">
        <v>4.0</v>
      </c>
      <c r="BE110" s="33"/>
      <c r="BF110" s="50">
        <v>6.0</v>
      </c>
      <c r="BG110" s="33"/>
      <c r="BH110" s="50"/>
      <c r="BI110" s="33"/>
      <c r="BJ110" s="50">
        <v>3.0</v>
      </c>
      <c r="BK110" s="33"/>
      <c r="BL110" s="50">
        <v>2.0</v>
      </c>
      <c r="BM110" s="33"/>
      <c r="BN110" s="50">
        <v>3.0</v>
      </c>
      <c r="BO110" s="33"/>
    </row>
    <row r="111" hidden="1" outlineLevel="1">
      <c r="A111" s="42" t="str">
        <f>B111&amp;D111</f>
        <v>JulySANJAI BHAGAT</v>
      </c>
      <c r="B111" s="43" t="s">
        <v>21</v>
      </c>
      <c r="C111" s="43" t="s">
        <v>30</v>
      </c>
      <c r="D111" s="44" t="str">
        <f>IFERROR(VLOOKUP(C111,'Employees List'!$B$2:$C$28,2,0),"")</f>
        <v>SANJAI BHAGAT</v>
      </c>
      <c r="E111" s="45">
        <f>(F111+G111+H111+I111+J111+K111+L111+M111+N111+O111+P111+Q111+R111+S111+T111+U111+V111+W111+X111+Y111+Z111+AA111+AB111+AC111+AD111+AE111+AF111+AG111+AH111+AI111+AJ111+AK111+AL111+AM111+AN111+AO111+AP111+AQ111+AR111+AS111+AT111+AU111+AV111+AW111+AX111+AY111+AZ111+BA111+BB111+BC111+BD111+BE111+BF111+BG111+BH111+BI111+BJ111+BK111+BL111+BM111+BN111+BO111)/2</f>
        <v>31</v>
      </c>
      <c r="F111" s="46" t="b">
        <v>1</v>
      </c>
      <c r="G111" s="46" t="b">
        <v>1</v>
      </c>
      <c r="H111" s="46" t="b">
        <v>1</v>
      </c>
      <c r="I111" s="46" t="b">
        <v>1</v>
      </c>
      <c r="J111" s="46" t="b">
        <v>1</v>
      </c>
      <c r="K111" s="46" t="b">
        <v>1</v>
      </c>
      <c r="L111" s="46" t="b">
        <v>1</v>
      </c>
      <c r="M111" s="46" t="b">
        <v>1</v>
      </c>
      <c r="N111" s="46" t="b">
        <v>1</v>
      </c>
      <c r="O111" s="46" t="b">
        <v>1</v>
      </c>
      <c r="P111" s="46" t="b">
        <v>1</v>
      </c>
      <c r="Q111" s="46" t="b">
        <v>1</v>
      </c>
      <c r="R111" s="46" t="b">
        <v>1</v>
      </c>
      <c r="S111" s="46" t="b">
        <v>1</v>
      </c>
      <c r="T111" s="46" t="b">
        <v>1</v>
      </c>
      <c r="U111" s="46" t="b">
        <v>1</v>
      </c>
      <c r="V111" s="46" t="b">
        <v>1</v>
      </c>
      <c r="W111" s="46" t="b">
        <v>1</v>
      </c>
      <c r="X111" s="46" t="b">
        <v>1</v>
      </c>
      <c r="Y111" s="46" t="b">
        <v>1</v>
      </c>
      <c r="Z111" s="46" t="b">
        <v>1</v>
      </c>
      <c r="AA111" s="46" t="b">
        <v>1</v>
      </c>
      <c r="AB111" s="46" t="b">
        <v>1</v>
      </c>
      <c r="AC111" s="46" t="b">
        <v>1</v>
      </c>
      <c r="AD111" s="46" t="b">
        <v>1</v>
      </c>
      <c r="AE111" s="46" t="b">
        <v>1</v>
      </c>
      <c r="AF111" s="46" t="b">
        <v>1</v>
      </c>
      <c r="AG111" s="46" t="b">
        <v>1</v>
      </c>
      <c r="AH111" s="46" t="b">
        <v>1</v>
      </c>
      <c r="AI111" s="46" t="b">
        <v>1</v>
      </c>
      <c r="AJ111" s="46" t="b">
        <v>1</v>
      </c>
      <c r="AK111" s="46" t="b">
        <v>1</v>
      </c>
      <c r="AL111" s="46" t="b">
        <v>1</v>
      </c>
      <c r="AM111" s="46" t="b">
        <v>1</v>
      </c>
      <c r="AN111" s="46" t="b">
        <v>1</v>
      </c>
      <c r="AO111" s="46" t="b">
        <v>1</v>
      </c>
      <c r="AP111" s="46" t="b">
        <v>1</v>
      </c>
      <c r="AQ111" s="46" t="b">
        <v>1</v>
      </c>
      <c r="AR111" s="46" t="b">
        <v>1</v>
      </c>
      <c r="AS111" s="46" t="b">
        <v>1</v>
      </c>
      <c r="AT111" s="46" t="b">
        <v>1</v>
      </c>
      <c r="AU111" s="46" t="b">
        <v>1</v>
      </c>
      <c r="AV111" s="46" t="b">
        <v>1</v>
      </c>
      <c r="AW111" s="46" t="b">
        <v>1</v>
      </c>
      <c r="AX111" s="46" t="b">
        <v>1</v>
      </c>
      <c r="AY111" s="46" t="b">
        <v>1</v>
      </c>
      <c r="AZ111" s="46" t="b">
        <v>1</v>
      </c>
      <c r="BA111" s="46" t="b">
        <v>1</v>
      </c>
      <c r="BB111" s="46" t="b">
        <v>1</v>
      </c>
      <c r="BC111" s="46" t="b">
        <v>1</v>
      </c>
      <c r="BD111" s="46" t="b">
        <v>1</v>
      </c>
      <c r="BE111" s="46" t="b">
        <v>1</v>
      </c>
      <c r="BF111" s="46" t="b">
        <v>1</v>
      </c>
      <c r="BG111" s="46" t="b">
        <v>1</v>
      </c>
      <c r="BH111" s="46" t="b">
        <v>1</v>
      </c>
      <c r="BI111" s="46" t="b">
        <v>1</v>
      </c>
      <c r="BJ111" s="46" t="b">
        <v>1</v>
      </c>
      <c r="BK111" s="46" t="b">
        <v>1</v>
      </c>
      <c r="BL111" s="46" t="b">
        <v>1</v>
      </c>
      <c r="BM111" s="46" t="b">
        <v>1</v>
      </c>
      <c r="BN111" s="46" t="b">
        <v>1</v>
      </c>
      <c r="BO111" s="46" t="b">
        <v>1</v>
      </c>
    </row>
    <row r="112" hidden="1" outlineLevel="1">
      <c r="A112" s="47" t="str">
        <f>A111&amp;C112</f>
        <v>JulySANJAI BHAGATOT HOURS</v>
      </c>
      <c r="B112" s="48"/>
      <c r="C112" s="49" t="s">
        <v>120</v>
      </c>
      <c r="D112" s="33"/>
      <c r="E112" s="45">
        <f>(F112+G112+H112+I112+J112+K112+L112+M112+N112+O112+P112+Q112+R112+S112+T112+U112+V112+W112+X112+Y112+Z112+AA112+AB112+AC112+AD112+AE112+AF112+AG112+AH112+AI112+AJ112+AK112+AL112+AM112+AN112+AO112+AP112+AQ112+AR112+AS112+AT112+AU112+AV112+AW112+AX112+AY112+AZ112+BA112+BB112+BC112+BD112+BE112+BF112+BG112+BH112+BI112+BJ112+BK112+BL112+BM112+BN112+BO112)</f>
        <v>96</v>
      </c>
      <c r="F112" s="50">
        <v>3.0</v>
      </c>
      <c r="G112" s="33"/>
      <c r="H112" s="50">
        <v>2.0</v>
      </c>
      <c r="I112" s="33"/>
      <c r="J112" s="50"/>
      <c r="K112" s="33"/>
      <c r="L112" s="50">
        <v>1.0</v>
      </c>
      <c r="M112" s="33"/>
      <c r="N112" s="50">
        <v>3.0</v>
      </c>
      <c r="O112" s="33"/>
      <c r="P112" s="50"/>
      <c r="Q112" s="33"/>
      <c r="R112" s="50">
        <v>3.0</v>
      </c>
      <c r="S112" s="33"/>
      <c r="T112" s="50">
        <v>4.0</v>
      </c>
      <c r="U112" s="33"/>
      <c r="V112" s="50">
        <v>2.0</v>
      </c>
      <c r="W112" s="33"/>
      <c r="X112" s="50"/>
      <c r="Y112" s="33"/>
      <c r="Z112" s="50">
        <v>5.0</v>
      </c>
      <c r="AA112" s="33"/>
      <c r="AB112" s="50">
        <v>4.0</v>
      </c>
      <c r="AC112" s="33"/>
      <c r="AD112" s="50">
        <v>4.0</v>
      </c>
      <c r="AE112" s="33"/>
      <c r="AF112" s="50"/>
      <c r="AG112" s="33"/>
      <c r="AH112" s="50"/>
      <c r="AI112" s="33"/>
      <c r="AJ112" s="50">
        <v>3.0</v>
      </c>
      <c r="AK112" s="33"/>
      <c r="AL112" s="50">
        <v>2.0</v>
      </c>
      <c r="AM112" s="33"/>
      <c r="AN112" s="50">
        <v>4.0</v>
      </c>
      <c r="AO112" s="33"/>
      <c r="AP112" s="50"/>
      <c r="AQ112" s="33"/>
      <c r="AR112" s="50">
        <v>5.0</v>
      </c>
      <c r="AS112" s="33"/>
      <c r="AT112" s="50">
        <v>4.0</v>
      </c>
      <c r="AU112" s="33"/>
      <c r="AV112" s="50">
        <v>8.0</v>
      </c>
      <c r="AW112" s="33"/>
      <c r="AX112" s="50">
        <v>6.0</v>
      </c>
      <c r="AY112" s="33"/>
      <c r="AZ112" s="50">
        <v>4.0</v>
      </c>
      <c r="BA112" s="33"/>
      <c r="BB112" s="50">
        <v>5.0</v>
      </c>
      <c r="BC112" s="33"/>
      <c r="BD112" s="50">
        <v>7.0</v>
      </c>
      <c r="BE112" s="33"/>
      <c r="BF112" s="50">
        <v>7.0</v>
      </c>
      <c r="BG112" s="33"/>
      <c r="BH112" s="50"/>
      <c r="BI112" s="33"/>
      <c r="BJ112" s="50">
        <v>5.0</v>
      </c>
      <c r="BK112" s="33"/>
      <c r="BL112" s="50">
        <v>2.0</v>
      </c>
      <c r="BM112" s="33"/>
      <c r="BN112" s="50">
        <v>3.0</v>
      </c>
      <c r="BO112" s="33"/>
    </row>
    <row r="113" hidden="1" outlineLevel="1">
      <c r="A113" s="42" t="str">
        <f>B113&amp;D113</f>
        <v>JulyJAGABANDH</v>
      </c>
      <c r="B113" s="43" t="s">
        <v>21</v>
      </c>
      <c r="C113" s="43" t="s">
        <v>80</v>
      </c>
      <c r="D113" s="44" t="str">
        <f>IFERROR(VLOOKUP(C113,'Employees List'!$B$2:$C$28,2,0),"")</f>
        <v>JAGABANDH</v>
      </c>
      <c r="E113" s="45">
        <f>(F113+G113+H113+I113+J113+K113+L113+M113+N113+O113+P113+Q113+R113+S113+T113+U113+V113+W113+X113+Y113+Z113+AA113+AB113+AC113+AD113+AE113+AF113+AG113+AH113+AI113+AJ113+AK113+AL113+AM113+AN113+AO113+AP113+AQ113+AR113+AS113+AT113+AU113+AV113+AW113+AX113+AY113+AZ113+BA113+BB113+BC113+BD113+BE113+BF113+BG113+BH113+BI113+BJ113+BK113+BL113+BM113+BN113+BO113)/2</f>
        <v>31</v>
      </c>
      <c r="F113" s="46" t="b">
        <v>1</v>
      </c>
      <c r="G113" s="46" t="b">
        <v>1</v>
      </c>
      <c r="H113" s="46" t="b">
        <v>1</v>
      </c>
      <c r="I113" s="46" t="b">
        <v>1</v>
      </c>
      <c r="J113" s="46" t="b">
        <v>1</v>
      </c>
      <c r="K113" s="46" t="b">
        <v>1</v>
      </c>
      <c r="L113" s="46" t="b">
        <v>1</v>
      </c>
      <c r="M113" s="46" t="b">
        <v>1</v>
      </c>
      <c r="N113" s="46" t="b">
        <v>1</v>
      </c>
      <c r="O113" s="46" t="b">
        <v>1</v>
      </c>
      <c r="P113" s="46" t="b">
        <v>1</v>
      </c>
      <c r="Q113" s="46" t="b">
        <v>1</v>
      </c>
      <c r="R113" s="46" t="b">
        <v>1</v>
      </c>
      <c r="S113" s="46" t="b">
        <v>1</v>
      </c>
      <c r="T113" s="46" t="b">
        <v>1</v>
      </c>
      <c r="U113" s="46" t="b">
        <v>1</v>
      </c>
      <c r="V113" s="46" t="b">
        <v>1</v>
      </c>
      <c r="W113" s="46" t="b">
        <v>1</v>
      </c>
      <c r="X113" s="46" t="b">
        <v>1</v>
      </c>
      <c r="Y113" s="46" t="b">
        <v>1</v>
      </c>
      <c r="Z113" s="46" t="b">
        <v>1</v>
      </c>
      <c r="AA113" s="46" t="b">
        <v>1</v>
      </c>
      <c r="AB113" s="46" t="b">
        <v>1</v>
      </c>
      <c r="AC113" s="46" t="b">
        <v>1</v>
      </c>
      <c r="AD113" s="46" t="b">
        <v>1</v>
      </c>
      <c r="AE113" s="46" t="b">
        <v>1</v>
      </c>
      <c r="AF113" s="46" t="b">
        <v>1</v>
      </c>
      <c r="AG113" s="46" t="b">
        <v>1</v>
      </c>
      <c r="AH113" s="46" t="b">
        <v>1</v>
      </c>
      <c r="AI113" s="46" t="b">
        <v>1</v>
      </c>
      <c r="AJ113" s="46" t="b">
        <v>1</v>
      </c>
      <c r="AK113" s="46" t="b">
        <v>1</v>
      </c>
      <c r="AL113" s="46" t="b">
        <v>1</v>
      </c>
      <c r="AM113" s="46" t="b">
        <v>1</v>
      </c>
      <c r="AN113" s="46" t="b">
        <v>1</v>
      </c>
      <c r="AO113" s="46" t="b">
        <v>1</v>
      </c>
      <c r="AP113" s="46" t="b">
        <v>1</v>
      </c>
      <c r="AQ113" s="46" t="b">
        <v>1</v>
      </c>
      <c r="AR113" s="46" t="b">
        <v>1</v>
      </c>
      <c r="AS113" s="46" t="b">
        <v>1</v>
      </c>
      <c r="AT113" s="46" t="b">
        <v>1</v>
      </c>
      <c r="AU113" s="46" t="b">
        <v>1</v>
      </c>
      <c r="AV113" s="46" t="b">
        <v>1</v>
      </c>
      <c r="AW113" s="46" t="b">
        <v>1</v>
      </c>
      <c r="AX113" s="46" t="b">
        <v>1</v>
      </c>
      <c r="AY113" s="46" t="b">
        <v>1</v>
      </c>
      <c r="AZ113" s="46" t="b">
        <v>1</v>
      </c>
      <c r="BA113" s="46" t="b">
        <v>1</v>
      </c>
      <c r="BB113" s="46" t="b">
        <v>1</v>
      </c>
      <c r="BC113" s="46" t="b">
        <v>1</v>
      </c>
      <c r="BD113" s="46" t="b">
        <v>1</v>
      </c>
      <c r="BE113" s="46" t="b">
        <v>1</v>
      </c>
      <c r="BF113" s="46" t="b">
        <v>1</v>
      </c>
      <c r="BG113" s="46" t="b">
        <v>1</v>
      </c>
      <c r="BH113" s="46" t="b">
        <v>1</v>
      </c>
      <c r="BI113" s="46" t="b">
        <v>1</v>
      </c>
      <c r="BJ113" s="46" t="b">
        <v>1</v>
      </c>
      <c r="BK113" s="46" t="b">
        <v>1</v>
      </c>
      <c r="BL113" s="46" t="b">
        <v>1</v>
      </c>
      <c r="BM113" s="46" t="b">
        <v>1</v>
      </c>
      <c r="BN113" s="46" t="b">
        <v>1</v>
      </c>
      <c r="BO113" s="46" t="b">
        <v>1</v>
      </c>
    </row>
    <row r="114" hidden="1" outlineLevel="1">
      <c r="A114" s="47" t="str">
        <f>A113&amp;C114</f>
        <v>JulyJAGABANDHOT HOURS</v>
      </c>
      <c r="B114" s="48"/>
      <c r="C114" s="49" t="s">
        <v>120</v>
      </c>
      <c r="D114" s="33"/>
      <c r="E114" s="45">
        <f>(F114+G114+H114+I114+J114+K114+L114+M114+N114+O114+P114+Q114+R114+S114+T114+U114+V114+W114+X114+Y114+Z114+AA114+AB114+AC114+AD114+AE114+AF114+AG114+AH114+AI114+AJ114+AK114+AL114+AM114+AN114+AO114+AP114+AQ114+AR114+AS114+AT114+AU114+AV114+AW114+AX114+AY114+AZ114+BA114+BB114+BC114+BD114+BE114+BF114+BG114+BH114+BI114+BJ114+BK114+BL114+BM114+BN114+BO114)</f>
        <v>58</v>
      </c>
      <c r="F114" s="50">
        <v>1.0</v>
      </c>
      <c r="G114" s="33"/>
      <c r="H114" s="50">
        <v>4.0</v>
      </c>
      <c r="I114" s="33"/>
      <c r="J114" s="50">
        <v>1.0</v>
      </c>
      <c r="K114" s="33"/>
      <c r="L114" s="50">
        <v>1.0</v>
      </c>
      <c r="M114" s="33"/>
      <c r="N114" s="50"/>
      <c r="O114" s="33"/>
      <c r="P114" s="50">
        <v>2.0</v>
      </c>
      <c r="Q114" s="33"/>
      <c r="R114" s="50"/>
      <c r="S114" s="33"/>
      <c r="T114" s="50"/>
      <c r="U114" s="33"/>
      <c r="V114" s="50">
        <v>3.0</v>
      </c>
      <c r="W114" s="33"/>
      <c r="X114" s="50"/>
      <c r="Y114" s="33"/>
      <c r="Z114" s="50">
        <v>1.0</v>
      </c>
      <c r="AA114" s="33"/>
      <c r="AB114" s="50">
        <v>4.0</v>
      </c>
      <c r="AC114" s="33"/>
      <c r="AD114" s="50">
        <v>4.0</v>
      </c>
      <c r="AE114" s="33"/>
      <c r="AF114" s="50"/>
      <c r="AG114" s="33"/>
      <c r="AH114" s="50"/>
      <c r="AI114" s="33"/>
      <c r="AJ114" s="50"/>
      <c r="AK114" s="33"/>
      <c r="AL114" s="50">
        <v>2.0</v>
      </c>
      <c r="AM114" s="33"/>
      <c r="AN114" s="50"/>
      <c r="AO114" s="33"/>
      <c r="AP114" s="50">
        <v>2.0</v>
      </c>
      <c r="AQ114" s="33"/>
      <c r="AR114" s="50">
        <v>1.0</v>
      </c>
      <c r="AS114" s="33"/>
      <c r="AT114" s="50"/>
      <c r="AU114" s="33"/>
      <c r="AV114" s="50">
        <v>2.0</v>
      </c>
      <c r="AW114" s="33"/>
      <c r="AX114" s="50">
        <v>5.0</v>
      </c>
      <c r="AY114" s="33"/>
      <c r="AZ114" s="50">
        <v>2.0</v>
      </c>
      <c r="BA114" s="33"/>
      <c r="BB114" s="50">
        <v>5.0</v>
      </c>
      <c r="BC114" s="33"/>
      <c r="BD114" s="50">
        <v>4.0</v>
      </c>
      <c r="BE114" s="33"/>
      <c r="BF114" s="50">
        <v>6.0</v>
      </c>
      <c r="BG114" s="33"/>
      <c r="BH114" s="50"/>
      <c r="BI114" s="33"/>
      <c r="BJ114" s="50">
        <v>3.0</v>
      </c>
      <c r="BK114" s="33"/>
      <c r="BL114" s="50">
        <v>2.0</v>
      </c>
      <c r="BM114" s="33"/>
      <c r="BN114" s="50">
        <v>3.0</v>
      </c>
      <c r="BO114" s="33"/>
    </row>
    <row r="115" hidden="1" outlineLevel="1">
      <c r="A115" s="42" t="str">
        <f>B115&amp;D115</f>
        <v>July</v>
      </c>
      <c r="B115" s="43" t="s">
        <v>21</v>
      </c>
      <c r="C115" s="43"/>
      <c r="D115" s="44" t="str">
        <f>IFERROR(VLOOKUP(C115,'Employees List'!$B$2:$C$28,2,0),"")</f>
        <v/>
      </c>
      <c r="E115" s="45"/>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row>
    <row r="116" collapsed="1">
      <c r="A116" s="56"/>
      <c r="B116" s="57"/>
      <c r="C116" s="36">
        <v>45505.0</v>
      </c>
      <c r="D116" s="33"/>
      <c r="E116" s="58"/>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row>
    <row r="117" hidden="1" outlineLevel="1">
      <c r="A117" s="42" t="str">
        <f>B117&amp;D117</f>
        <v>AugustBHUVANESWARAN</v>
      </c>
      <c r="B117" s="43" t="s">
        <v>25</v>
      </c>
      <c r="C117" s="43" t="s">
        <v>9</v>
      </c>
      <c r="D117" s="44" t="str">
        <f>IFERROR(VLOOKUP(C117,'Employees List'!$B$2:$C$28,2,0),"")</f>
        <v>BHUVANESWARAN</v>
      </c>
      <c r="E117" s="45">
        <f>(F117+G117+H117+I117+J117+K117+L117+M117+N117+O117+P117+Q117+R117+S117+T117+U117+V117+W117+X117+Y117+Z117+AA117+AB117+AC117+AD117+AE117+AF117+AG117+AH117+AI117+AJ117+AK117+AL117+AM117+AN117+AO117+AP117+AQ117+AR117+AS117+AT117+AU117+AV117+AW117+AX117+AY117+AZ117+BA117+BB117+BC117+BD117+BE117+BF117+BG117+BH117+BI117+BJ117+BK117+BL117+BM117+BN117+BO117)/2</f>
        <v>31</v>
      </c>
      <c r="F117" s="54" t="b">
        <v>1</v>
      </c>
      <c r="G117" s="54" t="b">
        <v>1</v>
      </c>
      <c r="H117" s="54" t="b">
        <v>1</v>
      </c>
      <c r="I117" s="54" t="b">
        <v>1</v>
      </c>
      <c r="J117" s="54" t="b">
        <v>1</v>
      </c>
      <c r="K117" s="54" t="b">
        <v>1</v>
      </c>
      <c r="L117" s="54" t="b">
        <v>1</v>
      </c>
      <c r="M117" s="54" t="b">
        <v>1</v>
      </c>
      <c r="N117" s="54" t="b">
        <v>1</v>
      </c>
      <c r="O117" s="54" t="b">
        <v>1</v>
      </c>
      <c r="P117" s="54" t="b">
        <v>1</v>
      </c>
      <c r="Q117" s="54" t="b">
        <v>1</v>
      </c>
      <c r="R117" s="54" t="b">
        <v>1</v>
      </c>
      <c r="S117" s="54" t="b">
        <v>1</v>
      </c>
      <c r="T117" s="54" t="b">
        <v>1</v>
      </c>
      <c r="U117" s="54" t="b">
        <v>1</v>
      </c>
      <c r="V117" s="54" t="b">
        <v>1</v>
      </c>
      <c r="W117" s="54" t="b">
        <v>1</v>
      </c>
      <c r="X117" s="54" t="b">
        <v>1</v>
      </c>
      <c r="Y117" s="54" t="b">
        <v>1</v>
      </c>
      <c r="Z117" s="54" t="b">
        <v>1</v>
      </c>
      <c r="AA117" s="54" t="b">
        <v>1</v>
      </c>
      <c r="AB117" s="54" t="b">
        <v>1</v>
      </c>
      <c r="AC117" s="54" t="b">
        <v>1</v>
      </c>
      <c r="AD117" s="54" t="b">
        <v>1</v>
      </c>
      <c r="AE117" s="54" t="b">
        <v>1</v>
      </c>
      <c r="AF117" s="54" t="b">
        <v>1</v>
      </c>
      <c r="AG117" s="54" t="b">
        <v>1</v>
      </c>
      <c r="AH117" s="54" t="b">
        <v>1</v>
      </c>
      <c r="AI117" s="54" t="b">
        <v>1</v>
      </c>
      <c r="AJ117" s="54" t="b">
        <v>1</v>
      </c>
      <c r="AK117" s="54" t="b">
        <v>1</v>
      </c>
      <c r="AL117" s="54" t="b">
        <v>1</v>
      </c>
      <c r="AM117" s="54" t="b">
        <v>1</v>
      </c>
      <c r="AN117" s="54" t="b">
        <v>1</v>
      </c>
      <c r="AO117" s="54" t="b">
        <v>1</v>
      </c>
      <c r="AP117" s="54" t="b">
        <v>1</v>
      </c>
      <c r="AQ117" s="54" t="b">
        <v>1</v>
      </c>
      <c r="AR117" s="54" t="b">
        <v>1</v>
      </c>
      <c r="AS117" s="54" t="b">
        <v>1</v>
      </c>
      <c r="AT117" s="54" t="b">
        <v>1</v>
      </c>
      <c r="AU117" s="54" t="b">
        <v>1</v>
      </c>
      <c r="AV117" s="54" t="b">
        <v>1</v>
      </c>
      <c r="AW117" s="54" t="b">
        <v>1</v>
      </c>
      <c r="AX117" s="54" t="b">
        <v>1</v>
      </c>
      <c r="AY117" s="54" t="b">
        <v>1</v>
      </c>
      <c r="AZ117" s="54" t="b">
        <v>1</v>
      </c>
      <c r="BA117" s="54" t="b">
        <v>1</v>
      </c>
      <c r="BB117" s="54" t="b">
        <v>1</v>
      </c>
      <c r="BC117" s="54" t="b">
        <v>1</v>
      </c>
      <c r="BD117" s="54" t="b">
        <v>1</v>
      </c>
      <c r="BE117" s="54" t="b">
        <v>1</v>
      </c>
      <c r="BF117" s="54" t="b">
        <v>1</v>
      </c>
      <c r="BG117" s="54" t="b">
        <v>1</v>
      </c>
      <c r="BH117" s="54" t="b">
        <v>1</v>
      </c>
      <c r="BI117" s="54" t="b">
        <v>1</v>
      </c>
      <c r="BJ117" s="54" t="b">
        <v>1</v>
      </c>
      <c r="BK117" s="54" t="b">
        <v>1</v>
      </c>
      <c r="BL117" s="54" t="b">
        <v>1</v>
      </c>
      <c r="BM117" s="54" t="b">
        <v>1</v>
      </c>
      <c r="BN117" s="54" t="b">
        <v>1</v>
      </c>
      <c r="BO117" s="54" t="b">
        <v>1</v>
      </c>
    </row>
    <row r="118" hidden="1" outlineLevel="1">
      <c r="A118" s="47" t="str">
        <f>A117&amp;C118</f>
        <v>AugustBHUVANESWARANOT HOURS</v>
      </c>
      <c r="B118" s="48"/>
      <c r="C118" s="49" t="s">
        <v>120</v>
      </c>
      <c r="D118" s="33"/>
      <c r="E118" s="45">
        <f>(F118+G118+H118+I118+J118+K118+L118+M118+N118+O118+P118+Q118+R118+S118+T118+U118+V118+W118+X118+Y118+Z118+AA118+AB118+AC118+AD118+AE118+AF118+AG118+AH118+AI118+AJ118+AK118+AL118+AM118+AN118+AO118+AP118+AQ118+AR118+AS118+AT118+AU118+AV118+AW118+AX118+AY118+AZ118+BA118+BB118+BC118+BD118+BE118+BF118+BG118+BH118+BI118+BJ118+BK118+BL118+BM118+BN118+BO118)</f>
        <v>0</v>
      </c>
      <c r="F118" s="59"/>
      <c r="G118" s="33"/>
      <c r="H118" s="59"/>
      <c r="I118" s="33"/>
      <c r="J118" s="59"/>
      <c r="K118" s="33"/>
      <c r="L118" s="60"/>
      <c r="M118" s="33"/>
      <c r="N118" s="60"/>
      <c r="O118" s="33"/>
      <c r="P118" s="60"/>
      <c r="Q118" s="33"/>
      <c r="R118" s="61"/>
      <c r="S118" s="61"/>
      <c r="T118" s="60"/>
      <c r="U118" s="33"/>
      <c r="V118" s="60"/>
      <c r="W118" s="33"/>
      <c r="X118" s="60"/>
      <c r="Y118" s="33"/>
      <c r="Z118" s="60"/>
      <c r="AA118" s="33"/>
      <c r="AB118" s="60"/>
      <c r="AC118" s="33"/>
      <c r="AD118" s="60"/>
      <c r="AE118" s="33"/>
      <c r="AF118" s="60"/>
      <c r="AG118" s="33"/>
      <c r="AH118" s="60"/>
      <c r="AI118" s="33"/>
      <c r="AJ118" s="60"/>
      <c r="AK118" s="33"/>
      <c r="AL118" s="60"/>
      <c r="AM118" s="33"/>
      <c r="AN118" s="60"/>
      <c r="AO118" s="33"/>
      <c r="AP118" s="60"/>
      <c r="AQ118" s="33"/>
      <c r="AR118" s="60"/>
      <c r="AS118" s="33"/>
      <c r="AT118" s="60"/>
      <c r="AU118" s="33"/>
      <c r="AV118" s="60"/>
      <c r="AW118" s="33"/>
      <c r="AX118" s="60"/>
      <c r="AY118" s="33"/>
      <c r="AZ118" s="60"/>
      <c r="BA118" s="33"/>
      <c r="BB118" s="60"/>
      <c r="BC118" s="33"/>
      <c r="BD118" s="60"/>
      <c r="BE118" s="33"/>
      <c r="BF118" s="60"/>
      <c r="BG118" s="33"/>
      <c r="BH118" s="60"/>
      <c r="BI118" s="33"/>
      <c r="BJ118" s="60"/>
      <c r="BK118" s="33"/>
      <c r="BL118" s="60"/>
      <c r="BM118" s="33"/>
      <c r="BN118" s="60"/>
      <c r="BO118" s="33"/>
    </row>
    <row r="119" hidden="1" outlineLevel="1">
      <c r="A119" s="42" t="str">
        <f>B119&amp;D119</f>
        <v>AugustGANESH</v>
      </c>
      <c r="B119" s="43" t="s">
        <v>25</v>
      </c>
      <c r="C119" s="43" t="s">
        <v>18</v>
      </c>
      <c r="D119" s="44" t="str">
        <f>IFERROR(VLOOKUP(C119,'Employees List'!$B$2:$C$28,2,0),"")</f>
        <v>GANESH</v>
      </c>
      <c r="E119" s="45">
        <f>(F119+G119+H119+I119+J119+K119+L119+M119+N119+O119+P119+Q119+R119+S119+T119+U119+V119+W119+X119+Y119+Z119+AA119+AB119+AC119+AD119+AE119+AF119+AG119+AH119+AI119+AJ119+AK119+AL119+AM119+AN119+AO119+AP119+AQ119+AR119+AS119+AT119+AU119+AV119+AW119+AX119+AY119+AZ119+BA119+BB119+BC119+BD119+BE119+BF119+BG119+BH119+BI119+BJ119+BK119+BL119+BM119+BN119+BO119)/2</f>
        <v>30</v>
      </c>
      <c r="F119" s="54" t="b">
        <v>1</v>
      </c>
      <c r="G119" s="54" t="b">
        <v>1</v>
      </c>
      <c r="H119" s="54" t="b">
        <v>1</v>
      </c>
      <c r="I119" s="54" t="b">
        <v>1</v>
      </c>
      <c r="J119" s="54" t="b">
        <v>1</v>
      </c>
      <c r="K119" s="54" t="b">
        <v>1</v>
      </c>
      <c r="L119" s="54" t="b">
        <v>1</v>
      </c>
      <c r="M119" s="54" t="b">
        <v>1</v>
      </c>
      <c r="N119" s="54" t="b">
        <v>1</v>
      </c>
      <c r="O119" s="54" t="b">
        <v>1</v>
      </c>
      <c r="P119" s="54" t="b">
        <v>1</v>
      </c>
      <c r="Q119" s="54" t="b">
        <v>1</v>
      </c>
      <c r="R119" s="54" t="b">
        <v>0</v>
      </c>
      <c r="S119" s="54" t="b">
        <v>0</v>
      </c>
      <c r="T119" s="54" t="b">
        <v>1</v>
      </c>
      <c r="U119" s="54" t="b">
        <v>1</v>
      </c>
      <c r="V119" s="54" t="b">
        <v>1</v>
      </c>
      <c r="W119" s="54" t="b">
        <v>1</v>
      </c>
      <c r="X119" s="54" t="b">
        <v>1</v>
      </c>
      <c r="Y119" s="54" t="b">
        <v>1</v>
      </c>
      <c r="Z119" s="54" t="b">
        <v>1</v>
      </c>
      <c r="AA119" s="54" t="b">
        <v>1</v>
      </c>
      <c r="AB119" s="54" t="b">
        <v>1</v>
      </c>
      <c r="AC119" s="54" t="b">
        <v>1</v>
      </c>
      <c r="AD119" s="54" t="b">
        <v>1</v>
      </c>
      <c r="AE119" s="54" t="b">
        <v>1</v>
      </c>
      <c r="AF119" s="54" t="b">
        <v>1</v>
      </c>
      <c r="AG119" s="54" t="b">
        <v>1</v>
      </c>
      <c r="AH119" s="54" t="b">
        <v>1</v>
      </c>
      <c r="AI119" s="54" t="b">
        <v>1</v>
      </c>
      <c r="AJ119" s="54" t="b">
        <v>1</v>
      </c>
      <c r="AK119" s="54" t="b">
        <v>1</v>
      </c>
      <c r="AL119" s="54" t="b">
        <v>1</v>
      </c>
      <c r="AM119" s="54" t="b">
        <v>1</v>
      </c>
      <c r="AN119" s="54" t="b">
        <v>1</v>
      </c>
      <c r="AO119" s="54" t="b">
        <v>1</v>
      </c>
      <c r="AP119" s="54" t="b">
        <v>1</v>
      </c>
      <c r="AQ119" s="54" t="b">
        <v>1</v>
      </c>
      <c r="AR119" s="54" t="b">
        <v>1</v>
      </c>
      <c r="AS119" s="54" t="b">
        <v>1</v>
      </c>
      <c r="AT119" s="54" t="b">
        <v>1</v>
      </c>
      <c r="AU119" s="54" t="b">
        <v>1</v>
      </c>
      <c r="AV119" s="54" t="b">
        <v>1</v>
      </c>
      <c r="AW119" s="54" t="b">
        <v>1</v>
      </c>
      <c r="AX119" s="54" t="b">
        <v>1</v>
      </c>
      <c r="AY119" s="54" t="b">
        <v>1</v>
      </c>
      <c r="AZ119" s="54" t="b">
        <v>1</v>
      </c>
      <c r="BA119" s="54" t="b">
        <v>1</v>
      </c>
      <c r="BB119" s="54" t="b">
        <v>1</v>
      </c>
      <c r="BC119" s="54" t="b">
        <v>1</v>
      </c>
      <c r="BD119" s="54" t="b">
        <v>1</v>
      </c>
      <c r="BE119" s="54" t="b">
        <v>1</v>
      </c>
      <c r="BF119" s="54" t="b">
        <v>1</v>
      </c>
      <c r="BG119" s="54" t="b">
        <v>1</v>
      </c>
      <c r="BH119" s="54" t="b">
        <v>1</v>
      </c>
      <c r="BI119" s="54" t="b">
        <v>1</v>
      </c>
      <c r="BJ119" s="54" t="b">
        <v>1</v>
      </c>
      <c r="BK119" s="54" t="b">
        <v>1</v>
      </c>
      <c r="BL119" s="54" t="b">
        <v>1</v>
      </c>
      <c r="BM119" s="54" t="b">
        <v>1</v>
      </c>
      <c r="BN119" s="54" t="b">
        <v>1</v>
      </c>
      <c r="BO119" s="54" t="b">
        <v>1</v>
      </c>
    </row>
    <row r="120" hidden="1" outlineLevel="1">
      <c r="A120" s="47" t="str">
        <f>A119&amp;C120</f>
        <v>AugustGANESHOT HOURS</v>
      </c>
      <c r="B120" s="48"/>
      <c r="C120" s="49" t="s">
        <v>120</v>
      </c>
      <c r="D120" s="33"/>
      <c r="E120" s="45">
        <f>(F120+G120+H120+I120+J120+K120+L120+M120+N120+O120+P120+Q120+R120+S120+T120+U120+V120+W120+X120+Y120+Z120+AA120+AB120+AC120+AD120+AE120+AF120+AG120+AH120+AI120+AJ120+AK120+AL120+AM120+AN120+AO120+AP120+AQ120+AR120+AS120+AT120+AU120+AV120+AW120+AX120+AY120+AZ120+BA120+BB120+BC120+BD120+BE120+BF120+BG120+BH120+BI120+BJ120+BK120+BL120+BM120+BN120+BO120)</f>
        <v>5</v>
      </c>
      <c r="F120" s="60"/>
      <c r="G120" s="33"/>
      <c r="H120" s="60"/>
      <c r="I120" s="33"/>
      <c r="J120" s="59">
        <v>2.0</v>
      </c>
      <c r="K120" s="33"/>
      <c r="L120" s="60"/>
      <c r="M120" s="33"/>
      <c r="N120" s="60"/>
      <c r="O120" s="33"/>
      <c r="P120" s="62"/>
      <c r="Q120" s="33"/>
      <c r="R120" s="60"/>
      <c r="S120" s="33"/>
      <c r="T120" s="60"/>
      <c r="U120" s="33"/>
      <c r="V120" s="60"/>
      <c r="W120" s="33"/>
      <c r="X120" s="59">
        <v>1.0</v>
      </c>
      <c r="Y120" s="33"/>
      <c r="Z120" s="60"/>
      <c r="AA120" s="33"/>
      <c r="AB120" s="60"/>
      <c r="AC120" s="33"/>
      <c r="AD120" s="60"/>
      <c r="AE120" s="33"/>
      <c r="AF120" s="60"/>
      <c r="AG120" s="33"/>
      <c r="AH120" s="60"/>
      <c r="AI120" s="33"/>
      <c r="AJ120" s="63"/>
      <c r="AK120" s="33"/>
      <c r="AL120" s="64"/>
      <c r="AM120" s="33"/>
      <c r="AN120" s="63"/>
      <c r="AO120" s="33"/>
      <c r="AP120" s="63"/>
      <c r="AQ120" s="33"/>
      <c r="AR120" s="64"/>
      <c r="AS120" s="33"/>
      <c r="AT120" s="63"/>
      <c r="AU120" s="33"/>
      <c r="AV120" s="64"/>
      <c r="AW120" s="33"/>
      <c r="AX120" s="64"/>
      <c r="AY120" s="33"/>
      <c r="AZ120" s="63"/>
      <c r="BA120" s="33"/>
      <c r="BB120" s="60"/>
      <c r="BC120" s="33"/>
      <c r="BD120" s="60"/>
      <c r="BE120" s="33"/>
      <c r="BF120" s="59"/>
      <c r="BG120" s="33"/>
      <c r="BH120" s="60"/>
      <c r="BI120" s="33"/>
      <c r="BJ120" s="59">
        <v>2.0</v>
      </c>
      <c r="BK120" s="33"/>
      <c r="BL120" s="60"/>
      <c r="BM120" s="33"/>
      <c r="BN120" s="60"/>
      <c r="BO120" s="33"/>
    </row>
    <row r="121" hidden="1" outlineLevel="1">
      <c r="A121" s="42" t="str">
        <f>B121&amp;D121</f>
        <v>AugustVASANTHA</v>
      </c>
      <c r="B121" s="43" t="s">
        <v>25</v>
      </c>
      <c r="C121" s="43" t="s">
        <v>13</v>
      </c>
      <c r="D121" s="44" t="str">
        <f>IFERROR(VLOOKUP(C121,'Employees List'!$B$2:$C$28,2,0),"")</f>
        <v>VASANTHA</v>
      </c>
      <c r="E121" s="45">
        <f>(F121+G121+H121+I121+J121+K121+L121+M121+N121+O121+P121+Q121+R121+S121+T121+U121+V121+W121+X121+Y121+Z121+AA121+AB121+AC121+AD121+AE121+AF121+AG121+AH121+AI121+AJ121+AK121+AL121+AM121+AN121+AO121+AP121+AQ121+AR121+AS121+AT121+AU121+AV121+AW121+AX121+AY121+AZ121+BA121+BB121+BC121+BD121+BE121+BF121+BG121+BH121+BI121+BJ121+BK121+BL121+BM121+BN121+BO121)/2</f>
        <v>30</v>
      </c>
      <c r="F121" s="54" t="b">
        <v>1</v>
      </c>
      <c r="G121" s="54" t="b">
        <v>1</v>
      </c>
      <c r="H121" s="54" t="b">
        <v>1</v>
      </c>
      <c r="I121" s="54" t="b">
        <v>1</v>
      </c>
      <c r="J121" s="54" t="b">
        <v>1</v>
      </c>
      <c r="K121" s="54" t="b">
        <v>1</v>
      </c>
      <c r="L121" s="54" t="b">
        <v>1</v>
      </c>
      <c r="M121" s="54" t="b">
        <v>1</v>
      </c>
      <c r="N121" s="54" t="b">
        <v>1</v>
      </c>
      <c r="O121" s="54" t="b">
        <v>1</v>
      </c>
      <c r="P121" s="54" t="b">
        <v>1</v>
      </c>
      <c r="Q121" s="54" t="b">
        <v>1</v>
      </c>
      <c r="R121" s="54" t="b">
        <v>1</v>
      </c>
      <c r="S121" s="54" t="b">
        <v>0</v>
      </c>
      <c r="T121" s="54" t="b">
        <v>1</v>
      </c>
      <c r="U121" s="54" t="b">
        <v>1</v>
      </c>
      <c r="V121" s="54" t="b">
        <v>1</v>
      </c>
      <c r="W121" s="54" t="b">
        <v>1</v>
      </c>
      <c r="X121" s="54" t="b">
        <v>1</v>
      </c>
      <c r="Y121" s="54" t="b">
        <v>1</v>
      </c>
      <c r="Z121" s="54" t="b">
        <v>1</v>
      </c>
      <c r="AA121" s="54" t="b">
        <v>1</v>
      </c>
      <c r="AB121" s="54" t="b">
        <v>1</v>
      </c>
      <c r="AC121" s="54" t="b">
        <v>1</v>
      </c>
      <c r="AD121" s="54" t="b">
        <v>1</v>
      </c>
      <c r="AE121" s="54" t="b">
        <v>1</v>
      </c>
      <c r="AF121" s="54" t="b">
        <v>1</v>
      </c>
      <c r="AG121" s="54" t="b">
        <v>1</v>
      </c>
      <c r="AH121" s="54" t="b">
        <v>1</v>
      </c>
      <c r="AI121" s="54" t="b">
        <v>1</v>
      </c>
      <c r="AJ121" s="54" t="b">
        <v>1</v>
      </c>
      <c r="AK121" s="54" t="b">
        <v>1</v>
      </c>
      <c r="AL121" s="54" t="b">
        <v>1</v>
      </c>
      <c r="AM121" s="54" t="b">
        <v>1</v>
      </c>
      <c r="AN121" s="54" t="b">
        <v>1</v>
      </c>
      <c r="AO121" s="54" t="b">
        <v>1</v>
      </c>
      <c r="AP121" s="54" t="b">
        <v>1</v>
      </c>
      <c r="AQ121" s="54" t="b">
        <v>1</v>
      </c>
      <c r="AR121" s="54" t="b">
        <v>1</v>
      </c>
      <c r="AS121" s="54" t="b">
        <v>1</v>
      </c>
      <c r="AT121" s="54" t="b">
        <v>1</v>
      </c>
      <c r="AU121" s="54" t="b">
        <v>1</v>
      </c>
      <c r="AV121" s="54" t="b">
        <v>1</v>
      </c>
      <c r="AW121" s="54" t="b">
        <v>0</v>
      </c>
      <c r="AX121" s="54" t="b">
        <v>1</v>
      </c>
      <c r="AY121" s="54" t="b">
        <v>1</v>
      </c>
      <c r="AZ121" s="54" t="b">
        <v>1</v>
      </c>
      <c r="BA121" s="54" t="b">
        <v>1</v>
      </c>
      <c r="BB121" s="54" t="b">
        <v>1</v>
      </c>
      <c r="BC121" s="54" t="b">
        <v>1</v>
      </c>
      <c r="BD121" s="54" t="b">
        <v>1</v>
      </c>
      <c r="BE121" s="54" t="b">
        <v>1</v>
      </c>
      <c r="BF121" s="54" t="b">
        <v>1</v>
      </c>
      <c r="BG121" s="54" t="b">
        <v>1</v>
      </c>
      <c r="BH121" s="54" t="b">
        <v>1</v>
      </c>
      <c r="BI121" s="54" t="b">
        <v>1</v>
      </c>
      <c r="BJ121" s="54" t="b">
        <v>1</v>
      </c>
      <c r="BK121" s="54" t="b">
        <v>1</v>
      </c>
      <c r="BL121" s="54" t="b">
        <v>1</v>
      </c>
      <c r="BM121" s="54" t="b">
        <v>1</v>
      </c>
      <c r="BN121" s="54" t="b">
        <v>1</v>
      </c>
      <c r="BO121" s="54" t="b">
        <v>1</v>
      </c>
    </row>
    <row r="122" hidden="1" outlineLevel="1">
      <c r="A122" s="47" t="str">
        <f>A121&amp;C122</f>
        <v>AugustVASANTHAOT HOURS</v>
      </c>
      <c r="B122" s="48"/>
      <c r="C122" s="49" t="s">
        <v>120</v>
      </c>
      <c r="D122" s="33"/>
      <c r="E122" s="45">
        <f>(F122+G122+H122+I122+J122+K122+L122+M122+N122+O122+P122+Q122+R122+S122+T122+U122+V122+W122+X122+Y122+Z122+AA122+AB122+AC122+AD122+AE122+AF122+AG122+AH122+AI122+AJ122+AK122+AL122+AM122+AN122+AO122+AP122+AQ122+AR122+AS122+AT122+AU122+AV122+AW122+AX122+AY122+AZ122+BA122+BB122+BC122+BD122+BE122+BF122+BG122+BH122+BI122+BJ122+BK122+BL122+BM122+BN122+BO122)</f>
        <v>0</v>
      </c>
      <c r="F122" s="60"/>
      <c r="G122" s="33"/>
      <c r="H122" s="60"/>
      <c r="I122" s="33"/>
      <c r="J122" s="60"/>
      <c r="K122" s="33"/>
      <c r="L122" s="60"/>
      <c r="M122" s="33"/>
      <c r="N122" s="60"/>
      <c r="O122" s="33"/>
      <c r="P122" s="60"/>
      <c r="Q122" s="33"/>
      <c r="R122" s="60"/>
      <c r="S122" s="33"/>
      <c r="T122" s="60"/>
      <c r="U122" s="33"/>
      <c r="V122" s="60"/>
      <c r="W122" s="33"/>
      <c r="X122" s="60"/>
      <c r="Y122" s="33"/>
      <c r="Z122" s="60"/>
      <c r="AA122" s="33"/>
      <c r="AB122" s="60"/>
      <c r="AC122" s="33"/>
      <c r="AD122" s="60"/>
      <c r="AE122" s="33"/>
      <c r="AF122" s="60"/>
      <c r="AG122" s="33"/>
      <c r="AH122" s="60"/>
      <c r="AI122" s="33"/>
      <c r="AJ122" s="60"/>
      <c r="AK122" s="33"/>
      <c r="AL122" s="60"/>
      <c r="AM122" s="33"/>
      <c r="AN122" s="60"/>
      <c r="AO122" s="33"/>
      <c r="AP122" s="60"/>
      <c r="AQ122" s="33"/>
      <c r="AR122" s="60"/>
      <c r="AS122" s="33"/>
      <c r="AT122" s="60"/>
      <c r="AU122" s="33"/>
      <c r="AV122" s="60"/>
      <c r="AW122" s="33"/>
      <c r="AX122" s="60"/>
      <c r="AY122" s="33"/>
      <c r="AZ122" s="60"/>
      <c r="BA122" s="33"/>
      <c r="BB122" s="60"/>
      <c r="BC122" s="33"/>
      <c r="BD122" s="60"/>
      <c r="BE122" s="33"/>
      <c r="BF122" s="60"/>
      <c r="BG122" s="33"/>
      <c r="BH122" s="60"/>
      <c r="BI122" s="33"/>
      <c r="BJ122" s="60"/>
      <c r="BK122" s="33"/>
      <c r="BL122" s="59"/>
      <c r="BM122" s="33"/>
      <c r="BN122" s="60"/>
      <c r="BO122" s="33"/>
    </row>
    <row r="123" hidden="1" outlineLevel="1">
      <c r="A123" s="42" t="str">
        <f>B123&amp;D123</f>
        <v>AugustSUNDARI</v>
      </c>
      <c r="B123" s="43" t="s">
        <v>25</v>
      </c>
      <c r="C123" s="43" t="s">
        <v>64</v>
      </c>
      <c r="D123" s="44" t="str">
        <f>IFERROR(VLOOKUP(C123,'Employees List'!$B$2:$C$28,2,0),"")</f>
        <v>SUNDARI</v>
      </c>
      <c r="E123" s="45">
        <f>(F123+G123+H123+I123+J123+K123+L123+M123+N123+O123+P123+Q123+R123+S123+T123+U123+V123+W123+X123+Y123+Z123+AA123+AB123+AC123+AD123+AE123+AF123+AG123+AH123+AI123+AJ123+AK123+AL123+AM123+AN123+AO123+AP123+AQ123+AR123+AS123+AT123+AU123+AV123+AW123+AX123+AY123+AZ123+BA123+BB123+BC123+BD123+BE123+BF123+BG123+BH123+BI123+BJ123+BK123+BL123+BM123+BN123+BO123)/2</f>
        <v>31</v>
      </c>
      <c r="F123" s="54" t="b">
        <v>1</v>
      </c>
      <c r="G123" s="54" t="b">
        <v>1</v>
      </c>
      <c r="H123" s="54" t="b">
        <v>1</v>
      </c>
      <c r="I123" s="54" t="b">
        <v>1</v>
      </c>
      <c r="J123" s="54" t="b">
        <v>1</v>
      </c>
      <c r="K123" s="54" t="b">
        <v>1</v>
      </c>
      <c r="L123" s="54" t="b">
        <v>1</v>
      </c>
      <c r="M123" s="54" t="b">
        <v>1</v>
      </c>
      <c r="N123" s="54" t="b">
        <v>1</v>
      </c>
      <c r="O123" s="54" t="b">
        <v>1</v>
      </c>
      <c r="P123" s="54" t="b">
        <v>1</v>
      </c>
      <c r="Q123" s="54" t="b">
        <v>1</v>
      </c>
      <c r="R123" s="54" t="b">
        <v>1</v>
      </c>
      <c r="S123" s="54" t="b">
        <v>1</v>
      </c>
      <c r="T123" s="54" t="b">
        <v>1</v>
      </c>
      <c r="U123" s="54" t="b">
        <v>1</v>
      </c>
      <c r="V123" s="54" t="b">
        <v>1</v>
      </c>
      <c r="W123" s="54" t="b">
        <v>1</v>
      </c>
      <c r="X123" s="54" t="b">
        <v>1</v>
      </c>
      <c r="Y123" s="54" t="b">
        <v>1</v>
      </c>
      <c r="Z123" s="54" t="b">
        <v>1</v>
      </c>
      <c r="AA123" s="54" t="b">
        <v>1</v>
      </c>
      <c r="AB123" s="54" t="b">
        <v>1</v>
      </c>
      <c r="AC123" s="54" t="b">
        <v>1</v>
      </c>
      <c r="AD123" s="54" t="b">
        <v>1</v>
      </c>
      <c r="AE123" s="54" t="b">
        <v>1</v>
      </c>
      <c r="AF123" s="54" t="b">
        <v>1</v>
      </c>
      <c r="AG123" s="54" t="b">
        <v>1</v>
      </c>
      <c r="AH123" s="54" t="b">
        <v>1</v>
      </c>
      <c r="AI123" s="54" t="b">
        <v>1</v>
      </c>
      <c r="AJ123" s="54" t="b">
        <v>1</v>
      </c>
      <c r="AK123" s="54" t="b">
        <v>1</v>
      </c>
      <c r="AL123" s="54" t="b">
        <v>1</v>
      </c>
      <c r="AM123" s="54" t="b">
        <v>1</v>
      </c>
      <c r="AN123" s="54" t="b">
        <v>1</v>
      </c>
      <c r="AO123" s="54" t="b">
        <v>1</v>
      </c>
      <c r="AP123" s="54" t="b">
        <v>1</v>
      </c>
      <c r="AQ123" s="54" t="b">
        <v>1</v>
      </c>
      <c r="AR123" s="54" t="b">
        <v>1</v>
      </c>
      <c r="AS123" s="54" t="b">
        <v>1</v>
      </c>
      <c r="AT123" s="54" t="b">
        <v>1</v>
      </c>
      <c r="AU123" s="54" t="b">
        <v>1</v>
      </c>
      <c r="AV123" s="54" t="b">
        <v>1</v>
      </c>
      <c r="AW123" s="54" t="b">
        <v>1</v>
      </c>
      <c r="AX123" s="54" t="b">
        <v>1</v>
      </c>
      <c r="AY123" s="54" t="b">
        <v>1</v>
      </c>
      <c r="AZ123" s="54" t="b">
        <v>1</v>
      </c>
      <c r="BA123" s="54" t="b">
        <v>1</v>
      </c>
      <c r="BB123" s="54" t="b">
        <v>1</v>
      </c>
      <c r="BC123" s="54" t="b">
        <v>1</v>
      </c>
      <c r="BD123" s="54" t="b">
        <v>1</v>
      </c>
      <c r="BE123" s="54" t="b">
        <v>1</v>
      </c>
      <c r="BF123" s="54" t="b">
        <v>1</v>
      </c>
      <c r="BG123" s="54" t="b">
        <v>1</v>
      </c>
      <c r="BH123" s="54" t="b">
        <v>1</v>
      </c>
      <c r="BI123" s="54" t="b">
        <v>1</v>
      </c>
      <c r="BJ123" s="54" t="b">
        <v>1</v>
      </c>
      <c r="BK123" s="54" t="b">
        <v>1</v>
      </c>
      <c r="BL123" s="54" t="b">
        <v>1</v>
      </c>
      <c r="BM123" s="54" t="b">
        <v>1</v>
      </c>
      <c r="BN123" s="54" t="b">
        <v>1</v>
      </c>
      <c r="BO123" s="54" t="b">
        <v>1</v>
      </c>
    </row>
    <row r="124" hidden="1" outlineLevel="1">
      <c r="A124" s="47" t="str">
        <f>A123&amp;C124</f>
        <v>AugustSUNDARIOT HOURS</v>
      </c>
      <c r="B124" s="48"/>
      <c r="C124" s="49" t="s">
        <v>120</v>
      </c>
      <c r="D124" s="33"/>
      <c r="E124" s="45">
        <f>(F124+G124+H124+I124+J124+K124+L124+M124+N124+O124+P124+Q124+R124+S124+T124+U124+V124+W124+X124+Y124+Z124+AA124+AB124+AC124+AD124+AE124+AF124+AG124+AH124+AI124+AJ124+AK124+AL124+AM124+AN124+AO124+AP124+AQ124+AR124+AS124+AT124+AU124+AV124+AW124+AX124+AY124+AZ124+BA124+BB124+BC124+BD124+BE124+BF124+BG124+BH124+BI124+BJ124+BK124+BL124+BM124+BN124+BO124)</f>
        <v>4</v>
      </c>
      <c r="F124" s="60"/>
      <c r="G124" s="33"/>
      <c r="H124" s="60"/>
      <c r="I124" s="33"/>
      <c r="J124" s="60"/>
      <c r="K124" s="33"/>
      <c r="L124" s="60"/>
      <c r="M124" s="33"/>
      <c r="N124" s="64">
        <v>1.0</v>
      </c>
      <c r="O124" s="33"/>
      <c r="P124" s="63"/>
      <c r="Q124" s="33"/>
      <c r="R124" s="63"/>
      <c r="S124" s="33"/>
      <c r="T124" s="63"/>
      <c r="U124" s="33"/>
      <c r="V124" s="63"/>
      <c r="W124" s="33"/>
      <c r="X124" s="64">
        <v>1.0</v>
      </c>
      <c r="Y124" s="33"/>
      <c r="Z124" s="64">
        <v>1.0</v>
      </c>
      <c r="AA124" s="33"/>
      <c r="AB124" s="63"/>
      <c r="AC124" s="33"/>
      <c r="AD124" s="63"/>
      <c r="AE124" s="33"/>
      <c r="AF124" s="63"/>
      <c r="AG124" s="33"/>
      <c r="AH124" s="63"/>
      <c r="AI124" s="33"/>
      <c r="AJ124" s="63"/>
      <c r="AK124" s="33"/>
      <c r="AL124" s="63"/>
      <c r="AM124" s="33"/>
      <c r="AN124" s="63"/>
      <c r="AO124" s="33"/>
      <c r="AP124" s="63"/>
      <c r="AQ124" s="33"/>
      <c r="AR124" s="63"/>
      <c r="AS124" s="33"/>
      <c r="AT124" s="63"/>
      <c r="AU124" s="33"/>
      <c r="AV124" s="63"/>
      <c r="AW124" s="33"/>
      <c r="AX124" s="63"/>
      <c r="AY124" s="33"/>
      <c r="AZ124" s="63"/>
      <c r="BA124" s="33"/>
      <c r="BB124" s="63"/>
      <c r="BC124" s="33"/>
      <c r="BD124" s="63"/>
      <c r="BE124" s="33"/>
      <c r="BF124" s="63"/>
      <c r="BG124" s="33"/>
      <c r="BH124" s="63"/>
      <c r="BI124" s="33"/>
      <c r="BJ124" s="63"/>
      <c r="BK124" s="33"/>
      <c r="BL124" s="64">
        <v>1.0</v>
      </c>
      <c r="BM124" s="33"/>
      <c r="BN124" s="63"/>
      <c r="BO124" s="33"/>
    </row>
    <row r="125" hidden="1" outlineLevel="1">
      <c r="A125" s="42" t="str">
        <f>B125&amp;D125</f>
        <v>AugustADHIKARI BALIA</v>
      </c>
      <c r="B125" s="43" t="s">
        <v>25</v>
      </c>
      <c r="C125" s="43" t="s">
        <v>22</v>
      </c>
      <c r="D125" s="44" t="str">
        <f>IFERROR(VLOOKUP(C125,'Employees List'!$B$2:$C$28,2,0),"")</f>
        <v>ADHIKARI BALIA</v>
      </c>
      <c r="E125" s="45">
        <f>(F125+G125+H125+I125+J125+K125+L125+M125+N125+O125+P125+Q125+R125+S125+T125+U125+V125+W125+X125+Y125+Z125+AA125+AB125+AC125+AD125+AE125+AF125+AG125+AH125+AI125+AJ125+AK125+AL125+AM125+AN125+AO125+AP125+AQ125+AR125+AS125+AT125+AU125+AV125+AW125+AX125+AY125+AZ125+BA125+BB125+BC125+BD125+BE125+BF125+BG125+BH125+BI125+BJ125+BK125+BL125+BM125+BN125+BO125)/2</f>
        <v>29</v>
      </c>
      <c r="F125" s="54" t="b">
        <v>1</v>
      </c>
      <c r="G125" s="54" t="b">
        <v>1</v>
      </c>
      <c r="H125" s="54" t="b">
        <v>1</v>
      </c>
      <c r="I125" s="54" t="b">
        <v>1</v>
      </c>
      <c r="J125" s="54" t="b">
        <v>1</v>
      </c>
      <c r="K125" s="54" t="b">
        <v>1</v>
      </c>
      <c r="L125" s="54" t="b">
        <v>1</v>
      </c>
      <c r="M125" s="54" t="b">
        <v>1</v>
      </c>
      <c r="N125" s="54" t="b">
        <v>1</v>
      </c>
      <c r="O125" s="54" t="b">
        <v>1</v>
      </c>
      <c r="P125" s="54" t="b">
        <v>1</v>
      </c>
      <c r="Q125" s="54" t="b">
        <v>1</v>
      </c>
      <c r="R125" s="54" t="b">
        <v>1</v>
      </c>
      <c r="S125" s="54" t="b">
        <v>1</v>
      </c>
      <c r="T125" s="54" t="b">
        <v>1</v>
      </c>
      <c r="U125" s="54" t="b">
        <v>1</v>
      </c>
      <c r="V125" s="54" t="b">
        <v>1</v>
      </c>
      <c r="W125" s="54" t="b">
        <v>1</v>
      </c>
      <c r="X125" s="54" t="b">
        <v>1</v>
      </c>
      <c r="Y125" s="54" t="b">
        <v>1</v>
      </c>
      <c r="Z125" s="54" t="b">
        <v>1</v>
      </c>
      <c r="AA125" s="54" t="b">
        <v>1</v>
      </c>
      <c r="AB125" s="54" t="b">
        <v>0</v>
      </c>
      <c r="AC125" s="54" t="b">
        <v>0</v>
      </c>
      <c r="AD125" s="54" t="b">
        <v>0</v>
      </c>
      <c r="AE125" s="54" t="b">
        <v>0</v>
      </c>
      <c r="AF125" s="54" t="b">
        <v>1</v>
      </c>
      <c r="AG125" s="54" t="b">
        <v>1</v>
      </c>
      <c r="AH125" s="54" t="b">
        <v>1</v>
      </c>
      <c r="AI125" s="54" t="b">
        <v>1</v>
      </c>
      <c r="AJ125" s="54" t="b">
        <v>1</v>
      </c>
      <c r="AK125" s="54" t="b">
        <v>1</v>
      </c>
      <c r="AL125" s="54" t="b">
        <v>1</v>
      </c>
      <c r="AM125" s="54" t="b">
        <v>1</v>
      </c>
      <c r="AN125" s="54" t="b">
        <v>1</v>
      </c>
      <c r="AO125" s="54" t="b">
        <v>1</v>
      </c>
      <c r="AP125" s="54" t="b">
        <v>1</v>
      </c>
      <c r="AQ125" s="54" t="b">
        <v>1</v>
      </c>
      <c r="AR125" s="54" t="b">
        <v>1</v>
      </c>
      <c r="AS125" s="54" t="b">
        <v>1</v>
      </c>
      <c r="AT125" s="54" t="b">
        <v>1</v>
      </c>
      <c r="AU125" s="54" t="b">
        <v>1</v>
      </c>
      <c r="AV125" s="54" t="b">
        <v>1</v>
      </c>
      <c r="AW125" s="54" t="b">
        <v>1</v>
      </c>
      <c r="AX125" s="54" t="b">
        <v>1</v>
      </c>
      <c r="AY125" s="54" t="b">
        <v>1</v>
      </c>
      <c r="AZ125" s="54" t="b">
        <v>1</v>
      </c>
      <c r="BA125" s="54" t="b">
        <v>1</v>
      </c>
      <c r="BB125" s="54" t="b">
        <v>1</v>
      </c>
      <c r="BC125" s="54" t="b">
        <v>1</v>
      </c>
      <c r="BD125" s="54" t="b">
        <v>1</v>
      </c>
      <c r="BE125" s="54" t="b">
        <v>1</v>
      </c>
      <c r="BF125" s="54" t="b">
        <v>1</v>
      </c>
      <c r="BG125" s="54" t="b">
        <v>1</v>
      </c>
      <c r="BH125" s="54" t="b">
        <v>1</v>
      </c>
      <c r="BI125" s="54" t="b">
        <v>1</v>
      </c>
      <c r="BJ125" s="54" t="b">
        <v>1</v>
      </c>
      <c r="BK125" s="54" t="b">
        <v>1</v>
      </c>
      <c r="BL125" s="54" t="b">
        <v>1</v>
      </c>
      <c r="BM125" s="54" t="b">
        <v>1</v>
      </c>
      <c r="BN125" s="54" t="b">
        <v>1</v>
      </c>
      <c r="BO125" s="54" t="b">
        <v>1</v>
      </c>
    </row>
    <row r="126" hidden="1" outlineLevel="1">
      <c r="A126" s="47" t="str">
        <f>A125&amp;C126</f>
        <v>AugustADHIKARI BALIAOT HOURS</v>
      </c>
      <c r="B126" s="48"/>
      <c r="C126" s="49" t="s">
        <v>120</v>
      </c>
      <c r="D126" s="33"/>
      <c r="E126" s="45">
        <f>(F126+G126+H126+I126+J126+K126+L126+M126+N126+O126+P126+Q126+R126+S126+T126+U126+V126+W126+X126+Y126+Z126+AA126+AB126+AC126+AD126+AE126+AF126+AG126+AH126+AI126+AJ126+AK126+AL126+AM126+AN126+AO126+AP126+AQ126+AR126+AS126+AT126+AU126+AV126+AW126+AX126+AY126+AZ126+BA126+BB126+BC126+BD126+BE126+BF126+BG126+BH126+BI126+BJ126+BK126+BL126+BM126+BN126+BO126)</f>
        <v>17</v>
      </c>
      <c r="F126" s="63"/>
      <c r="G126" s="33"/>
      <c r="H126" s="63"/>
      <c r="I126" s="33"/>
      <c r="J126" s="64">
        <v>2.0</v>
      </c>
      <c r="K126" s="33"/>
      <c r="L126" s="63"/>
      <c r="M126" s="33"/>
      <c r="N126" s="63"/>
      <c r="O126" s="33"/>
      <c r="P126" s="64">
        <v>3.0</v>
      </c>
      <c r="Q126" s="33"/>
      <c r="R126" s="64">
        <v>3.0</v>
      </c>
      <c r="S126" s="33"/>
      <c r="T126" s="64">
        <v>4.0</v>
      </c>
      <c r="U126" s="33"/>
      <c r="V126" s="64">
        <v>2.0</v>
      </c>
      <c r="W126" s="33"/>
      <c r="X126" s="64">
        <v>1.0</v>
      </c>
      <c r="Y126" s="33"/>
      <c r="Z126" s="63"/>
      <c r="AA126" s="33"/>
      <c r="AB126" s="63"/>
      <c r="AC126" s="33"/>
      <c r="AD126" s="63"/>
      <c r="AE126" s="33"/>
      <c r="AF126" s="63"/>
      <c r="AG126" s="33"/>
      <c r="AH126" s="63"/>
      <c r="AI126" s="33"/>
      <c r="AJ126" s="63"/>
      <c r="AK126" s="33"/>
      <c r="AL126" s="63"/>
      <c r="AM126" s="33"/>
      <c r="AN126" s="63"/>
      <c r="AO126" s="33"/>
      <c r="AP126" s="63"/>
      <c r="AQ126" s="33"/>
      <c r="AR126" s="63"/>
      <c r="AS126" s="33"/>
      <c r="AT126" s="63"/>
      <c r="AU126" s="33"/>
      <c r="AV126" s="63"/>
      <c r="AW126" s="33"/>
      <c r="AX126" s="63"/>
      <c r="AY126" s="33"/>
      <c r="AZ126" s="63"/>
      <c r="BA126" s="33"/>
      <c r="BB126" s="63"/>
      <c r="BC126" s="33"/>
      <c r="BD126" s="63"/>
      <c r="BE126" s="33"/>
      <c r="BF126" s="63"/>
      <c r="BG126" s="33"/>
      <c r="BH126" s="63"/>
      <c r="BI126" s="33"/>
      <c r="BJ126" s="64">
        <v>2.0</v>
      </c>
      <c r="BK126" s="33"/>
      <c r="BL126" s="63"/>
      <c r="BM126" s="33"/>
      <c r="BN126" s="63"/>
      <c r="BO126" s="33"/>
    </row>
    <row r="127" hidden="1" outlineLevel="1">
      <c r="A127" s="42" t="str">
        <f>B127&amp;D127</f>
        <v>AugustMathi</v>
      </c>
      <c r="B127" s="43" t="s">
        <v>25</v>
      </c>
      <c r="C127" s="43" t="s">
        <v>70</v>
      </c>
      <c r="D127" s="44" t="str">
        <f>IFERROR(VLOOKUP(C127,'Employees List'!$B$2:$C$28,2,0),"")</f>
        <v>Mathi</v>
      </c>
      <c r="E127" s="45">
        <f>(F127+G127+H127+I127+J127+K127+L127+M127+N127+O127+P127+Q127+R127+S127+T127+U127+V127+W127+X127+Y127+Z127+AA127+AB127+AC127+AD127+AE127+AF127+AG127+AH127+AI127+AJ127+AK127+AL127+AM127+AN127+AO127+AP127+AQ127+AR127+AS127+AT127+AU127+AV127+AW127+AX127+AY127+AZ127+BA127+BB127+BC127+BD127+BE127+BF127+BG127+BH127+BI127+BJ127+BK127+BL127+BM127+BN127+BO127)/2</f>
        <v>16.5</v>
      </c>
      <c r="F127" s="54" t="b">
        <v>1</v>
      </c>
      <c r="G127" s="54" t="b">
        <v>1</v>
      </c>
      <c r="H127" s="54" t="b">
        <v>1</v>
      </c>
      <c r="I127" s="54" t="b">
        <v>1</v>
      </c>
      <c r="J127" s="54" t="b">
        <v>1</v>
      </c>
      <c r="K127" s="54" t="b">
        <v>1</v>
      </c>
      <c r="L127" s="54" t="b">
        <v>1</v>
      </c>
      <c r="M127" s="54" t="b">
        <v>1</v>
      </c>
      <c r="N127" s="54" t="b">
        <v>1</v>
      </c>
      <c r="O127" s="54" t="b">
        <v>1</v>
      </c>
      <c r="P127" s="54" t="b">
        <v>0</v>
      </c>
      <c r="Q127" s="54" t="b">
        <v>1</v>
      </c>
      <c r="R127" s="54" t="b">
        <v>1</v>
      </c>
      <c r="S127" s="54" t="b">
        <v>1</v>
      </c>
      <c r="T127" s="54" t="b">
        <v>1</v>
      </c>
      <c r="U127" s="54" t="b">
        <v>1</v>
      </c>
      <c r="V127" s="54" t="b">
        <v>1</v>
      </c>
      <c r="W127" s="54" t="b">
        <v>1</v>
      </c>
      <c r="X127" s="54" t="b">
        <v>1</v>
      </c>
      <c r="Y127" s="54" t="b">
        <v>1</v>
      </c>
      <c r="Z127" s="54" t="b">
        <v>1</v>
      </c>
      <c r="AA127" s="54" t="b">
        <v>1</v>
      </c>
      <c r="AB127" s="54" t="b">
        <v>1</v>
      </c>
      <c r="AC127" s="54" t="b">
        <v>1</v>
      </c>
      <c r="AD127" s="54" t="b">
        <v>0</v>
      </c>
      <c r="AE127" s="54" t="b">
        <v>0</v>
      </c>
      <c r="AF127" s="54" t="b">
        <v>0</v>
      </c>
      <c r="AG127" s="54" t="b">
        <v>0</v>
      </c>
      <c r="AH127" s="54" t="b">
        <v>0</v>
      </c>
      <c r="AI127" s="54" t="b">
        <v>0</v>
      </c>
      <c r="AJ127" s="54" t="b">
        <v>0</v>
      </c>
      <c r="AK127" s="54" t="b">
        <v>0</v>
      </c>
      <c r="AL127" s="54" t="b">
        <v>0</v>
      </c>
      <c r="AM127" s="54" t="b">
        <v>0</v>
      </c>
      <c r="AN127" s="54" t="b">
        <v>0</v>
      </c>
      <c r="AO127" s="54" t="b">
        <v>0</v>
      </c>
      <c r="AP127" s="54" t="b">
        <v>0</v>
      </c>
      <c r="AQ127" s="54" t="b">
        <v>0</v>
      </c>
      <c r="AR127" s="54" t="b">
        <v>0</v>
      </c>
      <c r="AS127" s="54" t="b">
        <v>0</v>
      </c>
      <c r="AT127" s="54" t="b">
        <v>0</v>
      </c>
      <c r="AU127" s="54" t="b">
        <v>0</v>
      </c>
      <c r="AV127" s="54" t="b">
        <v>0</v>
      </c>
      <c r="AW127" s="54" t="b">
        <v>0</v>
      </c>
      <c r="AX127" s="54" t="b">
        <v>0</v>
      </c>
      <c r="AY127" s="54" t="b">
        <v>0</v>
      </c>
      <c r="AZ127" s="54" t="b">
        <v>0</v>
      </c>
      <c r="BA127" s="54" t="b">
        <v>0</v>
      </c>
      <c r="BB127" s="54" t="b">
        <v>0</v>
      </c>
      <c r="BC127" s="54" t="b">
        <v>0</v>
      </c>
      <c r="BD127" s="54" t="b">
        <v>0</v>
      </c>
      <c r="BE127" s="54" t="b">
        <v>0</v>
      </c>
      <c r="BF127" s="54" t="b">
        <v>1</v>
      </c>
      <c r="BG127" s="54" t="b">
        <v>1</v>
      </c>
      <c r="BH127" s="54" t="b">
        <v>1</v>
      </c>
      <c r="BI127" s="54" t="b">
        <v>1</v>
      </c>
      <c r="BJ127" s="54" t="b">
        <v>1</v>
      </c>
      <c r="BK127" s="54" t="b">
        <v>1</v>
      </c>
      <c r="BL127" s="54" t="b">
        <v>1</v>
      </c>
      <c r="BM127" s="54" t="b">
        <v>1</v>
      </c>
      <c r="BN127" s="54" t="b">
        <v>1</v>
      </c>
      <c r="BO127" s="54" t="b">
        <v>1</v>
      </c>
    </row>
    <row r="128" hidden="1" outlineLevel="1">
      <c r="A128" s="47" t="str">
        <f>A127&amp;C128</f>
        <v>AugustMathiOT HOURS</v>
      </c>
      <c r="B128" s="48"/>
      <c r="C128" s="49" t="s">
        <v>120</v>
      </c>
      <c r="D128" s="33"/>
      <c r="E128" s="45">
        <f>(F128+G128+H128+I128+J128+K128+L128+M128+N128+O128+P128+Q128+R128+S128+T128+U128+V128+W128+X128+Y128+Z128+AA128+AB128+AC128+AD128+AE128+AF128+AG128+AH128+AI128+AJ128+AK128+AL128+AM128+AN128+AO128+AP128+AQ128+AR128+AS128+AT128+AU128+AV128+AW128+AX128+AY128+AZ128+BA128+BB128+BC128+BD128+BE128+BF128+BG128+BH128+BI128+BJ128+BK128+BL128+BM128+BN128+BO128)</f>
        <v>23</v>
      </c>
      <c r="F128" s="64"/>
      <c r="G128" s="33"/>
      <c r="H128" s="63"/>
      <c r="I128" s="33"/>
      <c r="J128" s="64">
        <v>3.0</v>
      </c>
      <c r="K128" s="33"/>
      <c r="L128" s="63"/>
      <c r="M128" s="33"/>
      <c r="N128" s="64"/>
      <c r="O128" s="33"/>
      <c r="P128" s="63"/>
      <c r="Q128" s="33"/>
      <c r="R128" s="64"/>
      <c r="S128" s="33"/>
      <c r="T128" s="64">
        <v>3.0</v>
      </c>
      <c r="U128" s="33"/>
      <c r="V128" s="64">
        <v>3.0</v>
      </c>
      <c r="W128" s="33"/>
      <c r="X128" s="64">
        <v>3.0</v>
      </c>
      <c r="Y128" s="33"/>
      <c r="Z128" s="63"/>
      <c r="AA128" s="33"/>
      <c r="AB128" s="63"/>
      <c r="AC128" s="33"/>
      <c r="AD128" s="63"/>
      <c r="AE128" s="33"/>
      <c r="AF128" s="63"/>
      <c r="AG128" s="33"/>
      <c r="AH128" s="63"/>
      <c r="AI128" s="33"/>
      <c r="AJ128" s="63"/>
      <c r="AK128" s="33"/>
      <c r="AL128" s="63"/>
      <c r="AM128" s="33"/>
      <c r="AN128" s="63"/>
      <c r="AO128" s="33"/>
      <c r="AP128" s="63"/>
      <c r="AQ128" s="33"/>
      <c r="AR128" s="63"/>
      <c r="AS128" s="33"/>
      <c r="AT128" s="63"/>
      <c r="AU128" s="33"/>
      <c r="AV128" s="63"/>
      <c r="AW128" s="33"/>
      <c r="AX128" s="63"/>
      <c r="AY128" s="33"/>
      <c r="AZ128" s="63"/>
      <c r="BA128" s="33"/>
      <c r="BB128" s="63"/>
      <c r="BC128" s="33"/>
      <c r="BD128" s="63"/>
      <c r="BE128" s="33"/>
      <c r="BF128" s="64">
        <v>1.0</v>
      </c>
      <c r="BG128" s="33"/>
      <c r="BH128" s="64">
        <v>1.0</v>
      </c>
      <c r="BI128" s="33"/>
      <c r="BJ128" s="64">
        <v>3.0</v>
      </c>
      <c r="BK128" s="33"/>
      <c r="BL128" s="64">
        <v>3.0</v>
      </c>
      <c r="BM128" s="33"/>
      <c r="BN128" s="64">
        <v>3.0</v>
      </c>
      <c r="BO128" s="33"/>
    </row>
    <row r="129" hidden="1" outlineLevel="1">
      <c r="A129" s="42" t="str">
        <f>B129&amp;D129</f>
        <v>AugustRUPESH</v>
      </c>
      <c r="B129" s="43" t="s">
        <v>25</v>
      </c>
      <c r="C129" s="43" t="s">
        <v>26</v>
      </c>
      <c r="D129" s="44" t="str">
        <f>IFERROR(VLOOKUP(C129,'Employees List'!$B$2:$C$28,2,0),"")</f>
        <v>RUPESH</v>
      </c>
      <c r="E129" s="45">
        <f>(F129+G129+H129+I129+J129+K129+L129+M129+N129+O129+P129+Q129+R129+S129+T129+U129+V129+W129+X129+Y129+Z129+AA129+AB129+AC129+AD129+AE129+AF129+AG129+AH129+AI129+AJ129+AK129+AL129+AM129+AN129+AO129+AP129+AQ129+AR129+AS129+AT129+AU129+AV129+AW129+AX129+AY129+AZ129+BA129+BB129+BC129+BD129+BE129+BF129+BG129+BH129+BI129+BJ129+BK129+BL129+BM129+BN129+BO129)/2</f>
        <v>31</v>
      </c>
      <c r="F129" s="54" t="b">
        <v>1</v>
      </c>
      <c r="G129" s="54" t="b">
        <v>1</v>
      </c>
      <c r="H129" s="54" t="b">
        <v>1</v>
      </c>
      <c r="I129" s="54" t="b">
        <v>1</v>
      </c>
      <c r="J129" s="54" t="b">
        <v>1</v>
      </c>
      <c r="K129" s="54" t="b">
        <v>1</v>
      </c>
      <c r="L129" s="54" t="b">
        <v>1</v>
      </c>
      <c r="M129" s="54" t="b">
        <v>1</v>
      </c>
      <c r="N129" s="54" t="b">
        <v>1</v>
      </c>
      <c r="O129" s="54" t="b">
        <v>1</v>
      </c>
      <c r="P129" s="54" t="b">
        <v>1</v>
      </c>
      <c r="Q129" s="54" t="b">
        <v>1</v>
      </c>
      <c r="R129" s="54" t="b">
        <v>1</v>
      </c>
      <c r="S129" s="54" t="b">
        <v>1</v>
      </c>
      <c r="T129" s="54" t="b">
        <v>1</v>
      </c>
      <c r="U129" s="54" t="b">
        <v>1</v>
      </c>
      <c r="V129" s="54" t="b">
        <v>1</v>
      </c>
      <c r="W129" s="54" t="b">
        <v>1</v>
      </c>
      <c r="X129" s="54" t="b">
        <v>1</v>
      </c>
      <c r="Y129" s="54" t="b">
        <v>1</v>
      </c>
      <c r="Z129" s="54" t="b">
        <v>1</v>
      </c>
      <c r="AA129" s="54" t="b">
        <v>1</v>
      </c>
      <c r="AB129" s="54" t="b">
        <v>1</v>
      </c>
      <c r="AC129" s="54" t="b">
        <v>1</v>
      </c>
      <c r="AD129" s="54" t="b">
        <v>1</v>
      </c>
      <c r="AE129" s="54" t="b">
        <v>1</v>
      </c>
      <c r="AF129" s="54" t="b">
        <v>1</v>
      </c>
      <c r="AG129" s="54" t="b">
        <v>1</v>
      </c>
      <c r="AH129" s="54" t="b">
        <v>1</v>
      </c>
      <c r="AI129" s="54" t="b">
        <v>1</v>
      </c>
      <c r="AJ129" s="54" t="b">
        <v>1</v>
      </c>
      <c r="AK129" s="54" t="b">
        <v>1</v>
      </c>
      <c r="AL129" s="54" t="b">
        <v>1</v>
      </c>
      <c r="AM129" s="54" t="b">
        <v>1</v>
      </c>
      <c r="AN129" s="54" t="b">
        <v>1</v>
      </c>
      <c r="AO129" s="54" t="b">
        <v>1</v>
      </c>
      <c r="AP129" s="54" t="b">
        <v>1</v>
      </c>
      <c r="AQ129" s="54" t="b">
        <v>1</v>
      </c>
      <c r="AR129" s="54" t="b">
        <v>1</v>
      </c>
      <c r="AS129" s="54" t="b">
        <v>1</v>
      </c>
      <c r="AT129" s="54" t="b">
        <v>1</v>
      </c>
      <c r="AU129" s="54" t="b">
        <v>1</v>
      </c>
      <c r="AV129" s="54" t="b">
        <v>1</v>
      </c>
      <c r="AW129" s="54" t="b">
        <v>1</v>
      </c>
      <c r="AX129" s="54" t="b">
        <v>1</v>
      </c>
      <c r="AY129" s="54" t="b">
        <v>1</v>
      </c>
      <c r="AZ129" s="54" t="b">
        <v>1</v>
      </c>
      <c r="BA129" s="54" t="b">
        <v>1</v>
      </c>
      <c r="BB129" s="54" t="b">
        <v>1</v>
      </c>
      <c r="BC129" s="54" t="b">
        <v>1</v>
      </c>
      <c r="BD129" s="54" t="b">
        <v>1</v>
      </c>
      <c r="BE129" s="54" t="b">
        <v>1</v>
      </c>
      <c r="BF129" s="54" t="b">
        <v>1</v>
      </c>
      <c r="BG129" s="54" t="b">
        <v>1</v>
      </c>
      <c r="BH129" s="54" t="b">
        <v>1</v>
      </c>
      <c r="BI129" s="54" t="b">
        <v>1</v>
      </c>
      <c r="BJ129" s="54" t="b">
        <v>1</v>
      </c>
      <c r="BK129" s="54" t="b">
        <v>1</v>
      </c>
      <c r="BL129" s="54" t="b">
        <v>1</v>
      </c>
      <c r="BM129" s="54" t="b">
        <v>1</v>
      </c>
      <c r="BN129" s="54" t="b">
        <v>1</v>
      </c>
      <c r="BO129" s="54" t="b">
        <v>1</v>
      </c>
    </row>
    <row r="130" hidden="1" outlineLevel="1">
      <c r="A130" s="47" t="str">
        <f>A129&amp;C130</f>
        <v>AugustRUPESHOT HOURS</v>
      </c>
      <c r="B130" s="48"/>
      <c r="C130" s="49" t="s">
        <v>120</v>
      </c>
      <c r="D130" s="33"/>
      <c r="E130" s="45">
        <f>(F130+G130+H130+I130+J130+K130+L130+M130+N130+O130+P130+Q130+R130+S130+T130+U130+V130+W130+X130+Y130+Z130+AA130+AB130+AC130+AD130+AE130+AF130+AG130+AH130+AI130+AJ130+AK130+AL130+AM130+AN130+AO130+AP130+AQ130+AR130+AS130+AT130+AU130+AV130+AW130+AX130+AY130+AZ130+BA130+BB130+BC130+BD130+BE130+BF130+BG130+BH130+BI130+BJ130+BK130+BL130+BM130+BN130+BO130)</f>
        <v>22</v>
      </c>
      <c r="F130" s="63"/>
      <c r="G130" s="33"/>
      <c r="H130" s="63"/>
      <c r="I130" s="33"/>
      <c r="J130" s="64">
        <v>2.0</v>
      </c>
      <c r="K130" s="33"/>
      <c r="L130" s="63"/>
      <c r="M130" s="33"/>
      <c r="N130" s="63"/>
      <c r="O130" s="33"/>
      <c r="P130" s="63"/>
      <c r="Q130" s="33"/>
      <c r="R130" s="64">
        <v>2.0</v>
      </c>
      <c r="S130" s="33"/>
      <c r="T130" s="63"/>
      <c r="U130" s="33"/>
      <c r="V130" s="64">
        <v>4.0</v>
      </c>
      <c r="W130" s="33"/>
      <c r="X130" s="64">
        <v>1.0</v>
      </c>
      <c r="Y130" s="33"/>
      <c r="Z130" s="63"/>
      <c r="AA130" s="33"/>
      <c r="AB130" s="63"/>
      <c r="AC130" s="33"/>
      <c r="AD130" s="63"/>
      <c r="AE130" s="33"/>
      <c r="AF130" s="63"/>
      <c r="AG130" s="33"/>
      <c r="AH130" s="63"/>
      <c r="AI130" s="33"/>
      <c r="AJ130" s="63"/>
      <c r="AK130" s="33"/>
      <c r="AL130" s="63"/>
      <c r="AM130" s="33"/>
      <c r="AN130" s="63"/>
      <c r="AO130" s="33"/>
      <c r="AP130" s="63"/>
      <c r="AQ130" s="33"/>
      <c r="AR130" s="63"/>
      <c r="AS130" s="33"/>
      <c r="AT130" s="63"/>
      <c r="AU130" s="33"/>
      <c r="AV130" s="63"/>
      <c r="AW130" s="33"/>
      <c r="AX130" s="63"/>
      <c r="AY130" s="33"/>
      <c r="AZ130" s="63"/>
      <c r="BA130" s="33"/>
      <c r="BB130" s="64">
        <v>3.0</v>
      </c>
      <c r="BC130" s="33"/>
      <c r="BD130" s="63"/>
      <c r="BE130" s="33"/>
      <c r="BF130" s="63"/>
      <c r="BG130" s="33"/>
      <c r="BH130" s="64">
        <v>2.0</v>
      </c>
      <c r="BI130" s="33"/>
      <c r="BJ130" s="64">
        <v>4.0</v>
      </c>
      <c r="BK130" s="33"/>
      <c r="BL130" s="64">
        <v>4.0</v>
      </c>
      <c r="BM130" s="33"/>
      <c r="BN130" s="64"/>
      <c r="BO130" s="33"/>
    </row>
    <row r="131" hidden="1" outlineLevel="1">
      <c r="A131" s="42" t="str">
        <f>B131&amp;D131</f>
        <v>AugustLIPAN</v>
      </c>
      <c r="B131" s="43" t="s">
        <v>25</v>
      </c>
      <c r="C131" s="43" t="s">
        <v>83</v>
      </c>
      <c r="D131" s="44" t="str">
        <f>IFERROR(VLOOKUP(C131,'Employees List'!$B$2:$C$28,2,0),"")</f>
        <v>LIPAN</v>
      </c>
      <c r="E131" s="45">
        <f>(F131+G131+H131+I131+J131+K131+L131+M131+N131+O131+P131+Q131+R131+S131+T131+U131+V131+W131+X131+Y131+Z131+AA131+AB131+AC131+AD131+AE131+AF131+AG131+AH131+AI131+AJ131+AK131+AL131+AM131+AN131+AO131+AP131+AQ131+AR131+AS131+AT131+AU131+AV131+AW131+AX131+AY131+AZ131+BA131+BB131+BC131+BD131+BE131+BF131+BG131+BH131+BI131+BJ131+BK131+BL131+BM131+BN131+BO131)/2</f>
        <v>31</v>
      </c>
      <c r="F131" s="54" t="b">
        <v>1</v>
      </c>
      <c r="G131" s="54" t="b">
        <v>1</v>
      </c>
      <c r="H131" s="54" t="b">
        <v>1</v>
      </c>
      <c r="I131" s="54" t="b">
        <v>1</v>
      </c>
      <c r="J131" s="54" t="b">
        <v>1</v>
      </c>
      <c r="K131" s="54" t="b">
        <v>1</v>
      </c>
      <c r="L131" s="54" t="b">
        <v>1</v>
      </c>
      <c r="M131" s="54" t="b">
        <v>1</v>
      </c>
      <c r="N131" s="54" t="b">
        <v>1</v>
      </c>
      <c r="O131" s="54" t="b">
        <v>1</v>
      </c>
      <c r="P131" s="54" t="b">
        <v>1</v>
      </c>
      <c r="Q131" s="54" t="b">
        <v>1</v>
      </c>
      <c r="R131" s="54" t="b">
        <v>1</v>
      </c>
      <c r="S131" s="54" t="b">
        <v>1</v>
      </c>
      <c r="T131" s="54" t="b">
        <v>1</v>
      </c>
      <c r="U131" s="54" t="b">
        <v>1</v>
      </c>
      <c r="V131" s="54" t="b">
        <v>1</v>
      </c>
      <c r="W131" s="54" t="b">
        <v>1</v>
      </c>
      <c r="X131" s="54" t="b">
        <v>1</v>
      </c>
      <c r="Y131" s="54" t="b">
        <v>1</v>
      </c>
      <c r="Z131" s="54" t="b">
        <v>1</v>
      </c>
      <c r="AA131" s="54" t="b">
        <v>1</v>
      </c>
      <c r="AB131" s="54" t="b">
        <v>1</v>
      </c>
      <c r="AC131" s="54" t="b">
        <v>1</v>
      </c>
      <c r="AD131" s="54" t="b">
        <v>1</v>
      </c>
      <c r="AE131" s="54" t="b">
        <v>1</v>
      </c>
      <c r="AF131" s="54" t="b">
        <v>1</v>
      </c>
      <c r="AG131" s="54" t="b">
        <v>1</v>
      </c>
      <c r="AH131" s="54" t="b">
        <v>1</v>
      </c>
      <c r="AI131" s="54" t="b">
        <v>1</v>
      </c>
      <c r="AJ131" s="54" t="b">
        <v>1</v>
      </c>
      <c r="AK131" s="54" t="b">
        <v>1</v>
      </c>
      <c r="AL131" s="54" t="b">
        <v>1</v>
      </c>
      <c r="AM131" s="54" t="b">
        <v>1</v>
      </c>
      <c r="AN131" s="54" t="b">
        <v>1</v>
      </c>
      <c r="AO131" s="54" t="b">
        <v>1</v>
      </c>
      <c r="AP131" s="54" t="b">
        <v>1</v>
      </c>
      <c r="AQ131" s="54" t="b">
        <v>1</v>
      </c>
      <c r="AR131" s="54" t="b">
        <v>1</v>
      </c>
      <c r="AS131" s="54" t="b">
        <v>1</v>
      </c>
      <c r="AT131" s="54" t="b">
        <v>1</v>
      </c>
      <c r="AU131" s="54" t="b">
        <v>1</v>
      </c>
      <c r="AV131" s="54" t="b">
        <v>1</v>
      </c>
      <c r="AW131" s="54" t="b">
        <v>1</v>
      </c>
      <c r="AX131" s="54" t="b">
        <v>1</v>
      </c>
      <c r="AY131" s="54" t="b">
        <v>1</v>
      </c>
      <c r="AZ131" s="54" t="b">
        <v>1</v>
      </c>
      <c r="BA131" s="54" t="b">
        <v>1</v>
      </c>
      <c r="BB131" s="54" t="b">
        <v>1</v>
      </c>
      <c r="BC131" s="54" t="b">
        <v>1</v>
      </c>
      <c r="BD131" s="54" t="b">
        <v>1</v>
      </c>
      <c r="BE131" s="54" t="b">
        <v>1</v>
      </c>
      <c r="BF131" s="54" t="b">
        <v>1</v>
      </c>
      <c r="BG131" s="54" t="b">
        <v>1</v>
      </c>
      <c r="BH131" s="54" t="b">
        <v>1</v>
      </c>
      <c r="BI131" s="54" t="b">
        <v>1</v>
      </c>
      <c r="BJ131" s="54" t="b">
        <v>1</v>
      </c>
      <c r="BK131" s="54" t="b">
        <v>1</v>
      </c>
      <c r="BL131" s="54" t="b">
        <v>1</v>
      </c>
      <c r="BM131" s="54" t="b">
        <v>1</v>
      </c>
      <c r="BN131" s="54" t="b">
        <v>1</v>
      </c>
      <c r="BO131" s="54" t="b">
        <v>1</v>
      </c>
    </row>
    <row r="132" hidden="1" outlineLevel="1">
      <c r="A132" s="47" t="str">
        <f>A131&amp;C132</f>
        <v>AugustLIPANOT HOURS</v>
      </c>
      <c r="B132" s="48"/>
      <c r="C132" s="49" t="s">
        <v>120</v>
      </c>
      <c r="D132" s="33"/>
      <c r="E132" s="45">
        <f>(F132+G132+H132+I132+J132+K132+L132+M132+N132+O132+P132+Q132+R132+S132+T132+U132+V132+W132+X132+Y132+Z132+AA132+AB132+AC132+AD132+AE132+AF132+AG132+AH132+AI132+AJ132+AK132+AL132+AM132+AN132+AO132+AP132+AQ132+AR132+AS132+AT132+AU132+AV132+AW132+AX132+AY132+AZ132+BA132+BB132+BC132+BD132+BE132+BF132+BG132+BH132+BI132+BJ132+BK132+BL132+BM132+BN132+BO132)</f>
        <v>44</v>
      </c>
      <c r="F132" s="63"/>
      <c r="G132" s="33"/>
      <c r="H132" s="63"/>
      <c r="I132" s="33"/>
      <c r="J132" s="64">
        <v>2.0</v>
      </c>
      <c r="K132" s="33"/>
      <c r="L132" s="63"/>
      <c r="M132" s="33"/>
      <c r="N132" s="63"/>
      <c r="O132" s="33"/>
      <c r="P132" s="64">
        <v>3.0</v>
      </c>
      <c r="Q132" s="33"/>
      <c r="R132" s="64">
        <v>2.0</v>
      </c>
      <c r="S132" s="33"/>
      <c r="T132" s="63"/>
      <c r="U132" s="33"/>
      <c r="V132" s="64">
        <v>2.0</v>
      </c>
      <c r="W132" s="33"/>
      <c r="X132" s="64">
        <v>4.0</v>
      </c>
      <c r="Y132" s="33"/>
      <c r="Z132" s="64">
        <v>3.0</v>
      </c>
      <c r="AA132" s="33"/>
      <c r="AB132" s="63"/>
      <c r="AC132" s="33"/>
      <c r="AD132" s="63"/>
      <c r="AE132" s="33"/>
      <c r="AF132" s="63"/>
      <c r="AG132" s="33"/>
      <c r="AH132" s="63"/>
      <c r="AI132" s="33"/>
      <c r="AJ132" s="64">
        <v>2.0</v>
      </c>
      <c r="AK132" s="33"/>
      <c r="AL132" s="64">
        <v>3.0</v>
      </c>
      <c r="AM132" s="33"/>
      <c r="AN132" s="63"/>
      <c r="AO132" s="33"/>
      <c r="AP132" s="64">
        <v>3.0</v>
      </c>
      <c r="AQ132" s="33"/>
      <c r="AR132" s="63"/>
      <c r="AS132" s="33"/>
      <c r="AT132" s="64">
        <v>3.0</v>
      </c>
      <c r="AU132" s="33"/>
      <c r="AV132" s="64">
        <v>3.0</v>
      </c>
      <c r="AW132" s="33"/>
      <c r="AX132" s="64"/>
      <c r="AY132" s="33"/>
      <c r="AZ132" s="63"/>
      <c r="BA132" s="33"/>
      <c r="BB132" s="64">
        <v>3.0</v>
      </c>
      <c r="BC132" s="33"/>
      <c r="BD132" s="64">
        <v>3.0</v>
      </c>
      <c r="BE132" s="33"/>
      <c r="BF132" s="64">
        <v>2.0</v>
      </c>
      <c r="BG132" s="33"/>
      <c r="BH132" s="63"/>
      <c r="BI132" s="33"/>
      <c r="BJ132" s="64">
        <v>2.0</v>
      </c>
      <c r="BK132" s="33"/>
      <c r="BL132" s="63"/>
      <c r="BM132" s="33"/>
      <c r="BN132" s="64">
        <v>4.0</v>
      </c>
      <c r="BO132" s="33"/>
    </row>
    <row r="133" hidden="1" outlineLevel="1">
      <c r="A133" s="42" t="str">
        <f>B133&amp;D133</f>
        <v>AugustSANJAI BHAGAT</v>
      </c>
      <c r="B133" s="43" t="s">
        <v>25</v>
      </c>
      <c r="C133" s="43" t="s">
        <v>30</v>
      </c>
      <c r="D133" s="44" t="str">
        <f>IFERROR(VLOOKUP(C133,'Employees List'!$B$2:$C$28,2,0),"")</f>
        <v>SANJAI BHAGAT</v>
      </c>
      <c r="E133" s="45">
        <f>(F133+G133+H133+I133+J133+K133+L133+M133+N133+O133+P133+Q133+R133+S133+T133+U133+V133+W133+X133+Y133+Z133+AA133+AB133+AC133+AD133+AE133+AF133+AG133+AH133+AI133+AJ133+AK133+AL133+AM133+AN133+AO133+AP133+AQ133+AR133+AS133+AT133+AU133+AV133+AW133+AX133+AY133+AZ133+BA133+BB133+BC133+BD133+BE133+BF133+BG133+BH133+BI133+BJ133+BK133+BL133+BM133+BN133+BO133)/2</f>
        <v>28</v>
      </c>
      <c r="F133" s="54" t="b">
        <v>1</v>
      </c>
      <c r="G133" s="54" t="b">
        <v>1</v>
      </c>
      <c r="H133" s="54" t="b">
        <v>1</v>
      </c>
      <c r="I133" s="54" t="b">
        <v>1</v>
      </c>
      <c r="J133" s="54" t="b">
        <v>1</v>
      </c>
      <c r="K133" s="54" t="b">
        <v>1</v>
      </c>
      <c r="L133" s="54" t="b">
        <v>1</v>
      </c>
      <c r="M133" s="54" t="b">
        <v>1</v>
      </c>
      <c r="N133" s="54" t="b">
        <v>1</v>
      </c>
      <c r="O133" s="54" t="b">
        <v>1</v>
      </c>
      <c r="P133" s="54" t="b">
        <v>1</v>
      </c>
      <c r="Q133" s="54" t="b">
        <v>1</v>
      </c>
      <c r="R133" s="54" t="b">
        <v>1</v>
      </c>
      <c r="S133" s="54" t="b">
        <v>1</v>
      </c>
      <c r="T133" s="54" t="b">
        <v>0</v>
      </c>
      <c r="U133" s="54" t="b">
        <v>0</v>
      </c>
      <c r="V133" s="54" t="b">
        <v>1</v>
      </c>
      <c r="W133" s="54" t="b">
        <v>1</v>
      </c>
      <c r="X133" s="54" t="b">
        <v>1</v>
      </c>
      <c r="Y133" s="54" t="b">
        <v>1</v>
      </c>
      <c r="Z133" s="54" t="b">
        <v>1</v>
      </c>
      <c r="AA133" s="54" t="b">
        <v>1</v>
      </c>
      <c r="AB133" s="54" t="b">
        <v>1</v>
      </c>
      <c r="AC133" s="54" t="b">
        <v>1</v>
      </c>
      <c r="AD133" s="54" t="b">
        <v>1</v>
      </c>
      <c r="AE133" s="54" t="b">
        <v>1</v>
      </c>
      <c r="AF133" s="54" t="b">
        <v>1</v>
      </c>
      <c r="AG133" s="54" t="b">
        <v>1</v>
      </c>
      <c r="AH133" s="54" t="b">
        <v>1</v>
      </c>
      <c r="AI133" s="54" t="b">
        <v>1</v>
      </c>
      <c r="AJ133" s="54" t="b">
        <v>1</v>
      </c>
      <c r="AK133" s="54" t="b">
        <v>1</v>
      </c>
      <c r="AL133" s="54" t="b">
        <v>1</v>
      </c>
      <c r="AM133" s="54" t="b">
        <v>1</v>
      </c>
      <c r="AN133" s="54" t="b">
        <v>1</v>
      </c>
      <c r="AO133" s="54" t="b">
        <v>1</v>
      </c>
      <c r="AP133" s="54" t="b">
        <v>1</v>
      </c>
      <c r="AQ133" s="54" t="b">
        <v>1</v>
      </c>
      <c r="AR133" s="54" t="b">
        <v>1</v>
      </c>
      <c r="AS133" s="54" t="b">
        <v>1</v>
      </c>
      <c r="AT133" s="54" t="b">
        <v>1</v>
      </c>
      <c r="AU133" s="54" t="b">
        <v>1</v>
      </c>
      <c r="AV133" s="54" t="b">
        <v>1</v>
      </c>
      <c r="AW133" s="54" t="b">
        <v>1</v>
      </c>
      <c r="AX133" s="54" t="b">
        <v>1</v>
      </c>
      <c r="AY133" s="54" t="b">
        <v>1</v>
      </c>
      <c r="AZ133" s="54" t="b">
        <v>1</v>
      </c>
      <c r="BA133" s="54" t="b">
        <v>1</v>
      </c>
      <c r="BB133" s="54" t="b">
        <v>1</v>
      </c>
      <c r="BC133" s="54" t="b">
        <v>1</v>
      </c>
      <c r="BD133" s="54" t="b">
        <v>0</v>
      </c>
      <c r="BE133" s="54" t="b">
        <v>0</v>
      </c>
      <c r="BF133" s="54" t="b">
        <v>1</v>
      </c>
      <c r="BG133" s="54" t="b">
        <v>1</v>
      </c>
      <c r="BH133" s="54" t="b">
        <v>1</v>
      </c>
      <c r="BI133" s="54" t="b">
        <v>1</v>
      </c>
      <c r="BJ133" s="54" t="b">
        <v>0</v>
      </c>
      <c r="BK133" s="54" t="b">
        <v>0</v>
      </c>
      <c r="BL133" s="54" t="b">
        <v>1</v>
      </c>
      <c r="BM133" s="54" t="b">
        <v>1</v>
      </c>
      <c r="BN133" s="54" t="b">
        <v>1</v>
      </c>
      <c r="BO133" s="54" t="b">
        <v>1</v>
      </c>
    </row>
    <row r="134" hidden="1" outlineLevel="1">
      <c r="A134" s="47" t="str">
        <f>A133&amp;C134</f>
        <v>AugustSANJAI BHAGATOT HOURS</v>
      </c>
      <c r="B134" s="48"/>
      <c r="C134" s="49" t="s">
        <v>120</v>
      </c>
      <c r="D134" s="33"/>
      <c r="E134" s="65">
        <f>(F134+G134+H134+I134+J134+K134+L134+M134+N134+O134+P134+Q134+R134+S134+T134+U134+V134+W134+X134+Y134+Z134+AA134+AB134+AC134+AD134+AE134+AF134+AG134+AH134+AI134+AJ134+AK134+AL134+AM134+AN134+AO134+AP134+AQ134+AR134+AS134+AT134+AU134+AV134+AW134+AX134+AY134+AZ134+BA134+BB134+BC134+BD134+BE134+BF134+BG134+BH134+BI134+BJ134+BK134+BL134+BM134+BN134+BO134)</f>
        <v>49</v>
      </c>
      <c r="F134" s="63"/>
      <c r="G134" s="33"/>
      <c r="H134" s="63"/>
      <c r="I134" s="33"/>
      <c r="J134" s="64">
        <v>2.0</v>
      </c>
      <c r="K134" s="33"/>
      <c r="L134" s="64">
        <v>3.0</v>
      </c>
      <c r="M134" s="33"/>
      <c r="N134" s="64">
        <v>2.0</v>
      </c>
      <c r="O134" s="33"/>
      <c r="P134" s="64">
        <v>3.0</v>
      </c>
      <c r="Q134" s="33"/>
      <c r="R134" s="64">
        <v>3.0</v>
      </c>
      <c r="S134" s="33"/>
      <c r="T134" s="63"/>
      <c r="U134" s="33"/>
      <c r="V134" s="64">
        <v>2.0</v>
      </c>
      <c r="W134" s="33"/>
      <c r="X134" s="64">
        <v>4.0</v>
      </c>
      <c r="Y134" s="33"/>
      <c r="Z134" s="64"/>
      <c r="AA134" s="33"/>
      <c r="AB134" s="63"/>
      <c r="AC134" s="33"/>
      <c r="AD134" s="64">
        <v>3.0</v>
      </c>
      <c r="AE134" s="33"/>
      <c r="AF134" s="64">
        <v>3.0</v>
      </c>
      <c r="AG134" s="33"/>
      <c r="AH134" s="64"/>
      <c r="AI134" s="33"/>
      <c r="AJ134" s="64">
        <v>2.0</v>
      </c>
      <c r="AK134" s="33"/>
      <c r="AL134" s="64">
        <v>3.0</v>
      </c>
      <c r="AM134" s="33"/>
      <c r="AN134" s="63"/>
      <c r="AO134" s="33"/>
      <c r="AP134" s="64">
        <v>3.0</v>
      </c>
      <c r="AQ134" s="33"/>
      <c r="AR134" s="64">
        <v>3.0</v>
      </c>
      <c r="AS134" s="33"/>
      <c r="AT134" s="64">
        <v>4.0</v>
      </c>
      <c r="AU134" s="33"/>
      <c r="AV134" s="64">
        <v>3.0</v>
      </c>
      <c r="AW134" s="33"/>
      <c r="AX134" s="63"/>
      <c r="AY134" s="33"/>
      <c r="AZ134" s="64">
        <v>3.0</v>
      </c>
      <c r="BA134" s="33"/>
      <c r="BB134" s="63"/>
      <c r="BC134" s="33"/>
      <c r="BD134" s="63"/>
      <c r="BE134" s="33"/>
      <c r="BF134" s="64">
        <v>2.0</v>
      </c>
      <c r="BG134" s="33"/>
      <c r="BH134" s="63"/>
      <c r="BI134" s="33"/>
      <c r="BJ134" s="63"/>
      <c r="BK134" s="33"/>
      <c r="BL134" s="63"/>
      <c r="BM134" s="33"/>
      <c r="BN134" s="64">
        <v>1.0</v>
      </c>
      <c r="BO134" s="33"/>
    </row>
    <row r="135" hidden="1" outlineLevel="1">
      <c r="A135" s="42" t="str">
        <f>B135&amp;D135</f>
        <v>AugustJAGABANDH</v>
      </c>
      <c r="B135" s="43" t="s">
        <v>25</v>
      </c>
      <c r="C135" s="43" t="s">
        <v>80</v>
      </c>
      <c r="D135" s="44" t="str">
        <f>IFERROR(VLOOKUP(C135,'Employees List'!$B$2:$C$28,2,0),"")</f>
        <v>JAGABANDH</v>
      </c>
      <c r="E135" s="45">
        <f>(F135+G135+H135+I135+J135+K135+L135+M135+N135+O135+P135+Q135+R135+S135+T135+U135+V135+W135+X135+Y135+Z135+AA135+AB135+AC135+AD135+AE135+AF135+AG135+AH135+AI135+AJ135+AK135+AL135+AM135+AN135+AO135+AP135+AQ135+AR135+AS135+AT135+AU135+AV135+AW135+AX135+AY135+AZ135+BA135+BB135+BC135+BD135+BE135+BF135+BG135+BH135+BI135+BJ135+BK135+BL135+BM135+BN135+BO135)/2</f>
        <v>31</v>
      </c>
      <c r="F135" s="54" t="b">
        <v>1</v>
      </c>
      <c r="G135" s="54" t="b">
        <v>1</v>
      </c>
      <c r="H135" s="54" t="b">
        <v>1</v>
      </c>
      <c r="I135" s="54" t="b">
        <v>1</v>
      </c>
      <c r="J135" s="54" t="b">
        <v>1</v>
      </c>
      <c r="K135" s="54" t="b">
        <v>1</v>
      </c>
      <c r="L135" s="54" t="b">
        <v>1</v>
      </c>
      <c r="M135" s="54" t="b">
        <v>1</v>
      </c>
      <c r="N135" s="54" t="b">
        <v>1</v>
      </c>
      <c r="O135" s="54" t="b">
        <v>1</v>
      </c>
      <c r="P135" s="54" t="b">
        <v>1</v>
      </c>
      <c r="Q135" s="54" t="b">
        <v>1</v>
      </c>
      <c r="R135" s="54" t="b">
        <v>1</v>
      </c>
      <c r="S135" s="54" t="b">
        <v>1</v>
      </c>
      <c r="T135" s="54" t="b">
        <v>1</v>
      </c>
      <c r="U135" s="54" t="b">
        <v>1</v>
      </c>
      <c r="V135" s="54" t="b">
        <v>1</v>
      </c>
      <c r="W135" s="54" t="b">
        <v>1</v>
      </c>
      <c r="X135" s="54" t="b">
        <v>1</v>
      </c>
      <c r="Y135" s="54" t="b">
        <v>1</v>
      </c>
      <c r="Z135" s="54" t="b">
        <v>1</v>
      </c>
      <c r="AA135" s="54" t="b">
        <v>1</v>
      </c>
      <c r="AB135" s="54" t="b">
        <v>1</v>
      </c>
      <c r="AC135" s="54" t="b">
        <v>1</v>
      </c>
      <c r="AD135" s="54" t="b">
        <v>1</v>
      </c>
      <c r="AE135" s="54" t="b">
        <v>1</v>
      </c>
      <c r="AF135" s="54" t="b">
        <v>1</v>
      </c>
      <c r="AG135" s="54" t="b">
        <v>1</v>
      </c>
      <c r="AH135" s="54" t="b">
        <v>1</v>
      </c>
      <c r="AI135" s="54" t="b">
        <v>1</v>
      </c>
      <c r="AJ135" s="54" t="b">
        <v>1</v>
      </c>
      <c r="AK135" s="54" t="b">
        <v>1</v>
      </c>
      <c r="AL135" s="54" t="b">
        <v>1</v>
      </c>
      <c r="AM135" s="54" t="b">
        <v>1</v>
      </c>
      <c r="AN135" s="54" t="b">
        <v>1</v>
      </c>
      <c r="AO135" s="54" t="b">
        <v>1</v>
      </c>
      <c r="AP135" s="54" t="b">
        <v>1</v>
      </c>
      <c r="AQ135" s="54" t="b">
        <v>1</v>
      </c>
      <c r="AR135" s="54" t="b">
        <v>1</v>
      </c>
      <c r="AS135" s="54" t="b">
        <v>1</v>
      </c>
      <c r="AT135" s="54" t="b">
        <v>1</v>
      </c>
      <c r="AU135" s="54" t="b">
        <v>1</v>
      </c>
      <c r="AV135" s="54" t="b">
        <v>1</v>
      </c>
      <c r="AW135" s="54" t="b">
        <v>1</v>
      </c>
      <c r="AX135" s="54" t="b">
        <v>1</v>
      </c>
      <c r="AY135" s="54" t="b">
        <v>1</v>
      </c>
      <c r="AZ135" s="54" t="b">
        <v>1</v>
      </c>
      <c r="BA135" s="54" t="b">
        <v>1</v>
      </c>
      <c r="BB135" s="54" t="b">
        <v>1</v>
      </c>
      <c r="BC135" s="54" t="b">
        <v>1</v>
      </c>
      <c r="BD135" s="54" t="b">
        <v>1</v>
      </c>
      <c r="BE135" s="54" t="b">
        <v>1</v>
      </c>
      <c r="BF135" s="54" t="b">
        <v>1</v>
      </c>
      <c r="BG135" s="54" t="b">
        <v>1</v>
      </c>
      <c r="BH135" s="54" t="b">
        <v>1</v>
      </c>
      <c r="BI135" s="54" t="b">
        <v>1</v>
      </c>
      <c r="BJ135" s="54" t="b">
        <v>1</v>
      </c>
      <c r="BK135" s="54" t="b">
        <v>1</v>
      </c>
      <c r="BL135" s="54" t="b">
        <v>1</v>
      </c>
      <c r="BM135" s="54" t="b">
        <v>1</v>
      </c>
      <c r="BN135" s="54" t="b">
        <v>1</v>
      </c>
      <c r="BO135" s="54" t="b">
        <v>1</v>
      </c>
    </row>
    <row r="136" hidden="1" outlineLevel="1">
      <c r="A136" s="47" t="str">
        <f>A135&amp;C136</f>
        <v>AugustJAGABANDHOT HOURS</v>
      </c>
      <c r="B136" s="48"/>
      <c r="C136" s="49" t="s">
        <v>120</v>
      </c>
      <c r="D136" s="33"/>
      <c r="E136" s="65">
        <f>(F136+G136+H136+I136+J136+K136+L136+M136+N136+O136+P136+Q136+R136+S136+T136+U136+V136+W136+X136+Y136+Z136+AA136+AB136+AC136+AD136+AE136+AF136+AG136+AH136+AI136+AJ136+AK136+AL136+AM136+AN136+AO136+AP136+AQ136+AR136+AS136+AT136+AU136+AV136+AW136+AX136+AY136+AZ136+BA136+BB136+BC136+BD136+BE136+BF136+BG136+BH136+BI136+BJ136+BK136+BL136+BM136+BN136+BO136)</f>
        <v>26</v>
      </c>
      <c r="F136" s="63"/>
      <c r="G136" s="33"/>
      <c r="H136" s="63"/>
      <c r="I136" s="33"/>
      <c r="J136" s="64">
        <v>2.0</v>
      </c>
      <c r="K136" s="33"/>
      <c r="L136" s="64">
        <v>3.0</v>
      </c>
      <c r="M136" s="33"/>
      <c r="N136" s="63"/>
      <c r="O136" s="33"/>
      <c r="P136" s="64">
        <v>2.0</v>
      </c>
      <c r="Q136" s="33"/>
      <c r="R136" s="64">
        <v>2.0</v>
      </c>
      <c r="S136" s="33"/>
      <c r="T136" s="63"/>
      <c r="U136" s="33"/>
      <c r="V136" s="64">
        <v>2.0</v>
      </c>
      <c r="W136" s="33"/>
      <c r="X136" s="64">
        <v>1.0</v>
      </c>
      <c r="Y136" s="33"/>
      <c r="Z136" s="64">
        <v>3.0</v>
      </c>
      <c r="AA136" s="33"/>
      <c r="AB136" s="63"/>
      <c r="AC136" s="33"/>
      <c r="AD136" s="63"/>
      <c r="AE136" s="33"/>
      <c r="AF136" s="63"/>
      <c r="AG136" s="33"/>
      <c r="AH136" s="63"/>
      <c r="AI136" s="33"/>
      <c r="AJ136" s="63"/>
      <c r="AK136" s="33"/>
      <c r="AL136" s="63"/>
      <c r="AM136" s="33"/>
      <c r="AN136" s="63"/>
      <c r="AO136" s="33"/>
      <c r="AP136" s="63"/>
      <c r="AQ136" s="33"/>
      <c r="AR136" s="63"/>
      <c r="AS136" s="33"/>
      <c r="AT136" s="63"/>
      <c r="AU136" s="33"/>
      <c r="AV136" s="63"/>
      <c r="AW136" s="33"/>
      <c r="AX136" s="63"/>
      <c r="AY136" s="33"/>
      <c r="AZ136" s="63"/>
      <c r="BA136" s="33"/>
      <c r="BB136" s="63"/>
      <c r="BC136" s="33"/>
      <c r="BD136" s="64">
        <v>3.0</v>
      </c>
      <c r="BE136" s="33"/>
      <c r="BF136" s="64">
        <v>2.0</v>
      </c>
      <c r="BG136" s="33"/>
      <c r="BH136" s="63"/>
      <c r="BI136" s="33"/>
      <c r="BJ136" s="64">
        <v>2.0</v>
      </c>
      <c r="BK136" s="33"/>
      <c r="BL136" s="63"/>
      <c r="BM136" s="33"/>
      <c r="BN136" s="64">
        <v>4.0</v>
      </c>
      <c r="BO136" s="33"/>
    </row>
    <row r="137" hidden="1" outlineLevel="1">
      <c r="A137" s="42" t="str">
        <f>B137&amp;D137</f>
        <v>AugustLEELA</v>
      </c>
      <c r="B137" s="43" t="s">
        <v>25</v>
      </c>
      <c r="C137" s="43" t="s">
        <v>67</v>
      </c>
      <c r="D137" s="44" t="str">
        <f>IFERROR(VLOOKUP(C137,'Employees List'!$B$2:$C$28,2,0),"")</f>
        <v>LEELA</v>
      </c>
      <c r="E137" s="45">
        <f>(F137+G137+H137+I137+J137+K137+L137+M137+N137+O137+P137+Q137+R137+S137+T137+U137+V137+W137+X137+Y137+Z137+AA137+AB137+AC137+AD137+AE137+AF137+AG137+AH137+AI137+AJ137+AK137+AL137+AM137+AN137+AO137+AP137+AQ137+AR137+AS137+AT137+AU137+AV137+AW137+AX137+AY137+AZ137+BA137+BB137+BC137+BD137+BE137+BF137+BG137+BH137+BI137+BJ137+BK137+BL137+BM137+BN137+BO137)/2</f>
        <v>29</v>
      </c>
      <c r="F137" s="54" t="b">
        <v>1</v>
      </c>
      <c r="G137" s="54" t="b">
        <v>1</v>
      </c>
      <c r="H137" s="54" t="b">
        <v>1</v>
      </c>
      <c r="I137" s="54" t="b">
        <v>1</v>
      </c>
      <c r="J137" s="54" t="b">
        <v>1</v>
      </c>
      <c r="K137" s="54" t="b">
        <v>1</v>
      </c>
      <c r="L137" s="54" t="b">
        <v>1</v>
      </c>
      <c r="M137" s="54" t="b">
        <v>1</v>
      </c>
      <c r="N137" s="54" t="b">
        <v>1</v>
      </c>
      <c r="O137" s="54" t="b">
        <v>1</v>
      </c>
      <c r="P137" s="54" t="b">
        <v>1</v>
      </c>
      <c r="Q137" s="54" t="b">
        <v>1</v>
      </c>
      <c r="R137" s="54" t="b">
        <v>1</v>
      </c>
      <c r="S137" s="54" t="b">
        <v>1</v>
      </c>
      <c r="T137" s="54" t="b">
        <v>1</v>
      </c>
      <c r="U137" s="54" t="b">
        <v>1</v>
      </c>
      <c r="V137" s="54" t="b">
        <v>1</v>
      </c>
      <c r="W137" s="54" t="b">
        <v>1</v>
      </c>
      <c r="X137" s="54" t="b">
        <v>0</v>
      </c>
      <c r="Y137" s="54" t="b">
        <v>0</v>
      </c>
      <c r="Z137" s="54" t="b">
        <v>1</v>
      </c>
      <c r="AA137" s="54" t="b">
        <v>1</v>
      </c>
      <c r="AB137" s="54" t="b">
        <v>1</v>
      </c>
      <c r="AC137" s="54" t="b">
        <v>1</v>
      </c>
      <c r="AD137" s="54" t="b">
        <v>1</v>
      </c>
      <c r="AE137" s="54" t="b">
        <v>1</v>
      </c>
      <c r="AF137" s="54" t="b">
        <v>1</v>
      </c>
      <c r="AG137" s="54" t="b">
        <v>1</v>
      </c>
      <c r="AH137" s="54" t="b">
        <v>1</v>
      </c>
      <c r="AI137" s="54" t="b">
        <v>1</v>
      </c>
      <c r="AJ137" s="54" t="b">
        <v>1</v>
      </c>
      <c r="AK137" s="54" t="b">
        <v>1</v>
      </c>
      <c r="AL137" s="54" t="b">
        <v>1</v>
      </c>
      <c r="AM137" s="54" t="b">
        <v>1</v>
      </c>
      <c r="AN137" s="54" t="b">
        <v>1</v>
      </c>
      <c r="AO137" s="54" t="b">
        <v>1</v>
      </c>
      <c r="AP137" s="54" t="b">
        <v>1</v>
      </c>
      <c r="AQ137" s="54" t="b">
        <v>1</v>
      </c>
      <c r="AR137" s="54" t="b">
        <v>1</v>
      </c>
      <c r="AS137" s="54" t="b">
        <v>1</v>
      </c>
      <c r="AT137" s="54" t="b">
        <v>1</v>
      </c>
      <c r="AU137" s="54" t="b">
        <v>1</v>
      </c>
      <c r="AV137" s="54" t="b">
        <v>1</v>
      </c>
      <c r="AW137" s="54" t="b">
        <v>1</v>
      </c>
      <c r="AX137" s="54" t="b">
        <v>1</v>
      </c>
      <c r="AY137" s="54" t="b">
        <v>1</v>
      </c>
      <c r="AZ137" s="54" t="b">
        <v>1</v>
      </c>
      <c r="BA137" s="54" t="b">
        <v>1</v>
      </c>
      <c r="BB137" s="54" t="b">
        <v>1</v>
      </c>
      <c r="BC137" s="54" t="b">
        <v>1</v>
      </c>
      <c r="BD137" s="54" t="b">
        <v>0</v>
      </c>
      <c r="BE137" s="54" t="b">
        <v>0</v>
      </c>
      <c r="BF137" s="54" t="b">
        <v>1</v>
      </c>
      <c r="BG137" s="54" t="b">
        <v>1</v>
      </c>
      <c r="BH137" s="54" t="b">
        <v>1</v>
      </c>
      <c r="BI137" s="54" t="b">
        <v>1</v>
      </c>
      <c r="BJ137" s="54" t="b">
        <v>1</v>
      </c>
      <c r="BK137" s="54" t="b">
        <v>1</v>
      </c>
      <c r="BL137" s="54" t="b">
        <v>1</v>
      </c>
      <c r="BM137" s="54" t="b">
        <v>1</v>
      </c>
      <c r="BN137" s="54" t="b">
        <v>1</v>
      </c>
      <c r="BO137" s="54" t="b">
        <v>1</v>
      </c>
    </row>
    <row r="138" hidden="1" outlineLevel="1">
      <c r="A138" s="47" t="str">
        <f>A137&amp;C138</f>
        <v>AugustLEELAOT HOURS</v>
      </c>
      <c r="B138" s="48"/>
      <c r="C138" s="49" t="s">
        <v>120</v>
      </c>
      <c r="D138" s="33"/>
      <c r="E138" s="45">
        <f>(F138+G138+H138+I138+J138+K138+L138+M138+N138+O138+P138+Q138+R138+S138+T138+U138+V138+W138+X138+Y138+Z138+AA138+AB138+AC138+AD138+AE138+AF138+AG138+AH138+AI138+AJ138+AK138+AL138+AM138+AN138+AO138+AP138+AQ138+AR138+AS138+AT138+AU138+AV138+AW138+AX138+AY138+AZ138+BA138+BB138+BC138+BD138+BE138+BF138+BG138+BH138+BI138+BJ138+BK138+BL138+BM138+BN138+BO138)</f>
        <v>0</v>
      </c>
      <c r="F138" s="64"/>
      <c r="G138" s="33"/>
      <c r="H138" s="63"/>
      <c r="I138" s="33"/>
      <c r="J138" s="64"/>
      <c r="K138" s="33"/>
      <c r="L138" s="63"/>
      <c r="M138" s="33"/>
      <c r="N138" s="64"/>
      <c r="O138" s="33"/>
      <c r="P138" s="63"/>
      <c r="Q138" s="33"/>
      <c r="R138" s="64"/>
      <c r="S138" s="33"/>
      <c r="T138" s="64"/>
      <c r="U138" s="33"/>
      <c r="V138" s="64"/>
      <c r="W138" s="33"/>
      <c r="X138" s="64"/>
      <c r="Y138" s="33"/>
      <c r="Z138" s="64"/>
      <c r="AA138" s="33"/>
      <c r="AB138" s="63"/>
      <c r="AC138" s="33"/>
      <c r="AD138" s="64"/>
      <c r="AE138" s="33"/>
      <c r="AF138" s="63"/>
      <c r="AG138" s="33"/>
      <c r="AH138" s="64"/>
      <c r="AI138" s="33"/>
      <c r="AJ138" s="63"/>
      <c r="AK138" s="33"/>
      <c r="AL138" s="64"/>
      <c r="AM138" s="33"/>
      <c r="AN138" s="64"/>
      <c r="AO138" s="33"/>
      <c r="AP138" s="64"/>
      <c r="AQ138" s="33"/>
      <c r="AR138" s="64"/>
      <c r="AS138" s="33"/>
      <c r="AT138" s="64"/>
      <c r="AU138" s="33"/>
      <c r="AV138" s="63"/>
      <c r="AW138" s="33"/>
      <c r="AX138" s="64"/>
      <c r="AY138" s="33"/>
      <c r="AZ138" s="63"/>
      <c r="BA138" s="33"/>
      <c r="BB138" s="64"/>
      <c r="BC138" s="33"/>
      <c r="BD138" s="63"/>
      <c r="BE138" s="33"/>
      <c r="BF138" s="64"/>
      <c r="BG138" s="33"/>
      <c r="BH138" s="64"/>
      <c r="BI138" s="33"/>
      <c r="BJ138" s="64"/>
      <c r="BK138" s="33"/>
      <c r="BL138" s="64"/>
      <c r="BM138" s="33"/>
      <c r="BN138" s="64"/>
      <c r="BO138" s="33"/>
    </row>
    <row r="139" hidden="1" outlineLevel="1">
      <c r="A139" s="42" t="str">
        <f>B139&amp;D139</f>
        <v>AugustREVATHI S</v>
      </c>
      <c r="B139" s="43" t="s">
        <v>25</v>
      </c>
      <c r="C139" s="43" t="s">
        <v>41</v>
      </c>
      <c r="D139" s="44" t="str">
        <f>IFERROR(VLOOKUP(C139,'Employees List'!$B$2:$C$28,2,0),"")</f>
        <v>REVATHI S</v>
      </c>
      <c r="E139" s="45">
        <f>(F139+G139+H139+I139+J139+K139+L139+M139+N139+O139+P139+Q139+R139+S139+T139+U139+V139+W139+X139+Y139+Z139+AA139+AB139+AC139+AD139+AE139+AF139+AG139+AH139+AI139+AJ139+AK139+AL139+AM139+AN139+AO139+AP139+AQ139+AR139+AS139+AT139+AU139+AV139+AW139+AX139+AY139+AZ139+BA139+BB139+BC139+BD139+BE139+BF139+BG139+BH139+BI139+BJ139+BK139+BL139+BM139+BN139+BO139)/2</f>
        <v>20.5</v>
      </c>
      <c r="F139" s="54" t="b">
        <v>1</v>
      </c>
      <c r="G139" s="54" t="b">
        <v>1</v>
      </c>
      <c r="H139" s="54" t="b">
        <v>1</v>
      </c>
      <c r="I139" s="54" t="b">
        <v>1</v>
      </c>
      <c r="J139" s="54" t="b">
        <v>1</v>
      </c>
      <c r="K139" s="54" t="b">
        <v>0</v>
      </c>
      <c r="L139" s="54" t="b">
        <v>1</v>
      </c>
      <c r="M139" s="54" t="b">
        <v>1</v>
      </c>
      <c r="N139" s="54" t="b">
        <v>1</v>
      </c>
      <c r="O139" s="54" t="b">
        <v>1</v>
      </c>
      <c r="P139" s="54" t="b">
        <v>0</v>
      </c>
      <c r="Q139" s="54" t="b">
        <v>0</v>
      </c>
      <c r="R139" s="54" t="b">
        <v>0</v>
      </c>
      <c r="S139" s="54" t="b">
        <v>0</v>
      </c>
      <c r="T139" s="54" t="b">
        <v>0</v>
      </c>
      <c r="U139" s="54" t="b">
        <v>0</v>
      </c>
      <c r="V139" s="54" t="b">
        <v>0</v>
      </c>
      <c r="W139" s="54" t="b">
        <v>0</v>
      </c>
      <c r="X139" s="54" t="b">
        <v>0</v>
      </c>
      <c r="Y139" s="54" t="b">
        <v>0</v>
      </c>
      <c r="Z139" s="54" t="b">
        <v>1</v>
      </c>
      <c r="AA139" s="54" t="b">
        <v>1</v>
      </c>
      <c r="AB139" s="54" t="b">
        <v>0</v>
      </c>
      <c r="AC139" s="54" t="b">
        <v>0</v>
      </c>
      <c r="AD139" s="54" t="b">
        <v>0</v>
      </c>
      <c r="AE139" s="54" t="b">
        <v>0</v>
      </c>
      <c r="AF139" s="54" t="b">
        <v>0</v>
      </c>
      <c r="AG139" s="54" t="b">
        <v>0</v>
      </c>
      <c r="AH139" s="54" t="b">
        <v>1</v>
      </c>
      <c r="AI139" s="54" t="b">
        <v>1</v>
      </c>
      <c r="AJ139" s="54" t="b">
        <v>0</v>
      </c>
      <c r="AK139" s="54" t="b">
        <v>0</v>
      </c>
      <c r="AL139" s="54" t="b">
        <v>0</v>
      </c>
      <c r="AM139" s="54" t="b">
        <v>0</v>
      </c>
      <c r="AN139" s="54" t="b">
        <v>1</v>
      </c>
      <c r="AO139" s="54" t="b">
        <v>1</v>
      </c>
      <c r="AP139" s="54" t="b">
        <v>1</v>
      </c>
      <c r="AQ139" s="54" t="b">
        <v>1</v>
      </c>
      <c r="AR139" s="54" t="b">
        <v>1</v>
      </c>
      <c r="AS139" s="54" t="b">
        <v>1</v>
      </c>
      <c r="AT139" s="54" t="b">
        <v>1</v>
      </c>
      <c r="AU139" s="54" t="b">
        <v>1</v>
      </c>
      <c r="AV139" s="54" t="b">
        <v>1</v>
      </c>
      <c r="AW139" s="54" t="b">
        <v>1</v>
      </c>
      <c r="AX139" s="54" t="b">
        <v>1</v>
      </c>
      <c r="AY139" s="54" t="b">
        <v>1</v>
      </c>
      <c r="AZ139" s="54" t="b">
        <v>1</v>
      </c>
      <c r="BA139" s="54" t="b">
        <v>1</v>
      </c>
      <c r="BB139" s="54" t="b">
        <v>1</v>
      </c>
      <c r="BC139" s="54" t="b">
        <v>1</v>
      </c>
      <c r="BD139" s="54" t="b">
        <v>1</v>
      </c>
      <c r="BE139" s="54" t="b">
        <v>1</v>
      </c>
      <c r="BF139" s="54" t="b">
        <v>1</v>
      </c>
      <c r="BG139" s="54" t="b">
        <v>1</v>
      </c>
      <c r="BH139" s="54" t="b">
        <v>1</v>
      </c>
      <c r="BI139" s="54" t="b">
        <v>1</v>
      </c>
      <c r="BJ139" s="54" t="b">
        <v>1</v>
      </c>
      <c r="BK139" s="54" t="b">
        <v>1</v>
      </c>
      <c r="BL139" s="54" t="b">
        <v>1</v>
      </c>
      <c r="BM139" s="54" t="b">
        <v>1</v>
      </c>
      <c r="BN139" s="54" t="b">
        <v>1</v>
      </c>
      <c r="BO139" s="54" t="b">
        <v>1</v>
      </c>
    </row>
    <row r="140" hidden="1" outlineLevel="1">
      <c r="A140" s="47" t="str">
        <f>A139&amp;C140</f>
        <v>AugustREVATHI SOT HOURS</v>
      </c>
      <c r="B140" s="48"/>
      <c r="C140" s="49" t="s">
        <v>120</v>
      </c>
      <c r="D140" s="33"/>
      <c r="E140" s="45">
        <f>(F140+G140+H140+I140+J140+K140+L140+M140+N140+O140+P140+Q140+R140+S140+T140+U140+V140+W140+X140+Y140+Z140+AA140+AB140+AC140+AD140+AE140+AF140+AG140+AH140+AI140+AJ140+AK140+AL140+AM140+AN140+AO140+AP140+AQ140+AR140+AS140+AT140+AU140+AV140+AW140+AX140+AY140+AZ140+BA140+BB140+BC140+BD140+BE140+BF140+BG140+BH140+BI140+BJ140+BK140+BL140+BM140+BN140+BO140)</f>
        <v>0</v>
      </c>
      <c r="F140" s="63"/>
      <c r="G140" s="33"/>
      <c r="H140" s="64"/>
      <c r="I140" s="33"/>
      <c r="J140" s="64"/>
      <c r="K140" s="33"/>
      <c r="L140" s="63"/>
      <c r="M140" s="33"/>
      <c r="N140" s="63"/>
      <c r="O140" s="33"/>
      <c r="P140" s="63"/>
      <c r="Q140" s="33"/>
      <c r="R140" s="64"/>
      <c r="S140" s="33"/>
      <c r="T140" s="63"/>
      <c r="U140" s="33"/>
      <c r="V140" s="64"/>
      <c r="W140" s="33"/>
      <c r="X140" s="64"/>
      <c r="Y140" s="33"/>
      <c r="Z140" s="63"/>
      <c r="AA140" s="33"/>
      <c r="AB140" s="63"/>
      <c r="AC140" s="33"/>
      <c r="AD140" s="63"/>
      <c r="AE140" s="33"/>
      <c r="AF140" s="63"/>
      <c r="AG140" s="33"/>
      <c r="AH140" s="63"/>
      <c r="AI140" s="33"/>
      <c r="AJ140" s="63"/>
      <c r="AK140" s="33"/>
      <c r="AL140" s="63"/>
      <c r="AM140" s="33"/>
      <c r="AN140" s="63"/>
      <c r="AO140" s="33"/>
      <c r="AP140" s="63"/>
      <c r="AQ140" s="33"/>
      <c r="AR140" s="63"/>
      <c r="AS140" s="33"/>
      <c r="AT140" s="63"/>
      <c r="AU140" s="33"/>
      <c r="AV140" s="63"/>
      <c r="AW140" s="33"/>
      <c r="AX140" s="63"/>
      <c r="AY140" s="33"/>
      <c r="AZ140" s="63"/>
      <c r="BA140" s="33"/>
      <c r="BB140" s="64"/>
      <c r="BC140" s="33"/>
      <c r="BD140" s="63"/>
      <c r="BE140" s="33"/>
      <c r="BF140" s="63"/>
      <c r="BG140" s="33"/>
      <c r="BH140" s="64"/>
      <c r="BI140" s="33"/>
      <c r="BJ140" s="64"/>
      <c r="BK140" s="33"/>
      <c r="BL140" s="64"/>
      <c r="BM140" s="33"/>
      <c r="BN140" s="64"/>
      <c r="BO140" s="33"/>
    </row>
    <row r="141" hidden="1" outlineLevel="1">
      <c r="A141" s="42" t="str">
        <f>B141&amp;D141</f>
        <v>AugustSIDHESHWAR</v>
      </c>
      <c r="B141" s="43" t="s">
        <v>25</v>
      </c>
      <c r="C141" s="43" t="s">
        <v>77</v>
      </c>
      <c r="D141" s="44" t="str">
        <f>IFERROR(VLOOKUP(C141,'Employees List'!$B$2:$C$28,2,0),"")</f>
        <v>SIDHESHWAR</v>
      </c>
      <c r="E141" s="45">
        <f>(F141+G141+H141+I141+J141+K141+L141+M141+N141+O141+P141+Q141+R141+S141+T141+U141+V141+W141+X141+Y141+Z141+AA141+AB141+AC141+AD141+AE141+AF141+AG141+AH141+AI141+AJ141+AK141+AL141+AM141+AN141+AO141+AP141+AQ141+AR141+AS141+AT141+AU141+AV141+AW141+AX141+AY141+AZ141+BA141+BB141+BC141+BD141+BE141+BF141+BG141+BH141+BI141+BJ141+BK141+BL141+BM141+BN141+BO141)/2</f>
        <v>31</v>
      </c>
      <c r="F141" s="54" t="b">
        <v>1</v>
      </c>
      <c r="G141" s="54" t="b">
        <v>1</v>
      </c>
      <c r="H141" s="54" t="b">
        <v>1</v>
      </c>
      <c r="I141" s="54" t="b">
        <v>1</v>
      </c>
      <c r="J141" s="54" t="b">
        <v>1</v>
      </c>
      <c r="K141" s="54" t="b">
        <v>1</v>
      </c>
      <c r="L141" s="54" t="b">
        <v>1</v>
      </c>
      <c r="M141" s="54" t="b">
        <v>1</v>
      </c>
      <c r="N141" s="54" t="b">
        <v>1</v>
      </c>
      <c r="O141" s="54" t="b">
        <v>1</v>
      </c>
      <c r="P141" s="54" t="b">
        <v>1</v>
      </c>
      <c r="Q141" s="54" t="b">
        <v>1</v>
      </c>
      <c r="R141" s="54" t="b">
        <v>1</v>
      </c>
      <c r="S141" s="54" t="b">
        <v>1</v>
      </c>
      <c r="T141" s="54" t="b">
        <v>1</v>
      </c>
      <c r="U141" s="54" t="b">
        <v>1</v>
      </c>
      <c r="V141" s="54" t="b">
        <v>1</v>
      </c>
      <c r="W141" s="54" t="b">
        <v>1</v>
      </c>
      <c r="X141" s="54" t="b">
        <v>1</v>
      </c>
      <c r="Y141" s="54" t="b">
        <v>1</v>
      </c>
      <c r="Z141" s="54" t="b">
        <v>1</v>
      </c>
      <c r="AA141" s="54" t="b">
        <v>1</v>
      </c>
      <c r="AB141" s="54" t="b">
        <v>1</v>
      </c>
      <c r="AC141" s="54" t="b">
        <v>1</v>
      </c>
      <c r="AD141" s="54" t="b">
        <v>1</v>
      </c>
      <c r="AE141" s="54" t="b">
        <v>1</v>
      </c>
      <c r="AF141" s="54" t="b">
        <v>1</v>
      </c>
      <c r="AG141" s="54" t="b">
        <v>1</v>
      </c>
      <c r="AH141" s="54" t="b">
        <v>1</v>
      </c>
      <c r="AI141" s="54" t="b">
        <v>1</v>
      </c>
      <c r="AJ141" s="54" t="b">
        <v>1</v>
      </c>
      <c r="AK141" s="54" t="b">
        <v>1</v>
      </c>
      <c r="AL141" s="54" t="b">
        <v>1</v>
      </c>
      <c r="AM141" s="54" t="b">
        <v>1</v>
      </c>
      <c r="AN141" s="54" t="b">
        <v>1</v>
      </c>
      <c r="AO141" s="54" t="b">
        <v>1</v>
      </c>
      <c r="AP141" s="54" t="b">
        <v>1</v>
      </c>
      <c r="AQ141" s="54" t="b">
        <v>1</v>
      </c>
      <c r="AR141" s="54" t="b">
        <v>1</v>
      </c>
      <c r="AS141" s="54" t="b">
        <v>1</v>
      </c>
      <c r="AT141" s="54" t="b">
        <v>1</v>
      </c>
      <c r="AU141" s="54" t="b">
        <v>1</v>
      </c>
      <c r="AV141" s="54" t="b">
        <v>1</v>
      </c>
      <c r="AW141" s="54" t="b">
        <v>1</v>
      </c>
      <c r="AX141" s="54" t="b">
        <v>1</v>
      </c>
      <c r="AY141" s="54" t="b">
        <v>1</v>
      </c>
      <c r="AZ141" s="54" t="b">
        <v>1</v>
      </c>
      <c r="BA141" s="54" t="b">
        <v>1</v>
      </c>
      <c r="BB141" s="54" t="b">
        <v>1</v>
      </c>
      <c r="BC141" s="54" t="b">
        <v>1</v>
      </c>
      <c r="BD141" s="54" t="b">
        <v>1</v>
      </c>
      <c r="BE141" s="54" t="b">
        <v>1</v>
      </c>
      <c r="BF141" s="54" t="b">
        <v>1</v>
      </c>
      <c r="BG141" s="54" t="b">
        <v>1</v>
      </c>
      <c r="BH141" s="54" t="b">
        <v>1</v>
      </c>
      <c r="BI141" s="54" t="b">
        <v>1</v>
      </c>
      <c r="BJ141" s="54" t="b">
        <v>1</v>
      </c>
      <c r="BK141" s="54" t="b">
        <v>1</v>
      </c>
      <c r="BL141" s="54" t="b">
        <v>1</v>
      </c>
      <c r="BM141" s="54" t="b">
        <v>1</v>
      </c>
      <c r="BN141" s="54" t="b">
        <v>1</v>
      </c>
      <c r="BO141" s="54" t="b">
        <v>1</v>
      </c>
    </row>
    <row r="142" hidden="1" outlineLevel="1">
      <c r="A142" s="47" t="str">
        <f>A141&amp;C142</f>
        <v>AugustSIDHESHWAROT HOURS</v>
      </c>
      <c r="B142" s="48"/>
      <c r="C142" s="49" t="s">
        <v>120</v>
      </c>
      <c r="D142" s="33"/>
      <c r="E142" s="45">
        <f>(F142+G142+H142+I142+J142+K142+L142+M142+N142+O142+P142+Q142+R142+S142+T142+U142+V142+W142+X142+Y142+Z142+AA142+AB142+AC142+AD142+AE142+AF142+AG142+AH142+AI142+AJ142+AK142+AL142+AM142+AN142+AO142+AP142+AQ142+AR142+AS142+AT142+AU142+AV142+AW142+AX142+AY142+AZ142+BA142+BB142+BC142+BD142+BE142+BF142+BG142+BH142+BI142+BJ142+BK142+BL142+BM142+BN142+BO142)</f>
        <v>10</v>
      </c>
      <c r="F142" s="63"/>
      <c r="G142" s="33"/>
      <c r="H142" s="63"/>
      <c r="I142" s="33"/>
      <c r="J142" s="64">
        <v>2.0</v>
      </c>
      <c r="K142" s="33"/>
      <c r="L142" s="63"/>
      <c r="M142" s="33"/>
      <c r="N142" s="63"/>
      <c r="O142" s="33"/>
      <c r="P142" s="64">
        <v>2.0</v>
      </c>
      <c r="Q142" s="33"/>
      <c r="R142" s="64">
        <v>2.0</v>
      </c>
      <c r="S142" s="33"/>
      <c r="T142" s="63"/>
      <c r="U142" s="33"/>
      <c r="V142" s="64"/>
      <c r="W142" s="33"/>
      <c r="X142" s="64">
        <v>1.0</v>
      </c>
      <c r="Y142" s="33"/>
      <c r="Z142" s="64"/>
      <c r="AA142" s="33"/>
      <c r="AB142" s="63"/>
      <c r="AC142" s="33"/>
      <c r="AD142" s="63"/>
      <c r="AE142" s="33"/>
      <c r="AF142" s="63"/>
      <c r="AG142" s="33"/>
      <c r="AH142" s="63"/>
      <c r="AI142" s="33"/>
      <c r="AJ142" s="64"/>
      <c r="AK142" s="33"/>
      <c r="AL142" s="64"/>
      <c r="AM142" s="33"/>
      <c r="AN142" s="63"/>
      <c r="AO142" s="33"/>
      <c r="AP142" s="64">
        <v>1.0</v>
      </c>
      <c r="AQ142" s="33"/>
      <c r="AR142" s="63"/>
      <c r="AS142" s="33"/>
      <c r="AT142" s="64"/>
      <c r="AU142" s="33"/>
      <c r="AV142" s="64"/>
      <c r="AW142" s="33"/>
      <c r="AX142" s="64"/>
      <c r="AY142" s="33"/>
      <c r="AZ142" s="63"/>
      <c r="BA142" s="33"/>
      <c r="BB142" s="64"/>
      <c r="BC142" s="33"/>
      <c r="BD142" s="64"/>
      <c r="BE142" s="33"/>
      <c r="BF142" s="64">
        <v>2.0</v>
      </c>
      <c r="BG142" s="33"/>
      <c r="BH142" s="63"/>
      <c r="BI142" s="33"/>
      <c r="BJ142" s="64"/>
      <c r="BK142" s="33"/>
      <c r="BL142" s="63"/>
      <c r="BM142" s="33"/>
      <c r="BN142" s="64"/>
      <c r="BO142" s="33"/>
    </row>
    <row r="143" hidden="1" outlineLevel="1">
      <c r="A143" s="42" t="str">
        <f>B143&amp;D143</f>
        <v>AugustNAROTTAM</v>
      </c>
      <c r="B143" s="43" t="s">
        <v>25</v>
      </c>
      <c r="C143" s="43" t="s">
        <v>75</v>
      </c>
      <c r="D143" s="44" t="str">
        <f>IFERROR(VLOOKUP(C143,'Employees List'!$B$2:$C$28,2,0),"")</f>
        <v>NAROTTAM</v>
      </c>
      <c r="E143" s="45">
        <f>(F143+G143+H143+I143+J143+K143+L143+M143+N143+O143+P143+Q143+R143+S143+T143+U143+V143+W143+X143+Y143+Z143+AA143+AB143+AC143+AD143+AE143+AF143+AG143+AH143+AI143+AJ143+AK143+AL143+AM143+AN143+AO143+AP143+AQ143+AR143+AS143+AT143+AU143+AV143+AW143+AX143+AY143+AZ143+BA143+BB143+BC143+BD143+BE143+BF143+BG143+BH143+BI143+BJ143+BK143+BL143+BM143+BN143+BO143)/2</f>
        <v>29.5</v>
      </c>
      <c r="F143" s="54" t="b">
        <v>1</v>
      </c>
      <c r="G143" s="54" t="b">
        <v>1</v>
      </c>
      <c r="H143" s="54" t="b">
        <v>1</v>
      </c>
      <c r="I143" s="54" t="b">
        <v>1</v>
      </c>
      <c r="J143" s="54" t="b">
        <v>1</v>
      </c>
      <c r="K143" s="54" t="b">
        <v>1</v>
      </c>
      <c r="L143" s="54" t="b">
        <v>1</v>
      </c>
      <c r="M143" s="54" t="b">
        <v>1</v>
      </c>
      <c r="N143" s="54" t="b">
        <v>1</v>
      </c>
      <c r="O143" s="54" t="b">
        <v>1</v>
      </c>
      <c r="P143" s="54" t="b">
        <v>1</v>
      </c>
      <c r="Q143" s="54" t="b">
        <v>1</v>
      </c>
      <c r="R143" s="54" t="b">
        <v>1</v>
      </c>
      <c r="S143" s="54" t="b">
        <v>1</v>
      </c>
      <c r="T143" s="54" t="b">
        <v>1</v>
      </c>
      <c r="U143" s="54" t="b">
        <v>1</v>
      </c>
      <c r="V143" s="54" t="b">
        <v>1</v>
      </c>
      <c r="W143" s="54" t="b">
        <v>0</v>
      </c>
      <c r="X143" s="54" t="b">
        <v>1</v>
      </c>
      <c r="Y143" s="54" t="b">
        <v>1</v>
      </c>
      <c r="Z143" s="54" t="b">
        <v>1</v>
      </c>
      <c r="AA143" s="54" t="b">
        <v>1</v>
      </c>
      <c r="AB143" s="54" t="b">
        <v>1</v>
      </c>
      <c r="AC143" s="54" t="b">
        <v>1</v>
      </c>
      <c r="AD143" s="54" t="b">
        <v>1</v>
      </c>
      <c r="AE143" s="54" t="b">
        <v>1</v>
      </c>
      <c r="AF143" s="54" t="b">
        <v>1</v>
      </c>
      <c r="AG143" s="54" t="b">
        <v>1</v>
      </c>
      <c r="AH143" s="54" t="b">
        <v>1</v>
      </c>
      <c r="AI143" s="54" t="b">
        <v>1</v>
      </c>
      <c r="AJ143" s="54" t="b">
        <v>1</v>
      </c>
      <c r="AK143" s="54" t="b">
        <v>1</v>
      </c>
      <c r="AL143" s="54" t="b">
        <v>1</v>
      </c>
      <c r="AM143" s="54" t="b">
        <v>1</v>
      </c>
      <c r="AN143" s="54" t="b">
        <v>1</v>
      </c>
      <c r="AO143" s="54" t="b">
        <v>1</v>
      </c>
      <c r="AP143" s="54" t="b">
        <v>1</v>
      </c>
      <c r="AQ143" s="54" t="b">
        <v>1</v>
      </c>
      <c r="AR143" s="54" t="b">
        <v>1</v>
      </c>
      <c r="AS143" s="54" t="b">
        <v>1</v>
      </c>
      <c r="AT143" s="54" t="b">
        <v>1</v>
      </c>
      <c r="AU143" s="54" t="b">
        <v>1</v>
      </c>
      <c r="AV143" s="54" t="b">
        <v>1</v>
      </c>
      <c r="AW143" s="54" t="b">
        <v>1</v>
      </c>
      <c r="AX143" s="54" t="b">
        <v>1</v>
      </c>
      <c r="AY143" s="54" t="b">
        <v>1</v>
      </c>
      <c r="AZ143" s="54" t="b">
        <v>1</v>
      </c>
      <c r="BA143" s="54" t="b">
        <v>1</v>
      </c>
      <c r="BB143" s="54" t="b">
        <v>1</v>
      </c>
      <c r="BC143" s="54" t="b">
        <v>1</v>
      </c>
      <c r="BD143" s="54" t="b">
        <v>0</v>
      </c>
      <c r="BE143" s="54" t="b">
        <v>0</v>
      </c>
      <c r="BF143" s="54" t="b">
        <v>1</v>
      </c>
      <c r="BG143" s="54" t="b">
        <v>1</v>
      </c>
      <c r="BH143" s="54" t="b">
        <v>1</v>
      </c>
      <c r="BI143" s="54" t="b">
        <v>1</v>
      </c>
      <c r="BJ143" s="54" t="b">
        <v>1</v>
      </c>
      <c r="BK143" s="54" t="b">
        <v>1</v>
      </c>
      <c r="BL143" s="54" t="b">
        <v>1</v>
      </c>
      <c r="BM143" s="54" t="b">
        <v>1</v>
      </c>
      <c r="BN143" s="54" t="b">
        <v>1</v>
      </c>
      <c r="BO143" s="54" t="b">
        <v>1</v>
      </c>
    </row>
    <row r="144" hidden="1" outlineLevel="1">
      <c r="A144" s="47" t="str">
        <f>A143&amp;C144</f>
        <v>AugustNAROTTAMOT HOURS</v>
      </c>
      <c r="B144" s="48"/>
      <c r="C144" s="49" t="s">
        <v>120</v>
      </c>
      <c r="D144" s="33"/>
      <c r="E144" s="65">
        <f>(F144+G144+H144+I144+J144+K144+L144+M144+N144+O144+P144+Q144+R144+S144+T144+U144+V144+W144+X144+Y144+Z144+AA144+AB144+AC144+AD144+AE144+AF144+AG144+AH144+AI144+AJ144+AK144+AL144+AM144+AN144+AO144+AP144+AQ144+AR144+AS144+AT144+AU144+AV144+AW144+AX144+AY144+AZ144+BA144+BB144+BC144+BD144+BE144+BF144+BG144+BH144+BI144+BJ144+BK144+BL144+BM144+BN144+BO144)</f>
        <v>10</v>
      </c>
      <c r="F144" s="63"/>
      <c r="G144" s="33"/>
      <c r="H144" s="64">
        <v>1.0</v>
      </c>
      <c r="I144" s="33"/>
      <c r="J144" s="64">
        <v>4.0</v>
      </c>
      <c r="K144" s="33"/>
      <c r="L144" s="64"/>
      <c r="M144" s="33"/>
      <c r="N144" s="64"/>
      <c r="O144" s="33"/>
      <c r="P144" s="64"/>
      <c r="Q144" s="33"/>
      <c r="R144" s="64"/>
      <c r="S144" s="33"/>
      <c r="T144" s="63"/>
      <c r="U144" s="33"/>
      <c r="V144" s="64"/>
      <c r="W144" s="33"/>
      <c r="X144" s="64">
        <v>1.0</v>
      </c>
      <c r="Y144" s="33"/>
      <c r="Z144" s="64"/>
      <c r="AA144" s="33"/>
      <c r="AB144" s="63"/>
      <c r="AC144" s="33"/>
      <c r="AD144" s="64"/>
      <c r="AE144" s="33"/>
      <c r="AF144" s="64"/>
      <c r="AG144" s="33"/>
      <c r="AH144" s="64"/>
      <c r="AI144" s="33"/>
      <c r="AJ144" s="64"/>
      <c r="AK144" s="33"/>
      <c r="AL144" s="64"/>
      <c r="AM144" s="33"/>
      <c r="AN144" s="63"/>
      <c r="AO144" s="33"/>
      <c r="AP144" s="64"/>
      <c r="AQ144" s="33"/>
      <c r="AR144" s="64"/>
      <c r="AS144" s="33"/>
      <c r="AT144" s="64"/>
      <c r="AU144" s="33"/>
      <c r="AV144" s="64"/>
      <c r="AW144" s="33"/>
      <c r="AX144" s="63"/>
      <c r="AY144" s="33"/>
      <c r="AZ144" s="64"/>
      <c r="BA144" s="33"/>
      <c r="BB144" s="63"/>
      <c r="BC144" s="33"/>
      <c r="BD144" s="63"/>
      <c r="BE144" s="33"/>
      <c r="BF144" s="64"/>
      <c r="BG144" s="33"/>
      <c r="BH144" s="64">
        <v>2.0</v>
      </c>
      <c r="BI144" s="33"/>
      <c r="BJ144" s="64">
        <v>2.0</v>
      </c>
      <c r="BK144" s="33"/>
      <c r="BL144" s="63"/>
      <c r="BM144" s="33"/>
      <c r="BN144" s="64"/>
      <c r="BO144" s="33"/>
    </row>
    <row r="145" hidden="1" outlineLevel="1">
      <c r="A145" s="42" t="str">
        <f>B145&amp;D145</f>
        <v>AugustAMMU</v>
      </c>
      <c r="B145" s="43" t="s">
        <v>25</v>
      </c>
      <c r="C145" s="43" t="s">
        <v>37</v>
      </c>
      <c r="D145" s="44" t="str">
        <f>IFERROR(VLOOKUP(C145,'Employees List'!$B$2:$C$28,2,0),"")</f>
        <v>AMMU</v>
      </c>
      <c r="E145" s="45">
        <f>(F145+G145+H145+I145+J145+K145+L145+M145+N145+O145+P145+Q145+R145+S145+T145+U145+V145+W145+X145+Y145+Z145+AA145+AB145+AC145+AD145+AE145+AF145+AG145+AH145+AI145+AJ145+AK145+AL145+AM145+AN145+AO145+AP145+AQ145+AR145+AS145+AT145+AU145+AV145+AW145+AX145+AY145+AZ145+BA145+BB145+BC145+BD145+BE145+BF145+BG145+BH145+BI145+BJ145+BK145+BL145+BM145+BN145+BO145)/2</f>
        <v>30</v>
      </c>
      <c r="F145" s="54" t="b">
        <v>1</v>
      </c>
      <c r="G145" s="54" t="b">
        <v>1</v>
      </c>
      <c r="H145" s="54" t="b">
        <v>1</v>
      </c>
      <c r="I145" s="54" t="b">
        <v>1</v>
      </c>
      <c r="J145" s="54" t="b">
        <v>1</v>
      </c>
      <c r="K145" s="54" t="b">
        <v>1</v>
      </c>
      <c r="L145" s="54" t="b">
        <v>1</v>
      </c>
      <c r="M145" s="54" t="b">
        <v>1</v>
      </c>
      <c r="N145" s="54" t="b">
        <v>1</v>
      </c>
      <c r="O145" s="54" t="b">
        <v>1</v>
      </c>
      <c r="P145" s="54" t="b">
        <v>1</v>
      </c>
      <c r="Q145" s="54" t="b">
        <v>1</v>
      </c>
      <c r="R145" s="54" t="b">
        <v>1</v>
      </c>
      <c r="S145" s="54" t="b">
        <v>1</v>
      </c>
      <c r="T145" s="54" t="b">
        <v>1</v>
      </c>
      <c r="U145" s="54" t="b">
        <v>1</v>
      </c>
      <c r="V145" s="54" t="b">
        <v>1</v>
      </c>
      <c r="W145" s="54" t="b">
        <v>1</v>
      </c>
      <c r="X145" s="54" t="b">
        <v>1</v>
      </c>
      <c r="Y145" s="54" t="b">
        <v>1</v>
      </c>
      <c r="Z145" s="54" t="b">
        <v>1</v>
      </c>
      <c r="AA145" s="54" t="b">
        <v>1</v>
      </c>
      <c r="AB145" s="54" t="b">
        <v>1</v>
      </c>
      <c r="AC145" s="54" t="b">
        <v>1</v>
      </c>
      <c r="AD145" s="54" t="b">
        <v>1</v>
      </c>
      <c r="AE145" s="54" t="b">
        <v>1</v>
      </c>
      <c r="AF145" s="54" t="b">
        <v>1</v>
      </c>
      <c r="AG145" s="54" t="b">
        <v>1</v>
      </c>
      <c r="AH145" s="54" t="b">
        <v>1</v>
      </c>
      <c r="AI145" s="54" t="b">
        <v>1</v>
      </c>
      <c r="AJ145" s="54" t="b">
        <v>1</v>
      </c>
      <c r="AK145" s="54" t="b">
        <v>1</v>
      </c>
      <c r="AL145" s="54" t="b">
        <v>1</v>
      </c>
      <c r="AM145" s="54" t="b">
        <v>1</v>
      </c>
      <c r="AN145" s="54" t="b">
        <v>1</v>
      </c>
      <c r="AO145" s="54" t="b">
        <v>1</v>
      </c>
      <c r="AP145" s="54" t="b">
        <v>1</v>
      </c>
      <c r="AQ145" s="54" t="b">
        <v>1</v>
      </c>
      <c r="AR145" s="54" t="b">
        <v>1</v>
      </c>
      <c r="AS145" s="54" t="b">
        <v>1</v>
      </c>
      <c r="AT145" s="54" t="b">
        <v>1</v>
      </c>
      <c r="AU145" s="54" t="b">
        <v>1</v>
      </c>
      <c r="AV145" s="54" t="b">
        <v>1</v>
      </c>
      <c r="AW145" s="54" t="b">
        <v>1</v>
      </c>
      <c r="AX145" s="54" t="b">
        <v>0</v>
      </c>
      <c r="AY145" s="54" t="b">
        <v>0</v>
      </c>
      <c r="AZ145" s="54" t="b">
        <v>1</v>
      </c>
      <c r="BA145" s="54" t="b">
        <v>1</v>
      </c>
      <c r="BB145" s="54" t="b">
        <v>1</v>
      </c>
      <c r="BC145" s="54" t="b">
        <v>1</v>
      </c>
      <c r="BD145" s="54" t="b">
        <v>1</v>
      </c>
      <c r="BE145" s="54" t="b">
        <v>1</v>
      </c>
      <c r="BF145" s="54" t="b">
        <v>1</v>
      </c>
      <c r="BG145" s="54" t="b">
        <v>1</v>
      </c>
      <c r="BH145" s="54" t="b">
        <v>1</v>
      </c>
      <c r="BI145" s="54" t="b">
        <v>1</v>
      </c>
      <c r="BJ145" s="54" t="b">
        <v>1</v>
      </c>
      <c r="BK145" s="54" t="b">
        <v>1</v>
      </c>
      <c r="BL145" s="54" t="b">
        <v>1</v>
      </c>
      <c r="BM145" s="54" t="b">
        <v>1</v>
      </c>
      <c r="BN145" s="54" t="b">
        <v>1</v>
      </c>
      <c r="BO145" s="54" t="b">
        <v>1</v>
      </c>
    </row>
    <row r="146" hidden="1" outlineLevel="1">
      <c r="A146" s="47" t="str">
        <f>A145&amp;C146</f>
        <v>AugustAMMUOT HOURS</v>
      </c>
      <c r="B146" s="48"/>
      <c r="C146" s="49" t="s">
        <v>120</v>
      </c>
      <c r="D146" s="33"/>
      <c r="E146" s="65">
        <f>(F146+G146+H146+I146+J146+K146+L146+M146+N146+O146+P146+Q146+R146+S146+T146+U146+V146+W146+X146+Y146+Z146+AA146+AB146+AC146+AD146+AE146+AF146+AG146+AH146+AI146+AJ146+AK146+AL146+AM146+AN146+AO146+AP146+AQ146+AR146+AS146+AT146+AU146+AV146+AW146+AX146+AY146+AZ146+BA146+BB146+BC146+BD146+BE146+BF146+BG146+BH146+BI146+BJ146+BK146+BL146+BM146+BN146+BO146)</f>
        <v>0</v>
      </c>
      <c r="F146" s="63"/>
      <c r="G146" s="33"/>
      <c r="H146" s="63"/>
      <c r="I146" s="33"/>
      <c r="J146" s="64"/>
      <c r="K146" s="33"/>
      <c r="L146" s="64"/>
      <c r="M146" s="33"/>
      <c r="N146" s="63"/>
      <c r="O146" s="33"/>
      <c r="P146" s="64"/>
      <c r="Q146" s="33"/>
      <c r="R146" s="64"/>
      <c r="S146" s="33"/>
      <c r="T146" s="63"/>
      <c r="U146" s="33"/>
      <c r="V146" s="64"/>
      <c r="W146" s="33"/>
      <c r="X146" s="64"/>
      <c r="Y146" s="33"/>
      <c r="Z146" s="64"/>
      <c r="AA146" s="33"/>
      <c r="AB146" s="63"/>
      <c r="AC146" s="33"/>
      <c r="AD146" s="63"/>
      <c r="AE146" s="33"/>
      <c r="AF146" s="63"/>
      <c r="AG146" s="33"/>
      <c r="AH146" s="63"/>
      <c r="AI146" s="33"/>
      <c r="AJ146" s="63"/>
      <c r="AK146" s="33"/>
      <c r="AL146" s="63"/>
      <c r="AM146" s="33"/>
      <c r="AN146" s="63"/>
      <c r="AO146" s="33"/>
      <c r="AP146" s="63"/>
      <c r="AQ146" s="33"/>
      <c r="AR146" s="63"/>
      <c r="AS146" s="33"/>
      <c r="AT146" s="63"/>
      <c r="AU146" s="33"/>
      <c r="AV146" s="63"/>
      <c r="AW146" s="33"/>
      <c r="AX146" s="63"/>
      <c r="AY146" s="33"/>
      <c r="AZ146" s="63"/>
      <c r="BA146" s="33"/>
      <c r="BB146" s="63"/>
      <c r="BC146" s="33"/>
      <c r="BD146" s="64"/>
      <c r="BE146" s="33"/>
      <c r="BF146" s="64"/>
      <c r="BG146" s="33"/>
      <c r="BH146" s="63"/>
      <c r="BI146" s="33"/>
      <c r="BJ146" s="64"/>
      <c r="BK146" s="33"/>
      <c r="BL146" s="63"/>
      <c r="BM146" s="33"/>
      <c r="BN146" s="64"/>
      <c r="BO146" s="33"/>
    </row>
    <row r="147" collapsed="1">
      <c r="A147" s="56"/>
      <c r="B147" s="57"/>
      <c r="C147" s="36">
        <v>45536.0</v>
      </c>
      <c r="D147" s="33"/>
      <c r="E147" s="58"/>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row>
    <row r="148" hidden="1" outlineLevel="1">
      <c r="A148" s="42" t="str">
        <f>B148&amp;D148</f>
        <v>SeptemberBHUVANESWARAN</v>
      </c>
      <c r="B148" s="43" t="s">
        <v>29</v>
      </c>
      <c r="C148" s="43" t="s">
        <v>9</v>
      </c>
      <c r="D148" s="44" t="str">
        <f>IFERROR(VLOOKUP(C148,'Employees List'!$B$2:$C$28,2,0),"")</f>
        <v>BHUVANESWARAN</v>
      </c>
      <c r="E148" s="45">
        <f>(F148+G148+H148+I148+J148+K148+L148+M148+N148+O148+P148+Q148+R148+S148+T148+U148+V148+W148+X148+Y148+Z148+AA148+AB148+AC148+AD148+AE148+AF148+AG148+AH148+AI148+AJ148+AK148+AL148+AM148+AN148+AO148+AP148+AQ148+AR148+AS148+AT148+AU148+AV148+AW148+AX148+AY148+AZ148+BA148+BB148+BC148+BD148+BE148+BF148+BG148+BH148+BI148+BJ148+BK148+BL148+BM148+BN148+BO148)/2</f>
        <v>30</v>
      </c>
      <c r="F148" s="54" t="b">
        <v>1</v>
      </c>
      <c r="G148" s="54" t="b">
        <v>1</v>
      </c>
      <c r="H148" s="54" t="b">
        <v>1</v>
      </c>
      <c r="I148" s="54" t="b">
        <v>1</v>
      </c>
      <c r="J148" s="54" t="b">
        <v>1</v>
      </c>
      <c r="K148" s="54" t="b">
        <v>1</v>
      </c>
      <c r="L148" s="54" t="b">
        <v>1</v>
      </c>
      <c r="M148" s="54" t="b">
        <v>1</v>
      </c>
      <c r="N148" s="54" t="b">
        <v>1</v>
      </c>
      <c r="O148" s="54" t="b">
        <v>1</v>
      </c>
      <c r="P148" s="54" t="b">
        <v>1</v>
      </c>
      <c r="Q148" s="54" t="b">
        <v>1</v>
      </c>
      <c r="R148" s="54" t="b">
        <v>1</v>
      </c>
      <c r="S148" s="54" t="b">
        <v>1</v>
      </c>
      <c r="T148" s="54" t="b">
        <v>1</v>
      </c>
      <c r="U148" s="54" t="b">
        <v>1</v>
      </c>
      <c r="V148" s="54" t="b">
        <v>1</v>
      </c>
      <c r="W148" s="54" t="b">
        <v>1</v>
      </c>
      <c r="X148" s="54" t="b">
        <v>1</v>
      </c>
      <c r="Y148" s="54" t="b">
        <v>1</v>
      </c>
      <c r="Z148" s="54" t="b">
        <v>1</v>
      </c>
      <c r="AA148" s="54" t="b">
        <v>1</v>
      </c>
      <c r="AB148" s="54" t="b">
        <v>1</v>
      </c>
      <c r="AC148" s="54" t="b">
        <v>1</v>
      </c>
      <c r="AD148" s="54" t="b">
        <v>1</v>
      </c>
      <c r="AE148" s="54" t="b">
        <v>1</v>
      </c>
      <c r="AF148" s="54" t="b">
        <v>1</v>
      </c>
      <c r="AG148" s="54" t="b">
        <v>1</v>
      </c>
      <c r="AH148" s="54" t="b">
        <v>1</v>
      </c>
      <c r="AI148" s="54" t="b">
        <v>1</v>
      </c>
      <c r="AJ148" s="54" t="b">
        <v>1</v>
      </c>
      <c r="AK148" s="54" t="b">
        <v>1</v>
      </c>
      <c r="AL148" s="54" t="b">
        <v>1</v>
      </c>
      <c r="AM148" s="54" t="b">
        <v>1</v>
      </c>
      <c r="AN148" s="54" t="b">
        <v>1</v>
      </c>
      <c r="AO148" s="54" t="b">
        <v>1</v>
      </c>
      <c r="AP148" s="54" t="b">
        <v>1</v>
      </c>
      <c r="AQ148" s="54" t="b">
        <v>1</v>
      </c>
      <c r="AR148" s="54" t="b">
        <v>1</v>
      </c>
      <c r="AS148" s="54" t="b">
        <v>1</v>
      </c>
      <c r="AT148" s="54" t="b">
        <v>1</v>
      </c>
      <c r="AU148" s="54" t="b">
        <v>1</v>
      </c>
      <c r="AV148" s="54" t="b">
        <v>1</v>
      </c>
      <c r="AW148" s="54" t="b">
        <v>1</v>
      </c>
      <c r="AX148" s="54" t="b">
        <v>1</v>
      </c>
      <c r="AY148" s="54" t="b">
        <v>1</v>
      </c>
      <c r="AZ148" s="54" t="b">
        <v>1</v>
      </c>
      <c r="BA148" s="54" t="b">
        <v>1</v>
      </c>
      <c r="BB148" s="54" t="b">
        <v>1</v>
      </c>
      <c r="BC148" s="54" t="b">
        <v>1</v>
      </c>
      <c r="BD148" s="54" t="b">
        <v>1</v>
      </c>
      <c r="BE148" s="54" t="b">
        <v>1</v>
      </c>
      <c r="BF148" s="54" t="b">
        <v>1</v>
      </c>
      <c r="BG148" s="54" t="b">
        <v>1</v>
      </c>
      <c r="BH148" s="54" t="b">
        <v>1</v>
      </c>
      <c r="BI148" s="54" t="b">
        <v>1</v>
      </c>
      <c r="BJ148" s="54" t="b">
        <v>1</v>
      </c>
      <c r="BK148" s="54" t="b">
        <v>1</v>
      </c>
      <c r="BL148" s="54" t="b">
        <v>1</v>
      </c>
      <c r="BM148" s="54" t="b">
        <v>1</v>
      </c>
      <c r="BN148" s="54" t="b">
        <v>0</v>
      </c>
      <c r="BO148" s="54" t="b">
        <v>0</v>
      </c>
    </row>
    <row r="149" hidden="1" outlineLevel="1">
      <c r="A149" s="47" t="str">
        <f>A148&amp;C149</f>
        <v>SeptemberBHUVANESWARANOT HOURS</v>
      </c>
      <c r="B149" s="48"/>
      <c r="C149" s="49" t="s">
        <v>120</v>
      </c>
      <c r="D149" s="33"/>
      <c r="E149" s="45">
        <f>(F149+G149+H149+I149+J149+K149+L149+M149+N149+O149+P149+Q149+R149+S149+T149+U149+V149+W149+X149+Y149+Z149+AA149+AB149+AC149+AD149+AE149+AF149+AG149+AH149+AI149+AJ149+AK149+AL149+AM149+AN149+AO149+AP149+AQ149+AR149+AS149+AT149+AU149+AV149+AW149+AX149+AY149+AZ149+BA149+BB149+BC149+BD149+BE149+BF149+BG149+BH149+BI149+BJ149+BK149+BL149+BM149+BN149+BO149)</f>
        <v>0</v>
      </c>
      <c r="F149" s="59"/>
      <c r="G149" s="33"/>
      <c r="H149" s="59"/>
      <c r="I149" s="33"/>
      <c r="J149" s="59"/>
      <c r="K149" s="33"/>
      <c r="L149" s="60"/>
      <c r="M149" s="33"/>
      <c r="N149" s="60"/>
      <c r="O149" s="33"/>
      <c r="P149" s="60"/>
      <c r="Q149" s="33"/>
      <c r="R149" s="61"/>
      <c r="S149" s="61"/>
      <c r="T149" s="60"/>
      <c r="U149" s="33"/>
      <c r="V149" s="60"/>
      <c r="W149" s="33"/>
      <c r="X149" s="60"/>
      <c r="Y149" s="33"/>
      <c r="Z149" s="60"/>
      <c r="AA149" s="33"/>
      <c r="AB149" s="60"/>
      <c r="AC149" s="33"/>
      <c r="AD149" s="60"/>
      <c r="AE149" s="33"/>
      <c r="AF149" s="60"/>
      <c r="AG149" s="33"/>
      <c r="AH149" s="60"/>
      <c r="AI149" s="33"/>
      <c r="AJ149" s="60"/>
      <c r="AK149" s="33"/>
      <c r="AL149" s="60"/>
      <c r="AM149" s="33"/>
      <c r="AN149" s="60"/>
      <c r="AO149" s="33"/>
      <c r="AP149" s="60"/>
      <c r="AQ149" s="33"/>
      <c r="AR149" s="60"/>
      <c r="AS149" s="33"/>
      <c r="AT149" s="60"/>
      <c r="AU149" s="33"/>
      <c r="AV149" s="60"/>
      <c r="AW149" s="33"/>
      <c r="AX149" s="60"/>
      <c r="AY149" s="33"/>
      <c r="AZ149" s="60"/>
      <c r="BA149" s="33"/>
      <c r="BB149" s="60"/>
      <c r="BC149" s="33"/>
      <c r="BD149" s="60"/>
      <c r="BE149" s="33"/>
      <c r="BF149" s="60"/>
      <c r="BG149" s="33"/>
      <c r="BH149" s="60"/>
      <c r="BI149" s="33"/>
      <c r="BJ149" s="60"/>
      <c r="BK149" s="33"/>
      <c r="BL149" s="60"/>
      <c r="BM149" s="33"/>
      <c r="BN149" s="60"/>
      <c r="BO149" s="33"/>
    </row>
    <row r="150" hidden="1" outlineLevel="1">
      <c r="A150" s="42" t="str">
        <f>B150&amp;D150</f>
        <v>SeptemberVASANTHA</v>
      </c>
      <c r="B150" s="43" t="s">
        <v>29</v>
      </c>
      <c r="C150" s="43" t="s">
        <v>13</v>
      </c>
      <c r="D150" s="44" t="str">
        <f>IFERROR(VLOOKUP(C150,'Employees List'!$B$2:$C$28,2,0),"")</f>
        <v>VASANTHA</v>
      </c>
      <c r="E150" s="45">
        <f>(F150+G150+H150+I150+J150+K150+L150+M150+N150+O150+P150+Q150+R150+S150+T150+U150+V150+W150+X150+Y150+Z150+AA150+AB150+AC150+AD150+AE150+AF150+AG150+AH150+AI150+AJ150+AK150+AL150+AM150+AN150+AO150+AP150+AQ150+AR150+AS150+AT150+AU150+AV150+AW150+AX150+AY150+AZ150+BA150+BB150+BC150+BD150+BE150+BF150+BG150+BH150+BI150+BJ150+BK150+BL150+BM150+BN150+BO150)/2</f>
        <v>27</v>
      </c>
      <c r="F150" s="54" t="b">
        <v>1</v>
      </c>
      <c r="G150" s="54" t="b">
        <v>1</v>
      </c>
      <c r="H150" s="54" t="b">
        <v>1</v>
      </c>
      <c r="I150" s="54" t="b">
        <v>1</v>
      </c>
      <c r="J150" s="54" t="b">
        <v>1</v>
      </c>
      <c r="K150" s="54" t="b">
        <v>1</v>
      </c>
      <c r="L150" s="54" t="b">
        <v>1</v>
      </c>
      <c r="M150" s="54" t="b">
        <v>1</v>
      </c>
      <c r="N150" s="54" t="b">
        <v>1</v>
      </c>
      <c r="O150" s="54" t="b">
        <v>1</v>
      </c>
      <c r="P150" s="54" t="b">
        <v>1</v>
      </c>
      <c r="Q150" s="54" t="b">
        <v>1</v>
      </c>
      <c r="R150" s="54" t="b">
        <v>0</v>
      </c>
      <c r="S150" s="54" t="b">
        <v>0</v>
      </c>
      <c r="T150" s="54" t="b">
        <v>1</v>
      </c>
      <c r="U150" s="54" t="b">
        <v>1</v>
      </c>
      <c r="V150" s="54" t="b">
        <v>1</v>
      </c>
      <c r="W150" s="54" t="b">
        <v>1</v>
      </c>
      <c r="X150" s="54" t="b">
        <v>1</v>
      </c>
      <c r="Y150" s="54" t="b">
        <v>1</v>
      </c>
      <c r="Z150" s="54" t="b">
        <v>1</v>
      </c>
      <c r="AA150" s="54" t="b">
        <v>1</v>
      </c>
      <c r="AB150" s="54" t="b">
        <v>1</v>
      </c>
      <c r="AC150" s="54" t="b">
        <v>1</v>
      </c>
      <c r="AD150" s="54" t="b">
        <v>1</v>
      </c>
      <c r="AE150" s="54" t="b">
        <v>1</v>
      </c>
      <c r="AF150" s="54" t="b">
        <v>1</v>
      </c>
      <c r="AG150" s="54" t="b">
        <v>1</v>
      </c>
      <c r="AH150" s="54" t="b">
        <v>1</v>
      </c>
      <c r="AI150" s="54" t="b">
        <v>1</v>
      </c>
      <c r="AJ150" s="54" t="b">
        <v>1</v>
      </c>
      <c r="AK150" s="54" t="b">
        <v>1</v>
      </c>
      <c r="AL150" s="54" t="b">
        <v>1</v>
      </c>
      <c r="AM150" s="54" t="b">
        <v>1</v>
      </c>
      <c r="AN150" s="54" t="b">
        <v>1</v>
      </c>
      <c r="AO150" s="54" t="b">
        <v>1</v>
      </c>
      <c r="AP150" s="54" t="b">
        <v>1</v>
      </c>
      <c r="AQ150" s="54" t="b">
        <v>1</v>
      </c>
      <c r="AR150" s="54" t="b">
        <v>1</v>
      </c>
      <c r="AS150" s="54" t="b">
        <v>1</v>
      </c>
      <c r="AT150" s="54" t="b">
        <v>1</v>
      </c>
      <c r="AU150" s="54" t="b">
        <v>1</v>
      </c>
      <c r="AV150" s="54" t="b">
        <v>1</v>
      </c>
      <c r="AW150" s="54" t="b">
        <v>1</v>
      </c>
      <c r="AX150" s="54" t="b">
        <v>1</v>
      </c>
      <c r="AY150" s="54" t="b">
        <v>1</v>
      </c>
      <c r="AZ150" s="54" t="b">
        <v>1</v>
      </c>
      <c r="BA150" s="54" t="b">
        <v>1</v>
      </c>
      <c r="BB150" s="54" t="b">
        <v>0</v>
      </c>
      <c r="BC150" s="54" t="b">
        <v>0</v>
      </c>
      <c r="BD150" s="54" t="b">
        <v>1</v>
      </c>
      <c r="BE150" s="54" t="b">
        <v>1</v>
      </c>
      <c r="BF150" s="54" t="b">
        <v>1</v>
      </c>
      <c r="BG150" s="54" t="b">
        <v>1</v>
      </c>
      <c r="BH150" s="54" t="b">
        <v>1</v>
      </c>
      <c r="BI150" s="54" t="b">
        <v>1</v>
      </c>
      <c r="BJ150" s="54" t="b">
        <v>1</v>
      </c>
      <c r="BK150" s="54" t="b">
        <v>1</v>
      </c>
      <c r="BL150" s="54" t="b">
        <v>0</v>
      </c>
      <c r="BM150" s="54" t="b">
        <v>0</v>
      </c>
      <c r="BN150" s="54" t="b">
        <v>0</v>
      </c>
      <c r="BO150" s="54" t="b">
        <v>0</v>
      </c>
    </row>
    <row r="151" hidden="1" outlineLevel="1">
      <c r="A151" s="47" t="str">
        <f>A150&amp;C151</f>
        <v>SeptemberVASANTHAOT HOURS</v>
      </c>
      <c r="B151" s="48"/>
      <c r="C151" s="49" t="s">
        <v>120</v>
      </c>
      <c r="D151" s="33"/>
      <c r="E151" s="45">
        <f>(F151+G151+H151+I151+J151+K151+L151+M151+N151+O151+P151+Q151+R151+S151+T151+U151+V151+W151+X151+Y151+Z151+AA151+AB151+AC151+AD151+AE151+AF151+AG151+AH151+AI151+AJ151+AK151+AL151+AM151+AN151+AO151+AP151+AQ151+AR151+AS151+AT151+AU151+AV151+AW151+AX151+AY151+AZ151+BA151+BB151+BC151+BD151+BE151+BF151+BG151+BH151+BI151+BJ151+BK151+BL151+BM151+BN151+BO151)</f>
        <v>16</v>
      </c>
      <c r="F151" s="60"/>
      <c r="G151" s="33"/>
      <c r="H151" s="59">
        <v>1.0</v>
      </c>
      <c r="I151" s="33"/>
      <c r="J151" s="59"/>
      <c r="K151" s="33"/>
      <c r="L151" s="60"/>
      <c r="M151" s="33"/>
      <c r="N151" s="59">
        <v>2.0</v>
      </c>
      <c r="O151" s="33"/>
      <c r="P151" s="62"/>
      <c r="Q151" s="33"/>
      <c r="R151" s="60"/>
      <c r="S151" s="33"/>
      <c r="T151" s="60"/>
      <c r="U151" s="33"/>
      <c r="V151" s="60"/>
      <c r="W151" s="33"/>
      <c r="X151" s="59">
        <v>1.0</v>
      </c>
      <c r="Y151" s="33"/>
      <c r="Z151" s="60"/>
      <c r="AA151" s="33"/>
      <c r="AB151" s="60"/>
      <c r="AC151" s="33"/>
      <c r="AD151" s="60"/>
      <c r="AE151" s="33"/>
      <c r="AF151" s="60"/>
      <c r="AG151" s="33"/>
      <c r="AH151" s="60"/>
      <c r="AI151" s="33"/>
      <c r="AJ151" s="64"/>
      <c r="AK151" s="33"/>
      <c r="AL151" s="64"/>
      <c r="AM151" s="33"/>
      <c r="AN151" s="63"/>
      <c r="AO151" s="33"/>
      <c r="AP151" s="64">
        <v>2.0</v>
      </c>
      <c r="AQ151" s="33"/>
      <c r="AR151" s="64">
        <v>2.0</v>
      </c>
      <c r="AS151" s="33"/>
      <c r="AT151" s="63"/>
      <c r="AU151" s="33"/>
      <c r="AV151" s="64">
        <v>4.0</v>
      </c>
      <c r="AW151" s="33"/>
      <c r="AX151" s="64"/>
      <c r="AY151" s="33"/>
      <c r="AZ151" s="63"/>
      <c r="BA151" s="33"/>
      <c r="BB151" s="60"/>
      <c r="BC151" s="33"/>
      <c r="BD151" s="60"/>
      <c r="BE151" s="33"/>
      <c r="BF151" s="59"/>
      <c r="BG151" s="33"/>
      <c r="BH151" s="59">
        <v>2.0</v>
      </c>
      <c r="BI151" s="33"/>
      <c r="BJ151" s="59">
        <v>2.0</v>
      </c>
      <c r="BK151" s="33"/>
      <c r="BL151" s="60"/>
      <c r="BM151" s="33"/>
      <c r="BN151" s="60"/>
      <c r="BO151" s="33"/>
    </row>
    <row r="152" hidden="1" outlineLevel="1">
      <c r="A152" s="42" t="str">
        <f>B152&amp;D152</f>
        <v>SeptemberGANESH</v>
      </c>
      <c r="B152" s="43" t="s">
        <v>29</v>
      </c>
      <c r="C152" s="43" t="s">
        <v>18</v>
      </c>
      <c r="D152" s="44" t="str">
        <f>IFERROR(VLOOKUP(C152,'Employees List'!$B$2:$C$28,2,0),"")</f>
        <v>GANESH</v>
      </c>
      <c r="E152" s="45">
        <f>(F152+G152+H152+I152+J152+K152+L152+M152+N152+O152+P152+Q152+R152+S152+T152+U152+V152+W152+X152+Y152+Z152+AA152+AB152+AC152+AD152+AE152+AF152+AG152+AH152+AI152+AJ152+AK152+AL152+AM152+AN152+AO152+AP152+AQ152+AR152+AS152+AT152+AU152+AV152+AW152+AX152+AY152+AZ152+BA152+BB152+BC152+BD152+BE152+BF152+BG152+BH152+BI152+BJ152+BK152+BL152+BM152+BN152+BO152)/2</f>
        <v>24.5</v>
      </c>
      <c r="F152" s="54" t="b">
        <v>1</v>
      </c>
      <c r="G152" s="54" t="b">
        <v>1</v>
      </c>
      <c r="H152" s="54" t="b">
        <v>1</v>
      </c>
      <c r="I152" s="54" t="b">
        <v>1</v>
      </c>
      <c r="J152" s="54" t="b">
        <v>1</v>
      </c>
      <c r="K152" s="54" t="b">
        <v>1</v>
      </c>
      <c r="L152" s="54" t="b">
        <v>0</v>
      </c>
      <c r="M152" s="54" t="b">
        <v>0</v>
      </c>
      <c r="N152" s="54" t="b">
        <v>1</v>
      </c>
      <c r="O152" s="54" t="b">
        <v>1</v>
      </c>
      <c r="P152" s="54" t="b">
        <v>1</v>
      </c>
      <c r="Q152" s="54" t="b">
        <v>1</v>
      </c>
      <c r="R152" s="54" t="b">
        <v>1</v>
      </c>
      <c r="S152" s="54" t="b">
        <v>1</v>
      </c>
      <c r="T152" s="54" t="b">
        <v>1</v>
      </c>
      <c r="U152" s="54" t="b">
        <v>1</v>
      </c>
      <c r="V152" s="54" t="b">
        <v>1</v>
      </c>
      <c r="W152" s="54" t="b">
        <v>1</v>
      </c>
      <c r="X152" s="54" t="b">
        <v>1</v>
      </c>
      <c r="Y152" s="54" t="b">
        <v>1</v>
      </c>
      <c r="Z152" s="54" t="b">
        <v>0</v>
      </c>
      <c r="AA152" s="54" t="b">
        <v>0</v>
      </c>
      <c r="AB152" s="54" t="b">
        <v>0</v>
      </c>
      <c r="AC152" s="54" t="b">
        <v>0</v>
      </c>
      <c r="AD152" s="54" t="b">
        <v>1</v>
      </c>
      <c r="AE152" s="54" t="b">
        <v>1</v>
      </c>
      <c r="AF152" s="54" t="b">
        <v>1</v>
      </c>
      <c r="AG152" s="54" t="b">
        <v>1</v>
      </c>
      <c r="AH152" s="54" t="b">
        <v>1</v>
      </c>
      <c r="AI152" s="54" t="b">
        <v>1</v>
      </c>
      <c r="AJ152" s="54" t="b">
        <v>1</v>
      </c>
      <c r="AK152" s="54" t="b">
        <v>1</v>
      </c>
      <c r="AL152" s="54" t="b">
        <v>1</v>
      </c>
      <c r="AM152" s="54" t="b">
        <v>1</v>
      </c>
      <c r="AN152" s="54" t="b">
        <v>1</v>
      </c>
      <c r="AO152" s="54" t="b">
        <v>1</v>
      </c>
      <c r="AP152" s="54" t="b">
        <v>1</v>
      </c>
      <c r="AQ152" s="54" t="b">
        <v>1</v>
      </c>
      <c r="AR152" s="54" t="b">
        <v>1</v>
      </c>
      <c r="AS152" s="54" t="b">
        <v>1</v>
      </c>
      <c r="AT152" s="54" t="b">
        <v>1</v>
      </c>
      <c r="AU152" s="54" t="b">
        <v>1</v>
      </c>
      <c r="AV152" s="54" t="b">
        <v>1</v>
      </c>
      <c r="AW152" s="54" t="b">
        <v>1</v>
      </c>
      <c r="AX152" s="54" t="b">
        <v>1</v>
      </c>
      <c r="AY152" s="54" t="b">
        <v>1</v>
      </c>
      <c r="AZ152" s="54" t="b">
        <v>1</v>
      </c>
      <c r="BA152" s="54" t="b">
        <v>1</v>
      </c>
      <c r="BB152" s="54" t="b">
        <v>1</v>
      </c>
      <c r="BC152" s="54" t="b">
        <v>0</v>
      </c>
      <c r="BD152" s="54" t="b">
        <v>0</v>
      </c>
      <c r="BE152" s="54" t="b">
        <v>0</v>
      </c>
      <c r="BF152" s="54" t="b">
        <v>0</v>
      </c>
      <c r="BG152" s="54" t="b">
        <v>0</v>
      </c>
      <c r="BH152" s="54" t="b">
        <v>1</v>
      </c>
      <c r="BI152" s="54" t="b">
        <v>1</v>
      </c>
      <c r="BJ152" s="54" t="b">
        <v>1</v>
      </c>
      <c r="BK152" s="54" t="b">
        <v>1</v>
      </c>
      <c r="BL152" s="54" t="b">
        <v>1</v>
      </c>
      <c r="BM152" s="54" t="b">
        <v>1</v>
      </c>
      <c r="BN152" s="54" t="b">
        <v>0</v>
      </c>
      <c r="BO152" s="54" t="b">
        <v>0</v>
      </c>
    </row>
    <row r="153" hidden="1" outlineLevel="1">
      <c r="A153" s="47" t="str">
        <f>A152&amp;C153</f>
        <v>SeptemberGANESHOT HOURS</v>
      </c>
      <c r="B153" s="48"/>
      <c r="C153" s="49" t="s">
        <v>120</v>
      </c>
      <c r="D153" s="33"/>
      <c r="E153" s="45">
        <f>(F153+G153+H153+I153+J153+K153+L153+M153+N153+O153+P153+Q153+R153+S153+T153+U153+V153+W153+X153+Y153+Z153+AA153+AB153+AC153+AD153+AE153+AF153+AG153+AH153+AI153+AJ153+AK153+AL153+AM153+AN153+AO153+AP153+AQ153+AR153+AS153+AT153+AU153+AV153+AW153+AX153+AY153+AZ153+BA153+BB153+BC153+BD153+BE153+BF153+BG153+BH153+BI153+BJ153+BK153+BL153+BM153+BN153+BO153)</f>
        <v>44</v>
      </c>
      <c r="F153" s="59"/>
      <c r="G153" s="33"/>
      <c r="H153" s="59"/>
      <c r="I153" s="33"/>
      <c r="J153" s="59"/>
      <c r="K153" s="33"/>
      <c r="L153" s="60"/>
      <c r="M153" s="33"/>
      <c r="N153" s="59">
        <v>2.0</v>
      </c>
      <c r="O153" s="33"/>
      <c r="P153" s="60"/>
      <c r="Q153" s="33"/>
      <c r="R153" s="60"/>
      <c r="S153" s="33"/>
      <c r="T153" s="60"/>
      <c r="U153" s="33"/>
      <c r="V153" s="60"/>
      <c r="W153" s="33"/>
      <c r="X153" s="60"/>
      <c r="Y153" s="33"/>
      <c r="Z153" s="60"/>
      <c r="AA153" s="33"/>
      <c r="AB153" s="60"/>
      <c r="AC153" s="33"/>
      <c r="AD153" s="60"/>
      <c r="AE153" s="33"/>
      <c r="AF153" s="59">
        <v>1.0</v>
      </c>
      <c r="AG153" s="33"/>
      <c r="AH153" s="60"/>
      <c r="AI153" s="33"/>
      <c r="AJ153" s="59">
        <v>1.0</v>
      </c>
      <c r="AK153" s="33"/>
      <c r="AL153" s="59">
        <v>2.0</v>
      </c>
      <c r="AM153" s="33"/>
      <c r="AN153" s="60"/>
      <c r="AO153" s="33"/>
      <c r="AP153" s="59">
        <v>3.0</v>
      </c>
      <c r="AQ153" s="33"/>
      <c r="AR153" s="59">
        <v>2.0</v>
      </c>
      <c r="AS153" s="33"/>
      <c r="AT153" s="60"/>
      <c r="AU153" s="33"/>
      <c r="AV153" s="59">
        <v>9.0</v>
      </c>
      <c r="AW153" s="33"/>
      <c r="AX153" s="59">
        <v>10.0</v>
      </c>
      <c r="AY153" s="33"/>
      <c r="AZ153" s="60"/>
      <c r="BA153" s="33"/>
      <c r="BB153" s="59">
        <v>2.0</v>
      </c>
      <c r="BC153" s="33"/>
      <c r="BD153" s="60"/>
      <c r="BE153" s="33"/>
      <c r="BF153" s="60"/>
      <c r="BG153" s="33"/>
      <c r="BH153" s="59">
        <v>4.0</v>
      </c>
      <c r="BI153" s="33"/>
      <c r="BJ153" s="59">
        <v>6.0</v>
      </c>
      <c r="BK153" s="33"/>
      <c r="BL153" s="59">
        <v>2.0</v>
      </c>
      <c r="BM153" s="33"/>
      <c r="BN153" s="60"/>
      <c r="BO153" s="33"/>
    </row>
    <row r="154" hidden="1" outlineLevel="1">
      <c r="A154" s="66" t="str">
        <f>B154&amp;D154</f>
        <v>SeptemberADHIKARI BALIA</v>
      </c>
      <c r="B154" s="67" t="s">
        <v>29</v>
      </c>
      <c r="C154" s="68" t="s">
        <v>22</v>
      </c>
      <c r="D154" s="69" t="str">
        <f>IFERROR(VLOOKUP(C154,'Employees List'!$B$2:$C$28,2,0),"")</f>
        <v>ADHIKARI BALIA</v>
      </c>
      <c r="E154" s="70">
        <f>(F154+G154+H154+I154+J154+K154+L154+M154+N154+O154+P154+Q154+R154+S154+T154+U154+V154+W154+X154+Y154+Z154+AA154+AB154+AC154+AD154+AE154+AF154+AG154+AH154+AI154+AJ154+AK154+AL154+AM154+AN154+AO154+AP154+AQ154+AR154+AS154+AT154+AU154+AV154+AW154+AX154+AY154+AZ154+BA154+BB154+BC154+BD154+BE154+BF154+BG154+BH154+BI154+BJ154+BK154+BL154+BM154+BN154+BO154)/2</f>
        <v>30</v>
      </c>
      <c r="F154" s="54" t="b">
        <v>1</v>
      </c>
      <c r="G154" s="54" t="b">
        <v>1</v>
      </c>
      <c r="H154" s="54" t="b">
        <v>1</v>
      </c>
      <c r="I154" s="54" t="b">
        <v>1</v>
      </c>
      <c r="J154" s="54" t="b">
        <v>1</v>
      </c>
      <c r="K154" s="54" t="b">
        <v>1</v>
      </c>
      <c r="L154" s="54" t="b">
        <v>1</v>
      </c>
      <c r="M154" s="54" t="b">
        <v>1</v>
      </c>
      <c r="N154" s="54" t="b">
        <v>1</v>
      </c>
      <c r="O154" s="54" t="b">
        <v>1</v>
      </c>
      <c r="P154" s="54" t="b">
        <v>1</v>
      </c>
      <c r="Q154" s="54" t="b">
        <v>1</v>
      </c>
      <c r="R154" s="54" t="b">
        <v>1</v>
      </c>
      <c r="S154" s="54" t="b">
        <v>1</v>
      </c>
      <c r="T154" s="54" t="b">
        <v>1</v>
      </c>
      <c r="U154" s="54" t="b">
        <v>1</v>
      </c>
      <c r="V154" s="54" t="b">
        <v>1</v>
      </c>
      <c r="W154" s="54" t="b">
        <v>1</v>
      </c>
      <c r="X154" s="54" t="b">
        <v>1</v>
      </c>
      <c r="Y154" s="54" t="b">
        <v>1</v>
      </c>
      <c r="Z154" s="54" t="b">
        <v>1</v>
      </c>
      <c r="AA154" s="54" t="b">
        <v>1</v>
      </c>
      <c r="AB154" s="54" t="b">
        <v>1</v>
      </c>
      <c r="AC154" s="54" t="b">
        <v>1</v>
      </c>
      <c r="AD154" s="54" t="b">
        <v>1</v>
      </c>
      <c r="AE154" s="54" t="b">
        <v>1</v>
      </c>
      <c r="AF154" s="54" t="b">
        <v>1</v>
      </c>
      <c r="AG154" s="54" t="b">
        <v>1</v>
      </c>
      <c r="AH154" s="54" t="b">
        <v>1</v>
      </c>
      <c r="AI154" s="54" t="b">
        <v>1</v>
      </c>
      <c r="AJ154" s="54" t="b">
        <v>1</v>
      </c>
      <c r="AK154" s="54" t="b">
        <v>1</v>
      </c>
      <c r="AL154" s="54" t="b">
        <v>1</v>
      </c>
      <c r="AM154" s="54" t="b">
        <v>1</v>
      </c>
      <c r="AN154" s="54" t="b">
        <v>1</v>
      </c>
      <c r="AO154" s="54" t="b">
        <v>1</v>
      </c>
      <c r="AP154" s="54" t="b">
        <v>1</v>
      </c>
      <c r="AQ154" s="54" t="b">
        <v>1</v>
      </c>
      <c r="AR154" s="54" t="b">
        <v>1</v>
      </c>
      <c r="AS154" s="54" t="b">
        <v>1</v>
      </c>
      <c r="AT154" s="54" t="b">
        <v>1</v>
      </c>
      <c r="AU154" s="54" t="b">
        <v>1</v>
      </c>
      <c r="AV154" s="54" t="b">
        <v>1</v>
      </c>
      <c r="AW154" s="54" t="b">
        <v>1</v>
      </c>
      <c r="AX154" s="54" t="b">
        <v>1</v>
      </c>
      <c r="AY154" s="54" t="b">
        <v>1</v>
      </c>
      <c r="AZ154" s="54" t="b">
        <v>1</v>
      </c>
      <c r="BA154" s="54" t="b">
        <v>1</v>
      </c>
      <c r="BB154" s="54" t="b">
        <v>1</v>
      </c>
      <c r="BC154" s="54" t="b">
        <v>1</v>
      </c>
      <c r="BD154" s="54" t="b">
        <v>1</v>
      </c>
      <c r="BE154" s="54" t="b">
        <v>1</v>
      </c>
      <c r="BF154" s="54" t="b">
        <v>1</v>
      </c>
      <c r="BG154" s="54" t="b">
        <v>1</v>
      </c>
      <c r="BH154" s="54" t="b">
        <v>1</v>
      </c>
      <c r="BI154" s="54" t="b">
        <v>1</v>
      </c>
      <c r="BJ154" s="54" t="b">
        <v>1</v>
      </c>
      <c r="BK154" s="54" t="b">
        <v>1</v>
      </c>
      <c r="BL154" s="54" t="b">
        <v>1</v>
      </c>
      <c r="BM154" s="54" t="b">
        <v>1</v>
      </c>
      <c r="BN154" s="61" t="b">
        <v>0</v>
      </c>
      <c r="BO154" s="61" t="b">
        <v>0</v>
      </c>
    </row>
    <row r="155" hidden="1" outlineLevel="1">
      <c r="A155" s="71" t="str">
        <f>A154&amp;C155</f>
        <v>SeptemberADHIKARI BALIAOT HOURS</v>
      </c>
      <c r="B155" s="72"/>
      <c r="C155" s="73" t="s">
        <v>120</v>
      </c>
      <c r="D155" s="33"/>
      <c r="E155" s="70">
        <f>(F155+G155+H155+I155+J155+K155+L155+M155+N155+O155+P155+Q155+R155+S155+T155+U155+V155+W155+X155+Y155+Z155+AA155+AB155+AC155+AD155+AE155+AF155+AG155+AH155+AI155+AJ155+AK155+AL155+AM155+AN155+AO155+AP155+AQ155+AR155+AS155+AT155+AU155+AV155+AW155+AX155+AY155+AZ155+BA155+BB155+BC155+BD155+BE155+BF155+BG155+BH155+BI155+BJ155+BK155+BL155+BM155+BN155+BO155)</f>
        <v>57</v>
      </c>
      <c r="F155" s="74">
        <v>5.0</v>
      </c>
      <c r="G155" s="33"/>
      <c r="H155" s="75">
        <v>2.0</v>
      </c>
      <c r="I155" s="33"/>
      <c r="J155" s="76"/>
      <c r="K155" s="33"/>
      <c r="L155" s="76"/>
      <c r="M155" s="33"/>
      <c r="N155" s="75">
        <v>2.0</v>
      </c>
      <c r="O155" s="33"/>
      <c r="P155" s="76"/>
      <c r="Q155" s="33"/>
      <c r="R155" s="76"/>
      <c r="S155" s="33"/>
      <c r="T155" s="76"/>
      <c r="U155" s="33"/>
      <c r="V155" s="76"/>
      <c r="W155" s="33"/>
      <c r="X155" s="76"/>
      <c r="Y155" s="33"/>
      <c r="Z155" s="76"/>
      <c r="AA155" s="33"/>
      <c r="AB155" s="76"/>
      <c r="AC155" s="33"/>
      <c r="AD155" s="76"/>
      <c r="AE155" s="33"/>
      <c r="AF155" s="74">
        <v>1.0</v>
      </c>
      <c r="AG155" s="33"/>
      <c r="AH155" s="76"/>
      <c r="AI155" s="33"/>
      <c r="AJ155" s="75">
        <v>1.0</v>
      </c>
      <c r="AK155" s="33"/>
      <c r="AL155" s="75">
        <v>2.0</v>
      </c>
      <c r="AM155" s="33"/>
      <c r="AN155" s="76"/>
      <c r="AO155" s="33"/>
      <c r="AP155" s="75">
        <v>3.0</v>
      </c>
      <c r="AQ155" s="33"/>
      <c r="AR155" s="75">
        <v>2.0</v>
      </c>
      <c r="AS155" s="33"/>
      <c r="AT155" s="75">
        <v>2.0</v>
      </c>
      <c r="AU155" s="33"/>
      <c r="AV155" s="75">
        <v>9.0</v>
      </c>
      <c r="AW155" s="33"/>
      <c r="AX155" s="75">
        <v>9.0</v>
      </c>
      <c r="AY155" s="33"/>
      <c r="AZ155" s="76"/>
      <c r="BA155" s="33"/>
      <c r="BB155" s="76"/>
      <c r="BC155" s="33"/>
      <c r="BD155" s="75">
        <v>3.0</v>
      </c>
      <c r="BE155" s="33"/>
      <c r="BF155" s="75">
        <v>4.0</v>
      </c>
      <c r="BG155" s="33"/>
      <c r="BH155" s="75">
        <v>4.0</v>
      </c>
      <c r="BI155" s="33"/>
      <c r="BJ155" s="75">
        <v>6.0</v>
      </c>
      <c r="BK155" s="33"/>
      <c r="BL155" s="74">
        <v>2.0</v>
      </c>
      <c r="BM155" s="33"/>
      <c r="BN155" s="76"/>
      <c r="BO155" s="33"/>
    </row>
    <row r="156" hidden="1" outlineLevel="1">
      <c r="A156" s="66" t="str">
        <f>B156&amp;D156</f>
        <v>SeptemberRUPESH</v>
      </c>
      <c r="B156" s="67" t="s">
        <v>29</v>
      </c>
      <c r="C156" s="77" t="s">
        <v>26</v>
      </c>
      <c r="D156" s="69" t="str">
        <f>IFERROR(VLOOKUP(C156,'Employees List'!$B$2:$C$28,2,0),"")</f>
        <v>RUPESH</v>
      </c>
      <c r="E156" s="70">
        <f>(F156+G156+H156+I156+J156+K156+L156+M156+N156+O156+P156+Q156+R156+S156+T156+U156+V156+W156+X156+Y156+Z156+AA156+AB156+AC156+AD156+AE156+AF156+AG156+AH156+AI156+AJ156+AK156+AL156+AM156+AN156+AO156+AP156+AQ156+AR156+AS156+AT156+AU156+AV156+AW156+AX156+AY156+AZ156+BA156+BB156+BC156+BD156+BE156+BF156+BG156+BH156+BI156+BJ156+BK156+BL156+BM156+BN156+BO156)/2</f>
        <v>29</v>
      </c>
      <c r="F156" s="54" t="b">
        <v>1</v>
      </c>
      <c r="G156" s="54" t="b">
        <v>1</v>
      </c>
      <c r="H156" s="54" t="b">
        <v>1</v>
      </c>
      <c r="I156" s="54" t="b">
        <v>1</v>
      </c>
      <c r="J156" s="54" t="b">
        <v>1</v>
      </c>
      <c r="K156" s="54" t="b">
        <v>1</v>
      </c>
      <c r="L156" s="54" t="b">
        <v>1</v>
      </c>
      <c r="M156" s="54" t="b">
        <v>1</v>
      </c>
      <c r="N156" s="61" t="b">
        <v>0</v>
      </c>
      <c r="O156" s="61" t="b">
        <v>0</v>
      </c>
      <c r="P156" s="54" t="b">
        <v>1</v>
      </c>
      <c r="Q156" s="54" t="b">
        <v>1</v>
      </c>
      <c r="R156" s="54" t="b">
        <v>1</v>
      </c>
      <c r="S156" s="54" t="b">
        <v>1</v>
      </c>
      <c r="T156" s="54" t="b">
        <v>1</v>
      </c>
      <c r="U156" s="54" t="b">
        <v>1</v>
      </c>
      <c r="V156" s="54" t="b">
        <v>1</v>
      </c>
      <c r="W156" s="54" t="b">
        <v>1</v>
      </c>
      <c r="X156" s="54" t="b">
        <v>1</v>
      </c>
      <c r="Y156" s="54" t="b">
        <v>1</v>
      </c>
      <c r="Z156" s="54" t="b">
        <v>1</v>
      </c>
      <c r="AA156" s="54" t="b">
        <v>1</v>
      </c>
      <c r="AB156" s="54" t="b">
        <v>1</v>
      </c>
      <c r="AC156" s="54" t="b">
        <v>1</v>
      </c>
      <c r="AD156" s="54" t="b">
        <v>1</v>
      </c>
      <c r="AE156" s="54" t="b">
        <v>1</v>
      </c>
      <c r="AF156" s="54" t="b">
        <v>1</v>
      </c>
      <c r="AG156" s="54" t="b">
        <v>1</v>
      </c>
      <c r="AH156" s="54" t="b">
        <v>1</v>
      </c>
      <c r="AI156" s="54" t="b">
        <v>1</v>
      </c>
      <c r="AJ156" s="54" t="b">
        <v>1</v>
      </c>
      <c r="AK156" s="54" t="b">
        <v>1</v>
      </c>
      <c r="AL156" s="54" t="b">
        <v>1</v>
      </c>
      <c r="AM156" s="54" t="b">
        <v>1</v>
      </c>
      <c r="AN156" s="54" t="b">
        <v>1</v>
      </c>
      <c r="AO156" s="54" t="b">
        <v>1</v>
      </c>
      <c r="AP156" s="54" t="b">
        <v>1</v>
      </c>
      <c r="AQ156" s="54" t="b">
        <v>1</v>
      </c>
      <c r="AR156" s="54" t="b">
        <v>1</v>
      </c>
      <c r="AS156" s="54" t="b">
        <v>1</v>
      </c>
      <c r="AT156" s="54" t="b">
        <v>1</v>
      </c>
      <c r="AU156" s="54" t="b">
        <v>1</v>
      </c>
      <c r="AV156" s="54" t="b">
        <v>1</v>
      </c>
      <c r="AW156" s="54" t="b">
        <v>1</v>
      </c>
      <c r="AX156" s="54" t="b">
        <v>1</v>
      </c>
      <c r="AY156" s="54" t="b">
        <v>1</v>
      </c>
      <c r="AZ156" s="54" t="b">
        <v>1</v>
      </c>
      <c r="BA156" s="54" t="b">
        <v>1</v>
      </c>
      <c r="BB156" s="54" t="b">
        <v>1</v>
      </c>
      <c r="BC156" s="54" t="b">
        <v>1</v>
      </c>
      <c r="BD156" s="54" t="b">
        <v>1</v>
      </c>
      <c r="BE156" s="54" t="b">
        <v>1</v>
      </c>
      <c r="BF156" s="54" t="b">
        <v>1</v>
      </c>
      <c r="BG156" s="54" t="b">
        <v>1</v>
      </c>
      <c r="BH156" s="54" t="b">
        <v>1</v>
      </c>
      <c r="BI156" s="54" t="b">
        <v>1</v>
      </c>
      <c r="BJ156" s="54" t="b">
        <v>1</v>
      </c>
      <c r="BK156" s="54" t="b">
        <v>1</v>
      </c>
      <c r="BL156" s="54" t="b">
        <v>1</v>
      </c>
      <c r="BM156" s="54" t="b">
        <v>1</v>
      </c>
      <c r="BN156" s="61" t="b">
        <v>0</v>
      </c>
      <c r="BO156" s="61" t="b">
        <v>0</v>
      </c>
    </row>
    <row r="157" hidden="1" outlineLevel="1">
      <c r="A157" s="71" t="str">
        <f>A156&amp;C157</f>
        <v>SeptemberRUPESHOT HOURS</v>
      </c>
      <c r="B157" s="72"/>
      <c r="C157" s="73" t="s">
        <v>120</v>
      </c>
      <c r="D157" s="33"/>
      <c r="E157" s="70">
        <f>(F157+G157+H157+I157+J157+K157+L157+M157+N157+O157+P157+Q157+R157+S157+T157+U157+V157+W157+X157+Y157+Z157+AA157+AB157+AC157+AD157+AE157+AF157+AG157+AH157+AI157+AJ157+AK157+AL157+AM157+AN157+AO157+AP157+AQ157+AR157+AS157+AT157+AU157+AV157+AW157+AX157+AY157+AZ157+BA157+BB157+BC157+BD157+BE157+BF157+BG157+BH157+BI157+BJ157+BK157+BL157+BM157+BN157+BO157)</f>
        <v>53</v>
      </c>
      <c r="F157" s="74">
        <v>5.0</v>
      </c>
      <c r="G157" s="33"/>
      <c r="H157" s="75">
        <v>2.0</v>
      </c>
      <c r="I157" s="33"/>
      <c r="J157" s="75">
        <v>3.0</v>
      </c>
      <c r="K157" s="33"/>
      <c r="L157" s="76"/>
      <c r="M157" s="33"/>
      <c r="N157" s="78"/>
      <c r="O157" s="33"/>
      <c r="P157" s="76"/>
      <c r="Q157" s="33"/>
      <c r="R157" s="76"/>
      <c r="S157" s="33"/>
      <c r="T157" s="76"/>
      <c r="U157" s="33"/>
      <c r="V157" s="76"/>
      <c r="W157" s="33"/>
      <c r="X157" s="76"/>
      <c r="Y157" s="33"/>
      <c r="Z157" s="76"/>
      <c r="AA157" s="33"/>
      <c r="AB157" s="76"/>
      <c r="AC157" s="33"/>
      <c r="AD157" s="75">
        <v>3.0</v>
      </c>
      <c r="AE157" s="33"/>
      <c r="AF157" s="74">
        <v>1.0</v>
      </c>
      <c r="AG157" s="33"/>
      <c r="AH157" s="76"/>
      <c r="AI157" s="33"/>
      <c r="AJ157" s="75">
        <v>1.0</v>
      </c>
      <c r="AK157" s="33"/>
      <c r="AL157" s="75">
        <v>2.0</v>
      </c>
      <c r="AM157" s="33"/>
      <c r="AN157" s="76"/>
      <c r="AO157" s="33"/>
      <c r="AP157" s="75">
        <v>3.0</v>
      </c>
      <c r="AQ157" s="33"/>
      <c r="AR157" s="75">
        <v>2.0</v>
      </c>
      <c r="AS157" s="33"/>
      <c r="AT157" s="78"/>
      <c r="AU157" s="33"/>
      <c r="AV157" s="75">
        <v>7.0</v>
      </c>
      <c r="AW157" s="33"/>
      <c r="AX157" s="75">
        <v>4.0</v>
      </c>
      <c r="AY157" s="33"/>
      <c r="AZ157" s="76"/>
      <c r="BA157" s="33"/>
      <c r="BB157" s="78"/>
      <c r="BC157" s="33"/>
      <c r="BD157" s="75">
        <v>3.0</v>
      </c>
      <c r="BE157" s="33"/>
      <c r="BF157" s="75">
        <v>4.0</v>
      </c>
      <c r="BG157" s="33"/>
      <c r="BH157" s="75">
        <v>4.0</v>
      </c>
      <c r="BI157" s="33"/>
      <c r="BJ157" s="75">
        <v>7.0</v>
      </c>
      <c r="BK157" s="33"/>
      <c r="BL157" s="74">
        <v>2.0</v>
      </c>
      <c r="BM157" s="33"/>
      <c r="BN157" s="76"/>
      <c r="BO157" s="33"/>
    </row>
    <row r="158" hidden="1" outlineLevel="1">
      <c r="A158" s="66" t="str">
        <f>B158&amp;D158</f>
        <v>SeptemberSANJAI BHAGAT</v>
      </c>
      <c r="B158" s="67" t="s">
        <v>29</v>
      </c>
      <c r="C158" s="77" t="s">
        <v>30</v>
      </c>
      <c r="D158" s="69" t="str">
        <f>IFERROR(VLOOKUP(C158,'Employees List'!$B$2:$C$28,2,0),"")</f>
        <v>SANJAI BHAGAT</v>
      </c>
      <c r="E158" s="70">
        <f>(F158+G158+H158+I158+J158+K158+L158+M158+N158+O158+P158+Q158+R158+S158+T158+U158+V158+W158+X158+Y158+Z158+AA158+AB158+AC158+AD158+AE158+AF158+AG158+AH158+AI158+AJ158+AK158+AL158+AM158+AN158+AO158+AP158+AQ158+AR158+AS158+AT158+AU158+AV158+AW158+AX158+AY158+AZ158+BA158+BB158+BC158+BD158+BE158+BF158+BG158+BH158+BI158+BJ158+BK158+BL158+BM158+BN158+BO158)/2</f>
        <v>30</v>
      </c>
      <c r="F158" s="54" t="b">
        <v>1</v>
      </c>
      <c r="G158" s="54" t="b">
        <v>1</v>
      </c>
      <c r="H158" s="54" t="b">
        <v>1</v>
      </c>
      <c r="I158" s="54" t="b">
        <v>1</v>
      </c>
      <c r="J158" s="54" t="b">
        <v>1</v>
      </c>
      <c r="K158" s="54" t="b">
        <v>1</v>
      </c>
      <c r="L158" s="54" t="b">
        <v>1</v>
      </c>
      <c r="M158" s="54" t="b">
        <v>1</v>
      </c>
      <c r="N158" s="54" t="b">
        <v>1</v>
      </c>
      <c r="O158" s="54" t="b">
        <v>1</v>
      </c>
      <c r="P158" s="54" t="b">
        <v>1</v>
      </c>
      <c r="Q158" s="54" t="b">
        <v>1</v>
      </c>
      <c r="R158" s="54" t="b">
        <v>1</v>
      </c>
      <c r="S158" s="54" t="b">
        <v>1</v>
      </c>
      <c r="T158" s="54" t="b">
        <v>1</v>
      </c>
      <c r="U158" s="54" t="b">
        <v>1</v>
      </c>
      <c r="V158" s="54" t="b">
        <v>1</v>
      </c>
      <c r="W158" s="54" t="b">
        <v>1</v>
      </c>
      <c r="X158" s="54" t="b">
        <v>1</v>
      </c>
      <c r="Y158" s="54" t="b">
        <v>1</v>
      </c>
      <c r="Z158" s="54" t="b">
        <v>1</v>
      </c>
      <c r="AA158" s="54" t="b">
        <v>1</v>
      </c>
      <c r="AB158" s="54" t="b">
        <v>1</v>
      </c>
      <c r="AC158" s="54" t="b">
        <v>1</v>
      </c>
      <c r="AD158" s="54" t="b">
        <v>1</v>
      </c>
      <c r="AE158" s="54" t="b">
        <v>1</v>
      </c>
      <c r="AF158" s="54" t="b">
        <v>1</v>
      </c>
      <c r="AG158" s="54" t="b">
        <v>1</v>
      </c>
      <c r="AH158" s="54" t="b">
        <v>1</v>
      </c>
      <c r="AI158" s="54" t="b">
        <v>1</v>
      </c>
      <c r="AJ158" s="54" t="b">
        <v>1</v>
      </c>
      <c r="AK158" s="54" t="b">
        <v>1</v>
      </c>
      <c r="AL158" s="54" t="b">
        <v>1</v>
      </c>
      <c r="AM158" s="54" t="b">
        <v>1</v>
      </c>
      <c r="AN158" s="54" t="b">
        <v>1</v>
      </c>
      <c r="AO158" s="54" t="b">
        <v>1</v>
      </c>
      <c r="AP158" s="54" t="b">
        <v>1</v>
      </c>
      <c r="AQ158" s="54" t="b">
        <v>1</v>
      </c>
      <c r="AR158" s="54" t="b">
        <v>1</v>
      </c>
      <c r="AS158" s="54" t="b">
        <v>1</v>
      </c>
      <c r="AT158" s="54" t="b">
        <v>1</v>
      </c>
      <c r="AU158" s="54" t="b">
        <v>1</v>
      </c>
      <c r="AV158" s="54" t="b">
        <v>1</v>
      </c>
      <c r="AW158" s="54" t="b">
        <v>1</v>
      </c>
      <c r="AX158" s="54" t="b">
        <v>1</v>
      </c>
      <c r="AY158" s="54" t="b">
        <v>1</v>
      </c>
      <c r="AZ158" s="54" t="b">
        <v>1</v>
      </c>
      <c r="BA158" s="54" t="b">
        <v>1</v>
      </c>
      <c r="BB158" s="54" t="b">
        <v>1</v>
      </c>
      <c r="BC158" s="54" t="b">
        <v>1</v>
      </c>
      <c r="BD158" s="54" t="b">
        <v>1</v>
      </c>
      <c r="BE158" s="54" t="b">
        <v>1</v>
      </c>
      <c r="BF158" s="54" t="b">
        <v>1</v>
      </c>
      <c r="BG158" s="54" t="b">
        <v>1</v>
      </c>
      <c r="BH158" s="54" t="b">
        <v>1</v>
      </c>
      <c r="BI158" s="54" t="b">
        <v>1</v>
      </c>
      <c r="BJ158" s="54" t="b">
        <v>1</v>
      </c>
      <c r="BK158" s="54" t="b">
        <v>1</v>
      </c>
      <c r="BL158" s="54" t="b">
        <v>1</v>
      </c>
      <c r="BM158" s="54" t="b">
        <v>1</v>
      </c>
      <c r="BN158" s="61" t="b">
        <v>0</v>
      </c>
      <c r="BO158" s="61" t="b">
        <v>0</v>
      </c>
    </row>
    <row r="159" hidden="1" outlineLevel="1">
      <c r="A159" s="71" t="str">
        <f>A158&amp;C159</f>
        <v>SeptemberSANJAI BHAGATOT HOURS</v>
      </c>
      <c r="B159" s="72"/>
      <c r="C159" s="73" t="s">
        <v>120</v>
      </c>
      <c r="D159" s="33"/>
      <c r="E159" s="70">
        <f>(F159+G159+H159+I159+J159+K159+L159+M159+N159+O159+P159+Q159+R159+S159+T159+U159+V159+W159+X159+Y159+Z159+AA159+AB159+AC159+AD159+AE159+AF159+AG159+AH159+AI159+AJ159+AK159+AL159+AM159+AN159+AO159+AP159+AQ159+AR159+AS159+AT159+AU159+AV159+AW159+AX159+AY159+AZ159+BA159+BB159+BC159+BD159+BE159+BF159+BG159+BH159+BI159+BJ159+BK159+BL159+BM159+BN159+BO159)</f>
        <v>101</v>
      </c>
      <c r="F159" s="74">
        <v>7.0</v>
      </c>
      <c r="G159" s="33"/>
      <c r="H159" s="75">
        <v>2.0</v>
      </c>
      <c r="I159" s="33"/>
      <c r="J159" s="76"/>
      <c r="K159" s="33"/>
      <c r="L159" s="75">
        <v>1.0</v>
      </c>
      <c r="M159" s="33"/>
      <c r="N159" s="75">
        <v>5.0</v>
      </c>
      <c r="O159" s="33"/>
      <c r="P159" s="76"/>
      <c r="Q159" s="33"/>
      <c r="R159" s="76"/>
      <c r="S159" s="33"/>
      <c r="T159" s="76"/>
      <c r="U159" s="33"/>
      <c r="V159" s="76"/>
      <c r="W159" s="33"/>
      <c r="X159" s="75">
        <v>1.0</v>
      </c>
      <c r="Y159" s="33"/>
      <c r="Z159" s="75"/>
      <c r="AA159" s="33"/>
      <c r="AB159" s="76"/>
      <c r="AC159" s="33"/>
      <c r="AD159" s="75">
        <v>3.0</v>
      </c>
      <c r="AE159" s="33"/>
      <c r="AF159" s="74">
        <v>4.0</v>
      </c>
      <c r="AG159" s="33"/>
      <c r="AH159" s="74">
        <v>3.0</v>
      </c>
      <c r="AI159" s="33"/>
      <c r="AJ159" s="75">
        <v>4.0</v>
      </c>
      <c r="AK159" s="33"/>
      <c r="AL159" s="75">
        <v>5.0</v>
      </c>
      <c r="AM159" s="33"/>
      <c r="AN159" s="76"/>
      <c r="AO159" s="33"/>
      <c r="AP159" s="75">
        <v>6.0</v>
      </c>
      <c r="AQ159" s="33"/>
      <c r="AR159" s="75">
        <v>5.0</v>
      </c>
      <c r="AS159" s="33"/>
      <c r="AT159" s="75">
        <v>3.0</v>
      </c>
      <c r="AU159" s="33"/>
      <c r="AV159" s="75">
        <v>9.0</v>
      </c>
      <c r="AW159" s="33"/>
      <c r="AX159" s="75">
        <v>9.0</v>
      </c>
      <c r="AY159" s="33"/>
      <c r="AZ159" s="75">
        <v>3.0</v>
      </c>
      <c r="BA159" s="33"/>
      <c r="BB159" s="75">
        <v>2.0</v>
      </c>
      <c r="BC159" s="33"/>
      <c r="BD159" s="75">
        <v>3.0</v>
      </c>
      <c r="BE159" s="33"/>
      <c r="BF159" s="75">
        <v>5.0</v>
      </c>
      <c r="BG159" s="33"/>
      <c r="BH159" s="75">
        <v>7.0</v>
      </c>
      <c r="BI159" s="33"/>
      <c r="BJ159" s="75">
        <v>10.0</v>
      </c>
      <c r="BK159" s="33"/>
      <c r="BL159" s="74">
        <v>4.0</v>
      </c>
      <c r="BM159" s="33"/>
      <c r="BN159" s="76"/>
      <c r="BO159" s="33"/>
    </row>
    <row r="160" hidden="1" outlineLevel="1">
      <c r="A160" s="66" t="str">
        <f>B160&amp;D160</f>
        <v>SeptemberJAGABANDH</v>
      </c>
      <c r="B160" s="67" t="s">
        <v>29</v>
      </c>
      <c r="C160" s="77" t="s">
        <v>80</v>
      </c>
      <c r="D160" s="69" t="str">
        <f>IFERROR(VLOOKUP(C160,'Employees List'!$B$2:$C$28,2,0),"")</f>
        <v>JAGABANDH</v>
      </c>
      <c r="E160" s="70">
        <f>(F160+G160+H160+I160+J160+K160+L160+M160+N160+O160+P160+Q160+R160+S160+T160+U160+V160+W160+X160+Y160+Z160+AA160+AB160+AC160+AD160+AE160+AF160+AG160+AH160+AI160+AJ160+AK160+AL160+AM160+AN160+AO160+AP160+AQ160+AR160+AS160+AT160+AU160+AV160+AW160+AX160+AY160+AZ160+BA160+BB160+BC160+BD160+BE160+BF160+BG160+BH160+BI160+BJ160+BK160+BL160+BM160+BN160+BO160)/2</f>
        <v>29</v>
      </c>
      <c r="F160" s="54" t="b">
        <v>1</v>
      </c>
      <c r="G160" s="54" t="b">
        <v>1</v>
      </c>
      <c r="H160" s="54" t="b">
        <v>1</v>
      </c>
      <c r="I160" s="54" t="b">
        <v>1</v>
      </c>
      <c r="J160" s="54" t="b">
        <v>1</v>
      </c>
      <c r="K160" s="54" t="b">
        <v>1</v>
      </c>
      <c r="L160" s="54" t="b">
        <v>1</v>
      </c>
      <c r="M160" s="54" t="b">
        <v>1</v>
      </c>
      <c r="N160" s="54" t="b">
        <v>1</v>
      </c>
      <c r="O160" s="54" t="b">
        <v>1</v>
      </c>
      <c r="P160" s="54" t="b">
        <v>1</v>
      </c>
      <c r="Q160" s="54" t="b">
        <v>1</v>
      </c>
      <c r="R160" s="54" t="b">
        <v>1</v>
      </c>
      <c r="S160" s="54" t="b">
        <v>1</v>
      </c>
      <c r="T160" s="54" t="b">
        <v>1</v>
      </c>
      <c r="U160" s="54" t="b">
        <v>1</v>
      </c>
      <c r="V160" s="54" t="b">
        <v>1</v>
      </c>
      <c r="W160" s="54" t="b">
        <v>1</v>
      </c>
      <c r="X160" s="54" t="b">
        <v>1</v>
      </c>
      <c r="Y160" s="54" t="b">
        <v>1</v>
      </c>
      <c r="Z160" s="54" t="b">
        <v>1</v>
      </c>
      <c r="AA160" s="54" t="b">
        <v>1</v>
      </c>
      <c r="AB160" s="54" t="b">
        <v>1</v>
      </c>
      <c r="AC160" s="54" t="b">
        <v>1</v>
      </c>
      <c r="AD160" s="54" t="b">
        <v>1</v>
      </c>
      <c r="AE160" s="54" t="b">
        <v>1</v>
      </c>
      <c r="AF160" s="54" t="b">
        <v>1</v>
      </c>
      <c r="AG160" s="54" t="b">
        <v>1</v>
      </c>
      <c r="AH160" s="54" t="b">
        <v>1</v>
      </c>
      <c r="AI160" s="54" t="b">
        <v>1</v>
      </c>
      <c r="AJ160" s="54" t="b">
        <v>1</v>
      </c>
      <c r="AK160" s="54" t="b">
        <v>1</v>
      </c>
      <c r="AL160" s="54" t="b">
        <v>1</v>
      </c>
      <c r="AM160" s="54" t="b">
        <v>1</v>
      </c>
      <c r="AN160" s="54" t="b">
        <v>1</v>
      </c>
      <c r="AO160" s="54" t="b">
        <v>1</v>
      </c>
      <c r="AP160" s="54" t="b">
        <v>1</v>
      </c>
      <c r="AQ160" s="54" t="b">
        <v>1</v>
      </c>
      <c r="AR160" s="54" t="b">
        <v>1</v>
      </c>
      <c r="AS160" s="54" t="b">
        <v>1</v>
      </c>
      <c r="AT160" s="54" t="b">
        <v>1</v>
      </c>
      <c r="AU160" s="54" t="b">
        <v>1</v>
      </c>
      <c r="AV160" s="54" t="b">
        <v>1</v>
      </c>
      <c r="AW160" s="54" t="b">
        <v>1</v>
      </c>
      <c r="AX160" s="54" t="b">
        <v>1</v>
      </c>
      <c r="AY160" s="54" t="b">
        <v>1</v>
      </c>
      <c r="AZ160" s="54" t="b">
        <v>1</v>
      </c>
      <c r="BA160" s="54" t="b">
        <v>1</v>
      </c>
      <c r="BB160" s="54" t="b">
        <v>1</v>
      </c>
      <c r="BC160" s="54" t="b">
        <v>1</v>
      </c>
      <c r="BD160" s="54" t="b">
        <v>0</v>
      </c>
      <c r="BE160" s="54" t="b">
        <v>0</v>
      </c>
      <c r="BF160" s="54" t="b">
        <v>1</v>
      </c>
      <c r="BG160" s="54" t="b">
        <v>1</v>
      </c>
      <c r="BH160" s="54" t="b">
        <v>1</v>
      </c>
      <c r="BI160" s="54" t="b">
        <v>1</v>
      </c>
      <c r="BJ160" s="54" t="b">
        <v>1</v>
      </c>
      <c r="BK160" s="54" t="b">
        <v>1</v>
      </c>
      <c r="BL160" s="54" t="b">
        <v>1</v>
      </c>
      <c r="BM160" s="54" t="b">
        <v>1</v>
      </c>
      <c r="BN160" s="61" t="b">
        <v>0</v>
      </c>
      <c r="BO160" s="61" t="b">
        <v>0</v>
      </c>
    </row>
    <row r="161" hidden="1" outlineLevel="1">
      <c r="A161" s="71" t="str">
        <f>A160&amp;C161</f>
        <v>SeptemberJAGABANDHOT HOURS</v>
      </c>
      <c r="B161" s="72"/>
      <c r="C161" s="73" t="s">
        <v>120</v>
      </c>
      <c r="D161" s="33"/>
      <c r="E161" s="70">
        <f>(F161+G161+H161+I161+J161+K161+L161+M161+N161+O161+P161+Q161+R161+S161+T161+U161+V161+W161+X161+Y161+Z161+AA161+AB161+AC161+AD161+AE161+AF161+AG161+AH161+AI161+AJ161+AK161+AL161+AM161+AN161+AO161+AP161+AQ161+AR161+AS161+AT161+AU161+AV161+AW161+AX161+AY161+AZ161+BA161+BB161+BC161+BD161+BE161+BF161+BG161+BH161+BI161+BJ161+BK161+BL161+BM161+BN161+BO161)</f>
        <v>52</v>
      </c>
      <c r="F161" s="75">
        <v>5.0</v>
      </c>
      <c r="G161" s="33"/>
      <c r="H161" s="75">
        <v>2.0</v>
      </c>
      <c r="I161" s="33"/>
      <c r="J161" s="76"/>
      <c r="K161" s="33"/>
      <c r="L161" s="75">
        <v>1.0</v>
      </c>
      <c r="M161" s="33"/>
      <c r="N161" s="75">
        <v>2.0</v>
      </c>
      <c r="O161" s="33"/>
      <c r="P161" s="76"/>
      <c r="Q161" s="33"/>
      <c r="R161" s="76"/>
      <c r="S161" s="33"/>
      <c r="T161" s="76"/>
      <c r="U161" s="33"/>
      <c r="V161" s="76"/>
      <c r="W161" s="33"/>
      <c r="X161" s="76"/>
      <c r="Y161" s="33"/>
      <c r="Z161" s="76"/>
      <c r="AA161" s="33"/>
      <c r="AB161" s="76"/>
      <c r="AC161" s="33"/>
      <c r="AD161" s="76"/>
      <c r="AE161" s="33"/>
      <c r="AF161" s="74"/>
      <c r="AG161" s="33"/>
      <c r="AH161" s="76"/>
      <c r="AI161" s="33"/>
      <c r="AJ161" s="75">
        <v>1.0</v>
      </c>
      <c r="AK161" s="33"/>
      <c r="AL161" s="75">
        <v>2.0</v>
      </c>
      <c r="AM161" s="33"/>
      <c r="AN161" s="76"/>
      <c r="AO161" s="33"/>
      <c r="AP161" s="75">
        <v>6.0</v>
      </c>
      <c r="AQ161" s="33"/>
      <c r="AR161" s="75">
        <v>2.0</v>
      </c>
      <c r="AS161" s="33"/>
      <c r="AT161" s="75">
        <v>2.0</v>
      </c>
      <c r="AU161" s="33"/>
      <c r="AV161" s="75">
        <v>4.0</v>
      </c>
      <c r="AW161" s="33"/>
      <c r="AX161" s="75">
        <v>3.0</v>
      </c>
      <c r="AY161" s="33"/>
      <c r="AZ161" s="78"/>
      <c r="BA161" s="33"/>
      <c r="BB161" s="75">
        <v>2.0</v>
      </c>
      <c r="BC161" s="33"/>
      <c r="BD161" s="78"/>
      <c r="BE161" s="33"/>
      <c r="BF161" s="75">
        <v>2.0</v>
      </c>
      <c r="BG161" s="33"/>
      <c r="BH161" s="75">
        <v>4.0</v>
      </c>
      <c r="BI161" s="33"/>
      <c r="BJ161" s="75">
        <v>10.0</v>
      </c>
      <c r="BK161" s="33"/>
      <c r="BL161" s="74">
        <v>4.0</v>
      </c>
      <c r="BM161" s="33"/>
      <c r="BN161" s="76"/>
      <c r="BO161" s="33"/>
    </row>
    <row r="162" hidden="1" outlineLevel="1">
      <c r="A162" s="66" t="str">
        <f>B162&amp;D162</f>
        <v>SeptemberLIPAN</v>
      </c>
      <c r="B162" s="67" t="s">
        <v>29</v>
      </c>
      <c r="C162" s="77" t="s">
        <v>83</v>
      </c>
      <c r="D162" s="69" t="str">
        <f>IFERROR(VLOOKUP(C162,'Employees List'!$B$2:$C$28,2,0),"")</f>
        <v>LIPAN</v>
      </c>
      <c r="E162" s="70">
        <f>(F162+G162+H162+I162+J162+K162+L162+M162+N162+O162+P162+Q162+R162+S162+T162+U162+V162+W162+X162+Y162+Z162+AA162+AB162+AC162+AD162+AE162+AF162+AG162+AH162+AI162+AJ162+AK162+AL162+AM162+AN162+AO162+AP162+AQ162+AR162+AS162+AT162+AU162+AV162+AW162+AX162+AY162+AZ162+BA162+BB162+BC162+BD162+BE162+BF162+BG162+BH162+BI162+BJ162+BK162+BL162+BM162+BN162+BO162)/2</f>
        <v>28</v>
      </c>
      <c r="F162" s="54" t="b">
        <v>1</v>
      </c>
      <c r="G162" s="54" t="b">
        <v>1</v>
      </c>
      <c r="H162" s="54" t="b">
        <v>0</v>
      </c>
      <c r="I162" s="54" t="b">
        <v>0</v>
      </c>
      <c r="J162" s="61" t="b">
        <v>0</v>
      </c>
      <c r="K162" s="61" t="b">
        <v>0</v>
      </c>
      <c r="L162" s="54" t="b">
        <v>1</v>
      </c>
      <c r="M162" s="54" t="b">
        <v>1</v>
      </c>
      <c r="N162" s="54" t="b">
        <v>1</v>
      </c>
      <c r="O162" s="54" t="b">
        <v>1</v>
      </c>
      <c r="P162" s="54" t="b">
        <v>1</v>
      </c>
      <c r="Q162" s="54" t="b">
        <v>1</v>
      </c>
      <c r="R162" s="54" t="b">
        <v>1</v>
      </c>
      <c r="S162" s="54" t="b">
        <v>1</v>
      </c>
      <c r="T162" s="54" t="b">
        <v>1</v>
      </c>
      <c r="U162" s="54" t="b">
        <v>1</v>
      </c>
      <c r="V162" s="54" t="b">
        <v>1</v>
      </c>
      <c r="W162" s="54" t="b">
        <v>1</v>
      </c>
      <c r="X162" s="54" t="b">
        <v>1</v>
      </c>
      <c r="Y162" s="54" t="b">
        <v>1</v>
      </c>
      <c r="Z162" s="54" t="b">
        <v>1</v>
      </c>
      <c r="AA162" s="54" t="b">
        <v>1</v>
      </c>
      <c r="AB162" s="54" t="b">
        <v>1</v>
      </c>
      <c r="AC162" s="54" t="b">
        <v>1</v>
      </c>
      <c r="AD162" s="54" t="b">
        <v>1</v>
      </c>
      <c r="AE162" s="54" t="b">
        <v>1</v>
      </c>
      <c r="AF162" s="54" t="b">
        <v>1</v>
      </c>
      <c r="AG162" s="54" t="b">
        <v>1</v>
      </c>
      <c r="AH162" s="54" t="b">
        <v>1</v>
      </c>
      <c r="AI162" s="54" t="b">
        <v>1</v>
      </c>
      <c r="AJ162" s="54" t="b">
        <v>1</v>
      </c>
      <c r="AK162" s="54" t="b">
        <v>1</v>
      </c>
      <c r="AL162" s="54" t="b">
        <v>1</v>
      </c>
      <c r="AM162" s="54" t="b">
        <v>1</v>
      </c>
      <c r="AN162" s="54" t="b">
        <v>1</v>
      </c>
      <c r="AO162" s="54" t="b">
        <v>1</v>
      </c>
      <c r="AP162" s="54" t="b">
        <v>1</v>
      </c>
      <c r="AQ162" s="54" t="b">
        <v>1</v>
      </c>
      <c r="AR162" s="54" t="b">
        <v>1</v>
      </c>
      <c r="AS162" s="54" t="b">
        <v>1</v>
      </c>
      <c r="AT162" s="54" t="b">
        <v>1</v>
      </c>
      <c r="AU162" s="54" t="b">
        <v>1</v>
      </c>
      <c r="AV162" s="54" t="b">
        <v>1</v>
      </c>
      <c r="AW162" s="54" t="b">
        <v>1</v>
      </c>
      <c r="AX162" s="54" t="b">
        <v>1</v>
      </c>
      <c r="AY162" s="54" t="b">
        <v>1</v>
      </c>
      <c r="AZ162" s="54" t="b">
        <v>1</v>
      </c>
      <c r="BA162" s="54" t="b">
        <v>1</v>
      </c>
      <c r="BB162" s="54" t="b">
        <v>1</v>
      </c>
      <c r="BC162" s="54" t="b">
        <v>1</v>
      </c>
      <c r="BD162" s="54" t="b">
        <v>1</v>
      </c>
      <c r="BE162" s="54" t="b">
        <v>1</v>
      </c>
      <c r="BF162" s="54" t="b">
        <v>1</v>
      </c>
      <c r="BG162" s="54" t="b">
        <v>1</v>
      </c>
      <c r="BH162" s="54" t="b">
        <v>1</v>
      </c>
      <c r="BI162" s="54" t="b">
        <v>1</v>
      </c>
      <c r="BJ162" s="54" t="b">
        <v>1</v>
      </c>
      <c r="BK162" s="54" t="b">
        <v>1</v>
      </c>
      <c r="BL162" s="54" t="b">
        <v>1</v>
      </c>
      <c r="BM162" s="54" t="b">
        <v>1</v>
      </c>
      <c r="BN162" s="61" t="b">
        <v>0</v>
      </c>
      <c r="BO162" s="61" t="b">
        <v>0</v>
      </c>
    </row>
    <row r="163" hidden="1" outlineLevel="1">
      <c r="A163" s="71" t="str">
        <f>A162&amp;C163</f>
        <v>SeptemberLIPANOT HOURS</v>
      </c>
      <c r="B163" s="72"/>
      <c r="C163" s="73" t="s">
        <v>120</v>
      </c>
      <c r="D163" s="33"/>
      <c r="E163" s="70">
        <f>(F163+G163+H163+I163+J163+K163+L163+M163+N163+O163+P163+Q163+R163+S163+T163+U163+V163+W163+X163+Y163+Z163+AA163+AB163+AC163+AD163+AE163+AF163+AG163+AH163+AI163+AJ163+AK163+AL163+AM163+AN163+AO163+AP163+AQ163+AR163+AS163+AT163+AU163+AV163+AW163+AX163+AY163+AZ163+BA163+BB163+BC163+BD163+BE163+BF163+BG163+BH163+BI163+BJ163+BK163+BL163+BM163+BN163+BO163)</f>
        <v>58</v>
      </c>
      <c r="F163" s="75">
        <v>5.0</v>
      </c>
      <c r="G163" s="33"/>
      <c r="H163" s="76"/>
      <c r="I163" s="33"/>
      <c r="J163" s="76"/>
      <c r="K163" s="33"/>
      <c r="L163" s="76"/>
      <c r="M163" s="33"/>
      <c r="N163" s="75">
        <v>2.0</v>
      </c>
      <c r="O163" s="33"/>
      <c r="P163" s="76"/>
      <c r="Q163" s="33"/>
      <c r="R163" s="76"/>
      <c r="S163" s="33"/>
      <c r="T163" s="76"/>
      <c r="U163" s="33"/>
      <c r="V163" s="76"/>
      <c r="W163" s="33"/>
      <c r="X163" s="76"/>
      <c r="Y163" s="33"/>
      <c r="Z163" s="76"/>
      <c r="AA163" s="33"/>
      <c r="AB163" s="76"/>
      <c r="AC163" s="33"/>
      <c r="AD163" s="76"/>
      <c r="AE163" s="33"/>
      <c r="AF163" s="74">
        <v>1.0</v>
      </c>
      <c r="AG163" s="33"/>
      <c r="AH163" s="76"/>
      <c r="AI163" s="33"/>
      <c r="AJ163" s="75">
        <v>1.0</v>
      </c>
      <c r="AK163" s="33"/>
      <c r="AL163" s="75">
        <v>2.0</v>
      </c>
      <c r="AM163" s="33"/>
      <c r="AN163" s="76"/>
      <c r="AO163" s="33"/>
      <c r="AP163" s="75">
        <v>3.0</v>
      </c>
      <c r="AQ163" s="33"/>
      <c r="AR163" s="75">
        <v>2.0</v>
      </c>
      <c r="AS163" s="33"/>
      <c r="AT163" s="75">
        <v>2.0</v>
      </c>
      <c r="AU163" s="33"/>
      <c r="AV163" s="75">
        <v>9.0</v>
      </c>
      <c r="AW163" s="33"/>
      <c r="AX163" s="75">
        <v>3.0</v>
      </c>
      <c r="AY163" s="33"/>
      <c r="AZ163" s="75">
        <v>4.0</v>
      </c>
      <c r="BA163" s="33"/>
      <c r="BB163" s="75">
        <v>2.0</v>
      </c>
      <c r="BC163" s="33"/>
      <c r="BD163" s="75">
        <v>3.0</v>
      </c>
      <c r="BE163" s="33"/>
      <c r="BF163" s="75">
        <v>4.0</v>
      </c>
      <c r="BG163" s="33"/>
      <c r="BH163" s="75">
        <v>4.0</v>
      </c>
      <c r="BI163" s="33"/>
      <c r="BJ163" s="75">
        <v>7.0</v>
      </c>
      <c r="BK163" s="33"/>
      <c r="BL163" s="74">
        <v>4.0</v>
      </c>
      <c r="BM163" s="33"/>
      <c r="BN163" s="76"/>
      <c r="BO163" s="33"/>
    </row>
    <row r="164" hidden="1" outlineLevel="1">
      <c r="A164" s="66" t="str">
        <f>B164&amp;D164</f>
        <v>SeptemberMathi</v>
      </c>
      <c r="B164" s="67" t="s">
        <v>29</v>
      </c>
      <c r="C164" s="77" t="s">
        <v>70</v>
      </c>
      <c r="D164" s="69" t="str">
        <f>IFERROR(VLOOKUP(C164,'Employees List'!$B$2:$C$28,2,0),"")</f>
        <v>Mathi</v>
      </c>
      <c r="E164" s="70">
        <f>(F164+G164+H164+I164+J164+K164+L164+M164+N164+O164+P164+Q164+R164+S164+T164+U164+V164+W164+X164+Y164+Z164+AA164+AB164+AC164+AD164+AE164+AF164+AG164+AH164+AI164+AJ164+AK164+AL164+AM164+AN164+AO164+AP164+AQ164+AR164+AS164+AT164+AU164+AV164+AW164+AX164+AY164+AZ164+BA164+BB164+BC164+BD164+BE164+BF164+BG164+BH164+BI164+BJ164+BK164+BL164+BM164+BN164+BO164)/2</f>
        <v>29</v>
      </c>
      <c r="F164" s="54" t="b">
        <v>1</v>
      </c>
      <c r="G164" s="54" t="b">
        <v>1</v>
      </c>
      <c r="H164" s="54" t="b">
        <v>1</v>
      </c>
      <c r="I164" s="54" t="b">
        <v>1</v>
      </c>
      <c r="J164" s="54" t="b">
        <v>1</v>
      </c>
      <c r="K164" s="54" t="b">
        <v>1</v>
      </c>
      <c r="L164" s="54" t="b">
        <v>1</v>
      </c>
      <c r="M164" s="54" t="b">
        <v>1</v>
      </c>
      <c r="N164" s="54" t="b">
        <v>1</v>
      </c>
      <c r="O164" s="54" t="b">
        <v>1</v>
      </c>
      <c r="P164" s="54" t="b">
        <v>1</v>
      </c>
      <c r="Q164" s="54" t="b">
        <v>1</v>
      </c>
      <c r="R164" s="54" t="b">
        <v>1</v>
      </c>
      <c r="S164" s="54" t="b">
        <v>1</v>
      </c>
      <c r="T164" s="54" t="b">
        <v>1</v>
      </c>
      <c r="U164" s="54" t="b">
        <v>1</v>
      </c>
      <c r="V164" s="61" t="b">
        <v>0</v>
      </c>
      <c r="W164" s="61" t="b">
        <v>0</v>
      </c>
      <c r="X164" s="54" t="b">
        <v>1</v>
      </c>
      <c r="Y164" s="54" t="b">
        <v>1</v>
      </c>
      <c r="Z164" s="54" t="b">
        <v>1</v>
      </c>
      <c r="AA164" s="54" t="b">
        <v>1</v>
      </c>
      <c r="AB164" s="54" t="b">
        <v>1</v>
      </c>
      <c r="AC164" s="54" t="b">
        <v>1</v>
      </c>
      <c r="AD164" s="54" t="b">
        <v>1</v>
      </c>
      <c r="AE164" s="54" t="b">
        <v>1</v>
      </c>
      <c r="AF164" s="54" t="b">
        <v>1</v>
      </c>
      <c r="AG164" s="54" t="b">
        <v>1</v>
      </c>
      <c r="AH164" s="54" t="b">
        <v>1</v>
      </c>
      <c r="AI164" s="54" t="b">
        <v>1</v>
      </c>
      <c r="AJ164" s="54" t="b">
        <v>1</v>
      </c>
      <c r="AK164" s="54" t="b">
        <v>1</v>
      </c>
      <c r="AL164" s="54" t="b">
        <v>1</v>
      </c>
      <c r="AM164" s="54" t="b">
        <v>1</v>
      </c>
      <c r="AN164" s="54" t="b">
        <v>1</v>
      </c>
      <c r="AO164" s="54" t="b">
        <v>1</v>
      </c>
      <c r="AP164" s="54" t="b">
        <v>1</v>
      </c>
      <c r="AQ164" s="54" t="b">
        <v>1</v>
      </c>
      <c r="AR164" s="54" t="b">
        <v>1</v>
      </c>
      <c r="AS164" s="54" t="b">
        <v>1</v>
      </c>
      <c r="AT164" s="54" t="b">
        <v>1</v>
      </c>
      <c r="AU164" s="54" t="b">
        <v>1</v>
      </c>
      <c r="AV164" s="54" t="b">
        <v>1</v>
      </c>
      <c r="AW164" s="54" t="b">
        <v>1</v>
      </c>
      <c r="AX164" s="54" t="b">
        <v>1</v>
      </c>
      <c r="AY164" s="54" t="b">
        <v>1</v>
      </c>
      <c r="AZ164" s="54" t="b">
        <v>1</v>
      </c>
      <c r="BA164" s="54" t="b">
        <v>1</v>
      </c>
      <c r="BB164" s="54" t="b">
        <v>1</v>
      </c>
      <c r="BC164" s="54" t="b">
        <v>1</v>
      </c>
      <c r="BD164" s="54" t="b">
        <v>1</v>
      </c>
      <c r="BE164" s="54" t="b">
        <v>1</v>
      </c>
      <c r="BF164" s="54" t="b">
        <v>1</v>
      </c>
      <c r="BG164" s="54" t="b">
        <v>1</v>
      </c>
      <c r="BH164" s="54" t="b">
        <v>1</v>
      </c>
      <c r="BI164" s="54" t="b">
        <v>1</v>
      </c>
      <c r="BJ164" s="54" t="b">
        <v>1</v>
      </c>
      <c r="BK164" s="54" t="b">
        <v>1</v>
      </c>
      <c r="BL164" s="54" t="b">
        <v>1</v>
      </c>
      <c r="BM164" s="54" t="b">
        <v>1</v>
      </c>
      <c r="BN164" s="61" t="b">
        <v>0</v>
      </c>
      <c r="BO164" s="61" t="b">
        <v>0</v>
      </c>
    </row>
    <row r="165" hidden="1" outlineLevel="1">
      <c r="A165" s="71" t="str">
        <f>A164&amp;C165</f>
        <v>SeptemberMathiOT HOURS</v>
      </c>
      <c r="B165" s="72"/>
      <c r="C165" s="73" t="s">
        <v>120</v>
      </c>
      <c r="D165" s="33"/>
      <c r="E165" s="70">
        <f>(F165+G165+H165+I165+J165+K165+L165+M165+N165+O165+P165+Q165+R165+S165+T165+U165+V165+W165+X165+Y165+Z165+AA165+AB165+AC165+AD165+AE165+AF165+AG165+AH165+AI165+AJ165+AK165+AL165+AM165+AN165+AO165+AP165+AQ165+AR165+AS165+AT165+AU165+AV165+AW165+AX165+AY165+AZ165+BA165+BB165+BC165+BD165+BE165+BF165+BG165+BH165+BI165+BJ165+BK165+BL165+BM165+BN165+BO165)</f>
        <v>61</v>
      </c>
      <c r="F165" s="76"/>
      <c r="G165" s="33"/>
      <c r="H165" s="75">
        <v>4.0</v>
      </c>
      <c r="I165" s="33"/>
      <c r="J165" s="75">
        <v>2.0</v>
      </c>
      <c r="K165" s="33"/>
      <c r="L165" s="75">
        <v>1.0</v>
      </c>
      <c r="M165" s="33"/>
      <c r="N165" s="75">
        <v>4.0</v>
      </c>
      <c r="O165" s="33"/>
      <c r="P165" s="75">
        <v>2.0</v>
      </c>
      <c r="Q165" s="33"/>
      <c r="R165" s="76"/>
      <c r="S165" s="33"/>
      <c r="T165" s="76"/>
      <c r="U165" s="33"/>
      <c r="V165" s="76"/>
      <c r="W165" s="33"/>
      <c r="X165" s="76"/>
      <c r="Y165" s="33"/>
      <c r="Z165" s="75">
        <v>1.0</v>
      </c>
      <c r="AA165" s="33"/>
      <c r="AB165" s="75"/>
      <c r="AC165" s="33"/>
      <c r="AD165" s="74">
        <v>3.0</v>
      </c>
      <c r="AE165" s="33"/>
      <c r="AF165" s="74">
        <v>3.0</v>
      </c>
      <c r="AG165" s="33"/>
      <c r="AH165" s="76"/>
      <c r="AI165" s="33"/>
      <c r="AJ165" s="75">
        <v>3.0</v>
      </c>
      <c r="AK165" s="33"/>
      <c r="AL165" s="75">
        <v>4.0</v>
      </c>
      <c r="AM165" s="33"/>
      <c r="AN165" s="74">
        <v>1.0</v>
      </c>
      <c r="AO165" s="33"/>
      <c r="AP165" s="75">
        <v>5.0</v>
      </c>
      <c r="AQ165" s="33"/>
      <c r="AR165" s="75">
        <v>4.0</v>
      </c>
      <c r="AS165" s="33"/>
      <c r="AT165" s="75">
        <v>2.0</v>
      </c>
      <c r="AU165" s="33"/>
      <c r="AV165" s="78"/>
      <c r="AW165" s="33"/>
      <c r="AX165" s="75">
        <v>5.0</v>
      </c>
      <c r="AY165" s="33"/>
      <c r="AZ165" s="75">
        <v>3.0</v>
      </c>
      <c r="BA165" s="33"/>
      <c r="BB165" s="75">
        <v>1.0</v>
      </c>
      <c r="BC165" s="33"/>
      <c r="BD165" s="75">
        <v>3.0</v>
      </c>
      <c r="BE165" s="33"/>
      <c r="BF165" s="75">
        <v>4.0</v>
      </c>
      <c r="BG165" s="33"/>
      <c r="BH165" s="75">
        <v>6.0</v>
      </c>
      <c r="BI165" s="33"/>
      <c r="BJ165" s="78"/>
      <c r="BK165" s="33"/>
      <c r="BL165" s="76"/>
      <c r="BM165" s="33"/>
      <c r="BN165" s="76"/>
      <c r="BO165" s="33"/>
    </row>
    <row r="166" hidden="1" outlineLevel="1">
      <c r="A166" s="66" t="str">
        <f>B166&amp;D166</f>
        <v>SeptemberAMMU</v>
      </c>
      <c r="B166" s="67" t="s">
        <v>29</v>
      </c>
      <c r="C166" s="68" t="s">
        <v>37</v>
      </c>
      <c r="D166" s="69" t="str">
        <f>IFERROR(VLOOKUP(C166,'Employees List'!$B$2:$C$28,2,0),"")</f>
        <v>AMMU</v>
      </c>
      <c r="E166" s="70">
        <f>(F166+G166+H166+I166+J166+K166+L166+M166+N166+O166+P166+Q166+R166+S166+T166+U166+V166+W166+X166+Y166+Z166+AA166+AB166+AC166+AD166+AE166+AF166+AG166+AH166+AI166+AJ166+AK166+AL166+AM166+AN166+AO166+AP166+AQ166+AR166+AS166+AT166+AU166+AV166+AW166+AX166+AY166+AZ166+BA166+BB166+BC166+BD166+BE166+BF166+BG166+BH166+BI166+BJ166+BK166+BL166+BM166+BN166+BO166)/2</f>
        <v>30</v>
      </c>
      <c r="F166" s="54" t="b">
        <v>1</v>
      </c>
      <c r="G166" s="54" t="b">
        <v>1</v>
      </c>
      <c r="H166" s="54" t="b">
        <v>1</v>
      </c>
      <c r="I166" s="54" t="b">
        <v>1</v>
      </c>
      <c r="J166" s="54" t="b">
        <v>1</v>
      </c>
      <c r="K166" s="54" t="b">
        <v>1</v>
      </c>
      <c r="L166" s="54" t="b">
        <v>1</v>
      </c>
      <c r="M166" s="54" t="b">
        <v>1</v>
      </c>
      <c r="N166" s="54" t="b">
        <v>1</v>
      </c>
      <c r="O166" s="54" t="b">
        <v>1</v>
      </c>
      <c r="P166" s="54" t="b">
        <v>1</v>
      </c>
      <c r="Q166" s="54" t="b">
        <v>1</v>
      </c>
      <c r="R166" s="54" t="b">
        <v>1</v>
      </c>
      <c r="S166" s="54" t="b">
        <v>1</v>
      </c>
      <c r="T166" s="54" t="b">
        <v>1</v>
      </c>
      <c r="U166" s="54" t="b">
        <v>1</v>
      </c>
      <c r="V166" s="54" t="b">
        <v>1</v>
      </c>
      <c r="W166" s="54" t="b">
        <v>1</v>
      </c>
      <c r="X166" s="54" t="b">
        <v>1</v>
      </c>
      <c r="Y166" s="54" t="b">
        <v>1</v>
      </c>
      <c r="Z166" s="54" t="b">
        <v>1</v>
      </c>
      <c r="AA166" s="54" t="b">
        <v>1</v>
      </c>
      <c r="AB166" s="54" t="b">
        <v>1</v>
      </c>
      <c r="AC166" s="54" t="b">
        <v>1</v>
      </c>
      <c r="AD166" s="54" t="b">
        <v>1</v>
      </c>
      <c r="AE166" s="54" t="b">
        <v>1</v>
      </c>
      <c r="AF166" s="54" t="b">
        <v>1</v>
      </c>
      <c r="AG166" s="54" t="b">
        <v>1</v>
      </c>
      <c r="AH166" s="54" t="b">
        <v>1</v>
      </c>
      <c r="AI166" s="54" t="b">
        <v>1</v>
      </c>
      <c r="AJ166" s="54" t="b">
        <v>1</v>
      </c>
      <c r="AK166" s="54" t="b">
        <v>1</v>
      </c>
      <c r="AL166" s="54" t="b">
        <v>1</v>
      </c>
      <c r="AM166" s="54" t="b">
        <v>1</v>
      </c>
      <c r="AN166" s="54" t="b">
        <v>1</v>
      </c>
      <c r="AO166" s="54" t="b">
        <v>1</v>
      </c>
      <c r="AP166" s="54" t="b">
        <v>1</v>
      </c>
      <c r="AQ166" s="54" t="b">
        <v>1</v>
      </c>
      <c r="AR166" s="54" t="b">
        <v>1</v>
      </c>
      <c r="AS166" s="54" t="b">
        <v>1</v>
      </c>
      <c r="AT166" s="54" t="b">
        <v>1</v>
      </c>
      <c r="AU166" s="54" t="b">
        <v>1</v>
      </c>
      <c r="AV166" s="54" t="b">
        <v>1</v>
      </c>
      <c r="AW166" s="54" t="b">
        <v>1</v>
      </c>
      <c r="AX166" s="54" t="b">
        <v>1</v>
      </c>
      <c r="AY166" s="54" t="b">
        <v>1</v>
      </c>
      <c r="AZ166" s="54" t="b">
        <v>1</v>
      </c>
      <c r="BA166" s="54" t="b">
        <v>1</v>
      </c>
      <c r="BB166" s="54" t="b">
        <v>1</v>
      </c>
      <c r="BC166" s="54" t="b">
        <v>1</v>
      </c>
      <c r="BD166" s="54" t="b">
        <v>1</v>
      </c>
      <c r="BE166" s="54" t="b">
        <v>1</v>
      </c>
      <c r="BF166" s="54" t="b">
        <v>1</v>
      </c>
      <c r="BG166" s="54" t="b">
        <v>1</v>
      </c>
      <c r="BH166" s="54" t="b">
        <v>1</v>
      </c>
      <c r="BI166" s="54" t="b">
        <v>1</v>
      </c>
      <c r="BJ166" s="54" t="b">
        <v>1</v>
      </c>
      <c r="BK166" s="54" t="b">
        <v>1</v>
      </c>
      <c r="BL166" s="54" t="b">
        <v>1</v>
      </c>
      <c r="BM166" s="54" t="b">
        <v>1</v>
      </c>
      <c r="BN166" s="54" t="b">
        <v>0</v>
      </c>
      <c r="BO166" s="54" t="b">
        <v>0</v>
      </c>
    </row>
    <row r="167" hidden="1" outlineLevel="1">
      <c r="A167" s="71" t="str">
        <f>A166&amp;C167</f>
        <v>SeptemberAMMUOT HOURS</v>
      </c>
      <c r="B167" s="72"/>
      <c r="C167" s="73" t="s">
        <v>120</v>
      </c>
      <c r="D167" s="33"/>
      <c r="E167" s="70">
        <f>(F167+G167+H167+I167+J167+K167+L167+M167+N167+O167+P167+Q167+R167+S167+T167+U167+V167+W167+X167+Y167+Z167+AA167+AB167+AC167+AD167+AE167+AF167+AG167+AH167+AI167+AJ167+AK167+AL167+AM167+AN167+AO167+AP167+AQ167+AR167+AS167+AT167+AU167+AV167+AW167+AX167+AY167+AZ167+BA167+BB167+BC167+BD167+BE167+BF167+BG167+BH167+BI167+BJ167+BK167+BL167+BM167+BN167+BO167)</f>
        <v>22</v>
      </c>
      <c r="F167" s="76"/>
      <c r="G167" s="33"/>
      <c r="H167" s="76"/>
      <c r="I167" s="33"/>
      <c r="J167" s="76"/>
      <c r="K167" s="33"/>
      <c r="L167" s="76"/>
      <c r="M167" s="33"/>
      <c r="N167" s="74">
        <v>2.0</v>
      </c>
      <c r="O167" s="33"/>
      <c r="P167" s="76"/>
      <c r="Q167" s="33"/>
      <c r="R167" s="76"/>
      <c r="S167" s="33"/>
      <c r="T167" s="76"/>
      <c r="U167" s="33"/>
      <c r="V167" s="76"/>
      <c r="W167" s="33"/>
      <c r="X167" s="76"/>
      <c r="Y167" s="33"/>
      <c r="Z167" s="76"/>
      <c r="AA167" s="33"/>
      <c r="AB167" s="76"/>
      <c r="AC167" s="33"/>
      <c r="AD167" s="76"/>
      <c r="AE167" s="33"/>
      <c r="AF167" s="76"/>
      <c r="AG167" s="33"/>
      <c r="AH167" s="76"/>
      <c r="AI167" s="33"/>
      <c r="AJ167" s="74">
        <v>1.0</v>
      </c>
      <c r="AK167" s="33"/>
      <c r="AL167" s="74">
        <v>2.0</v>
      </c>
      <c r="AM167" s="33"/>
      <c r="AN167" s="76"/>
      <c r="AO167" s="33"/>
      <c r="AP167" s="74">
        <v>2.0</v>
      </c>
      <c r="AQ167" s="33"/>
      <c r="AR167" s="74">
        <v>2.0</v>
      </c>
      <c r="AS167" s="33"/>
      <c r="AT167" s="76"/>
      <c r="AU167" s="33"/>
      <c r="AV167" s="74">
        <v>3.0</v>
      </c>
      <c r="AW167" s="33"/>
      <c r="AX167" s="76"/>
      <c r="AY167" s="33"/>
      <c r="AZ167" s="76"/>
      <c r="BA167" s="33"/>
      <c r="BB167" s="76"/>
      <c r="BC167" s="33"/>
      <c r="BD167" s="76"/>
      <c r="BE167" s="33"/>
      <c r="BF167" s="74">
        <v>2.0</v>
      </c>
      <c r="BG167" s="33"/>
      <c r="BH167" s="74">
        <v>2.0</v>
      </c>
      <c r="BI167" s="33"/>
      <c r="BJ167" s="74">
        <v>6.0</v>
      </c>
      <c r="BK167" s="33"/>
      <c r="BL167" s="76"/>
      <c r="BM167" s="33"/>
      <c r="BN167" s="76"/>
      <c r="BO167" s="33"/>
    </row>
    <row r="168" hidden="1" outlineLevel="1">
      <c r="A168" s="66" t="str">
        <f>B168&amp;D168</f>
        <v>SeptemberREVATHI S</v>
      </c>
      <c r="B168" s="67" t="s">
        <v>29</v>
      </c>
      <c r="C168" s="68" t="s">
        <v>41</v>
      </c>
      <c r="D168" s="69" t="str">
        <f>IFERROR(VLOOKUP(C168,'Employees List'!$B$2:$C$28,2,0),"")</f>
        <v>REVATHI S</v>
      </c>
      <c r="E168" s="70">
        <f>(F168+G168+H168+I168+J168+K168+L168+M168+N168+O168+P168+Q168+R168+S168+T168+U168+V168+W168+X168+Y168+Z168+AA168+AB168+AC168+AD168+AE168+AF168+AG168+AH168+AI168+AJ168+AK168+AL168+AM168+AN168+AO168+AP168+AQ168+AR168+AS168+AT168+AU168+AV168+AW168+AX168+AY168+AZ168+BA168+BB168+BC168+BD168+BE168+BF168+BG168+BH168+BI168+BJ168+BK168+BL168+BM168+BN168+BO168)/2</f>
        <v>26</v>
      </c>
      <c r="F168" s="54" t="b">
        <v>1</v>
      </c>
      <c r="G168" s="54" t="b">
        <v>1</v>
      </c>
      <c r="H168" s="54" t="b">
        <v>1</v>
      </c>
      <c r="I168" s="54" t="b">
        <v>1</v>
      </c>
      <c r="J168" s="54" t="b">
        <v>0</v>
      </c>
      <c r="K168" s="54" t="b">
        <v>0</v>
      </c>
      <c r="L168" s="54" t="b">
        <v>1</v>
      </c>
      <c r="M168" s="54" t="b">
        <v>1</v>
      </c>
      <c r="N168" s="54" t="b">
        <v>1</v>
      </c>
      <c r="O168" s="54" t="b">
        <v>1</v>
      </c>
      <c r="P168" s="54" t="b">
        <v>1</v>
      </c>
      <c r="Q168" s="54" t="b">
        <v>1</v>
      </c>
      <c r="R168" s="54" t="b">
        <v>1</v>
      </c>
      <c r="S168" s="54" t="b">
        <v>1</v>
      </c>
      <c r="T168" s="54" t="b">
        <v>1</v>
      </c>
      <c r="U168" s="54" t="b">
        <v>1</v>
      </c>
      <c r="V168" s="54" t="b">
        <v>1</v>
      </c>
      <c r="W168" s="54" t="b">
        <v>1</v>
      </c>
      <c r="X168" s="54" t="b">
        <v>1</v>
      </c>
      <c r="Y168" s="54" t="b">
        <v>0</v>
      </c>
      <c r="Z168" s="54" t="b">
        <v>1</v>
      </c>
      <c r="AA168" s="54" t="b">
        <v>0</v>
      </c>
      <c r="AB168" s="54" t="b">
        <v>1</v>
      </c>
      <c r="AC168" s="54" t="b">
        <v>1</v>
      </c>
      <c r="AD168" s="54" t="b">
        <v>1</v>
      </c>
      <c r="AE168" s="54" t="b">
        <v>1</v>
      </c>
      <c r="AF168" s="54" t="b">
        <v>1</v>
      </c>
      <c r="AG168" s="54" t="b">
        <v>1</v>
      </c>
      <c r="AH168" s="54" t="b">
        <v>1</v>
      </c>
      <c r="AI168" s="54" t="b">
        <v>1</v>
      </c>
      <c r="AJ168" s="54" t="b">
        <v>0</v>
      </c>
      <c r="AK168" s="54" t="b">
        <v>0</v>
      </c>
      <c r="AL168" s="54" t="b">
        <v>1</v>
      </c>
      <c r="AM168" s="54" t="b">
        <v>1</v>
      </c>
      <c r="AN168" s="54" t="b">
        <v>1</v>
      </c>
      <c r="AO168" s="54" t="b">
        <v>1</v>
      </c>
      <c r="AP168" s="54" t="b">
        <v>1</v>
      </c>
      <c r="AQ168" s="54" t="b">
        <v>1</v>
      </c>
      <c r="AR168" s="54" t="b">
        <v>1</v>
      </c>
      <c r="AS168" s="54" t="b">
        <v>1</v>
      </c>
      <c r="AT168" s="54" t="b">
        <v>1</v>
      </c>
      <c r="AU168" s="54" t="b">
        <v>1</v>
      </c>
      <c r="AV168" s="54" t="b">
        <v>1</v>
      </c>
      <c r="AW168" s="54" t="b">
        <v>1</v>
      </c>
      <c r="AX168" s="54" t="b">
        <v>0</v>
      </c>
      <c r="AY168" s="54" t="b">
        <v>0</v>
      </c>
      <c r="AZ168" s="54" t="b">
        <v>1</v>
      </c>
      <c r="BA168" s="54" t="b">
        <v>1</v>
      </c>
      <c r="BB168" s="54" t="b">
        <v>1</v>
      </c>
      <c r="BC168" s="54" t="b">
        <v>1</v>
      </c>
      <c r="BD168" s="54" t="b">
        <v>1</v>
      </c>
      <c r="BE168" s="54" t="b">
        <v>1</v>
      </c>
      <c r="BF168" s="54" t="b">
        <v>1</v>
      </c>
      <c r="BG168" s="54" t="b">
        <v>1</v>
      </c>
      <c r="BH168" s="54" t="b">
        <v>1</v>
      </c>
      <c r="BI168" s="54" t="b">
        <v>1</v>
      </c>
      <c r="BJ168" s="54" t="b">
        <v>1</v>
      </c>
      <c r="BK168" s="54" t="b">
        <v>1</v>
      </c>
      <c r="BL168" s="54" t="b">
        <v>1</v>
      </c>
      <c r="BM168" s="54" t="b">
        <v>1</v>
      </c>
      <c r="BN168" s="54" t="b">
        <v>0</v>
      </c>
      <c r="BO168" s="54" t="b">
        <v>0</v>
      </c>
    </row>
    <row r="169" hidden="1" outlineLevel="1">
      <c r="A169" s="71" t="str">
        <f>A168&amp;C169</f>
        <v>SeptemberREVATHI SOT HOURS</v>
      </c>
      <c r="B169" s="72"/>
      <c r="C169" s="73" t="s">
        <v>120</v>
      </c>
      <c r="D169" s="33"/>
      <c r="E169" s="70">
        <f>(F169+G169+H169+I169+J169+K169+L169+M169+N169+O169+P169+Q169+R169+S169+T169+U169+V169+W169+X169+Y169+Z169+AA169+AB169+AC169+AD169+AE169+AF169+AG169+AH169+AI169+AJ169+AK169+AL169+AM169+AN169+AO169+AP169+AQ169+AR169+AS169+AT169+AU169+AV169+AW169+AX169+AY169+AZ169+BA169+BB169+BC169+BD169+BE169+BF169+BG169+BH169+BI169+BJ169+BK169+BL169+BM169+BN169+BO169)</f>
        <v>20</v>
      </c>
      <c r="F169" s="76"/>
      <c r="G169" s="33"/>
      <c r="H169" s="76"/>
      <c r="I169" s="33"/>
      <c r="J169" s="76"/>
      <c r="K169" s="33"/>
      <c r="L169" s="76"/>
      <c r="M169" s="33"/>
      <c r="N169" s="76"/>
      <c r="O169" s="33"/>
      <c r="P169" s="76"/>
      <c r="Q169" s="33"/>
      <c r="R169" s="76"/>
      <c r="S169" s="33"/>
      <c r="T169" s="76"/>
      <c r="U169" s="33"/>
      <c r="V169" s="76"/>
      <c r="W169" s="33"/>
      <c r="X169" s="76"/>
      <c r="Y169" s="33"/>
      <c r="Z169" s="76"/>
      <c r="AA169" s="33"/>
      <c r="AB169" s="76"/>
      <c r="AC169" s="33"/>
      <c r="AD169" s="76"/>
      <c r="AE169" s="33"/>
      <c r="AF169" s="76"/>
      <c r="AG169" s="33"/>
      <c r="AH169" s="76"/>
      <c r="AI169" s="33"/>
      <c r="AJ169" s="76"/>
      <c r="AK169" s="33"/>
      <c r="AL169" s="74">
        <v>2.0</v>
      </c>
      <c r="AM169" s="33"/>
      <c r="AN169" s="76"/>
      <c r="AO169" s="33"/>
      <c r="AP169" s="74">
        <v>2.0</v>
      </c>
      <c r="AQ169" s="33"/>
      <c r="AR169" s="74">
        <v>2.0</v>
      </c>
      <c r="AS169" s="33"/>
      <c r="AT169" s="76"/>
      <c r="AU169" s="33"/>
      <c r="AV169" s="74">
        <v>4.0</v>
      </c>
      <c r="AW169" s="33"/>
      <c r="AX169" s="76"/>
      <c r="AY169" s="33"/>
      <c r="AZ169" s="76"/>
      <c r="BA169" s="33"/>
      <c r="BB169" s="76"/>
      <c r="BC169" s="33"/>
      <c r="BD169" s="76"/>
      <c r="BE169" s="33"/>
      <c r="BF169" s="74">
        <v>2.0</v>
      </c>
      <c r="BG169" s="33"/>
      <c r="BH169" s="74">
        <v>2.0</v>
      </c>
      <c r="BI169" s="33"/>
      <c r="BJ169" s="74">
        <v>6.0</v>
      </c>
      <c r="BK169" s="33"/>
      <c r="BL169" s="76"/>
      <c r="BM169" s="33"/>
      <c r="BN169" s="76"/>
      <c r="BO169" s="33"/>
    </row>
    <row r="170" hidden="1" outlineLevel="1">
      <c r="A170" s="66" t="str">
        <f>B170&amp;D170</f>
        <v>SeptemberSIDHESHWAR</v>
      </c>
      <c r="B170" s="67" t="s">
        <v>29</v>
      </c>
      <c r="C170" s="68" t="s">
        <v>77</v>
      </c>
      <c r="D170" s="69" t="str">
        <f>IFERROR(VLOOKUP(C170,'Employees List'!$B$2:$C$28,2,0),"")</f>
        <v>SIDHESHWAR</v>
      </c>
      <c r="E170" s="70">
        <f>(F170+G170+H170+I170+J170+K170+L170+M170+N170+O170+P170+Q170+R170+S170+T170+U170+V170+W170+X170+Y170+Z170+AA170+AB170+AC170+AD170+AE170+AF170+AG170+AH170+AI170+AJ170+AK170+AL170+AM170+AN170+AO170+AP170+AQ170+AR170+AS170+AT170+AU170+AV170+AW170+AX170+AY170+AZ170+BA170+BB170+BC170+BD170+BE170+BF170+BG170+BH170+BI170+BJ170+BK170+BL170+BM170+BN170+BO170)/2</f>
        <v>27</v>
      </c>
      <c r="F170" s="54" t="b">
        <v>1</v>
      </c>
      <c r="G170" s="54" t="b">
        <v>1</v>
      </c>
      <c r="H170" s="54" t="b">
        <v>1</v>
      </c>
      <c r="I170" s="54" t="b">
        <v>1</v>
      </c>
      <c r="J170" s="54" t="b">
        <v>1</v>
      </c>
      <c r="K170" s="54" t="b">
        <v>1</v>
      </c>
      <c r="L170" s="54" t="b">
        <v>1</v>
      </c>
      <c r="M170" s="54" t="b">
        <v>1</v>
      </c>
      <c r="N170" s="54" t="b">
        <v>1</v>
      </c>
      <c r="O170" s="54" t="b">
        <v>1</v>
      </c>
      <c r="P170" s="54" t="b">
        <v>1</v>
      </c>
      <c r="Q170" s="54" t="b">
        <v>1</v>
      </c>
      <c r="R170" s="54" t="b">
        <v>1</v>
      </c>
      <c r="S170" s="54" t="b">
        <v>1</v>
      </c>
      <c r="T170" s="54" t="b">
        <v>1</v>
      </c>
      <c r="U170" s="54" t="b">
        <v>1</v>
      </c>
      <c r="V170" s="54" t="b">
        <v>1</v>
      </c>
      <c r="W170" s="54" t="b">
        <v>1</v>
      </c>
      <c r="X170" s="54" t="b">
        <v>1</v>
      </c>
      <c r="Y170" s="54" t="b">
        <v>1</v>
      </c>
      <c r="Z170" s="54" t="b">
        <v>1</v>
      </c>
      <c r="AA170" s="54" t="b">
        <v>1</v>
      </c>
      <c r="AB170" s="54" t="b">
        <v>1</v>
      </c>
      <c r="AC170" s="54" t="b">
        <v>1</v>
      </c>
      <c r="AD170" s="54" t="b">
        <v>1</v>
      </c>
      <c r="AE170" s="54" t="b">
        <v>1</v>
      </c>
      <c r="AF170" s="54" t="b">
        <v>1</v>
      </c>
      <c r="AG170" s="54" t="b">
        <v>1</v>
      </c>
      <c r="AH170" s="54" t="b">
        <v>1</v>
      </c>
      <c r="AI170" s="54" t="b">
        <v>1</v>
      </c>
      <c r="AJ170" s="54" t="b">
        <v>0</v>
      </c>
      <c r="AK170" s="54" t="b">
        <v>0</v>
      </c>
      <c r="AL170" s="54" t="b">
        <v>1</v>
      </c>
      <c r="AM170" s="54" t="b">
        <v>1</v>
      </c>
      <c r="AN170" s="54" t="b">
        <v>0</v>
      </c>
      <c r="AO170" s="54" t="b">
        <v>0</v>
      </c>
      <c r="AP170" s="54" t="b">
        <v>0</v>
      </c>
      <c r="AQ170" s="54" t="b">
        <v>0</v>
      </c>
      <c r="AR170" s="54" t="b">
        <v>1</v>
      </c>
      <c r="AS170" s="54" t="b">
        <v>1</v>
      </c>
      <c r="AT170" s="54" t="b">
        <v>1</v>
      </c>
      <c r="AU170" s="54" t="b">
        <v>1</v>
      </c>
      <c r="AV170" s="54" t="b">
        <v>1</v>
      </c>
      <c r="AW170" s="54" t="b">
        <v>1</v>
      </c>
      <c r="AX170" s="54" t="b">
        <v>1</v>
      </c>
      <c r="AY170" s="54" t="b">
        <v>1</v>
      </c>
      <c r="AZ170" s="54" t="b">
        <v>1</v>
      </c>
      <c r="BA170" s="54" t="b">
        <v>1</v>
      </c>
      <c r="BB170" s="54" t="b">
        <v>1</v>
      </c>
      <c r="BC170" s="54" t="b">
        <v>1</v>
      </c>
      <c r="BD170" s="54" t="b">
        <v>1</v>
      </c>
      <c r="BE170" s="54" t="b">
        <v>1</v>
      </c>
      <c r="BF170" s="54" t="b">
        <v>1</v>
      </c>
      <c r="BG170" s="54" t="b">
        <v>1</v>
      </c>
      <c r="BH170" s="54" t="b">
        <v>1</v>
      </c>
      <c r="BI170" s="54" t="b">
        <v>1</v>
      </c>
      <c r="BJ170" s="54" t="b">
        <v>1</v>
      </c>
      <c r="BK170" s="54" t="b">
        <v>1</v>
      </c>
      <c r="BL170" s="54" t="b">
        <v>1</v>
      </c>
      <c r="BM170" s="54" t="b">
        <v>1</v>
      </c>
      <c r="BN170" s="54" t="b">
        <v>0</v>
      </c>
      <c r="BO170" s="54" t="b">
        <v>0</v>
      </c>
    </row>
    <row r="171" hidden="1" outlineLevel="1">
      <c r="A171" s="71" t="str">
        <f>A170&amp;C171</f>
        <v>SeptemberSIDHESHWAROT HOURS</v>
      </c>
      <c r="B171" s="72"/>
      <c r="C171" s="73" t="s">
        <v>120</v>
      </c>
      <c r="D171" s="33"/>
      <c r="E171" s="70">
        <f>(F171+G171+H171+I171+J171+K171+L171+M171+N171+O171+P171+Q171+R171+S171+T171+U171+V171+W171+X171+Y171+Z171+AA171+AB171+AC171+AD171+AE171+AF171+AG171+AH171+AI171+AJ171+AK171+AL171+AM171+AN171+AO171+AP171+AQ171+AR171+AS171+AT171+AU171+AV171+AW171+AX171+AY171+AZ171+BA171+BB171+BC171+BD171+BE171+BF171+BG171+BH171+BI171+BJ171+BK171+BL171+BM171+BN171+BO171)</f>
        <v>38</v>
      </c>
      <c r="F171" s="76"/>
      <c r="G171" s="33"/>
      <c r="H171" s="74">
        <v>2.0</v>
      </c>
      <c r="I171" s="33"/>
      <c r="J171" s="76"/>
      <c r="K171" s="33"/>
      <c r="L171" s="74">
        <v>1.0</v>
      </c>
      <c r="M171" s="33"/>
      <c r="N171" s="74">
        <v>2.0</v>
      </c>
      <c r="O171" s="33"/>
      <c r="P171" s="76"/>
      <c r="Q171" s="33"/>
      <c r="R171" s="76"/>
      <c r="S171" s="33"/>
      <c r="T171" s="76"/>
      <c r="U171" s="33"/>
      <c r="V171" s="76"/>
      <c r="W171" s="33"/>
      <c r="X171" s="74">
        <v>1.0</v>
      </c>
      <c r="Y171" s="33"/>
      <c r="Z171" s="76"/>
      <c r="AA171" s="33"/>
      <c r="AB171" s="76"/>
      <c r="AC171" s="33"/>
      <c r="AD171" s="74">
        <v>1.0</v>
      </c>
      <c r="AE171" s="33"/>
      <c r="AF171" s="74">
        <v>1.0</v>
      </c>
      <c r="AG171" s="33"/>
      <c r="AH171" s="76"/>
      <c r="AI171" s="33"/>
      <c r="AJ171" s="76"/>
      <c r="AK171" s="33"/>
      <c r="AL171" s="74">
        <v>2.0</v>
      </c>
      <c r="AM171" s="33"/>
      <c r="AN171" s="76"/>
      <c r="AO171" s="33"/>
      <c r="AP171" s="76"/>
      <c r="AQ171" s="33"/>
      <c r="AR171" s="74">
        <v>5.0</v>
      </c>
      <c r="AS171" s="33"/>
      <c r="AT171" s="76"/>
      <c r="AU171" s="33"/>
      <c r="AV171" s="74">
        <v>4.0</v>
      </c>
      <c r="AW171" s="33"/>
      <c r="AX171" s="76"/>
      <c r="AY171" s="33"/>
      <c r="AZ171" s="74">
        <v>3.0</v>
      </c>
      <c r="BA171" s="33"/>
      <c r="BB171" s="76"/>
      <c r="BC171" s="33"/>
      <c r="BD171" s="74">
        <v>1.0</v>
      </c>
      <c r="BE171" s="33"/>
      <c r="BF171" s="74">
        <v>2.0</v>
      </c>
      <c r="BG171" s="33"/>
      <c r="BH171" s="74">
        <v>3.0</v>
      </c>
      <c r="BI171" s="33"/>
      <c r="BJ171" s="74">
        <v>6.0</v>
      </c>
      <c r="BK171" s="33"/>
      <c r="BL171" s="74">
        <v>4.0</v>
      </c>
      <c r="BM171" s="33"/>
      <c r="BN171" s="76"/>
      <c r="BO171" s="33"/>
    </row>
    <row r="172" hidden="1" outlineLevel="1">
      <c r="A172" s="66" t="str">
        <f>B172&amp;D172</f>
        <v>SeptemberSUNDARI</v>
      </c>
      <c r="B172" s="67" t="s">
        <v>29</v>
      </c>
      <c r="C172" s="68" t="s">
        <v>64</v>
      </c>
      <c r="D172" s="69" t="str">
        <f>IFERROR(VLOOKUP(C172,'Employees List'!$B$2:$C$28,2,0),"")</f>
        <v>SUNDARI</v>
      </c>
      <c r="E172" s="70">
        <f>(F172+G172+H172+I172+J172+K172+L172+M172+N172+O172+P172+Q172+R172+S172+T172+U172+V172+W172+X172+Y172+Z172+AA172+AB172+AC172+AD172+AE172+AF172+AG172+AH172+AI172+AJ172+AK172+AL172+AM172+AN172+AO172+AP172+AQ172+AR172+AS172+AT172+AU172+AV172+AW172+AX172+AY172+AZ172+BA172+BB172+BC172+BD172+BE172+BF172+BG172+BH172+BI172+BJ172+BK172+BL172+BM172+BN172+BO172)/2</f>
        <v>30</v>
      </c>
      <c r="F172" s="54" t="b">
        <v>1</v>
      </c>
      <c r="G172" s="54" t="b">
        <v>1</v>
      </c>
      <c r="H172" s="54" t="b">
        <v>1</v>
      </c>
      <c r="I172" s="54" t="b">
        <v>1</v>
      </c>
      <c r="J172" s="54" t="b">
        <v>1</v>
      </c>
      <c r="K172" s="54" t="b">
        <v>1</v>
      </c>
      <c r="L172" s="54" t="b">
        <v>1</v>
      </c>
      <c r="M172" s="54" t="b">
        <v>1</v>
      </c>
      <c r="N172" s="54" t="b">
        <v>1</v>
      </c>
      <c r="O172" s="54" t="b">
        <v>1</v>
      </c>
      <c r="P172" s="54" t="b">
        <v>1</v>
      </c>
      <c r="Q172" s="54" t="b">
        <v>1</v>
      </c>
      <c r="R172" s="54" t="b">
        <v>1</v>
      </c>
      <c r="S172" s="54" t="b">
        <v>1</v>
      </c>
      <c r="T172" s="54" t="b">
        <v>1</v>
      </c>
      <c r="U172" s="54" t="b">
        <v>1</v>
      </c>
      <c r="V172" s="54" t="b">
        <v>1</v>
      </c>
      <c r="W172" s="54" t="b">
        <v>1</v>
      </c>
      <c r="X172" s="54" t="b">
        <v>1</v>
      </c>
      <c r="Y172" s="54" t="b">
        <v>1</v>
      </c>
      <c r="Z172" s="54" t="b">
        <v>1</v>
      </c>
      <c r="AA172" s="54" t="b">
        <v>1</v>
      </c>
      <c r="AB172" s="54" t="b">
        <v>1</v>
      </c>
      <c r="AC172" s="54" t="b">
        <v>1</v>
      </c>
      <c r="AD172" s="54" t="b">
        <v>1</v>
      </c>
      <c r="AE172" s="54" t="b">
        <v>1</v>
      </c>
      <c r="AF172" s="54" t="b">
        <v>1</v>
      </c>
      <c r="AG172" s="54" t="b">
        <v>1</v>
      </c>
      <c r="AH172" s="54" t="b">
        <v>1</v>
      </c>
      <c r="AI172" s="54" t="b">
        <v>1</v>
      </c>
      <c r="AJ172" s="54" t="b">
        <v>1</v>
      </c>
      <c r="AK172" s="54" t="b">
        <v>1</v>
      </c>
      <c r="AL172" s="54" t="b">
        <v>1</v>
      </c>
      <c r="AM172" s="54" t="b">
        <v>1</v>
      </c>
      <c r="AN172" s="54" t="b">
        <v>1</v>
      </c>
      <c r="AO172" s="54" t="b">
        <v>1</v>
      </c>
      <c r="AP172" s="54" t="b">
        <v>1</v>
      </c>
      <c r="AQ172" s="54" t="b">
        <v>1</v>
      </c>
      <c r="AR172" s="54" t="b">
        <v>1</v>
      </c>
      <c r="AS172" s="54" t="b">
        <v>1</v>
      </c>
      <c r="AT172" s="54" t="b">
        <v>1</v>
      </c>
      <c r="AU172" s="54" t="b">
        <v>1</v>
      </c>
      <c r="AV172" s="54" t="b">
        <v>1</v>
      </c>
      <c r="AW172" s="54" t="b">
        <v>1</v>
      </c>
      <c r="AX172" s="54" t="b">
        <v>1</v>
      </c>
      <c r="AY172" s="54" t="b">
        <v>1</v>
      </c>
      <c r="AZ172" s="54" t="b">
        <v>1</v>
      </c>
      <c r="BA172" s="54" t="b">
        <v>1</v>
      </c>
      <c r="BB172" s="54" t="b">
        <v>1</v>
      </c>
      <c r="BC172" s="54" t="b">
        <v>1</v>
      </c>
      <c r="BD172" s="54" t="b">
        <v>1</v>
      </c>
      <c r="BE172" s="54" t="b">
        <v>1</v>
      </c>
      <c r="BF172" s="54" t="b">
        <v>1</v>
      </c>
      <c r="BG172" s="54" t="b">
        <v>1</v>
      </c>
      <c r="BH172" s="54" t="b">
        <v>1</v>
      </c>
      <c r="BI172" s="54" t="b">
        <v>1</v>
      </c>
      <c r="BJ172" s="54" t="b">
        <v>1</v>
      </c>
      <c r="BK172" s="54" t="b">
        <v>1</v>
      </c>
      <c r="BL172" s="54" t="b">
        <v>1</v>
      </c>
      <c r="BM172" s="54" t="b">
        <v>1</v>
      </c>
      <c r="BN172" s="54" t="b">
        <v>0</v>
      </c>
      <c r="BO172" s="54" t="b">
        <v>0</v>
      </c>
    </row>
    <row r="173" hidden="1" outlineLevel="1">
      <c r="A173" s="71" t="str">
        <f>A172&amp;C173</f>
        <v>SeptemberSUNDARIOT HOURS</v>
      </c>
      <c r="B173" s="72"/>
      <c r="C173" s="73" t="s">
        <v>120</v>
      </c>
      <c r="D173" s="33"/>
      <c r="E173" s="70">
        <f>(F173+G173+H173+I173+J173+K173+L173+M173+N173+O173+P173+Q173+R173+S173+T173+U173+V173+W173+X173+Y173+Z173+AA173+AB173+AC173+AD173+AE173+AF173+AG173+AH173+AI173+AJ173+AK173+AL173+AM173+AN173+AO173+AP173+AQ173+AR173+AS173+AT173+AU173+AV173+AW173+AX173+AY173+AZ173+BA173+BB173+BC173+BD173+BE173+BF173+BG173+BH173+BI173+BJ173+BK173+BL173+BM173+BN173+BO173)</f>
        <v>2</v>
      </c>
      <c r="F173" s="76"/>
      <c r="G173" s="33"/>
      <c r="H173" s="74"/>
      <c r="I173" s="33"/>
      <c r="J173" s="76"/>
      <c r="K173" s="33"/>
      <c r="L173" s="74"/>
      <c r="M173" s="33"/>
      <c r="N173" s="74"/>
      <c r="O173" s="33"/>
      <c r="P173" s="76"/>
      <c r="Q173" s="33"/>
      <c r="R173" s="76"/>
      <c r="S173" s="33"/>
      <c r="T173" s="76"/>
      <c r="U173" s="33"/>
      <c r="V173" s="76"/>
      <c r="W173" s="33"/>
      <c r="X173" s="74"/>
      <c r="Y173" s="33"/>
      <c r="Z173" s="76"/>
      <c r="AA173" s="33"/>
      <c r="AB173" s="76"/>
      <c r="AC173" s="33"/>
      <c r="AD173" s="74"/>
      <c r="AE173" s="33"/>
      <c r="AF173" s="74">
        <v>1.0</v>
      </c>
      <c r="AG173" s="33"/>
      <c r="AH173" s="76"/>
      <c r="AI173" s="33"/>
      <c r="AJ173" s="76"/>
      <c r="AK173" s="33"/>
      <c r="AL173" s="74"/>
      <c r="AM173" s="33"/>
      <c r="AN173" s="76"/>
      <c r="AO173" s="33"/>
      <c r="AP173" s="76"/>
      <c r="AQ173" s="33"/>
      <c r="AR173" s="74"/>
      <c r="AS173" s="33"/>
      <c r="AT173" s="76"/>
      <c r="AU173" s="33"/>
      <c r="AV173" s="74"/>
      <c r="AW173" s="33"/>
      <c r="AX173" s="76"/>
      <c r="AY173" s="33"/>
      <c r="AZ173" s="74"/>
      <c r="BA173" s="33"/>
      <c r="BB173" s="76"/>
      <c r="BC173" s="33"/>
      <c r="BD173" s="74"/>
      <c r="BE173" s="33"/>
      <c r="BF173" s="74"/>
      <c r="BG173" s="33"/>
      <c r="BH173" s="74">
        <v>1.0</v>
      </c>
      <c r="BI173" s="33"/>
      <c r="BJ173" s="74"/>
      <c r="BK173" s="33"/>
      <c r="BL173" s="74"/>
      <c r="BM173" s="33"/>
      <c r="BN173" s="76"/>
      <c r="BO173" s="33"/>
    </row>
    <row r="174" hidden="1" outlineLevel="1">
      <c r="A174" s="66" t="str">
        <f>B174&amp;D174</f>
        <v>SeptemberLEELA</v>
      </c>
      <c r="B174" s="67" t="s">
        <v>29</v>
      </c>
      <c r="C174" s="68" t="s">
        <v>67</v>
      </c>
      <c r="D174" s="69" t="str">
        <f>IFERROR(VLOOKUP(C174,'Employees List'!$B$2:$C$28,2,0),"")</f>
        <v>LEELA</v>
      </c>
      <c r="E174" s="70">
        <f>(F174+G174+H174+I174+J174+K174+L174+M174+N174+O174+P174+Q174+R174+S174+T174+U174+V174+W174+X174+Y174+Z174+AA174+AB174+AC174+AD174+AE174+AF174+AG174+AH174+AI174+AJ174+AK174+AL174+AM174+AN174+AO174+AP174+AQ174+AR174+AS174+AT174+AU174+AV174+AW174+AX174+AY174+AZ174+BA174+BB174+BC174+BD174+BE174+BF174+BG174+BH174+BI174+BJ174+BK174+BL174+BM174+BN174+BO174)/2</f>
        <v>30</v>
      </c>
      <c r="F174" s="54" t="b">
        <v>1</v>
      </c>
      <c r="G174" s="54" t="b">
        <v>1</v>
      </c>
      <c r="H174" s="54" t="b">
        <v>1</v>
      </c>
      <c r="I174" s="54" t="b">
        <v>1</v>
      </c>
      <c r="J174" s="54" t="b">
        <v>1</v>
      </c>
      <c r="K174" s="54" t="b">
        <v>1</v>
      </c>
      <c r="L174" s="54" t="b">
        <v>1</v>
      </c>
      <c r="M174" s="54" t="b">
        <v>1</v>
      </c>
      <c r="N174" s="54" t="b">
        <v>1</v>
      </c>
      <c r="O174" s="54" t="b">
        <v>1</v>
      </c>
      <c r="P174" s="54" t="b">
        <v>1</v>
      </c>
      <c r="Q174" s="54" t="b">
        <v>1</v>
      </c>
      <c r="R174" s="54" t="b">
        <v>1</v>
      </c>
      <c r="S174" s="54" t="b">
        <v>1</v>
      </c>
      <c r="T174" s="54" t="b">
        <v>1</v>
      </c>
      <c r="U174" s="54" t="b">
        <v>1</v>
      </c>
      <c r="V174" s="54" t="b">
        <v>1</v>
      </c>
      <c r="W174" s="54" t="b">
        <v>1</v>
      </c>
      <c r="X174" s="54" t="b">
        <v>1</v>
      </c>
      <c r="Y174" s="54" t="b">
        <v>1</v>
      </c>
      <c r="Z174" s="54" t="b">
        <v>1</v>
      </c>
      <c r="AA174" s="54" t="b">
        <v>1</v>
      </c>
      <c r="AB174" s="54" t="b">
        <v>1</v>
      </c>
      <c r="AC174" s="54" t="b">
        <v>1</v>
      </c>
      <c r="AD174" s="54" t="b">
        <v>1</v>
      </c>
      <c r="AE174" s="54" t="b">
        <v>1</v>
      </c>
      <c r="AF174" s="54" t="b">
        <v>1</v>
      </c>
      <c r="AG174" s="54" t="b">
        <v>1</v>
      </c>
      <c r="AH174" s="54" t="b">
        <v>1</v>
      </c>
      <c r="AI174" s="54" t="b">
        <v>1</v>
      </c>
      <c r="AJ174" s="54" t="b">
        <v>1</v>
      </c>
      <c r="AK174" s="54" t="b">
        <v>1</v>
      </c>
      <c r="AL174" s="54" t="b">
        <v>1</v>
      </c>
      <c r="AM174" s="54" t="b">
        <v>1</v>
      </c>
      <c r="AN174" s="54" t="b">
        <v>1</v>
      </c>
      <c r="AO174" s="54" t="b">
        <v>1</v>
      </c>
      <c r="AP174" s="54" t="b">
        <v>1</v>
      </c>
      <c r="AQ174" s="54" t="b">
        <v>1</v>
      </c>
      <c r="AR174" s="54" t="b">
        <v>1</v>
      </c>
      <c r="AS174" s="54" t="b">
        <v>1</v>
      </c>
      <c r="AT174" s="54" t="b">
        <v>1</v>
      </c>
      <c r="AU174" s="54" t="b">
        <v>1</v>
      </c>
      <c r="AV174" s="54" t="b">
        <v>1</v>
      </c>
      <c r="AW174" s="54" t="b">
        <v>1</v>
      </c>
      <c r="AX174" s="54" t="b">
        <v>1</v>
      </c>
      <c r="AY174" s="54" t="b">
        <v>1</v>
      </c>
      <c r="AZ174" s="54" t="b">
        <v>1</v>
      </c>
      <c r="BA174" s="54" t="b">
        <v>1</v>
      </c>
      <c r="BB174" s="54" t="b">
        <v>1</v>
      </c>
      <c r="BC174" s="54" t="b">
        <v>1</v>
      </c>
      <c r="BD174" s="54" t="b">
        <v>1</v>
      </c>
      <c r="BE174" s="54" t="b">
        <v>1</v>
      </c>
      <c r="BF174" s="54" t="b">
        <v>1</v>
      </c>
      <c r="BG174" s="54" t="b">
        <v>1</v>
      </c>
      <c r="BH174" s="54" t="b">
        <v>1</v>
      </c>
      <c r="BI174" s="54" t="b">
        <v>1</v>
      </c>
      <c r="BJ174" s="54" t="b">
        <v>1</v>
      </c>
      <c r="BK174" s="54" t="b">
        <v>1</v>
      </c>
      <c r="BL174" s="54" t="b">
        <v>1</v>
      </c>
      <c r="BM174" s="54" t="b">
        <v>1</v>
      </c>
      <c r="BN174" s="54" t="b">
        <v>0</v>
      </c>
      <c r="BO174" s="54" t="b">
        <v>0</v>
      </c>
    </row>
    <row r="175" hidden="1" outlineLevel="1">
      <c r="A175" s="71" t="str">
        <f>A174&amp;C175</f>
        <v>SeptemberLEELAOT HOURS</v>
      </c>
      <c r="B175" s="72"/>
      <c r="C175" s="73" t="s">
        <v>120</v>
      </c>
      <c r="D175" s="33"/>
      <c r="E175" s="70">
        <f>(F175+G175+H175+I175+J175+K175+L175+M175+N175+O175+P175+Q175+R175+S175+T175+U175+V175+W175+X175+Y175+Z175+AA175+AB175+AC175+AD175+AE175+AF175+AG175+AH175+AI175+AJ175+AK175+AL175+AM175+AN175+AO175+AP175+AQ175+AR175+AS175+AT175+AU175+AV175+AW175+AX175+AY175+AZ175+BA175+BB175+BC175+BD175+BE175+BF175+BG175+BH175+BI175+BJ175+BK175+BL175+BM175+BN175+BO175)</f>
        <v>2</v>
      </c>
      <c r="F175" s="76"/>
      <c r="G175" s="33"/>
      <c r="H175" s="74"/>
      <c r="I175" s="33"/>
      <c r="J175" s="76"/>
      <c r="K175" s="33"/>
      <c r="L175" s="74"/>
      <c r="M175" s="33"/>
      <c r="N175" s="74"/>
      <c r="O175" s="33"/>
      <c r="P175" s="76"/>
      <c r="Q175" s="33"/>
      <c r="R175" s="76"/>
      <c r="S175" s="33"/>
      <c r="T175" s="76"/>
      <c r="U175" s="33"/>
      <c r="V175" s="76"/>
      <c r="W175" s="33"/>
      <c r="X175" s="74"/>
      <c r="Y175" s="33"/>
      <c r="Z175" s="76"/>
      <c r="AA175" s="33"/>
      <c r="AB175" s="76"/>
      <c r="AC175" s="33"/>
      <c r="AD175" s="74"/>
      <c r="AE175" s="33"/>
      <c r="AF175" s="74"/>
      <c r="AG175" s="33"/>
      <c r="AH175" s="76"/>
      <c r="AI175" s="33"/>
      <c r="AJ175" s="74">
        <v>1.0</v>
      </c>
      <c r="AK175" s="33"/>
      <c r="AL175" s="74"/>
      <c r="AM175" s="33"/>
      <c r="AN175" s="76"/>
      <c r="AO175" s="33"/>
      <c r="AP175" s="76"/>
      <c r="AQ175" s="33"/>
      <c r="AR175" s="74"/>
      <c r="AS175" s="33"/>
      <c r="AT175" s="76"/>
      <c r="AU175" s="33"/>
      <c r="AV175" s="74"/>
      <c r="AW175" s="33"/>
      <c r="AX175" s="76"/>
      <c r="AY175" s="33"/>
      <c r="AZ175" s="74"/>
      <c r="BA175" s="33"/>
      <c r="BB175" s="76"/>
      <c r="BC175" s="33"/>
      <c r="BD175" s="74"/>
      <c r="BE175" s="33"/>
      <c r="BF175" s="74"/>
      <c r="BG175" s="33"/>
      <c r="BH175" s="74">
        <v>1.0</v>
      </c>
      <c r="BI175" s="33"/>
      <c r="BJ175" s="74"/>
      <c r="BK175" s="33"/>
      <c r="BL175" s="74"/>
      <c r="BM175" s="33"/>
      <c r="BN175" s="76"/>
      <c r="BO175" s="33"/>
    </row>
    <row r="176" hidden="1" outlineLevel="1">
      <c r="A176" s="66" t="str">
        <f>B176&amp;D176</f>
        <v>SeptemberNAROTTAM</v>
      </c>
      <c r="B176" s="67" t="s">
        <v>29</v>
      </c>
      <c r="C176" s="68" t="s">
        <v>75</v>
      </c>
      <c r="D176" s="69" t="str">
        <f>IFERROR(VLOOKUP(C176,'Employees List'!$B$2:$C$28,2,0),"")</f>
        <v>NAROTTAM</v>
      </c>
      <c r="E176" s="70">
        <f>(F176+G176+H176+I176+J176+K176+L176+M176+N176+O176+P176+Q176+R176+S176+T176+U176+V176+W176+X176+Y176+Z176+AA176+AB176+AC176+AD176+AE176+AF176+AG176+AH176+AI176+AJ176+AK176+AL176+AM176+AN176+AO176+AP176+AQ176+AR176+AS176+AT176+AU176+AV176+AW176+AX176+AY176+AZ176+BA176+BB176+BC176+BD176+BE176+BF176+BG176+BH176+BI176+BJ176+BK176+BL176+BM176+BN176+BO176)/2</f>
        <v>16.5</v>
      </c>
      <c r="F176" s="54" t="b">
        <v>1</v>
      </c>
      <c r="G176" s="54" t="b">
        <v>1</v>
      </c>
      <c r="H176" s="54" t="b">
        <v>0</v>
      </c>
      <c r="I176" s="54" t="b">
        <v>0</v>
      </c>
      <c r="J176" s="54" t="b">
        <v>0</v>
      </c>
      <c r="K176" s="54" t="b">
        <v>0</v>
      </c>
      <c r="L176" s="54" t="b">
        <v>1</v>
      </c>
      <c r="M176" s="54" t="b">
        <v>1</v>
      </c>
      <c r="N176" s="54" t="b">
        <v>1</v>
      </c>
      <c r="O176" s="54" t="b">
        <v>1</v>
      </c>
      <c r="P176" s="54" t="b">
        <v>1</v>
      </c>
      <c r="Q176" s="54" t="b">
        <v>1</v>
      </c>
      <c r="R176" s="54" t="b">
        <v>1</v>
      </c>
      <c r="S176" s="54" t="b">
        <v>1</v>
      </c>
      <c r="T176" s="54" t="b">
        <v>1</v>
      </c>
      <c r="U176" s="54" t="b">
        <v>1</v>
      </c>
      <c r="V176" s="54" t="b">
        <v>1</v>
      </c>
      <c r="W176" s="54" t="b">
        <v>1</v>
      </c>
      <c r="X176" s="54" t="b">
        <v>1</v>
      </c>
      <c r="Y176" s="54" t="b">
        <v>1</v>
      </c>
      <c r="Z176" s="54" t="b">
        <v>1</v>
      </c>
      <c r="AA176" s="54" t="b">
        <v>1</v>
      </c>
      <c r="AB176" s="54" t="b">
        <v>1</v>
      </c>
      <c r="AC176" s="54" t="b">
        <v>1</v>
      </c>
      <c r="AD176" s="54" t="b">
        <v>1</v>
      </c>
      <c r="AE176" s="54" t="b">
        <v>1</v>
      </c>
      <c r="AF176" s="54" t="b">
        <v>1</v>
      </c>
      <c r="AG176" s="54" t="b">
        <v>1</v>
      </c>
      <c r="AH176" s="54" t="b">
        <v>1</v>
      </c>
      <c r="AI176" s="54" t="b">
        <v>1</v>
      </c>
      <c r="AJ176" s="54" t="b">
        <v>1</v>
      </c>
      <c r="AK176" s="54" t="b">
        <v>1</v>
      </c>
      <c r="AL176" s="54" t="b">
        <v>1</v>
      </c>
      <c r="AM176" s="54" t="b">
        <v>0</v>
      </c>
      <c r="AN176" s="54" t="b">
        <v>0</v>
      </c>
      <c r="AO176" s="54" t="b">
        <v>0</v>
      </c>
      <c r="AP176" s="54" t="b">
        <v>0</v>
      </c>
      <c r="AQ176" s="54" t="b">
        <v>0</v>
      </c>
      <c r="AR176" s="54" t="b">
        <v>0</v>
      </c>
      <c r="AS176" s="54" t="b">
        <v>0</v>
      </c>
      <c r="AT176" s="54" t="b">
        <v>0</v>
      </c>
      <c r="AU176" s="54" t="b">
        <v>0</v>
      </c>
      <c r="AV176" s="54" t="b">
        <v>1</v>
      </c>
      <c r="AW176" s="54" t="b">
        <v>1</v>
      </c>
      <c r="AX176" s="54" t="b">
        <v>1</v>
      </c>
      <c r="AY176" s="54" t="b">
        <v>1</v>
      </c>
      <c r="AZ176" s="54" t="b">
        <v>0</v>
      </c>
      <c r="BA176" s="54" t="b">
        <v>0</v>
      </c>
      <c r="BB176" s="54" t="b">
        <v>0</v>
      </c>
      <c r="BC176" s="54" t="b">
        <v>0</v>
      </c>
      <c r="BD176" s="54" t="b">
        <v>0</v>
      </c>
      <c r="BE176" s="54" t="b">
        <v>0</v>
      </c>
      <c r="BF176" s="54" t="b">
        <v>0</v>
      </c>
      <c r="BG176" s="54" t="b">
        <v>0</v>
      </c>
      <c r="BH176" s="54" t="b">
        <v>0</v>
      </c>
      <c r="BI176" s="54" t="b">
        <v>0</v>
      </c>
      <c r="BJ176" s="54" t="b">
        <v>0</v>
      </c>
      <c r="BK176" s="54" t="b">
        <v>0</v>
      </c>
      <c r="BL176" s="54" t="b">
        <v>0</v>
      </c>
      <c r="BM176" s="54" t="b">
        <v>0</v>
      </c>
      <c r="BN176" s="54" t="b">
        <v>0</v>
      </c>
      <c r="BO176" s="54" t="b">
        <v>0</v>
      </c>
    </row>
    <row r="177" hidden="1" outlineLevel="1">
      <c r="A177" s="71" t="str">
        <f>A176&amp;C177</f>
        <v>SeptemberNAROTTAMOT HOURS</v>
      </c>
      <c r="B177" s="72"/>
      <c r="C177" s="73" t="s">
        <v>120</v>
      </c>
      <c r="D177" s="33"/>
      <c r="E177" s="70">
        <f>(F177+G177+H177+I177+J177+K177+L177+M177+N177+O177+P177+Q177+R177+S177+T177+U177+V177+W177+X177+Y177+Z177+AA177+AB177+AC177+AD177+AE177+AF177+AG177+AH177+AI177+AJ177+AK177+AL177+AM177+AN177+AO177+AP177+AQ177+AR177+AS177+AT177+AU177+AV177+AW177+AX177+AY177+AZ177+BA177+BB177+BC177+BD177+BE177+BF177+BG177+BH177+BI177+BJ177+BK177+BL177+BM177+BN177+BO177)</f>
        <v>13</v>
      </c>
      <c r="F177" s="74">
        <v>5.0</v>
      </c>
      <c r="G177" s="33"/>
      <c r="H177" s="74"/>
      <c r="I177" s="33"/>
      <c r="J177" s="76"/>
      <c r="K177" s="33"/>
      <c r="L177" s="74"/>
      <c r="M177" s="33"/>
      <c r="N177" s="74">
        <v>2.0</v>
      </c>
      <c r="O177" s="33"/>
      <c r="P177" s="76"/>
      <c r="Q177" s="33"/>
      <c r="R177" s="76"/>
      <c r="S177" s="33"/>
      <c r="T177" s="76"/>
      <c r="U177" s="33"/>
      <c r="V177" s="76"/>
      <c r="W177" s="33"/>
      <c r="X177" s="74"/>
      <c r="Y177" s="33"/>
      <c r="Z177" s="76"/>
      <c r="AA177" s="33"/>
      <c r="AB177" s="76"/>
      <c r="AC177" s="33"/>
      <c r="AD177" s="74"/>
      <c r="AE177" s="33"/>
      <c r="AF177" s="74">
        <v>1.0</v>
      </c>
      <c r="AG177" s="33"/>
      <c r="AH177" s="74"/>
      <c r="AI177" s="33"/>
      <c r="AJ177" s="74">
        <v>1.0</v>
      </c>
      <c r="AK177" s="33"/>
      <c r="AL177" s="74"/>
      <c r="AM177" s="33"/>
      <c r="AN177" s="76"/>
      <c r="AO177" s="33"/>
      <c r="AP177" s="76"/>
      <c r="AQ177" s="33"/>
      <c r="AR177" s="74"/>
      <c r="AS177" s="33"/>
      <c r="AT177" s="76"/>
      <c r="AU177" s="33"/>
      <c r="AV177" s="74"/>
      <c r="AW177" s="33"/>
      <c r="AX177" s="74">
        <v>4.0</v>
      </c>
      <c r="AY177" s="33"/>
      <c r="AZ177" s="74"/>
      <c r="BA177" s="33"/>
      <c r="BB177" s="76"/>
      <c r="BC177" s="33"/>
      <c r="BD177" s="74"/>
      <c r="BE177" s="33"/>
      <c r="BF177" s="74"/>
      <c r="BG177" s="33"/>
      <c r="BH177" s="74"/>
      <c r="BI177" s="33"/>
      <c r="BJ177" s="74"/>
      <c r="BK177" s="33"/>
      <c r="BL177" s="74"/>
      <c r="BM177" s="33"/>
      <c r="BN177" s="76"/>
      <c r="BO177" s="33"/>
    </row>
    <row r="178" collapsed="1">
      <c r="A178" s="30"/>
      <c r="B178" s="31"/>
      <c r="C178" s="36">
        <v>45566.0</v>
      </c>
      <c r="D178" s="33"/>
      <c r="E178" s="34"/>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row>
    <row r="179" hidden="1" outlineLevel="1">
      <c r="A179" s="38"/>
      <c r="B179" s="39"/>
      <c r="C179" s="40" t="s">
        <v>1</v>
      </c>
      <c r="D179" s="40" t="s">
        <v>2</v>
      </c>
      <c r="E179" s="41" t="s">
        <v>117</v>
      </c>
      <c r="F179" s="40" t="s">
        <v>118</v>
      </c>
      <c r="G179" s="40" t="s">
        <v>119</v>
      </c>
      <c r="H179" s="40" t="s">
        <v>118</v>
      </c>
      <c r="I179" s="40" t="s">
        <v>119</v>
      </c>
      <c r="J179" s="40" t="s">
        <v>118</v>
      </c>
      <c r="K179" s="40" t="s">
        <v>119</v>
      </c>
      <c r="L179" s="40" t="s">
        <v>118</v>
      </c>
      <c r="M179" s="40" t="s">
        <v>119</v>
      </c>
      <c r="N179" s="40" t="s">
        <v>118</v>
      </c>
      <c r="O179" s="40" t="s">
        <v>119</v>
      </c>
      <c r="P179" s="40" t="s">
        <v>118</v>
      </c>
      <c r="Q179" s="40" t="s">
        <v>119</v>
      </c>
      <c r="R179" s="40" t="s">
        <v>118</v>
      </c>
      <c r="S179" s="40" t="s">
        <v>119</v>
      </c>
      <c r="T179" s="40" t="s">
        <v>118</v>
      </c>
      <c r="U179" s="40" t="s">
        <v>119</v>
      </c>
      <c r="V179" s="40" t="s">
        <v>118</v>
      </c>
      <c r="W179" s="40" t="s">
        <v>119</v>
      </c>
      <c r="X179" s="40" t="s">
        <v>118</v>
      </c>
      <c r="Y179" s="40" t="s">
        <v>119</v>
      </c>
      <c r="Z179" s="40" t="s">
        <v>118</v>
      </c>
      <c r="AA179" s="40" t="s">
        <v>119</v>
      </c>
      <c r="AB179" s="40" t="s">
        <v>118</v>
      </c>
      <c r="AC179" s="40" t="s">
        <v>119</v>
      </c>
      <c r="AD179" s="40" t="s">
        <v>118</v>
      </c>
      <c r="AE179" s="40" t="s">
        <v>119</v>
      </c>
      <c r="AF179" s="40" t="s">
        <v>118</v>
      </c>
      <c r="AG179" s="40" t="s">
        <v>119</v>
      </c>
      <c r="AH179" s="40" t="s">
        <v>118</v>
      </c>
      <c r="AI179" s="40" t="s">
        <v>119</v>
      </c>
      <c r="AJ179" s="40" t="s">
        <v>118</v>
      </c>
      <c r="AK179" s="40" t="s">
        <v>119</v>
      </c>
      <c r="AL179" s="40" t="s">
        <v>118</v>
      </c>
      <c r="AM179" s="40" t="s">
        <v>119</v>
      </c>
      <c r="AN179" s="40" t="s">
        <v>118</v>
      </c>
      <c r="AO179" s="40" t="s">
        <v>119</v>
      </c>
      <c r="AP179" s="40" t="s">
        <v>118</v>
      </c>
      <c r="AQ179" s="40" t="s">
        <v>119</v>
      </c>
      <c r="AR179" s="40" t="s">
        <v>118</v>
      </c>
      <c r="AS179" s="40" t="s">
        <v>119</v>
      </c>
      <c r="AT179" s="40" t="s">
        <v>118</v>
      </c>
      <c r="AU179" s="40" t="s">
        <v>119</v>
      </c>
      <c r="AV179" s="40" t="s">
        <v>118</v>
      </c>
      <c r="AW179" s="40" t="s">
        <v>119</v>
      </c>
      <c r="AX179" s="40" t="s">
        <v>118</v>
      </c>
      <c r="AY179" s="40" t="s">
        <v>119</v>
      </c>
      <c r="AZ179" s="40" t="s">
        <v>118</v>
      </c>
      <c r="BA179" s="40" t="s">
        <v>119</v>
      </c>
      <c r="BB179" s="40" t="s">
        <v>118</v>
      </c>
      <c r="BC179" s="40" t="s">
        <v>119</v>
      </c>
      <c r="BD179" s="40" t="s">
        <v>118</v>
      </c>
      <c r="BE179" s="40" t="s">
        <v>119</v>
      </c>
      <c r="BF179" s="40" t="s">
        <v>118</v>
      </c>
      <c r="BG179" s="40" t="s">
        <v>119</v>
      </c>
      <c r="BH179" s="40" t="s">
        <v>118</v>
      </c>
      <c r="BI179" s="40" t="s">
        <v>119</v>
      </c>
      <c r="BJ179" s="40" t="s">
        <v>118</v>
      </c>
      <c r="BK179" s="40" t="s">
        <v>119</v>
      </c>
      <c r="BL179" s="40" t="s">
        <v>118</v>
      </c>
      <c r="BM179" s="40" t="s">
        <v>119</v>
      </c>
      <c r="BN179" s="40" t="s">
        <v>118</v>
      </c>
      <c r="BO179" s="40" t="s">
        <v>119</v>
      </c>
    </row>
    <row r="180" hidden="1" outlineLevel="1">
      <c r="A180" s="42" t="str">
        <f>B180&amp;D180</f>
        <v>OctoberBHUVANESWARAN</v>
      </c>
      <c r="B180" s="43" t="s">
        <v>33</v>
      </c>
      <c r="C180" s="43" t="s">
        <v>9</v>
      </c>
      <c r="D180" s="44" t="str">
        <f>IFERROR(VLOOKUP(C180,'Employees List'!$B$2:$C$28,2,0),"")</f>
        <v>BHUVANESWARAN</v>
      </c>
      <c r="E180" s="70">
        <f>(F180+G180+H180+I180+J180+K180+L180+M180+N180+O180+P180+Q180+R180+S180+T180+U180+V180+W180+X180+Y180+Z180+AA180+AB180+AC180+AD180+AE180+AF180+AG180+AH180+AI180+AJ180+AK180+AL180+AM180+AN180+AO180+AP180+AQ180+AR180+AS180+AT180+AU180+AV180+AW180+AX180+AY180+AZ180+BA180+BB180+BC180+BD180+BE180+BF180+BG180+BH180+BI180+BJ180+BK180+BL180+BM180+BN180+BO180)/2</f>
        <v>31</v>
      </c>
      <c r="F180" s="54" t="b">
        <v>1</v>
      </c>
      <c r="G180" s="54" t="b">
        <v>1</v>
      </c>
      <c r="H180" s="54" t="b">
        <v>1</v>
      </c>
      <c r="I180" s="54" t="b">
        <v>1</v>
      </c>
      <c r="J180" s="54" t="b">
        <v>1</v>
      </c>
      <c r="K180" s="54" t="b">
        <v>1</v>
      </c>
      <c r="L180" s="54" t="b">
        <v>1</v>
      </c>
      <c r="M180" s="54" t="b">
        <v>1</v>
      </c>
      <c r="N180" s="54" t="b">
        <v>1</v>
      </c>
      <c r="O180" s="54" t="b">
        <v>1</v>
      </c>
      <c r="P180" s="54" t="b">
        <v>1</v>
      </c>
      <c r="Q180" s="54" t="b">
        <v>1</v>
      </c>
      <c r="R180" s="54" t="b">
        <v>1</v>
      </c>
      <c r="S180" s="54" t="b">
        <v>1</v>
      </c>
      <c r="T180" s="54" t="b">
        <v>1</v>
      </c>
      <c r="U180" s="54" t="b">
        <v>1</v>
      </c>
      <c r="V180" s="54" t="b">
        <v>1</v>
      </c>
      <c r="W180" s="54" t="b">
        <v>1</v>
      </c>
      <c r="X180" s="54" t="b">
        <v>1</v>
      </c>
      <c r="Y180" s="54" t="b">
        <v>1</v>
      </c>
      <c r="Z180" s="54" t="b">
        <v>1</v>
      </c>
      <c r="AA180" s="54" t="b">
        <v>1</v>
      </c>
      <c r="AB180" s="54" t="b">
        <v>1</v>
      </c>
      <c r="AC180" s="54" t="b">
        <v>1</v>
      </c>
      <c r="AD180" s="54" t="b">
        <v>1</v>
      </c>
      <c r="AE180" s="54" t="b">
        <v>1</v>
      </c>
      <c r="AF180" s="54" t="b">
        <v>1</v>
      </c>
      <c r="AG180" s="54" t="b">
        <v>1</v>
      </c>
      <c r="AH180" s="54" t="b">
        <v>1</v>
      </c>
      <c r="AI180" s="54" t="b">
        <v>1</v>
      </c>
      <c r="AJ180" s="54" t="b">
        <v>1</v>
      </c>
      <c r="AK180" s="54" t="b">
        <v>1</v>
      </c>
      <c r="AL180" s="54" t="b">
        <v>1</v>
      </c>
      <c r="AM180" s="54" t="b">
        <v>1</v>
      </c>
      <c r="AN180" s="54" t="b">
        <v>1</v>
      </c>
      <c r="AO180" s="54" t="b">
        <v>1</v>
      </c>
      <c r="AP180" s="54" t="b">
        <v>1</v>
      </c>
      <c r="AQ180" s="54" t="b">
        <v>1</v>
      </c>
      <c r="AR180" s="54" t="b">
        <v>1</v>
      </c>
      <c r="AS180" s="54" t="b">
        <v>1</v>
      </c>
      <c r="AT180" s="54" t="b">
        <v>1</v>
      </c>
      <c r="AU180" s="54" t="b">
        <v>1</v>
      </c>
      <c r="AV180" s="54" t="b">
        <v>1</v>
      </c>
      <c r="AW180" s="54" t="b">
        <v>1</v>
      </c>
      <c r="AX180" s="54" t="b">
        <v>1</v>
      </c>
      <c r="AY180" s="54" t="b">
        <v>1</v>
      </c>
      <c r="AZ180" s="54" t="b">
        <v>1</v>
      </c>
      <c r="BA180" s="54" t="b">
        <v>1</v>
      </c>
      <c r="BB180" s="54" t="b">
        <v>1</v>
      </c>
      <c r="BC180" s="54" t="b">
        <v>1</v>
      </c>
      <c r="BD180" s="54" t="b">
        <v>1</v>
      </c>
      <c r="BE180" s="54" t="b">
        <v>1</v>
      </c>
      <c r="BF180" s="54" t="b">
        <v>1</v>
      </c>
      <c r="BG180" s="54" t="b">
        <v>1</v>
      </c>
      <c r="BH180" s="54" t="b">
        <v>1</v>
      </c>
      <c r="BI180" s="54" t="b">
        <v>1</v>
      </c>
      <c r="BJ180" s="54" t="b">
        <v>1</v>
      </c>
      <c r="BK180" s="54" t="b">
        <v>1</v>
      </c>
      <c r="BL180" s="54" t="b">
        <v>1</v>
      </c>
      <c r="BM180" s="54" t="b">
        <v>1</v>
      </c>
      <c r="BN180" s="54" t="b">
        <v>1</v>
      </c>
      <c r="BO180" s="54" t="b">
        <v>1</v>
      </c>
    </row>
    <row r="181" hidden="1" outlineLevel="1">
      <c r="A181" s="47" t="str">
        <f>A180&amp;C181</f>
        <v>OctoberBHUVANESWARANOT HOURS</v>
      </c>
      <c r="B181" s="48"/>
      <c r="C181" s="49" t="s">
        <v>120</v>
      </c>
      <c r="D181" s="33"/>
      <c r="E181" s="70">
        <f>(F181+G181+H181+I181+J181+K181+L181+M181+N181+O181+P181+Q181+R181+S181+T181+U181+V181+W181+X181+Y181+Z181+AA181+AB181+AC181+AD181+AE181+AF181+AG181+AH181+AI181+AJ181+AK181+AL181+AM181+AN181+AO181+AP181+AQ181+AR181+AS181+AT181+AU181+AV181+AW181+AX181+AY181+AZ181+BA181+BB181+BC181+BD181+BE181+BF181+BG181+BH181+BI181+BJ181+BK181+BL181+BM181+BN181+BO181)</f>
        <v>0</v>
      </c>
      <c r="F181" s="59"/>
      <c r="G181" s="33"/>
      <c r="H181" s="59"/>
      <c r="I181" s="33"/>
      <c r="J181" s="59"/>
      <c r="K181" s="33"/>
      <c r="L181" s="60"/>
      <c r="M181" s="33"/>
      <c r="N181" s="60"/>
      <c r="O181" s="33"/>
      <c r="P181" s="60"/>
      <c r="Q181" s="33"/>
      <c r="R181" s="60"/>
      <c r="S181" s="33"/>
      <c r="T181" s="60"/>
      <c r="U181" s="33"/>
      <c r="V181" s="60"/>
      <c r="W181" s="33"/>
      <c r="X181" s="60"/>
      <c r="Y181" s="33"/>
      <c r="Z181" s="60"/>
      <c r="AA181" s="33"/>
      <c r="AB181" s="60"/>
      <c r="AC181" s="33"/>
      <c r="AD181" s="60"/>
      <c r="AE181" s="33"/>
      <c r="AF181" s="60"/>
      <c r="AG181" s="33"/>
      <c r="AH181" s="60"/>
      <c r="AI181" s="33"/>
      <c r="AJ181" s="60"/>
      <c r="AK181" s="33"/>
      <c r="AL181" s="60"/>
      <c r="AM181" s="33"/>
      <c r="AN181" s="60"/>
      <c r="AO181" s="33"/>
      <c r="AP181" s="60"/>
      <c r="AQ181" s="33"/>
      <c r="AR181" s="60"/>
      <c r="AS181" s="33"/>
      <c r="AT181" s="60"/>
      <c r="AU181" s="33"/>
      <c r="AV181" s="60"/>
      <c r="AW181" s="33"/>
      <c r="AX181" s="60"/>
      <c r="AY181" s="33"/>
      <c r="AZ181" s="60"/>
      <c r="BA181" s="33"/>
      <c r="BB181" s="60"/>
      <c r="BC181" s="33"/>
      <c r="BD181" s="60"/>
      <c r="BE181" s="33"/>
      <c r="BF181" s="60"/>
      <c r="BG181" s="33"/>
      <c r="BH181" s="60"/>
      <c r="BI181" s="33"/>
      <c r="BJ181" s="60"/>
      <c r="BK181" s="33"/>
      <c r="BL181" s="60"/>
      <c r="BM181" s="33"/>
      <c r="BN181" s="60"/>
      <c r="BO181" s="33"/>
    </row>
    <row r="182" hidden="1" outlineLevel="1">
      <c r="A182" s="42" t="str">
        <f>B182&amp;D182</f>
        <v>OctoberSUNDARI</v>
      </c>
      <c r="B182" s="43" t="s">
        <v>33</v>
      </c>
      <c r="C182" s="43" t="s">
        <v>64</v>
      </c>
      <c r="D182" s="44" t="str">
        <f>IFERROR(VLOOKUP(C182,'Employees List'!$B$2:$C$28,2,0),"")</f>
        <v>SUNDARI</v>
      </c>
      <c r="E182" s="70">
        <f>(F182+G182+H182+I182+J182+K182+L182+M182+N182+O182+P182+Q182+R182+S182+T182+U182+V182+W182+X182+Y182+Z182+AA182+AB182+AC182+AD182+AE182+AF182+AG182+AH182+AI182+AJ182+AK182+AL182+AM182+AN182+AO182+AP182+AQ182+AR182+AS182+AT182+AU182+AV182+AW182+AX182+AY182+AZ182+BA182+BB182+BC182+BD182+BE182+BF182+BG182+BH182+BI182+BJ182+BK182+BL182+BM182+BN182+BO182)/2</f>
        <v>31</v>
      </c>
      <c r="F182" s="54" t="b">
        <v>1</v>
      </c>
      <c r="G182" s="54" t="b">
        <v>1</v>
      </c>
      <c r="H182" s="54" t="b">
        <v>1</v>
      </c>
      <c r="I182" s="54" t="b">
        <v>1</v>
      </c>
      <c r="J182" s="54" t="b">
        <v>1</v>
      </c>
      <c r="K182" s="54" t="b">
        <v>1</v>
      </c>
      <c r="L182" s="54" t="b">
        <v>1</v>
      </c>
      <c r="M182" s="54" t="b">
        <v>1</v>
      </c>
      <c r="N182" s="54" t="b">
        <v>1</v>
      </c>
      <c r="O182" s="54" t="b">
        <v>1</v>
      </c>
      <c r="P182" s="54" t="b">
        <v>1</v>
      </c>
      <c r="Q182" s="54" t="b">
        <v>1</v>
      </c>
      <c r="R182" s="54" t="b">
        <v>1</v>
      </c>
      <c r="S182" s="54" t="b">
        <v>1</v>
      </c>
      <c r="T182" s="54" t="b">
        <v>1</v>
      </c>
      <c r="U182" s="54" t="b">
        <v>1</v>
      </c>
      <c r="V182" s="54" t="b">
        <v>1</v>
      </c>
      <c r="W182" s="54" t="b">
        <v>1</v>
      </c>
      <c r="X182" s="54" t="b">
        <v>1</v>
      </c>
      <c r="Y182" s="54" t="b">
        <v>1</v>
      </c>
      <c r="Z182" s="54" t="b">
        <v>1</v>
      </c>
      <c r="AA182" s="54" t="b">
        <v>1</v>
      </c>
      <c r="AB182" s="54" t="b">
        <v>1</v>
      </c>
      <c r="AC182" s="54" t="b">
        <v>1</v>
      </c>
      <c r="AD182" s="54" t="b">
        <v>1</v>
      </c>
      <c r="AE182" s="54" t="b">
        <v>1</v>
      </c>
      <c r="AF182" s="54" t="b">
        <v>1</v>
      </c>
      <c r="AG182" s="54" t="b">
        <v>1</v>
      </c>
      <c r="AH182" s="54" t="b">
        <v>1</v>
      </c>
      <c r="AI182" s="54" t="b">
        <v>1</v>
      </c>
      <c r="AJ182" s="54" t="b">
        <v>1</v>
      </c>
      <c r="AK182" s="54" t="b">
        <v>1</v>
      </c>
      <c r="AL182" s="54" t="b">
        <v>1</v>
      </c>
      <c r="AM182" s="54" t="b">
        <v>1</v>
      </c>
      <c r="AN182" s="54" t="b">
        <v>1</v>
      </c>
      <c r="AO182" s="54" t="b">
        <v>1</v>
      </c>
      <c r="AP182" s="54" t="b">
        <v>1</v>
      </c>
      <c r="AQ182" s="54" t="b">
        <v>1</v>
      </c>
      <c r="AR182" s="54" t="b">
        <v>1</v>
      </c>
      <c r="AS182" s="54" t="b">
        <v>1</v>
      </c>
      <c r="AT182" s="54" t="b">
        <v>1</v>
      </c>
      <c r="AU182" s="54" t="b">
        <v>1</v>
      </c>
      <c r="AV182" s="54" t="b">
        <v>1</v>
      </c>
      <c r="AW182" s="54" t="b">
        <v>1</v>
      </c>
      <c r="AX182" s="54" t="b">
        <v>1</v>
      </c>
      <c r="AY182" s="54" t="b">
        <v>1</v>
      </c>
      <c r="AZ182" s="54" t="b">
        <v>1</v>
      </c>
      <c r="BA182" s="54" t="b">
        <v>1</v>
      </c>
      <c r="BB182" s="54" t="b">
        <v>1</v>
      </c>
      <c r="BC182" s="54" t="b">
        <v>1</v>
      </c>
      <c r="BD182" s="54" t="b">
        <v>1</v>
      </c>
      <c r="BE182" s="54" t="b">
        <v>1</v>
      </c>
      <c r="BF182" s="54" t="b">
        <v>1</v>
      </c>
      <c r="BG182" s="54" t="b">
        <v>1</v>
      </c>
      <c r="BH182" s="54" t="b">
        <v>1</v>
      </c>
      <c r="BI182" s="54" t="b">
        <v>1</v>
      </c>
      <c r="BJ182" s="54" t="b">
        <v>1</v>
      </c>
      <c r="BK182" s="54" t="b">
        <v>1</v>
      </c>
      <c r="BL182" s="54" t="b">
        <v>1</v>
      </c>
      <c r="BM182" s="54" t="b">
        <v>1</v>
      </c>
      <c r="BN182" s="54" t="b">
        <v>1</v>
      </c>
      <c r="BO182" s="54" t="b">
        <v>1</v>
      </c>
    </row>
    <row r="183" hidden="1" outlineLevel="1">
      <c r="A183" s="47" t="str">
        <f>A182&amp;C183</f>
        <v>OctoberSUNDARIOT HOURS</v>
      </c>
      <c r="B183" s="48"/>
      <c r="C183" s="49" t="s">
        <v>120</v>
      </c>
      <c r="D183" s="33"/>
      <c r="E183" s="70">
        <f>(F183+G183+H183+I183+J183+K183+L183+M183+N183+O183+P183+Q183+R183+S183+T183+U183+V183+W183+X183+Y183+Z183+AA183+AB183+AC183+AD183+AE183+AF183+AG183+AH183+AI183+AJ183+AK183+AL183+AM183+AN183+AO183+AP183+AQ183+AR183+AS183+AT183+AU183+AV183+AW183+AX183+AY183+AZ183+BA183+BB183+BC183+BD183+BE183+BF183+BG183+BH183+BI183+BJ183+BK183+BL183+BM183+BN183+BO183)</f>
        <v>7</v>
      </c>
      <c r="F183" s="59"/>
      <c r="G183" s="33"/>
      <c r="H183" s="59"/>
      <c r="I183" s="33"/>
      <c r="J183" s="59"/>
      <c r="K183" s="33"/>
      <c r="L183" s="60"/>
      <c r="M183" s="33"/>
      <c r="N183" s="60"/>
      <c r="O183" s="33"/>
      <c r="P183" s="60"/>
      <c r="Q183" s="33"/>
      <c r="R183" s="60"/>
      <c r="S183" s="33"/>
      <c r="T183" s="60"/>
      <c r="U183" s="33"/>
      <c r="V183" s="59">
        <v>2.0</v>
      </c>
      <c r="W183" s="33"/>
      <c r="X183" s="59">
        <v>3.0</v>
      </c>
      <c r="Y183" s="33"/>
      <c r="Z183" s="60"/>
      <c r="AA183" s="33"/>
      <c r="AB183" s="60"/>
      <c r="AC183" s="33"/>
      <c r="AD183" s="60"/>
      <c r="AE183" s="33"/>
      <c r="AF183" s="59">
        <v>1.0</v>
      </c>
      <c r="AG183" s="33"/>
      <c r="AH183" s="60"/>
      <c r="AI183" s="33"/>
      <c r="AJ183" s="60"/>
      <c r="AK183" s="33"/>
      <c r="AL183" s="60"/>
      <c r="AM183" s="33"/>
      <c r="AN183" s="60"/>
      <c r="AO183" s="33"/>
      <c r="AP183" s="60"/>
      <c r="AQ183" s="33"/>
      <c r="AR183" s="60"/>
      <c r="AS183" s="33"/>
      <c r="AT183" s="60"/>
      <c r="AU183" s="33"/>
      <c r="AV183" s="60"/>
      <c r="AW183" s="33"/>
      <c r="AX183" s="60"/>
      <c r="AY183" s="33"/>
      <c r="AZ183" s="60"/>
      <c r="BA183" s="33"/>
      <c r="BB183" s="60"/>
      <c r="BC183" s="33"/>
      <c r="BD183" s="59">
        <v>1.0</v>
      </c>
      <c r="BE183" s="33"/>
      <c r="BF183" s="60"/>
      <c r="BG183" s="33"/>
      <c r="BH183" s="60"/>
      <c r="BI183" s="33"/>
      <c r="BJ183" s="60"/>
      <c r="BK183" s="33"/>
      <c r="BL183" s="60"/>
      <c r="BM183" s="33"/>
      <c r="BN183" s="60"/>
      <c r="BO183" s="33"/>
    </row>
    <row r="184" hidden="1" outlineLevel="1">
      <c r="A184" s="42" t="str">
        <f>B184&amp;D184</f>
        <v>OctoberVASANTHA</v>
      </c>
      <c r="B184" s="43" t="s">
        <v>33</v>
      </c>
      <c r="C184" s="43" t="s">
        <v>13</v>
      </c>
      <c r="D184" s="44" t="str">
        <f>IFERROR(VLOOKUP(C184,'Employees List'!$B$2:$C$28,2,0),"")</f>
        <v>VASANTHA</v>
      </c>
      <c r="E184" s="70">
        <f>(F184+G184+H184+I184+J184+K184+L184+M184+N184+O184+P184+Q184+R184+S184+T184+U184+V184+W184+X184+Y184+Z184+AA184+AB184+AC184+AD184+AE184+AF184+AG184+AH184+AI184+AJ184+AK184+AL184+AM184+AN184+AO184+AP184+AQ184+AR184+AS184+AT184+AU184+AV184+AW184+AX184+AY184+AZ184+BA184+BB184+BC184+BD184+BE184+BF184+BG184+BH184+BI184+BJ184+BK184+BL184+BM184+BN184+BO184)/2</f>
        <v>23</v>
      </c>
      <c r="F184" s="54" t="b">
        <v>0</v>
      </c>
      <c r="G184" s="54" t="b">
        <v>0</v>
      </c>
      <c r="H184" s="54" t="b">
        <v>1</v>
      </c>
      <c r="I184" s="54" t="b">
        <v>1</v>
      </c>
      <c r="J184" s="54" t="b">
        <v>0</v>
      </c>
      <c r="K184" s="54" t="b">
        <v>0</v>
      </c>
      <c r="L184" s="54" t="b">
        <v>0</v>
      </c>
      <c r="M184" s="54" t="b">
        <v>0</v>
      </c>
      <c r="N184" s="54" t="b">
        <v>0</v>
      </c>
      <c r="O184" s="54" t="b">
        <v>0</v>
      </c>
      <c r="P184" s="54" t="b">
        <v>1</v>
      </c>
      <c r="Q184" s="54" t="b">
        <v>1</v>
      </c>
      <c r="R184" s="54" t="b">
        <v>0</v>
      </c>
      <c r="S184" s="54" t="b">
        <v>0</v>
      </c>
      <c r="T184" s="54" t="b">
        <v>0</v>
      </c>
      <c r="U184" s="54" t="b">
        <v>0</v>
      </c>
      <c r="V184" s="54" t="b">
        <v>0</v>
      </c>
      <c r="W184" s="54" t="b">
        <v>0</v>
      </c>
      <c r="X184" s="54" t="b">
        <v>0</v>
      </c>
      <c r="Y184" s="54" t="b">
        <v>0</v>
      </c>
      <c r="Z184" s="54" t="b">
        <v>1</v>
      </c>
      <c r="AA184" s="54" t="b">
        <v>1</v>
      </c>
      <c r="AB184" s="54" t="b">
        <v>1</v>
      </c>
      <c r="AC184" s="54" t="b">
        <v>1</v>
      </c>
      <c r="AD184" s="54" t="b">
        <v>1</v>
      </c>
      <c r="AE184" s="54" t="b">
        <v>1</v>
      </c>
      <c r="AF184" s="54" t="b">
        <v>1</v>
      </c>
      <c r="AG184" s="54" t="b">
        <v>1</v>
      </c>
      <c r="AH184" s="54" t="b">
        <v>1</v>
      </c>
      <c r="AI184" s="54" t="b">
        <v>1</v>
      </c>
      <c r="AJ184" s="54" t="b">
        <v>1</v>
      </c>
      <c r="AK184" s="54" t="b">
        <v>1</v>
      </c>
      <c r="AL184" s="54" t="b">
        <v>1</v>
      </c>
      <c r="AM184" s="54" t="b">
        <v>1</v>
      </c>
      <c r="AN184" s="54" t="b">
        <v>1</v>
      </c>
      <c r="AO184" s="54" t="b">
        <v>1</v>
      </c>
      <c r="AP184" s="54" t="b">
        <v>1</v>
      </c>
      <c r="AQ184" s="54" t="b">
        <v>1</v>
      </c>
      <c r="AR184" s="54" t="b">
        <v>1</v>
      </c>
      <c r="AS184" s="54" t="b">
        <v>1</v>
      </c>
      <c r="AT184" s="54" t="b">
        <v>1</v>
      </c>
      <c r="AU184" s="54" t="b">
        <v>1</v>
      </c>
      <c r="AV184" s="54" t="b">
        <v>1</v>
      </c>
      <c r="AW184" s="54" t="b">
        <v>1</v>
      </c>
      <c r="AX184" s="54" t="b">
        <v>1</v>
      </c>
      <c r="AY184" s="54" t="b">
        <v>1</v>
      </c>
      <c r="AZ184" s="54" t="b">
        <v>1</v>
      </c>
      <c r="BA184" s="54" t="b">
        <v>1</v>
      </c>
      <c r="BB184" s="54" t="b">
        <v>1</v>
      </c>
      <c r="BC184" s="54" t="b">
        <v>1</v>
      </c>
      <c r="BD184" s="54" t="b">
        <v>1</v>
      </c>
      <c r="BE184" s="54" t="b">
        <v>1</v>
      </c>
      <c r="BF184" s="54" t="b">
        <v>1</v>
      </c>
      <c r="BG184" s="54" t="b">
        <v>1</v>
      </c>
      <c r="BH184" s="54" t="b">
        <v>1</v>
      </c>
      <c r="BI184" s="54" t="b">
        <v>1</v>
      </c>
      <c r="BJ184" s="54" t="b">
        <v>1</v>
      </c>
      <c r="BK184" s="54" t="b">
        <v>1</v>
      </c>
      <c r="BL184" s="54" t="b">
        <v>1</v>
      </c>
      <c r="BM184" s="54" t="b">
        <v>1</v>
      </c>
      <c r="BN184" s="54" t="b">
        <v>1</v>
      </c>
      <c r="BO184" s="54" t="b">
        <v>1</v>
      </c>
    </row>
    <row r="185" hidden="1" outlineLevel="1">
      <c r="A185" s="47" t="str">
        <f>A184&amp;C185</f>
        <v>OctoberVASANTHAOT HOURS</v>
      </c>
      <c r="B185" s="48"/>
      <c r="C185" s="49" t="s">
        <v>120</v>
      </c>
      <c r="D185" s="33"/>
      <c r="E185" s="70">
        <f>(F185+G185+H185+I185+J185+K185+L185+M185+N185+O185+P185+Q185+R185+S185+T185+U185+V185+W185+X185+Y185+Z185+AA185+AB185+AC185+AD185+AE185+AF185+AG185+AH185+AI185+AJ185+AK185+AL185+AM185+AN185+AO185+AP185+AQ185+AR185+AS185+AT185+AU185+AV185+AW185+AX185+AY185+AZ185+BA185+BB185+BC185+BD185+BE185+BF185+BG185+BH185+BI185+BJ185+BK185+BL185+BM185+BN185+BO185)</f>
        <v>14</v>
      </c>
      <c r="F185" s="59"/>
      <c r="G185" s="33"/>
      <c r="H185" s="59"/>
      <c r="I185" s="33"/>
      <c r="J185" s="59"/>
      <c r="K185" s="33"/>
      <c r="L185" s="60"/>
      <c r="M185" s="33"/>
      <c r="N185" s="60"/>
      <c r="O185" s="33"/>
      <c r="P185" s="60"/>
      <c r="Q185" s="33"/>
      <c r="R185" s="60"/>
      <c r="S185" s="33"/>
      <c r="T185" s="60"/>
      <c r="U185" s="33"/>
      <c r="V185" s="60"/>
      <c r="W185" s="33"/>
      <c r="X185" s="60"/>
      <c r="Y185" s="33"/>
      <c r="Z185" s="59">
        <v>1.0</v>
      </c>
      <c r="AA185" s="33"/>
      <c r="AB185" s="60"/>
      <c r="AC185" s="33"/>
      <c r="AD185" s="60"/>
      <c r="AE185" s="33"/>
      <c r="AF185" s="59">
        <v>2.0</v>
      </c>
      <c r="AG185" s="33"/>
      <c r="AH185" s="60"/>
      <c r="AI185" s="33"/>
      <c r="AJ185" s="60"/>
      <c r="AK185" s="33"/>
      <c r="AL185" s="60"/>
      <c r="AM185" s="33"/>
      <c r="AN185" s="60"/>
      <c r="AO185" s="33"/>
      <c r="AP185" s="60"/>
      <c r="AQ185" s="33"/>
      <c r="AR185" s="60"/>
      <c r="AS185" s="33"/>
      <c r="AT185" s="60"/>
      <c r="AU185" s="33"/>
      <c r="AV185" s="59">
        <v>2.0</v>
      </c>
      <c r="AW185" s="33"/>
      <c r="AX185" s="60"/>
      <c r="AY185" s="33"/>
      <c r="AZ185" s="60"/>
      <c r="BA185" s="33"/>
      <c r="BB185" s="59">
        <v>1.0</v>
      </c>
      <c r="BC185" s="33"/>
      <c r="BD185" s="59">
        <v>2.0</v>
      </c>
      <c r="BE185" s="33"/>
      <c r="BF185" s="59"/>
      <c r="BG185" s="33"/>
      <c r="BH185" s="59">
        <v>2.0</v>
      </c>
      <c r="BI185" s="33"/>
      <c r="BJ185" s="59">
        <v>2.0</v>
      </c>
      <c r="BK185" s="33"/>
      <c r="BL185" s="59">
        <v>2.0</v>
      </c>
      <c r="BM185" s="33"/>
      <c r="BN185" s="60"/>
      <c r="BO185" s="33"/>
    </row>
    <row r="186" hidden="1" outlineLevel="1">
      <c r="A186" s="42" t="str">
        <f>B186&amp;D186</f>
        <v>OctoberGANESH</v>
      </c>
      <c r="B186" s="43" t="s">
        <v>33</v>
      </c>
      <c r="C186" s="43" t="s">
        <v>18</v>
      </c>
      <c r="D186" s="44" t="str">
        <f>IFERROR(VLOOKUP(C186,'Employees List'!$B$2:$C$28,2,0),"")</f>
        <v>GANESH</v>
      </c>
      <c r="E186" s="70">
        <f>(F186+G186+H186+I186+J186+K186+L186+M186+N186+O186+P186+Q186+R186+S186+T186+U186+V186+W186+X186+Y186+Z186+AA186+AB186+AC186+AD186+AE186+AF186+AG186+AH186+AI186+AJ186+AK186+AL186+AM186+AN186+AO186+AP186+AQ186+AR186+AS186+AT186+AU186+AV186+AW186+AX186+AY186+AZ186+BA186+BB186+BC186+BD186+BE186+BF186+BG186+BH186+BI186+BJ186+BK186+BL186+BM186+BN186+BO186)/2</f>
        <v>21</v>
      </c>
      <c r="F186" s="54" t="b">
        <v>1</v>
      </c>
      <c r="G186" s="54" t="b">
        <v>1</v>
      </c>
      <c r="H186" s="54" t="b">
        <v>1</v>
      </c>
      <c r="I186" s="54" t="b">
        <v>1</v>
      </c>
      <c r="J186" s="54" t="b">
        <v>1</v>
      </c>
      <c r="K186" s="54" t="b">
        <v>1</v>
      </c>
      <c r="L186" s="54" t="b">
        <v>1</v>
      </c>
      <c r="M186" s="54" t="b">
        <v>1</v>
      </c>
      <c r="N186" s="54" t="b">
        <v>1</v>
      </c>
      <c r="O186" s="54" t="b">
        <v>1</v>
      </c>
      <c r="P186" s="54" t="b">
        <v>0</v>
      </c>
      <c r="Q186" s="54" t="b">
        <v>0</v>
      </c>
      <c r="R186" s="54" t="b">
        <v>0</v>
      </c>
      <c r="S186" s="54" t="b">
        <v>0</v>
      </c>
      <c r="T186" s="54" t="b">
        <v>0</v>
      </c>
      <c r="U186" s="54" t="b">
        <v>0</v>
      </c>
      <c r="V186" s="54" t="b">
        <v>0</v>
      </c>
      <c r="W186" s="54" t="b">
        <v>0</v>
      </c>
      <c r="X186" s="54" t="b">
        <v>1</v>
      </c>
      <c r="Y186" s="54" t="b">
        <v>1</v>
      </c>
      <c r="Z186" s="54" t="b">
        <v>1</v>
      </c>
      <c r="AA186" s="54" t="b">
        <v>1</v>
      </c>
      <c r="AB186" s="54" t="b">
        <v>1</v>
      </c>
      <c r="AC186" s="54" t="b">
        <v>1</v>
      </c>
      <c r="AD186" s="54" t="b">
        <v>1</v>
      </c>
      <c r="AE186" s="54" t="b">
        <v>1</v>
      </c>
      <c r="AF186" s="54" t="b">
        <v>1</v>
      </c>
      <c r="AG186" s="54" t="b">
        <v>1</v>
      </c>
      <c r="AH186" s="54" t="b">
        <v>1</v>
      </c>
      <c r="AI186" s="54" t="b">
        <v>0</v>
      </c>
      <c r="AJ186" s="54" t="b">
        <v>1</v>
      </c>
      <c r="AK186" s="54" t="b">
        <v>1</v>
      </c>
      <c r="AL186" s="54" t="b">
        <v>1</v>
      </c>
      <c r="AM186" s="54" t="b">
        <v>1</v>
      </c>
      <c r="AN186" s="54" t="b">
        <v>1</v>
      </c>
      <c r="AO186" s="54" t="b">
        <v>1</v>
      </c>
      <c r="AP186" s="54" t="b">
        <v>1</v>
      </c>
      <c r="AQ186" s="54" t="b">
        <v>1</v>
      </c>
      <c r="AR186" s="54" t="b">
        <v>1</v>
      </c>
      <c r="AS186" s="54" t="b">
        <v>1</v>
      </c>
      <c r="AT186" s="54" t="b">
        <v>1</v>
      </c>
      <c r="AU186" s="54" t="b">
        <v>1</v>
      </c>
      <c r="AV186" s="54" t="b">
        <v>1</v>
      </c>
      <c r="AW186" s="54" t="b">
        <v>1</v>
      </c>
      <c r="AX186" s="54" t="b">
        <v>1</v>
      </c>
      <c r="AY186" s="54" t="b">
        <v>0</v>
      </c>
      <c r="AZ186" s="54" t="b">
        <v>1</v>
      </c>
      <c r="BA186" s="54" t="b">
        <v>1</v>
      </c>
      <c r="BB186" s="54" t="b">
        <v>1</v>
      </c>
      <c r="BC186" s="54" t="b">
        <v>1</v>
      </c>
      <c r="BD186" s="54" t="b">
        <v>1</v>
      </c>
      <c r="BE186" s="54" t="b">
        <v>1</v>
      </c>
      <c r="BF186" s="54" t="b">
        <v>0</v>
      </c>
      <c r="BG186" s="54" t="b">
        <v>0</v>
      </c>
      <c r="BH186" s="54" t="b">
        <v>0</v>
      </c>
      <c r="BI186" s="54" t="b">
        <v>0</v>
      </c>
      <c r="BJ186" s="54" t="b">
        <v>0</v>
      </c>
      <c r="BK186" s="54" t="b">
        <v>0</v>
      </c>
      <c r="BL186" s="54" t="b">
        <v>0</v>
      </c>
      <c r="BM186" s="54" t="b">
        <v>0</v>
      </c>
      <c r="BN186" s="54" t="b">
        <v>0</v>
      </c>
      <c r="BO186" s="54" t="b">
        <v>0</v>
      </c>
    </row>
    <row r="187" hidden="1" outlineLevel="1">
      <c r="A187" s="47" t="str">
        <f>A186&amp;C187</f>
        <v>OctoberGANESHOT HOURS</v>
      </c>
      <c r="B187" s="48"/>
      <c r="C187" s="49" t="s">
        <v>120</v>
      </c>
      <c r="D187" s="33"/>
      <c r="E187" s="70">
        <f>(F187+G187+H187+I187+J187+K187+L187+M187+N187+O187+P187+Q187+R187+S187+T187+U187+V187+W187+X187+Y187+Z187+AA187+AB187+AC187+AD187+AE187+AF187+AG187+AH187+AI187+AJ187+AK187+AL187+AM187+AN187+AO187+AP187+AQ187+AR187+AS187+AT187+AU187+AV187+AW187+AX187+AY187+AZ187+BA187+BB187+BC187+BD187+BE187+BF187+BG187+BH187+BI187+BJ187+BK187+BL187+BM187+BN187+BO187)</f>
        <v>18</v>
      </c>
      <c r="F187" s="59">
        <v>3.0</v>
      </c>
      <c r="G187" s="33"/>
      <c r="H187" s="59"/>
      <c r="I187" s="33"/>
      <c r="J187" s="59"/>
      <c r="K187" s="33"/>
      <c r="L187" s="59">
        <v>2.0</v>
      </c>
      <c r="M187" s="33"/>
      <c r="N187" s="60"/>
      <c r="O187" s="33"/>
      <c r="P187" s="60"/>
      <c r="Q187" s="33"/>
      <c r="R187" s="60"/>
      <c r="S187" s="33"/>
      <c r="T187" s="60"/>
      <c r="U187" s="33"/>
      <c r="V187" s="60"/>
      <c r="W187" s="33"/>
      <c r="X187" s="59">
        <v>2.0</v>
      </c>
      <c r="Y187" s="33"/>
      <c r="Z187" s="59">
        <v>2.0</v>
      </c>
      <c r="AA187" s="33"/>
      <c r="AB187" s="60"/>
      <c r="AC187" s="33"/>
      <c r="AD187" s="60"/>
      <c r="AE187" s="33"/>
      <c r="AF187" s="59">
        <v>3.0</v>
      </c>
      <c r="AG187" s="33"/>
      <c r="AH187" s="60"/>
      <c r="AI187" s="33"/>
      <c r="AJ187" s="60"/>
      <c r="AK187" s="33"/>
      <c r="AL187" s="60"/>
      <c r="AM187" s="33"/>
      <c r="AN187" s="60"/>
      <c r="AO187" s="33"/>
      <c r="AP187" s="60"/>
      <c r="AQ187" s="33"/>
      <c r="AR187" s="60"/>
      <c r="AS187" s="33"/>
      <c r="AT187" s="60"/>
      <c r="AU187" s="33"/>
      <c r="AV187" s="59">
        <v>2.0</v>
      </c>
      <c r="AW187" s="33"/>
      <c r="AX187" s="60"/>
      <c r="AY187" s="33"/>
      <c r="AZ187" s="59">
        <v>1.0</v>
      </c>
      <c r="BA187" s="33"/>
      <c r="BB187" s="60"/>
      <c r="BC187" s="33"/>
      <c r="BD187" s="59">
        <v>3.0</v>
      </c>
      <c r="BE187" s="33"/>
      <c r="BF187" s="60"/>
      <c r="BG187" s="33"/>
      <c r="BH187" s="60"/>
      <c r="BI187" s="33"/>
      <c r="BJ187" s="60"/>
      <c r="BK187" s="33"/>
      <c r="BL187" s="60"/>
      <c r="BM187" s="33"/>
      <c r="BN187" s="60"/>
      <c r="BO187" s="33"/>
    </row>
    <row r="188" hidden="1" outlineLevel="1">
      <c r="A188" s="66" t="str">
        <f>B188&amp;D188</f>
        <v>OctoberADHIKARI BALIA</v>
      </c>
      <c r="B188" s="67" t="s">
        <v>33</v>
      </c>
      <c r="C188" s="77" t="s">
        <v>22</v>
      </c>
      <c r="D188" s="69" t="str">
        <f>IFERROR(VLOOKUP(C188,'Employees List'!$B$2:$C$28,2,0),"")</f>
        <v>ADHIKARI BALIA</v>
      </c>
      <c r="E188" s="70">
        <f>(F188+G188+H188+I188+J188+K188+L188+M188+N188+O188+P188+Q188+R188+S188+T188+U188+V188+W188+X188+Y188+Z188+AA188+AB188+AC188+AD188+AE188+AF188+AG188+AH188+AI188+AJ188+AK188+AL188+AM188+AN188+AO188+AP188+AQ188+AR188+AS188+AT188+AU188+AV188+AW188+AX188+AY188+AZ188+BA188+BB188+BC188+BD188+BE188+BF188+BG188+BH188+BI188+BJ188+BK188+BL188+BM188+BN188+BO188)/2</f>
        <v>30.5</v>
      </c>
      <c r="F188" s="54" t="b">
        <v>1</v>
      </c>
      <c r="G188" s="54" t="b">
        <v>1</v>
      </c>
      <c r="H188" s="54" t="b">
        <v>1</v>
      </c>
      <c r="I188" s="54" t="b">
        <v>1</v>
      </c>
      <c r="J188" s="54" t="b">
        <v>1</v>
      </c>
      <c r="K188" s="54" t="b">
        <v>1</v>
      </c>
      <c r="L188" s="54" t="b">
        <v>1</v>
      </c>
      <c r="M188" s="54" t="b">
        <v>1</v>
      </c>
      <c r="N188" s="54" t="b">
        <v>1</v>
      </c>
      <c r="O188" s="54" t="b">
        <v>1</v>
      </c>
      <c r="P188" s="54" t="b">
        <v>1</v>
      </c>
      <c r="Q188" s="54" t="b">
        <v>1</v>
      </c>
      <c r="R188" s="54" t="b">
        <v>1</v>
      </c>
      <c r="S188" s="54" t="b">
        <v>0</v>
      </c>
      <c r="T188" s="54" t="b">
        <v>1</v>
      </c>
      <c r="U188" s="54" t="b">
        <v>1</v>
      </c>
      <c r="V188" s="54" t="b">
        <v>1</v>
      </c>
      <c r="W188" s="54" t="b">
        <v>1</v>
      </c>
      <c r="X188" s="54" t="b">
        <v>1</v>
      </c>
      <c r="Y188" s="54" t="b">
        <v>1</v>
      </c>
      <c r="Z188" s="54" t="b">
        <v>1</v>
      </c>
      <c r="AA188" s="54" t="b">
        <v>1</v>
      </c>
      <c r="AB188" s="54" t="b">
        <v>1</v>
      </c>
      <c r="AC188" s="54" t="b">
        <v>1</v>
      </c>
      <c r="AD188" s="54" t="b">
        <v>1</v>
      </c>
      <c r="AE188" s="54" t="b">
        <v>1</v>
      </c>
      <c r="AF188" s="54" t="b">
        <v>1</v>
      </c>
      <c r="AG188" s="54" t="b">
        <v>1</v>
      </c>
      <c r="AH188" s="54" t="b">
        <v>1</v>
      </c>
      <c r="AI188" s="54" t="b">
        <v>1</v>
      </c>
      <c r="AJ188" s="54" t="b">
        <v>1</v>
      </c>
      <c r="AK188" s="54" t="b">
        <v>1</v>
      </c>
      <c r="AL188" s="54" t="b">
        <v>1</v>
      </c>
      <c r="AM188" s="54" t="b">
        <v>1</v>
      </c>
      <c r="AN188" s="54" t="b">
        <v>1</v>
      </c>
      <c r="AO188" s="54" t="b">
        <v>1</v>
      </c>
      <c r="AP188" s="54" t="b">
        <v>1</v>
      </c>
      <c r="AQ188" s="54" t="b">
        <v>1</v>
      </c>
      <c r="AR188" s="54" t="b">
        <v>1</v>
      </c>
      <c r="AS188" s="54" t="b">
        <v>1</v>
      </c>
      <c r="AT188" s="54" t="b">
        <v>1</v>
      </c>
      <c r="AU188" s="54" t="b">
        <v>1</v>
      </c>
      <c r="AV188" s="54" t="b">
        <v>1</v>
      </c>
      <c r="AW188" s="54" t="b">
        <v>1</v>
      </c>
      <c r="AX188" s="54" t="b">
        <v>1</v>
      </c>
      <c r="AY188" s="54" t="b">
        <v>1</v>
      </c>
      <c r="AZ188" s="54" t="b">
        <v>1</v>
      </c>
      <c r="BA188" s="54" t="b">
        <v>1</v>
      </c>
      <c r="BB188" s="54" t="b">
        <v>1</v>
      </c>
      <c r="BC188" s="54" t="b">
        <v>1</v>
      </c>
      <c r="BD188" s="54" t="b">
        <v>1</v>
      </c>
      <c r="BE188" s="54" t="b">
        <v>1</v>
      </c>
      <c r="BF188" s="54" t="b">
        <v>1</v>
      </c>
      <c r="BG188" s="54" t="b">
        <v>1</v>
      </c>
      <c r="BH188" s="54" t="b">
        <v>1</v>
      </c>
      <c r="BI188" s="54" t="b">
        <v>1</v>
      </c>
      <c r="BJ188" s="54" t="b">
        <v>1</v>
      </c>
      <c r="BK188" s="54" t="b">
        <v>1</v>
      </c>
      <c r="BL188" s="54" t="b">
        <v>1</v>
      </c>
      <c r="BM188" s="54" t="b">
        <v>1</v>
      </c>
      <c r="BN188" s="54" t="b">
        <v>1</v>
      </c>
      <c r="BO188" s="54" t="b">
        <v>1</v>
      </c>
    </row>
    <row r="189" hidden="1" outlineLevel="1">
      <c r="A189" s="71" t="str">
        <f>A188&amp;C189</f>
        <v>OctoberADHIKARI BALIAOT HOURS</v>
      </c>
      <c r="B189" s="72"/>
      <c r="C189" s="73" t="s">
        <v>120</v>
      </c>
      <c r="D189" s="33"/>
      <c r="E189" s="70">
        <f>(F189+G189+H189+I189+J189+K189+L189+M189+N189+O189+P189+Q189+R189+S189+T189+U189+V189+W189+X189+Y189+Z189+AA189+AB189+AC189+AD189+AE189+AF189+AG189+AH189+AI189+AJ189+AK189+AL189+AM189+AN189+AO189+AP189+AQ189+AR189+AS189+AT189+AU189+AV189+AW189+AX189+AY189+AZ189+BA189+BB189+BC189+BD189+BE189+BF189+BG189+BH189+BI189+BJ189+BK189+BL189+BM189+BN189+BO189)</f>
        <v>56</v>
      </c>
      <c r="F189" s="59">
        <v>3.0</v>
      </c>
      <c r="G189" s="33"/>
      <c r="H189" s="75"/>
      <c r="I189" s="33"/>
      <c r="J189" s="78"/>
      <c r="K189" s="33"/>
      <c r="L189" s="75">
        <v>2.0</v>
      </c>
      <c r="M189" s="33"/>
      <c r="N189" s="75">
        <v>4.0</v>
      </c>
      <c r="O189" s="33"/>
      <c r="P189" s="78"/>
      <c r="Q189" s="33"/>
      <c r="R189" s="78"/>
      <c r="S189" s="33"/>
      <c r="T189" s="75">
        <v>4.0</v>
      </c>
      <c r="U189" s="33"/>
      <c r="V189" s="75">
        <v>2.0</v>
      </c>
      <c r="W189" s="33"/>
      <c r="X189" s="75">
        <v>4.0</v>
      </c>
      <c r="Y189" s="33"/>
      <c r="Z189" s="75">
        <v>2.0</v>
      </c>
      <c r="AA189" s="33"/>
      <c r="AB189" s="78"/>
      <c r="AC189" s="33"/>
      <c r="AD189" s="75">
        <v>3.0</v>
      </c>
      <c r="AE189" s="33"/>
      <c r="AF189" s="75">
        <v>3.0</v>
      </c>
      <c r="AG189" s="33"/>
      <c r="AH189" s="78"/>
      <c r="AI189" s="33"/>
      <c r="AJ189" s="78"/>
      <c r="AK189" s="33"/>
      <c r="AL189" s="78"/>
      <c r="AM189" s="33"/>
      <c r="AN189" s="75">
        <v>3.0</v>
      </c>
      <c r="AO189" s="33"/>
      <c r="AP189" s="78"/>
      <c r="AQ189" s="33"/>
      <c r="AR189" s="75">
        <v>1.0</v>
      </c>
      <c r="AS189" s="33"/>
      <c r="AT189" s="78"/>
      <c r="AU189" s="33"/>
      <c r="AV189" s="75">
        <v>3.0</v>
      </c>
      <c r="AW189" s="33"/>
      <c r="AX189" s="78"/>
      <c r="AY189" s="33"/>
      <c r="AZ189" s="75">
        <v>2.0</v>
      </c>
      <c r="BA189" s="33"/>
      <c r="BB189" s="78"/>
      <c r="BC189" s="33"/>
      <c r="BD189" s="75">
        <v>3.0</v>
      </c>
      <c r="BE189" s="33"/>
      <c r="BF189" s="75">
        <v>2.0</v>
      </c>
      <c r="BG189" s="33"/>
      <c r="BH189" s="75">
        <v>3.0</v>
      </c>
      <c r="BI189" s="33"/>
      <c r="BJ189" s="75">
        <v>6.0</v>
      </c>
      <c r="BK189" s="33"/>
      <c r="BL189" s="75">
        <v>4.0</v>
      </c>
      <c r="BM189" s="33"/>
      <c r="BN189" s="75">
        <v>2.0</v>
      </c>
      <c r="BO189" s="33"/>
    </row>
    <row r="190" hidden="1" outlineLevel="1">
      <c r="A190" s="66" t="str">
        <f>B190&amp;D190</f>
        <v>OctoberRUPESH</v>
      </c>
      <c r="B190" s="67" t="s">
        <v>33</v>
      </c>
      <c r="C190" s="77" t="s">
        <v>26</v>
      </c>
      <c r="D190" s="69" t="str">
        <f>IFERROR(VLOOKUP(C190,'Employees List'!$B$2:$C$28,2,0),"")</f>
        <v>RUPESH</v>
      </c>
      <c r="E190" s="70">
        <f>(F190+G190+H190+I190+J190+K190+L190+M190+N190+O190+P190+Q190+R190+S190+T190+U190+V190+W190+X190+Y190+Z190+AA190+AB190+AC190+AD190+AE190+AF190+AG190+AH190+AI190+AJ190+AK190+AL190+AM190+AN190+AO190+AP190+AQ190+AR190+AS190+AT190+AU190+AV190+AW190+AX190+AY190+AZ190+BA190+BB190+BC190+BD190+BE190+BF190+BG190+BH190+BI190+BJ190+BK190+BL190+BM190+BN190+BO190)/2</f>
        <v>31</v>
      </c>
      <c r="F190" s="54" t="b">
        <v>1</v>
      </c>
      <c r="G190" s="54" t="b">
        <v>1</v>
      </c>
      <c r="H190" s="54" t="b">
        <v>1</v>
      </c>
      <c r="I190" s="54" t="b">
        <v>1</v>
      </c>
      <c r="J190" s="54" t="b">
        <v>1</v>
      </c>
      <c r="K190" s="54" t="b">
        <v>1</v>
      </c>
      <c r="L190" s="54" t="b">
        <v>1</v>
      </c>
      <c r="M190" s="54" t="b">
        <v>1</v>
      </c>
      <c r="N190" s="54" t="b">
        <v>1</v>
      </c>
      <c r="O190" s="54" t="b">
        <v>1</v>
      </c>
      <c r="P190" s="54" t="b">
        <v>1</v>
      </c>
      <c r="Q190" s="54" t="b">
        <v>1</v>
      </c>
      <c r="R190" s="54" t="b">
        <v>1</v>
      </c>
      <c r="S190" s="54" t="b">
        <v>1</v>
      </c>
      <c r="T190" s="54" t="b">
        <v>1</v>
      </c>
      <c r="U190" s="54" t="b">
        <v>1</v>
      </c>
      <c r="V190" s="54" t="b">
        <v>1</v>
      </c>
      <c r="W190" s="54" t="b">
        <v>1</v>
      </c>
      <c r="X190" s="54" t="b">
        <v>1</v>
      </c>
      <c r="Y190" s="54" t="b">
        <v>1</v>
      </c>
      <c r="Z190" s="54" t="b">
        <v>1</v>
      </c>
      <c r="AA190" s="54" t="b">
        <v>1</v>
      </c>
      <c r="AB190" s="54" t="b">
        <v>1</v>
      </c>
      <c r="AC190" s="54" t="b">
        <v>1</v>
      </c>
      <c r="AD190" s="54" t="b">
        <v>1</v>
      </c>
      <c r="AE190" s="54" t="b">
        <v>1</v>
      </c>
      <c r="AF190" s="54" t="b">
        <v>1</v>
      </c>
      <c r="AG190" s="54" t="b">
        <v>1</v>
      </c>
      <c r="AH190" s="54" t="b">
        <v>1</v>
      </c>
      <c r="AI190" s="54" t="b">
        <v>1</v>
      </c>
      <c r="AJ190" s="54" t="b">
        <v>1</v>
      </c>
      <c r="AK190" s="54" t="b">
        <v>1</v>
      </c>
      <c r="AL190" s="54" t="b">
        <v>1</v>
      </c>
      <c r="AM190" s="54" t="b">
        <v>1</v>
      </c>
      <c r="AN190" s="54" t="b">
        <v>1</v>
      </c>
      <c r="AO190" s="54" t="b">
        <v>1</v>
      </c>
      <c r="AP190" s="54" t="b">
        <v>1</v>
      </c>
      <c r="AQ190" s="54" t="b">
        <v>1</v>
      </c>
      <c r="AR190" s="54" t="b">
        <v>1</v>
      </c>
      <c r="AS190" s="54" t="b">
        <v>1</v>
      </c>
      <c r="AT190" s="54" t="b">
        <v>1</v>
      </c>
      <c r="AU190" s="54" t="b">
        <v>1</v>
      </c>
      <c r="AV190" s="54" t="b">
        <v>1</v>
      </c>
      <c r="AW190" s="54" t="b">
        <v>1</v>
      </c>
      <c r="AX190" s="54" t="b">
        <v>1</v>
      </c>
      <c r="AY190" s="54" t="b">
        <v>1</v>
      </c>
      <c r="AZ190" s="54" t="b">
        <v>1</v>
      </c>
      <c r="BA190" s="54" t="b">
        <v>1</v>
      </c>
      <c r="BB190" s="54" t="b">
        <v>1</v>
      </c>
      <c r="BC190" s="54" t="b">
        <v>1</v>
      </c>
      <c r="BD190" s="54" t="b">
        <v>1</v>
      </c>
      <c r="BE190" s="54" t="b">
        <v>1</v>
      </c>
      <c r="BF190" s="54" t="b">
        <v>1</v>
      </c>
      <c r="BG190" s="54" t="b">
        <v>1</v>
      </c>
      <c r="BH190" s="54" t="b">
        <v>1</v>
      </c>
      <c r="BI190" s="54" t="b">
        <v>1</v>
      </c>
      <c r="BJ190" s="54" t="b">
        <v>1</v>
      </c>
      <c r="BK190" s="54" t="b">
        <v>1</v>
      </c>
      <c r="BL190" s="54" t="b">
        <v>1</v>
      </c>
      <c r="BM190" s="54" t="b">
        <v>1</v>
      </c>
      <c r="BN190" s="54" t="b">
        <v>1</v>
      </c>
      <c r="BO190" s="54" t="b">
        <v>1</v>
      </c>
    </row>
    <row r="191" hidden="1" outlineLevel="1">
      <c r="A191" s="71" t="str">
        <f>A190&amp;C191</f>
        <v>OctoberRUPESHOT HOURS</v>
      </c>
      <c r="B191" s="72"/>
      <c r="C191" s="73" t="s">
        <v>120</v>
      </c>
      <c r="D191" s="33"/>
      <c r="E191" s="70">
        <f>(F191+G191+H191+I191+J191+K191+L191+M191+N191+O191+P191+Q191+R191+S191+T191+U191+V191+W191+X191+Y191+Z191+AA191+AB191+AC191+AD191+AE191+AF191+AG191+AH191+AI191+AJ191+AK191+AL191+AM191+AN191+AO191+AP191+AQ191+AR191+AS191+AT191+AU191+AV191+AW191+AX191+AY191+AZ191+BA191+BB191+BC191+BD191+BE191+BF191+BG191+BH191+BI191+BJ191+BK191+BL191+BM191+BN191+BO191)</f>
        <v>55</v>
      </c>
      <c r="F191" s="59">
        <v>3.0</v>
      </c>
      <c r="G191" s="33"/>
      <c r="H191" s="75"/>
      <c r="I191" s="33"/>
      <c r="J191" s="75"/>
      <c r="K191" s="33"/>
      <c r="L191" s="75">
        <v>2.0</v>
      </c>
      <c r="M191" s="33"/>
      <c r="N191" s="75">
        <v>4.0</v>
      </c>
      <c r="O191" s="33"/>
      <c r="P191" s="78"/>
      <c r="Q191" s="33"/>
      <c r="R191" s="78"/>
      <c r="S191" s="33"/>
      <c r="T191" s="75">
        <v>3.0</v>
      </c>
      <c r="U191" s="33"/>
      <c r="V191" s="75">
        <v>2.0</v>
      </c>
      <c r="W191" s="33"/>
      <c r="X191" s="75">
        <v>4.0</v>
      </c>
      <c r="Y191" s="33"/>
      <c r="Z191" s="75">
        <v>2.0</v>
      </c>
      <c r="AA191" s="33"/>
      <c r="AB191" s="78"/>
      <c r="AC191" s="33"/>
      <c r="AD191" s="75">
        <v>3.0</v>
      </c>
      <c r="AE191" s="33"/>
      <c r="AF191" s="75">
        <v>2.0</v>
      </c>
      <c r="AG191" s="33"/>
      <c r="AH191" s="78"/>
      <c r="AI191" s="33"/>
      <c r="AJ191" s="78"/>
      <c r="AK191" s="33"/>
      <c r="AL191" s="78"/>
      <c r="AM191" s="33"/>
      <c r="AN191" s="75">
        <v>3.0</v>
      </c>
      <c r="AO191" s="33"/>
      <c r="AP191" s="78"/>
      <c r="AQ191" s="33"/>
      <c r="AR191" s="78"/>
      <c r="AS191" s="33"/>
      <c r="AT191" s="78"/>
      <c r="AU191" s="33"/>
      <c r="AV191" s="75">
        <v>2.0</v>
      </c>
      <c r="AW191" s="33"/>
      <c r="AX191" s="78"/>
      <c r="AY191" s="33"/>
      <c r="AZ191" s="75">
        <v>2.0</v>
      </c>
      <c r="BA191" s="33"/>
      <c r="BB191" s="78"/>
      <c r="BC191" s="33"/>
      <c r="BD191" s="75">
        <v>3.0</v>
      </c>
      <c r="BE191" s="33"/>
      <c r="BF191" s="75">
        <v>5.0</v>
      </c>
      <c r="BG191" s="33"/>
      <c r="BH191" s="75">
        <v>3.0</v>
      </c>
      <c r="BI191" s="33"/>
      <c r="BJ191" s="75">
        <v>6.0</v>
      </c>
      <c r="BK191" s="33"/>
      <c r="BL191" s="75">
        <v>4.0</v>
      </c>
      <c r="BM191" s="33"/>
      <c r="BN191" s="75">
        <v>2.0</v>
      </c>
      <c r="BO191" s="33"/>
    </row>
    <row r="192" hidden="1" outlineLevel="1">
      <c r="A192" s="66" t="str">
        <f>B192&amp;D192</f>
        <v>OctoberSANJAI BHAGAT</v>
      </c>
      <c r="B192" s="67" t="s">
        <v>33</v>
      </c>
      <c r="C192" s="77" t="s">
        <v>30</v>
      </c>
      <c r="D192" s="69" t="str">
        <f>IFERROR(VLOOKUP(C192,'Employees List'!$B$2:$C$28,2,0),"")</f>
        <v>SANJAI BHAGAT</v>
      </c>
      <c r="E192" s="70">
        <f>(F192+G192+H192+I192+J192+K192+L192+M192+N192+O192+P192+Q192+R192+S192+T192+U192+V192+W192+X192+Y192+Z192+AA192+AB192+AC192+AD192+AE192+AF192+AG192+AH192+AI192+AJ192+AK192+AL192+AM192+AN192+AO192+AP192+AQ192+AR192+AS192+AT192+AU192+AV192+AW192+AX192+AY192+AZ192+BA192+BB192+BC192+BD192+BE192+BF192+BG192+BH192+BI192+BJ192+BK192+BL192+BM192+BN192+BO192)/2</f>
        <v>30</v>
      </c>
      <c r="F192" s="54" t="b">
        <v>1</v>
      </c>
      <c r="G192" s="54" t="b">
        <v>1</v>
      </c>
      <c r="H192" s="54" t="b">
        <v>1</v>
      </c>
      <c r="I192" s="54" t="b">
        <v>1</v>
      </c>
      <c r="J192" s="54" t="b">
        <v>1</v>
      </c>
      <c r="K192" s="54" t="b">
        <v>1</v>
      </c>
      <c r="L192" s="54" t="b">
        <v>1</v>
      </c>
      <c r="M192" s="54" t="b">
        <v>1</v>
      </c>
      <c r="N192" s="54" t="b">
        <v>1</v>
      </c>
      <c r="O192" s="54" t="b">
        <v>1</v>
      </c>
      <c r="P192" s="54" t="b">
        <v>1</v>
      </c>
      <c r="Q192" s="54" t="b">
        <v>1</v>
      </c>
      <c r="R192" s="54" t="b">
        <v>1</v>
      </c>
      <c r="S192" s="54" t="b">
        <v>1</v>
      </c>
      <c r="T192" s="54" t="b">
        <v>1</v>
      </c>
      <c r="U192" s="54" t="b">
        <v>1</v>
      </c>
      <c r="V192" s="54" t="b">
        <v>1</v>
      </c>
      <c r="W192" s="54" t="b">
        <v>1</v>
      </c>
      <c r="X192" s="54" t="b">
        <v>1</v>
      </c>
      <c r="Y192" s="54" t="b">
        <v>1</v>
      </c>
      <c r="Z192" s="54" t="b">
        <v>1</v>
      </c>
      <c r="AA192" s="54" t="b">
        <v>1</v>
      </c>
      <c r="AB192" s="54" t="b">
        <v>1</v>
      </c>
      <c r="AC192" s="54" t="b">
        <v>1</v>
      </c>
      <c r="AD192" s="54" t="b">
        <v>1</v>
      </c>
      <c r="AE192" s="54" t="b">
        <v>1</v>
      </c>
      <c r="AF192" s="54" t="b">
        <v>1</v>
      </c>
      <c r="AG192" s="54" t="b">
        <v>1</v>
      </c>
      <c r="AH192" s="54" t="b">
        <v>1</v>
      </c>
      <c r="AI192" s="54" t="b">
        <v>1</v>
      </c>
      <c r="AJ192" s="54" t="b">
        <v>1</v>
      </c>
      <c r="AK192" s="54" t="b">
        <v>1</v>
      </c>
      <c r="AL192" s="54" t="b">
        <v>0</v>
      </c>
      <c r="AM192" s="54" t="b">
        <v>0</v>
      </c>
      <c r="AN192" s="54" t="b">
        <v>1</v>
      </c>
      <c r="AO192" s="54" t="b">
        <v>1</v>
      </c>
      <c r="AP192" s="54" t="b">
        <v>1</v>
      </c>
      <c r="AQ192" s="54" t="b">
        <v>1</v>
      </c>
      <c r="AR192" s="54" t="b">
        <v>1</v>
      </c>
      <c r="AS192" s="54" t="b">
        <v>1</v>
      </c>
      <c r="AT192" s="54" t="b">
        <v>1</v>
      </c>
      <c r="AU192" s="54" t="b">
        <v>1</v>
      </c>
      <c r="AV192" s="54" t="b">
        <v>1</v>
      </c>
      <c r="AW192" s="54" t="b">
        <v>1</v>
      </c>
      <c r="AX192" s="54" t="b">
        <v>1</v>
      </c>
      <c r="AY192" s="54" t="b">
        <v>1</v>
      </c>
      <c r="AZ192" s="54" t="b">
        <v>1</v>
      </c>
      <c r="BA192" s="54" t="b">
        <v>1</v>
      </c>
      <c r="BB192" s="54" t="b">
        <v>1</v>
      </c>
      <c r="BC192" s="54" t="b">
        <v>1</v>
      </c>
      <c r="BD192" s="54" t="b">
        <v>1</v>
      </c>
      <c r="BE192" s="54" t="b">
        <v>1</v>
      </c>
      <c r="BF192" s="54" t="b">
        <v>1</v>
      </c>
      <c r="BG192" s="54" t="b">
        <v>1</v>
      </c>
      <c r="BH192" s="54" t="b">
        <v>1</v>
      </c>
      <c r="BI192" s="54" t="b">
        <v>1</v>
      </c>
      <c r="BJ192" s="54" t="b">
        <v>1</v>
      </c>
      <c r="BK192" s="54" t="b">
        <v>1</v>
      </c>
      <c r="BL192" s="54" t="b">
        <v>1</v>
      </c>
      <c r="BM192" s="54" t="b">
        <v>1</v>
      </c>
      <c r="BN192" s="54" t="b">
        <v>1</v>
      </c>
      <c r="BO192" s="54" t="b">
        <v>1</v>
      </c>
    </row>
    <row r="193" hidden="1" outlineLevel="1">
      <c r="A193" s="71" t="str">
        <f>A192&amp;C193</f>
        <v>OctoberSANJAI BHAGATOT HOURS</v>
      </c>
      <c r="B193" s="72"/>
      <c r="C193" s="73" t="s">
        <v>120</v>
      </c>
      <c r="D193" s="33"/>
      <c r="E193" s="70">
        <f>(F193+G193+H193+I193+J193+K193+L193+M193+N193+O193+P193+Q193+R193+S193+T193+U193+V193+W193+X193+Y193+Z193+AA193+AB193+AC193+AD193+AE193+AF193+AG193+AH193+AI193+AJ193+AK193+AL193+AM193+AN193+AO193+AP193+AQ193+AR193+AS193+AT193+AU193+AV193+AW193+AX193+AY193+AZ193+BA193+BB193+BC193+BD193+BE193+BF193+BG193+BH193+BI193+BJ193+BK193+BL193+BM193+BN193+BO193)</f>
        <v>90</v>
      </c>
      <c r="F193" s="59">
        <v>2.0</v>
      </c>
      <c r="G193" s="33"/>
      <c r="H193" s="75"/>
      <c r="I193" s="33"/>
      <c r="J193" s="75">
        <v>2.0</v>
      </c>
      <c r="K193" s="33"/>
      <c r="L193" s="75">
        <v>2.0</v>
      </c>
      <c r="M193" s="33"/>
      <c r="N193" s="75">
        <v>4.0</v>
      </c>
      <c r="O193" s="33"/>
      <c r="P193" s="75">
        <v>3.0</v>
      </c>
      <c r="Q193" s="33"/>
      <c r="R193" s="75">
        <v>4.0</v>
      </c>
      <c r="S193" s="33"/>
      <c r="T193" s="75">
        <v>6.0</v>
      </c>
      <c r="U193" s="33"/>
      <c r="V193" s="75">
        <v>2.0</v>
      </c>
      <c r="W193" s="33"/>
      <c r="X193" s="75">
        <v>4.0</v>
      </c>
      <c r="Y193" s="33"/>
      <c r="Z193" s="75">
        <v>2.0</v>
      </c>
      <c r="AA193" s="33"/>
      <c r="AB193" s="75">
        <v>6.0</v>
      </c>
      <c r="AC193" s="33"/>
      <c r="AD193" s="75">
        <v>3.0</v>
      </c>
      <c r="AE193" s="33"/>
      <c r="AF193" s="75">
        <v>5.0</v>
      </c>
      <c r="AG193" s="33"/>
      <c r="AH193" s="78"/>
      <c r="AI193" s="33"/>
      <c r="AJ193" s="78"/>
      <c r="AK193" s="33"/>
      <c r="AL193" s="78"/>
      <c r="AM193" s="33"/>
      <c r="AN193" s="75">
        <v>3.0</v>
      </c>
      <c r="AO193" s="33"/>
      <c r="AP193" s="75">
        <v>2.0</v>
      </c>
      <c r="AQ193" s="33"/>
      <c r="AR193" s="75">
        <v>3.0</v>
      </c>
      <c r="AS193" s="33"/>
      <c r="AT193" s="75">
        <v>3.0</v>
      </c>
      <c r="AU193" s="33"/>
      <c r="AV193" s="75">
        <v>2.0</v>
      </c>
      <c r="AW193" s="33"/>
      <c r="AX193" s="78"/>
      <c r="AY193" s="33"/>
      <c r="AZ193" s="75">
        <v>2.0</v>
      </c>
      <c r="BA193" s="33"/>
      <c r="BB193" s="75">
        <v>6.0</v>
      </c>
      <c r="BC193" s="33"/>
      <c r="BD193" s="75">
        <v>3.0</v>
      </c>
      <c r="BE193" s="33"/>
      <c r="BF193" s="75">
        <v>5.0</v>
      </c>
      <c r="BG193" s="33"/>
      <c r="BH193" s="75">
        <v>3.0</v>
      </c>
      <c r="BI193" s="33"/>
      <c r="BJ193" s="75">
        <v>6.0</v>
      </c>
      <c r="BK193" s="33"/>
      <c r="BL193" s="75">
        <v>5.0</v>
      </c>
      <c r="BM193" s="33"/>
      <c r="BN193" s="75">
        <v>2.0</v>
      </c>
      <c r="BO193" s="33"/>
    </row>
    <row r="194" hidden="1" outlineLevel="1">
      <c r="A194" s="66" t="str">
        <f>B194&amp;D194</f>
        <v>OctoberJAGABANDH</v>
      </c>
      <c r="B194" s="67" t="s">
        <v>33</v>
      </c>
      <c r="C194" s="77" t="s">
        <v>80</v>
      </c>
      <c r="D194" s="69" t="str">
        <f>IFERROR(VLOOKUP(C194,'Employees List'!$B$2:$C$28,2,0),"")</f>
        <v>JAGABANDH</v>
      </c>
      <c r="E194" s="70">
        <f>(F194+G194+H194+I194+J194+K194+L194+M194+N194+O194+P194+Q194+R194+S194+T194+U194+V194+W194+X194+Y194+Z194+AA194+AB194+AC194+AD194+AE194+AF194+AG194+AH194+AI194+AJ194+AK194+AL194+AM194+AN194+AO194+AP194+AQ194+AR194+AS194+AT194+AU194+AV194+AW194+AX194+AY194+AZ194+BA194+BB194+BC194+BD194+BE194+BF194+BG194+BH194+BI194+BJ194+BK194+BL194+BM194+BN194+BO194)/2</f>
        <v>29</v>
      </c>
      <c r="F194" s="54" t="b">
        <v>1</v>
      </c>
      <c r="G194" s="54" t="b">
        <v>1</v>
      </c>
      <c r="H194" s="54" t="b">
        <v>1</v>
      </c>
      <c r="I194" s="54" t="b">
        <v>1</v>
      </c>
      <c r="J194" s="54" t="b">
        <v>1</v>
      </c>
      <c r="K194" s="54" t="b">
        <v>1</v>
      </c>
      <c r="L194" s="54" t="b">
        <v>1</v>
      </c>
      <c r="M194" s="54" t="b">
        <v>1</v>
      </c>
      <c r="N194" s="54" t="b">
        <v>1</v>
      </c>
      <c r="O194" s="54" t="b">
        <v>1</v>
      </c>
      <c r="P194" s="54" t="b">
        <v>1</v>
      </c>
      <c r="Q194" s="54" t="b">
        <v>1</v>
      </c>
      <c r="R194" s="54" t="b">
        <v>1</v>
      </c>
      <c r="S194" s="54" t="b">
        <v>1</v>
      </c>
      <c r="T194" s="54" t="b">
        <v>1</v>
      </c>
      <c r="U194" s="54" t="b">
        <v>1</v>
      </c>
      <c r="V194" s="54" t="b">
        <v>1</v>
      </c>
      <c r="W194" s="54" t="b">
        <v>1</v>
      </c>
      <c r="X194" s="54" t="b">
        <v>1</v>
      </c>
      <c r="Y194" s="54" t="b">
        <v>1</v>
      </c>
      <c r="Z194" s="54" t="b">
        <v>1</v>
      </c>
      <c r="AA194" s="54" t="b">
        <v>1</v>
      </c>
      <c r="AB194" s="54" t="b">
        <v>1</v>
      </c>
      <c r="AC194" s="54" t="b">
        <v>1</v>
      </c>
      <c r="AD194" s="54" t="b">
        <v>1</v>
      </c>
      <c r="AE194" s="54" t="b">
        <v>1</v>
      </c>
      <c r="AF194" s="54" t="b">
        <v>1</v>
      </c>
      <c r="AG194" s="54" t="b">
        <v>1</v>
      </c>
      <c r="AH194" s="54" t="b">
        <v>1</v>
      </c>
      <c r="AI194" s="54" t="b">
        <v>1</v>
      </c>
      <c r="AJ194" s="54" t="b">
        <v>1</v>
      </c>
      <c r="AK194" s="54" t="b">
        <v>1</v>
      </c>
      <c r="AL194" s="54" t="b">
        <v>1</v>
      </c>
      <c r="AM194" s="54" t="b">
        <v>1</v>
      </c>
      <c r="AN194" s="54" t="b">
        <v>1</v>
      </c>
      <c r="AO194" s="54" t="b">
        <v>1</v>
      </c>
      <c r="AP194" s="54" t="b">
        <v>1</v>
      </c>
      <c r="AQ194" s="54" t="b">
        <v>1</v>
      </c>
      <c r="AR194" s="54" t="b">
        <v>1</v>
      </c>
      <c r="AS194" s="54" t="b">
        <v>1</v>
      </c>
      <c r="AT194" s="54" t="b">
        <v>1</v>
      </c>
      <c r="AU194" s="54" t="b">
        <v>1</v>
      </c>
      <c r="AV194" s="54" t="b">
        <v>1</v>
      </c>
      <c r="AW194" s="54" t="b">
        <v>1</v>
      </c>
      <c r="AX194" s="54" t="b">
        <v>1</v>
      </c>
      <c r="AY194" s="54" t="b">
        <v>1</v>
      </c>
      <c r="AZ194" s="54" t="b">
        <v>1</v>
      </c>
      <c r="BA194" s="54" t="b">
        <v>1</v>
      </c>
      <c r="BB194" s="54" t="b">
        <v>1</v>
      </c>
      <c r="BC194" s="54" t="b">
        <v>1</v>
      </c>
      <c r="BD194" s="54" t="b">
        <v>1</v>
      </c>
      <c r="BE194" s="54" t="b">
        <v>1</v>
      </c>
      <c r="BF194" s="54" t="b">
        <v>1</v>
      </c>
      <c r="BG194" s="54" t="b">
        <v>1</v>
      </c>
      <c r="BH194" s="54" t="b">
        <v>1</v>
      </c>
      <c r="BI194" s="54" t="b">
        <v>1</v>
      </c>
      <c r="BJ194" s="54" t="b">
        <v>1</v>
      </c>
      <c r="BK194" s="54" t="b">
        <v>1</v>
      </c>
      <c r="BL194" s="54" t="b">
        <v>0</v>
      </c>
      <c r="BM194" s="54" t="b">
        <v>0</v>
      </c>
      <c r="BN194" s="61" t="b">
        <v>0</v>
      </c>
      <c r="BO194" s="61" t="b">
        <v>0</v>
      </c>
    </row>
    <row r="195" hidden="1" outlineLevel="1">
      <c r="A195" s="71" t="str">
        <f>A194&amp;C195</f>
        <v>OctoberJAGABANDHOT HOURS</v>
      </c>
      <c r="B195" s="72"/>
      <c r="C195" s="73" t="s">
        <v>120</v>
      </c>
      <c r="D195" s="33"/>
      <c r="E195" s="70">
        <f>(F195+G195+H195+I195+J195+K195+L195+M195+N195+O195+P195+Q195+R195+S195+T195+U195+V195+W195+X195+Y195+Z195+AA195+AB195+AC195+AD195+AE195+AF195+AG195+AH195+AI195+AJ195+AK195+AL195+AM195+AN195+AO195+AP195+AQ195+AR195+AS195+AT195+AU195+AV195+AW195+AX195+AY195+AZ195+BA195+BB195+BC195+BD195+BE195+BF195+BG195+BH195+BI195+BJ195+BK195+BL195+BM195+BN195+BO195)</f>
        <v>76</v>
      </c>
      <c r="F195" s="59">
        <v>3.0</v>
      </c>
      <c r="G195" s="33"/>
      <c r="H195" s="78"/>
      <c r="I195" s="33"/>
      <c r="J195" s="75">
        <v>4.0</v>
      </c>
      <c r="K195" s="33"/>
      <c r="L195" s="75">
        <v>2.0</v>
      </c>
      <c r="M195" s="33"/>
      <c r="N195" s="75">
        <v>4.0</v>
      </c>
      <c r="O195" s="33"/>
      <c r="P195" s="75"/>
      <c r="Q195" s="33"/>
      <c r="R195" s="75">
        <v>3.0</v>
      </c>
      <c r="S195" s="33"/>
      <c r="T195" s="75">
        <v>6.0</v>
      </c>
      <c r="U195" s="33"/>
      <c r="V195" s="75">
        <v>2.0</v>
      </c>
      <c r="W195" s="33"/>
      <c r="X195" s="75">
        <v>2.0</v>
      </c>
      <c r="Y195" s="33"/>
      <c r="Z195" s="75">
        <v>2.0</v>
      </c>
      <c r="AA195" s="33"/>
      <c r="AB195" s="78"/>
      <c r="AC195" s="33"/>
      <c r="AD195" s="75">
        <v>6.0</v>
      </c>
      <c r="AE195" s="33"/>
      <c r="AF195" s="75">
        <v>4.0</v>
      </c>
      <c r="AG195" s="33"/>
      <c r="AH195" s="78"/>
      <c r="AI195" s="33"/>
      <c r="AJ195" s="78"/>
      <c r="AK195" s="33"/>
      <c r="AL195" s="78"/>
      <c r="AM195" s="33"/>
      <c r="AN195" s="75">
        <v>3.0</v>
      </c>
      <c r="AO195" s="33"/>
      <c r="AP195" s="78"/>
      <c r="AQ195" s="33"/>
      <c r="AR195" s="75">
        <v>3.0</v>
      </c>
      <c r="AS195" s="33"/>
      <c r="AT195" s="75">
        <v>2.0</v>
      </c>
      <c r="AU195" s="33"/>
      <c r="AV195" s="75">
        <v>3.0</v>
      </c>
      <c r="AW195" s="33"/>
      <c r="AX195" s="75">
        <v>4.0</v>
      </c>
      <c r="AY195" s="33"/>
      <c r="AZ195" s="75">
        <v>2.0</v>
      </c>
      <c r="BA195" s="33"/>
      <c r="BB195" s="75">
        <v>4.0</v>
      </c>
      <c r="BC195" s="33"/>
      <c r="BD195" s="75">
        <v>4.0</v>
      </c>
      <c r="BE195" s="33"/>
      <c r="BF195" s="75">
        <v>2.0</v>
      </c>
      <c r="BG195" s="33"/>
      <c r="BH195" s="75">
        <v>3.0</v>
      </c>
      <c r="BI195" s="33"/>
      <c r="BJ195" s="75">
        <v>8.0</v>
      </c>
      <c r="BK195" s="33"/>
      <c r="BL195" s="78"/>
      <c r="BM195" s="33"/>
      <c r="BN195" s="78"/>
      <c r="BO195" s="33"/>
    </row>
    <row r="196" hidden="1" outlineLevel="1">
      <c r="A196" s="66" t="str">
        <f>B196&amp;D196</f>
        <v>OctoberLIPAN</v>
      </c>
      <c r="B196" s="67" t="s">
        <v>33</v>
      </c>
      <c r="C196" s="77" t="s">
        <v>83</v>
      </c>
      <c r="D196" s="69" t="str">
        <f>IFERROR(VLOOKUP(C196,'Employees List'!$B$2:$C$28,2,0),"")</f>
        <v>LIPAN</v>
      </c>
      <c r="E196" s="70">
        <f>(F196+G196+H196+I196+J196+K196+L196+M196+N196+O196+P196+Q196+R196+S196+T196+U196+V196+W196+X196+Y196+Z196+AA196+AB196+AC196+AD196+AE196+AF196+AG196+AH196+AI196+AJ196+AK196+AL196+AM196+AN196+AO196+AP196+AQ196+AR196+AS196+AT196+AU196+AV196+AW196+AX196+AY196+AZ196+BA196+BB196+BC196+BD196+BE196+BF196+BG196+BH196+BI196+BJ196+BK196+BL196+BM196+BN196+BO196)/2</f>
        <v>31</v>
      </c>
      <c r="F196" s="54" t="b">
        <v>1</v>
      </c>
      <c r="G196" s="54" t="b">
        <v>1</v>
      </c>
      <c r="H196" s="54" t="b">
        <v>1</v>
      </c>
      <c r="I196" s="54" t="b">
        <v>1</v>
      </c>
      <c r="J196" s="54" t="b">
        <v>1</v>
      </c>
      <c r="K196" s="54" t="b">
        <v>1</v>
      </c>
      <c r="L196" s="54" t="b">
        <v>1</v>
      </c>
      <c r="M196" s="54" t="b">
        <v>1</v>
      </c>
      <c r="N196" s="54" t="b">
        <v>1</v>
      </c>
      <c r="O196" s="54" t="b">
        <v>1</v>
      </c>
      <c r="P196" s="54" t="b">
        <v>1</v>
      </c>
      <c r="Q196" s="54" t="b">
        <v>1</v>
      </c>
      <c r="R196" s="54" t="b">
        <v>1</v>
      </c>
      <c r="S196" s="54" t="b">
        <v>1</v>
      </c>
      <c r="T196" s="54" t="b">
        <v>1</v>
      </c>
      <c r="U196" s="54" t="b">
        <v>1</v>
      </c>
      <c r="V196" s="54" t="b">
        <v>1</v>
      </c>
      <c r="W196" s="54" t="b">
        <v>1</v>
      </c>
      <c r="X196" s="54" t="b">
        <v>1</v>
      </c>
      <c r="Y196" s="54" t="b">
        <v>1</v>
      </c>
      <c r="Z196" s="54" t="b">
        <v>1</v>
      </c>
      <c r="AA196" s="54" t="b">
        <v>1</v>
      </c>
      <c r="AB196" s="54" t="b">
        <v>1</v>
      </c>
      <c r="AC196" s="54" t="b">
        <v>1</v>
      </c>
      <c r="AD196" s="54" t="b">
        <v>1</v>
      </c>
      <c r="AE196" s="54" t="b">
        <v>1</v>
      </c>
      <c r="AF196" s="54" t="b">
        <v>1</v>
      </c>
      <c r="AG196" s="54" t="b">
        <v>1</v>
      </c>
      <c r="AH196" s="54" t="b">
        <v>1</v>
      </c>
      <c r="AI196" s="54" t="b">
        <v>1</v>
      </c>
      <c r="AJ196" s="54" t="b">
        <v>1</v>
      </c>
      <c r="AK196" s="54" t="b">
        <v>1</v>
      </c>
      <c r="AL196" s="54" t="b">
        <v>1</v>
      </c>
      <c r="AM196" s="54" t="b">
        <v>1</v>
      </c>
      <c r="AN196" s="54" t="b">
        <v>1</v>
      </c>
      <c r="AO196" s="54" t="b">
        <v>1</v>
      </c>
      <c r="AP196" s="54" t="b">
        <v>1</v>
      </c>
      <c r="AQ196" s="54" t="b">
        <v>1</v>
      </c>
      <c r="AR196" s="54" t="b">
        <v>1</v>
      </c>
      <c r="AS196" s="54" t="b">
        <v>1</v>
      </c>
      <c r="AT196" s="54" t="b">
        <v>1</v>
      </c>
      <c r="AU196" s="54" t="b">
        <v>1</v>
      </c>
      <c r="AV196" s="54" t="b">
        <v>1</v>
      </c>
      <c r="AW196" s="54" t="b">
        <v>1</v>
      </c>
      <c r="AX196" s="54" t="b">
        <v>1</v>
      </c>
      <c r="AY196" s="54" t="b">
        <v>1</v>
      </c>
      <c r="AZ196" s="54" t="b">
        <v>1</v>
      </c>
      <c r="BA196" s="54" t="b">
        <v>1</v>
      </c>
      <c r="BB196" s="54" t="b">
        <v>1</v>
      </c>
      <c r="BC196" s="54" t="b">
        <v>1</v>
      </c>
      <c r="BD196" s="54" t="b">
        <v>1</v>
      </c>
      <c r="BE196" s="54" t="b">
        <v>1</v>
      </c>
      <c r="BF196" s="54" t="b">
        <v>1</v>
      </c>
      <c r="BG196" s="54" t="b">
        <v>1</v>
      </c>
      <c r="BH196" s="54" t="b">
        <v>1</v>
      </c>
      <c r="BI196" s="54" t="b">
        <v>1</v>
      </c>
      <c r="BJ196" s="54" t="b">
        <v>1</v>
      </c>
      <c r="BK196" s="54" t="b">
        <v>1</v>
      </c>
      <c r="BL196" s="54" t="b">
        <v>1</v>
      </c>
      <c r="BM196" s="54" t="b">
        <v>1</v>
      </c>
      <c r="BN196" s="54" t="b">
        <v>1</v>
      </c>
      <c r="BO196" s="54" t="b">
        <v>1</v>
      </c>
    </row>
    <row r="197" hidden="1" outlineLevel="1">
      <c r="A197" s="71" t="str">
        <f>A196&amp;C197</f>
        <v>OctoberLIPANOT HOURS</v>
      </c>
      <c r="B197" s="72"/>
      <c r="C197" s="73" t="s">
        <v>120</v>
      </c>
      <c r="D197" s="33"/>
      <c r="E197" s="70">
        <f>(F197+G197+H197+I197+J197+K197+L197+M197+N197+O197+P197+Q197+R197+S197+T197+U197+V197+W197+X197+Y197+Z197+AA197+AB197+AC197+AD197+AE197+AF197+AG197+AH197+AI197+AJ197+AK197+AL197+AM197+AN197+AO197+AP197+AQ197+AR197+AS197+AT197+AU197+AV197+AW197+AX197+AY197+AZ197+BA197+BB197+BC197+BD197+BE197+BF197+BG197+BH197+BI197+BJ197+BK197+BL197+BM197+BN197+BO197)</f>
        <v>84</v>
      </c>
      <c r="F197" s="59">
        <v>2.0</v>
      </c>
      <c r="G197" s="33"/>
      <c r="H197" s="78"/>
      <c r="I197" s="33"/>
      <c r="J197" s="75">
        <v>4.0</v>
      </c>
      <c r="K197" s="33"/>
      <c r="L197" s="75">
        <v>2.0</v>
      </c>
      <c r="M197" s="33"/>
      <c r="N197" s="75">
        <v>4.0</v>
      </c>
      <c r="O197" s="33"/>
      <c r="P197" s="75">
        <v>3.0</v>
      </c>
      <c r="Q197" s="33"/>
      <c r="R197" s="75">
        <v>4.0</v>
      </c>
      <c r="S197" s="33"/>
      <c r="T197" s="75">
        <v>6.0</v>
      </c>
      <c r="U197" s="33"/>
      <c r="V197" s="75">
        <v>2.0</v>
      </c>
      <c r="W197" s="33"/>
      <c r="X197" s="75">
        <v>2.0</v>
      </c>
      <c r="Y197" s="33"/>
      <c r="Z197" s="75">
        <v>2.0</v>
      </c>
      <c r="AA197" s="33"/>
      <c r="AB197" s="75">
        <v>6.0</v>
      </c>
      <c r="AC197" s="33"/>
      <c r="AD197" s="75">
        <v>3.0</v>
      </c>
      <c r="AE197" s="33"/>
      <c r="AF197" s="75">
        <v>4.0</v>
      </c>
      <c r="AG197" s="33"/>
      <c r="AH197" s="78"/>
      <c r="AI197" s="33"/>
      <c r="AJ197" s="78"/>
      <c r="AK197" s="33"/>
      <c r="AL197" s="78"/>
      <c r="AM197" s="33"/>
      <c r="AN197" s="75">
        <v>3.0</v>
      </c>
      <c r="AO197" s="33"/>
      <c r="AP197" s="75">
        <v>4.0</v>
      </c>
      <c r="AQ197" s="33"/>
      <c r="AR197" s="78"/>
      <c r="AS197" s="33"/>
      <c r="AT197" s="75">
        <v>2.0</v>
      </c>
      <c r="AU197" s="33"/>
      <c r="AV197" s="75">
        <v>3.0</v>
      </c>
      <c r="AW197" s="33"/>
      <c r="AX197" s="78"/>
      <c r="AY197" s="33"/>
      <c r="AZ197" s="75">
        <v>4.0</v>
      </c>
      <c r="BA197" s="33"/>
      <c r="BB197" s="78"/>
      <c r="BC197" s="33"/>
      <c r="BD197" s="75">
        <v>4.0</v>
      </c>
      <c r="BE197" s="33"/>
      <c r="BF197" s="75">
        <v>2.0</v>
      </c>
      <c r="BG197" s="33"/>
      <c r="BH197" s="75">
        <v>3.0</v>
      </c>
      <c r="BI197" s="33"/>
      <c r="BJ197" s="75">
        <v>6.0</v>
      </c>
      <c r="BK197" s="33"/>
      <c r="BL197" s="75">
        <v>4.0</v>
      </c>
      <c r="BM197" s="33"/>
      <c r="BN197" s="75">
        <v>5.0</v>
      </c>
      <c r="BO197" s="33"/>
    </row>
    <row r="198" hidden="1" outlineLevel="1">
      <c r="A198" s="66" t="str">
        <f>B198&amp;D198</f>
        <v>OctoberMathi</v>
      </c>
      <c r="B198" s="67" t="s">
        <v>33</v>
      </c>
      <c r="C198" s="68" t="s">
        <v>70</v>
      </c>
      <c r="D198" s="69" t="str">
        <f>IFERROR(VLOOKUP(C198,'Employees List'!$B$2:$C$28,2,0),"")</f>
        <v>Mathi</v>
      </c>
      <c r="E198" s="70">
        <f>(F198+G198+H198+I198+J198+K198+L198+M198+N198+O198+P198+Q198+R198+S198+T198+U198+V198+W198+X198+Y198+Z198+AA198+AB198+AC198+AD198+AE198+AF198+AG198+AH198+AI198+AJ198+AK198+AL198+AM198+AN198+AO198+AP198+AQ198+AR198+AS198+AT198+AU198+AV198+AW198+AX198+AY198+AZ198+BA198+BB198+BC198+BD198+BE198+BF198+BG198+BH198+BI198+BJ198+BK198+BL198+BM198+BN198+BO198)/2</f>
        <v>29</v>
      </c>
      <c r="F198" s="54" t="b">
        <v>1</v>
      </c>
      <c r="G198" s="54" t="b">
        <v>1</v>
      </c>
      <c r="H198" s="54" t="b">
        <v>1</v>
      </c>
      <c r="I198" s="54" t="b">
        <v>1</v>
      </c>
      <c r="J198" s="54" t="b">
        <v>1</v>
      </c>
      <c r="K198" s="54" t="b">
        <v>1</v>
      </c>
      <c r="L198" s="54" t="b">
        <v>1</v>
      </c>
      <c r="M198" s="54" t="b">
        <v>1</v>
      </c>
      <c r="N198" s="54" t="b">
        <v>1</v>
      </c>
      <c r="O198" s="54" t="b">
        <v>1</v>
      </c>
      <c r="P198" s="54" t="b">
        <v>1</v>
      </c>
      <c r="Q198" s="54" t="b">
        <v>1</v>
      </c>
      <c r="R198" s="54" t="b">
        <v>1</v>
      </c>
      <c r="S198" s="54" t="b">
        <v>1</v>
      </c>
      <c r="T198" s="54" t="b">
        <v>1</v>
      </c>
      <c r="U198" s="54" t="b">
        <v>1</v>
      </c>
      <c r="V198" s="54" t="b">
        <v>1</v>
      </c>
      <c r="W198" s="54" t="b">
        <v>1</v>
      </c>
      <c r="X198" s="54" t="b">
        <v>1</v>
      </c>
      <c r="Y198" s="54" t="b">
        <v>1</v>
      </c>
      <c r="Z198" s="54" t="b">
        <v>1</v>
      </c>
      <c r="AA198" s="54" t="b">
        <v>1</v>
      </c>
      <c r="AB198" s="54" t="b">
        <v>1</v>
      </c>
      <c r="AC198" s="54" t="b">
        <v>1</v>
      </c>
      <c r="AD198" s="54" t="b">
        <v>1</v>
      </c>
      <c r="AE198" s="54" t="b">
        <v>1</v>
      </c>
      <c r="AF198" s="54" t="b">
        <v>1</v>
      </c>
      <c r="AG198" s="54" t="b">
        <v>1</v>
      </c>
      <c r="AH198" s="54" t="b">
        <v>0</v>
      </c>
      <c r="AI198" s="61" t="b">
        <v>0</v>
      </c>
      <c r="AJ198" s="54" t="b">
        <v>1</v>
      </c>
      <c r="AK198" s="54" t="b">
        <v>1</v>
      </c>
      <c r="AL198" s="54" t="b">
        <v>1</v>
      </c>
      <c r="AM198" s="54" t="b">
        <v>1</v>
      </c>
      <c r="AN198" s="54" t="b">
        <v>1</v>
      </c>
      <c r="AO198" s="54" t="b">
        <v>1</v>
      </c>
      <c r="AP198" s="54" t="b">
        <v>1</v>
      </c>
      <c r="AQ198" s="54" t="b">
        <v>1</v>
      </c>
      <c r="AR198" s="54" t="b">
        <v>1</v>
      </c>
      <c r="AS198" s="54" t="b">
        <v>1</v>
      </c>
      <c r="AT198" s="54" t="b">
        <v>1</v>
      </c>
      <c r="AU198" s="54" t="b">
        <v>1</v>
      </c>
      <c r="AV198" s="54" t="b">
        <v>1</v>
      </c>
      <c r="AW198" s="54" t="b">
        <v>1</v>
      </c>
      <c r="AX198" s="54" t="b">
        <v>1</v>
      </c>
      <c r="AY198" s="54" t="b">
        <v>1</v>
      </c>
      <c r="AZ198" s="54" t="b">
        <v>1</v>
      </c>
      <c r="BA198" s="54" t="b">
        <v>1</v>
      </c>
      <c r="BB198" s="54" t="b">
        <v>0</v>
      </c>
      <c r="BC198" s="54" t="b">
        <v>0</v>
      </c>
      <c r="BD198" s="54" t="b">
        <v>1</v>
      </c>
      <c r="BE198" s="54" t="b">
        <v>1</v>
      </c>
      <c r="BF198" s="54" t="b">
        <v>1</v>
      </c>
      <c r="BG198" s="54" t="b">
        <v>1</v>
      </c>
      <c r="BH198" s="54" t="b">
        <v>1</v>
      </c>
      <c r="BI198" s="54" t="b">
        <v>1</v>
      </c>
      <c r="BJ198" s="54" t="b">
        <v>1</v>
      </c>
      <c r="BK198" s="54" t="b">
        <v>1</v>
      </c>
      <c r="BL198" s="54" t="b">
        <v>1</v>
      </c>
      <c r="BM198" s="54" t="b">
        <v>1</v>
      </c>
      <c r="BN198" s="54" t="b">
        <v>1</v>
      </c>
      <c r="BO198" s="54" t="b">
        <v>1</v>
      </c>
    </row>
    <row r="199" hidden="1" outlineLevel="1">
      <c r="A199" s="71" t="str">
        <f>A198&amp;C199</f>
        <v>OctoberMathiOT HOURS</v>
      </c>
      <c r="B199" s="72"/>
      <c r="C199" s="73" t="s">
        <v>120</v>
      </c>
      <c r="D199" s="33"/>
      <c r="E199" s="70">
        <f>(F199+G199+H199+I199+J199+K199+L199+M199+N199+O199+P199+Q199+R199+S199+T199+U199+V199+W199+X199+Y199+Z199+AA199+AB199+AC199+AD199+AE199+AF199+AG199+AH199+AI199+AJ199+AK199+AL199+AM199+AN199+AO199+AP199+AQ199+AR199+AS199+AT199+AU199+AV199+AW199+AX199+AY199+AZ199+BA199+BB199+BC199+BD199+BE199+BF199+BG199+BH199+BI199+BJ199+BK199+BL199+BM199+BN199+BO199)</f>
        <v>61</v>
      </c>
      <c r="F199" s="59">
        <v>1.0</v>
      </c>
      <c r="G199" s="33"/>
      <c r="H199" s="75"/>
      <c r="I199" s="33"/>
      <c r="J199" s="75">
        <v>3.0</v>
      </c>
      <c r="K199" s="33"/>
      <c r="L199" s="75">
        <v>1.0</v>
      </c>
      <c r="M199" s="33"/>
      <c r="N199" s="75">
        <v>3.0</v>
      </c>
      <c r="O199" s="33"/>
      <c r="P199" s="78"/>
      <c r="Q199" s="33"/>
      <c r="R199" s="75">
        <v>3.0</v>
      </c>
      <c r="S199" s="33"/>
      <c r="T199" s="75">
        <v>2.0</v>
      </c>
      <c r="U199" s="33"/>
      <c r="V199" s="75">
        <v>4.0</v>
      </c>
      <c r="W199" s="33"/>
      <c r="X199" s="75">
        <v>7.0</v>
      </c>
      <c r="Y199" s="33"/>
      <c r="Z199" s="75"/>
      <c r="AA199" s="33"/>
      <c r="AB199" s="75">
        <v>5.0</v>
      </c>
      <c r="AC199" s="33"/>
      <c r="AD199" s="78"/>
      <c r="AE199" s="33"/>
      <c r="AF199" s="75">
        <v>3.0</v>
      </c>
      <c r="AG199" s="33"/>
      <c r="AH199" s="78"/>
      <c r="AI199" s="33"/>
      <c r="AJ199" s="78"/>
      <c r="AK199" s="33"/>
      <c r="AL199" s="75">
        <v>1.0</v>
      </c>
      <c r="AM199" s="33"/>
      <c r="AN199" s="75">
        <v>3.0</v>
      </c>
      <c r="AO199" s="33"/>
      <c r="AP199" s="78"/>
      <c r="AQ199" s="33"/>
      <c r="AR199" s="78"/>
      <c r="AS199" s="33"/>
      <c r="AT199" s="75">
        <v>3.0</v>
      </c>
      <c r="AU199" s="33"/>
      <c r="AV199" s="75">
        <v>3.0</v>
      </c>
      <c r="AW199" s="33"/>
      <c r="AX199" s="75">
        <v>3.0</v>
      </c>
      <c r="AY199" s="33"/>
      <c r="AZ199" s="75">
        <v>3.0</v>
      </c>
      <c r="BA199" s="33"/>
      <c r="BB199" s="78"/>
      <c r="BC199" s="33"/>
      <c r="BD199" s="75">
        <v>5.0</v>
      </c>
      <c r="BE199" s="33"/>
      <c r="BF199" s="78"/>
      <c r="BG199" s="33"/>
      <c r="BH199" s="75">
        <v>3.0</v>
      </c>
      <c r="BI199" s="33"/>
      <c r="BJ199" s="75">
        <v>3.0</v>
      </c>
      <c r="BK199" s="33"/>
      <c r="BL199" s="75">
        <v>2.0</v>
      </c>
      <c r="BM199" s="33"/>
      <c r="BN199" s="78"/>
      <c r="BO199" s="33"/>
    </row>
    <row r="200" hidden="1" outlineLevel="1">
      <c r="A200" s="66" t="str">
        <f>B200&amp;D200</f>
        <v>OctoberSIDHESHWAR</v>
      </c>
      <c r="B200" s="67" t="s">
        <v>33</v>
      </c>
      <c r="C200" s="68" t="s">
        <v>77</v>
      </c>
      <c r="D200" s="69" t="str">
        <f>IFERROR(VLOOKUP(C200,'Employees List'!$B$2:$C$28,2,0),"")</f>
        <v>SIDHESHWAR</v>
      </c>
      <c r="E200" s="70">
        <f>(F200+G200+H200+I200+J200+K200+L200+M200+N200+O200+P200+Q200+R200+S200+T200+U200+V200+W200+X200+Y200+Z200+AA200+AB200+AC200+AD200+AE200+AF200+AG200+AH200+AI200+AJ200+AK200+AL200+AM200+AN200+AO200+AP200+AQ200+AR200+AS200+AT200+AU200+AV200+AW200+AX200+AY200+AZ200+BA200+BB200+BC200+BD200+BE200+BF200+BG200+BH200+BI200+BJ200+BK200+BL200+BM200+BN200+BO200)/2</f>
        <v>31</v>
      </c>
      <c r="F200" s="54" t="b">
        <v>1</v>
      </c>
      <c r="G200" s="54" t="b">
        <v>1</v>
      </c>
      <c r="H200" s="54" t="b">
        <v>1</v>
      </c>
      <c r="I200" s="54" t="b">
        <v>1</v>
      </c>
      <c r="J200" s="54" t="b">
        <v>1</v>
      </c>
      <c r="K200" s="54" t="b">
        <v>1</v>
      </c>
      <c r="L200" s="54" t="b">
        <v>1</v>
      </c>
      <c r="M200" s="54" t="b">
        <v>1</v>
      </c>
      <c r="N200" s="54" t="b">
        <v>1</v>
      </c>
      <c r="O200" s="54" t="b">
        <v>1</v>
      </c>
      <c r="P200" s="54" t="b">
        <v>1</v>
      </c>
      <c r="Q200" s="54" t="b">
        <v>1</v>
      </c>
      <c r="R200" s="54" t="b">
        <v>1</v>
      </c>
      <c r="S200" s="54" t="b">
        <v>1</v>
      </c>
      <c r="T200" s="54" t="b">
        <v>1</v>
      </c>
      <c r="U200" s="54" t="b">
        <v>1</v>
      </c>
      <c r="V200" s="54" t="b">
        <v>1</v>
      </c>
      <c r="W200" s="54" t="b">
        <v>1</v>
      </c>
      <c r="X200" s="54" t="b">
        <v>1</v>
      </c>
      <c r="Y200" s="54" t="b">
        <v>1</v>
      </c>
      <c r="Z200" s="54" t="b">
        <v>1</v>
      </c>
      <c r="AA200" s="54" t="b">
        <v>1</v>
      </c>
      <c r="AB200" s="54" t="b">
        <v>1</v>
      </c>
      <c r="AC200" s="54" t="b">
        <v>1</v>
      </c>
      <c r="AD200" s="54" t="b">
        <v>1</v>
      </c>
      <c r="AE200" s="54" t="b">
        <v>1</v>
      </c>
      <c r="AF200" s="54" t="b">
        <v>1</v>
      </c>
      <c r="AG200" s="54" t="b">
        <v>1</v>
      </c>
      <c r="AH200" s="54" t="b">
        <v>1</v>
      </c>
      <c r="AI200" s="54" t="b">
        <v>1</v>
      </c>
      <c r="AJ200" s="54" t="b">
        <v>1</v>
      </c>
      <c r="AK200" s="54" t="b">
        <v>1</v>
      </c>
      <c r="AL200" s="54" t="b">
        <v>1</v>
      </c>
      <c r="AM200" s="54" t="b">
        <v>1</v>
      </c>
      <c r="AN200" s="54" t="b">
        <v>1</v>
      </c>
      <c r="AO200" s="54" t="b">
        <v>1</v>
      </c>
      <c r="AP200" s="54" t="b">
        <v>1</v>
      </c>
      <c r="AQ200" s="54" t="b">
        <v>1</v>
      </c>
      <c r="AR200" s="54" t="b">
        <v>1</v>
      </c>
      <c r="AS200" s="54" t="b">
        <v>1</v>
      </c>
      <c r="AT200" s="54" t="b">
        <v>1</v>
      </c>
      <c r="AU200" s="54" t="b">
        <v>1</v>
      </c>
      <c r="AV200" s="54" t="b">
        <v>1</v>
      </c>
      <c r="AW200" s="54" t="b">
        <v>1</v>
      </c>
      <c r="AX200" s="54" t="b">
        <v>1</v>
      </c>
      <c r="AY200" s="54" t="b">
        <v>1</v>
      </c>
      <c r="AZ200" s="54" t="b">
        <v>1</v>
      </c>
      <c r="BA200" s="54" t="b">
        <v>1</v>
      </c>
      <c r="BB200" s="54" t="b">
        <v>1</v>
      </c>
      <c r="BC200" s="54" t="b">
        <v>1</v>
      </c>
      <c r="BD200" s="54" t="b">
        <v>1</v>
      </c>
      <c r="BE200" s="54" t="b">
        <v>1</v>
      </c>
      <c r="BF200" s="54" t="b">
        <v>1</v>
      </c>
      <c r="BG200" s="54" t="b">
        <v>1</v>
      </c>
      <c r="BH200" s="54" t="b">
        <v>1</v>
      </c>
      <c r="BI200" s="54" t="b">
        <v>1</v>
      </c>
      <c r="BJ200" s="54" t="b">
        <v>1</v>
      </c>
      <c r="BK200" s="54" t="b">
        <v>1</v>
      </c>
      <c r="BL200" s="54" t="b">
        <v>1</v>
      </c>
      <c r="BM200" s="54" t="b">
        <v>1</v>
      </c>
      <c r="BN200" s="54" t="b">
        <v>1</v>
      </c>
      <c r="BO200" s="54" t="b">
        <v>1</v>
      </c>
    </row>
    <row r="201" hidden="1" outlineLevel="1">
      <c r="A201" s="71" t="str">
        <f>A200&amp;C201</f>
        <v>OctoberSIDHESHWAROT HOURS</v>
      </c>
      <c r="B201" s="72"/>
      <c r="C201" s="73" t="s">
        <v>120</v>
      </c>
      <c r="D201" s="33"/>
      <c r="E201" s="70">
        <f>(F201+G201+H201+I201+J201+K201+L201+M201+N201+O201+P201+Q201+R201+S201+T201+U201+V201+W201+X201+Y201+Z201+AA201+AB201+AC201+AD201+AE201+AF201+AG201+AH201+AI201+AJ201+AK201+AL201+AM201+AN201+AO201+AP201+AQ201+AR201+AS201+AT201+AU201+AV201+AW201+AX201+AY201+AZ201+BA201+BB201+BC201+BD201+BE201+BF201+BG201+BH201+BI201+BJ201+BK201+BL201+BM201+BN201+BO201)</f>
        <v>61</v>
      </c>
      <c r="F201" s="59">
        <v>3.0</v>
      </c>
      <c r="G201" s="33"/>
      <c r="H201" s="75"/>
      <c r="I201" s="33"/>
      <c r="J201" s="75">
        <v>2.0</v>
      </c>
      <c r="K201" s="33"/>
      <c r="L201" s="75">
        <v>2.0</v>
      </c>
      <c r="M201" s="33"/>
      <c r="N201" s="75">
        <v>4.0</v>
      </c>
      <c r="O201" s="33"/>
      <c r="P201" s="78"/>
      <c r="Q201" s="33"/>
      <c r="R201" s="78"/>
      <c r="S201" s="33"/>
      <c r="T201" s="75">
        <v>4.0</v>
      </c>
      <c r="U201" s="33"/>
      <c r="V201" s="75">
        <v>2.0</v>
      </c>
      <c r="W201" s="33"/>
      <c r="X201" s="75">
        <v>2.0</v>
      </c>
      <c r="Y201" s="33"/>
      <c r="Z201" s="75">
        <v>2.0</v>
      </c>
      <c r="AA201" s="33"/>
      <c r="AB201" s="78"/>
      <c r="AC201" s="33"/>
      <c r="AD201" s="75">
        <v>3.0</v>
      </c>
      <c r="AE201" s="33"/>
      <c r="AF201" s="75">
        <v>5.0</v>
      </c>
      <c r="AG201" s="33"/>
      <c r="AH201" s="78"/>
      <c r="AI201" s="33"/>
      <c r="AJ201" s="78"/>
      <c r="AK201" s="33"/>
      <c r="AL201" s="78"/>
      <c r="AM201" s="33"/>
      <c r="AN201" s="75">
        <v>3.0</v>
      </c>
      <c r="AO201" s="33"/>
      <c r="AP201" s="75">
        <v>2.0</v>
      </c>
      <c r="AQ201" s="33"/>
      <c r="AR201" s="78"/>
      <c r="AS201" s="33"/>
      <c r="AT201" s="75">
        <v>3.0</v>
      </c>
      <c r="AU201" s="33"/>
      <c r="AV201" s="75">
        <v>2.0</v>
      </c>
      <c r="AW201" s="33"/>
      <c r="AX201" s="78"/>
      <c r="AY201" s="33"/>
      <c r="AZ201" s="75">
        <v>2.0</v>
      </c>
      <c r="BA201" s="33"/>
      <c r="BB201" s="78"/>
      <c r="BC201" s="33"/>
      <c r="BD201" s="75">
        <v>3.0</v>
      </c>
      <c r="BE201" s="33"/>
      <c r="BF201" s="75">
        <v>2.0</v>
      </c>
      <c r="BG201" s="33"/>
      <c r="BH201" s="75">
        <v>3.0</v>
      </c>
      <c r="BI201" s="33"/>
      <c r="BJ201" s="75">
        <v>6.0</v>
      </c>
      <c r="BK201" s="33"/>
      <c r="BL201" s="75">
        <v>4.0</v>
      </c>
      <c r="BM201" s="33"/>
      <c r="BN201" s="75">
        <v>2.0</v>
      </c>
      <c r="BO201" s="33"/>
    </row>
    <row r="202" hidden="1" outlineLevel="1">
      <c r="A202" s="66" t="str">
        <f>B202&amp;D202</f>
        <v>OctoberAMMU</v>
      </c>
      <c r="B202" s="67" t="s">
        <v>33</v>
      </c>
      <c r="C202" s="68" t="s">
        <v>37</v>
      </c>
      <c r="D202" s="69" t="str">
        <f>IFERROR(VLOOKUP(C202,'Employees List'!$B$2:$C$28,2,0),"")</f>
        <v>AMMU</v>
      </c>
      <c r="E202" s="70">
        <f>(F202+G202+H202+I202+J202+K202+L202+M202+N202+O202+P202+Q202+R202+S202+T202+U202+V202+W202+X202+Y202+Z202+AA202+AB202+AC202+AD202+AE202+AF202+AG202+AH202+AI202+AJ202+AK202+AL202+AM202+AN202+AO202+AP202+AQ202+AR202+AS202+AT202+AU202+AV202+AW202+AX202+AY202+AZ202+BA202+BB202+BC202+BD202+BE202+BF202+BG202+BH202+BI202+BJ202+BK202+BL202+BM202+BN202+BO202)/2</f>
        <v>31</v>
      </c>
      <c r="F202" s="54" t="b">
        <v>1</v>
      </c>
      <c r="G202" s="54" t="b">
        <v>1</v>
      </c>
      <c r="H202" s="54" t="b">
        <v>1</v>
      </c>
      <c r="I202" s="54" t="b">
        <v>1</v>
      </c>
      <c r="J202" s="54" t="b">
        <v>1</v>
      </c>
      <c r="K202" s="54" t="b">
        <v>1</v>
      </c>
      <c r="L202" s="54" t="b">
        <v>1</v>
      </c>
      <c r="M202" s="54" t="b">
        <v>1</v>
      </c>
      <c r="N202" s="54" t="b">
        <v>1</v>
      </c>
      <c r="O202" s="54" t="b">
        <v>1</v>
      </c>
      <c r="P202" s="54" t="b">
        <v>1</v>
      </c>
      <c r="Q202" s="54" t="b">
        <v>1</v>
      </c>
      <c r="R202" s="54" t="b">
        <v>1</v>
      </c>
      <c r="S202" s="54" t="b">
        <v>1</v>
      </c>
      <c r="T202" s="54" t="b">
        <v>1</v>
      </c>
      <c r="U202" s="54" t="b">
        <v>1</v>
      </c>
      <c r="V202" s="54" t="b">
        <v>1</v>
      </c>
      <c r="W202" s="54" t="b">
        <v>1</v>
      </c>
      <c r="X202" s="54" t="b">
        <v>1</v>
      </c>
      <c r="Y202" s="54" t="b">
        <v>1</v>
      </c>
      <c r="Z202" s="54" t="b">
        <v>1</v>
      </c>
      <c r="AA202" s="54" t="b">
        <v>1</v>
      </c>
      <c r="AB202" s="54" t="b">
        <v>1</v>
      </c>
      <c r="AC202" s="54" t="b">
        <v>1</v>
      </c>
      <c r="AD202" s="54" t="b">
        <v>1</v>
      </c>
      <c r="AE202" s="54" t="b">
        <v>1</v>
      </c>
      <c r="AF202" s="54" t="b">
        <v>1</v>
      </c>
      <c r="AG202" s="54" t="b">
        <v>1</v>
      </c>
      <c r="AH202" s="54" t="b">
        <v>1</v>
      </c>
      <c r="AI202" s="54" t="b">
        <v>1</v>
      </c>
      <c r="AJ202" s="54" t="b">
        <v>1</v>
      </c>
      <c r="AK202" s="54" t="b">
        <v>1</v>
      </c>
      <c r="AL202" s="54" t="b">
        <v>1</v>
      </c>
      <c r="AM202" s="54" t="b">
        <v>1</v>
      </c>
      <c r="AN202" s="54" t="b">
        <v>1</v>
      </c>
      <c r="AO202" s="54" t="b">
        <v>1</v>
      </c>
      <c r="AP202" s="54" t="b">
        <v>1</v>
      </c>
      <c r="AQ202" s="54" t="b">
        <v>1</v>
      </c>
      <c r="AR202" s="54" t="b">
        <v>1</v>
      </c>
      <c r="AS202" s="54" t="b">
        <v>1</v>
      </c>
      <c r="AT202" s="54" t="b">
        <v>1</v>
      </c>
      <c r="AU202" s="54" t="b">
        <v>1</v>
      </c>
      <c r="AV202" s="54" t="b">
        <v>1</v>
      </c>
      <c r="AW202" s="54" t="b">
        <v>1</v>
      </c>
      <c r="AX202" s="54" t="b">
        <v>1</v>
      </c>
      <c r="AY202" s="54" t="b">
        <v>1</v>
      </c>
      <c r="AZ202" s="54" t="b">
        <v>1</v>
      </c>
      <c r="BA202" s="54" t="b">
        <v>1</v>
      </c>
      <c r="BB202" s="54" t="b">
        <v>1</v>
      </c>
      <c r="BC202" s="54" t="b">
        <v>1</v>
      </c>
      <c r="BD202" s="54" t="b">
        <v>1</v>
      </c>
      <c r="BE202" s="54" t="b">
        <v>1</v>
      </c>
      <c r="BF202" s="54" t="b">
        <v>1</v>
      </c>
      <c r="BG202" s="54" t="b">
        <v>1</v>
      </c>
      <c r="BH202" s="54" t="b">
        <v>1</v>
      </c>
      <c r="BI202" s="54" t="b">
        <v>1</v>
      </c>
      <c r="BJ202" s="54" t="b">
        <v>1</v>
      </c>
      <c r="BK202" s="54" t="b">
        <v>1</v>
      </c>
      <c r="BL202" s="54" t="b">
        <v>1</v>
      </c>
      <c r="BM202" s="54" t="b">
        <v>1</v>
      </c>
      <c r="BN202" s="54" t="b">
        <v>1</v>
      </c>
      <c r="BO202" s="54" t="b">
        <v>1</v>
      </c>
    </row>
    <row r="203" hidden="1" outlineLevel="1">
      <c r="A203" s="71" t="str">
        <f>A202&amp;C203</f>
        <v>OctoberAMMUOT HOURS</v>
      </c>
      <c r="B203" s="72"/>
      <c r="C203" s="73" t="s">
        <v>120</v>
      </c>
      <c r="D203" s="33"/>
      <c r="E203" s="70">
        <f>(F203+G203+H203+I203+J203+K203+L203+M203+N203+O203+P203+Q203+R203+S203+T203+U203+V203+W203+X203+Y203+Z203+AA203+AB203+AC203+AD203+AE203+AF203+AG203+AH203+AI203+AJ203+AK203+AL203+AM203+AN203+AO203+AP203+AQ203+AR203+AS203+AT203+AU203+AV203+AW203+AX203+AY203+AZ203+BA203+BB203+BC203+BD203+BE203+BF203+BG203+BH203+BI203+BJ203+BK203+BL203+BM203+BN203+BO203)</f>
        <v>21</v>
      </c>
      <c r="F203" s="59"/>
      <c r="G203" s="33"/>
      <c r="H203" s="75"/>
      <c r="I203" s="33"/>
      <c r="J203" s="78"/>
      <c r="K203" s="33"/>
      <c r="L203" s="75">
        <v>2.0</v>
      </c>
      <c r="M203" s="33"/>
      <c r="N203" s="78"/>
      <c r="O203" s="33"/>
      <c r="P203" s="78"/>
      <c r="Q203" s="33"/>
      <c r="R203" s="78"/>
      <c r="S203" s="33"/>
      <c r="T203" s="75">
        <v>2.0</v>
      </c>
      <c r="U203" s="33"/>
      <c r="V203" s="75">
        <v>2.0</v>
      </c>
      <c r="W203" s="33"/>
      <c r="X203" s="75">
        <v>2.0</v>
      </c>
      <c r="Y203" s="33"/>
      <c r="Z203" s="75">
        <v>1.0</v>
      </c>
      <c r="AA203" s="33"/>
      <c r="AB203" s="78"/>
      <c r="AC203" s="33"/>
      <c r="AD203" s="78"/>
      <c r="AE203" s="33"/>
      <c r="AF203" s="75">
        <v>2.0</v>
      </c>
      <c r="AG203" s="33"/>
      <c r="AH203" s="78"/>
      <c r="AI203" s="33"/>
      <c r="AJ203" s="78"/>
      <c r="AK203" s="33"/>
      <c r="AL203" s="78"/>
      <c r="AM203" s="33"/>
      <c r="AN203" s="78"/>
      <c r="AO203" s="33"/>
      <c r="AP203" s="78"/>
      <c r="AQ203" s="33"/>
      <c r="AR203" s="78"/>
      <c r="AS203" s="33"/>
      <c r="AT203" s="78"/>
      <c r="AU203" s="33"/>
      <c r="AV203" s="75">
        <v>2.0</v>
      </c>
      <c r="AW203" s="33"/>
      <c r="AX203" s="78"/>
      <c r="AY203" s="33"/>
      <c r="AZ203" s="78"/>
      <c r="BA203" s="33"/>
      <c r="BB203" s="78"/>
      <c r="BC203" s="33"/>
      <c r="BD203" s="75">
        <v>2.0</v>
      </c>
      <c r="BE203" s="33"/>
      <c r="BF203" s="78"/>
      <c r="BG203" s="33"/>
      <c r="BH203" s="75">
        <v>2.0</v>
      </c>
      <c r="BI203" s="33"/>
      <c r="BJ203" s="75">
        <v>2.0</v>
      </c>
      <c r="BK203" s="33"/>
      <c r="BL203" s="75">
        <v>2.0</v>
      </c>
      <c r="BM203" s="33"/>
      <c r="BN203" s="78"/>
      <c r="BO203" s="33"/>
    </row>
    <row r="204" hidden="1" outlineLevel="1">
      <c r="A204" s="66" t="str">
        <f>B204&amp;D204</f>
        <v>OctoberREVATHI S</v>
      </c>
      <c r="B204" s="67" t="s">
        <v>33</v>
      </c>
      <c r="C204" s="68" t="s">
        <v>41</v>
      </c>
      <c r="D204" s="69" t="str">
        <f>IFERROR(VLOOKUP(C204,'Employees List'!$B$2:$C$28,2,0),"")</f>
        <v>REVATHI S</v>
      </c>
      <c r="E204" s="70">
        <f>(F204+G204+H204+I204+J204+K204+L204+M204+N204+O204+P204+Q204+R204+S204+T204+U204+V204+W204+X204+Y204+Z204+AA204+AB204+AC204+AD204+AE204+AF204+AG204+AH204+AI204+AJ204+AK204+AL204+AM204+AN204+AO204+AP204+AQ204+AR204+AS204+AT204+AU204+AV204+AW204+AX204+AY204+AZ204+BA204+BB204+BC204+BD204+BE204+BF204+BG204+BH204+BI204+BJ204+BK204+BL204+BM204+BN204+BO204)/2</f>
        <v>29</v>
      </c>
      <c r="F204" s="54" t="b">
        <v>1</v>
      </c>
      <c r="G204" s="54" t="b">
        <v>1</v>
      </c>
      <c r="H204" s="54" t="b">
        <v>1</v>
      </c>
      <c r="I204" s="54" t="b">
        <v>1</v>
      </c>
      <c r="J204" s="54" t="b">
        <v>0</v>
      </c>
      <c r="K204" s="54" t="b">
        <v>0</v>
      </c>
      <c r="L204" s="54" t="b">
        <v>1</v>
      </c>
      <c r="M204" s="54" t="b">
        <v>1</v>
      </c>
      <c r="N204" s="54" t="b">
        <v>1</v>
      </c>
      <c r="O204" s="54" t="b">
        <v>1</v>
      </c>
      <c r="P204" s="54" t="b">
        <v>1</v>
      </c>
      <c r="Q204" s="54" t="b">
        <v>1</v>
      </c>
      <c r="R204" s="54" t="b">
        <v>1</v>
      </c>
      <c r="S204" s="54" t="b">
        <v>1</v>
      </c>
      <c r="T204" s="54" t="b">
        <v>1</v>
      </c>
      <c r="U204" s="54" t="b">
        <v>1</v>
      </c>
      <c r="V204" s="54" t="b">
        <v>1</v>
      </c>
      <c r="W204" s="54" t="b">
        <v>1</v>
      </c>
      <c r="X204" s="54" t="b">
        <v>1</v>
      </c>
      <c r="Y204" s="54" t="b">
        <v>1</v>
      </c>
      <c r="Z204" s="54" t="b">
        <v>1</v>
      </c>
      <c r="AA204" s="54" t="b">
        <v>1</v>
      </c>
      <c r="AB204" s="54" t="b">
        <v>1</v>
      </c>
      <c r="AC204" s="54" t="b">
        <v>1</v>
      </c>
      <c r="AD204" s="54" t="b">
        <v>1</v>
      </c>
      <c r="AE204" s="54" t="b">
        <v>1</v>
      </c>
      <c r="AF204" s="54" t="b">
        <v>1</v>
      </c>
      <c r="AG204" s="54" t="b">
        <v>1</v>
      </c>
      <c r="AH204" s="54" t="b">
        <v>1</v>
      </c>
      <c r="AI204" s="54" t="b">
        <v>1</v>
      </c>
      <c r="AJ204" s="54" t="b">
        <v>1</v>
      </c>
      <c r="AK204" s="54" t="b">
        <v>1</v>
      </c>
      <c r="AL204" s="54" t="b">
        <v>0</v>
      </c>
      <c r="AM204" s="54" t="b">
        <v>0</v>
      </c>
      <c r="AN204" s="54" t="b">
        <v>1</v>
      </c>
      <c r="AO204" s="54" t="b">
        <v>1</v>
      </c>
      <c r="AP204" s="54" t="b">
        <v>1</v>
      </c>
      <c r="AQ204" s="54" t="b">
        <v>1</v>
      </c>
      <c r="AR204" s="54" t="b">
        <v>1</v>
      </c>
      <c r="AS204" s="54" t="b">
        <v>1</v>
      </c>
      <c r="AT204" s="54" t="b">
        <v>1</v>
      </c>
      <c r="AU204" s="54" t="b">
        <v>1</v>
      </c>
      <c r="AV204" s="54" t="b">
        <v>1</v>
      </c>
      <c r="AW204" s="54" t="b">
        <v>1</v>
      </c>
      <c r="AX204" s="54" t="b">
        <v>1</v>
      </c>
      <c r="AY204" s="54" t="b">
        <v>1</v>
      </c>
      <c r="AZ204" s="54" t="b">
        <v>1</v>
      </c>
      <c r="BA204" s="54" t="b">
        <v>1</v>
      </c>
      <c r="BB204" s="54" t="b">
        <v>1</v>
      </c>
      <c r="BC204" s="54" t="b">
        <v>1</v>
      </c>
      <c r="BD204" s="54" t="b">
        <v>1</v>
      </c>
      <c r="BE204" s="54" t="b">
        <v>1</v>
      </c>
      <c r="BF204" s="54" t="b">
        <v>1</v>
      </c>
      <c r="BG204" s="54" t="b">
        <v>1</v>
      </c>
      <c r="BH204" s="54" t="b">
        <v>1</v>
      </c>
      <c r="BI204" s="54" t="b">
        <v>1</v>
      </c>
      <c r="BJ204" s="54" t="b">
        <v>1</v>
      </c>
      <c r="BK204" s="54" t="b">
        <v>1</v>
      </c>
      <c r="BL204" s="54" t="b">
        <v>1</v>
      </c>
      <c r="BM204" s="54" t="b">
        <v>1</v>
      </c>
      <c r="BN204" s="54" t="b">
        <v>1</v>
      </c>
      <c r="BO204" s="54" t="b">
        <v>1</v>
      </c>
    </row>
    <row r="205" hidden="1" outlineLevel="1">
      <c r="A205" s="71" t="str">
        <f>A204&amp;C205</f>
        <v>OctoberREVATHI SOT HOURS</v>
      </c>
      <c r="B205" s="72"/>
      <c r="C205" s="73" t="s">
        <v>120</v>
      </c>
      <c r="D205" s="33"/>
      <c r="E205" s="70">
        <f>(F205+G205+H205+I205+J205+K205+L205+M205+N205+O205+P205+Q205+R205+S205+T205+U205+V205+W205+X205+Y205+Z205+AA205+AB205+AC205+AD205+AE205+AF205+AG205+AH205+AI205+AJ205+AK205+AL205+AM205+AN205+AO205+AP205+AQ205+AR205+AS205+AT205+AU205+AV205+AW205+AX205+AY205+AZ205+BA205+BB205+BC205+BD205+BE205+BF205+BG205+BH205+BI205+BJ205+BK205+BL205+BM205+BN205+BO205)</f>
        <v>19</v>
      </c>
      <c r="F205" s="59"/>
      <c r="G205" s="33"/>
      <c r="H205" s="78"/>
      <c r="I205" s="33"/>
      <c r="J205" s="78"/>
      <c r="K205" s="33"/>
      <c r="L205" s="75">
        <v>2.0</v>
      </c>
      <c r="M205" s="33"/>
      <c r="N205" s="78"/>
      <c r="O205" s="33"/>
      <c r="P205" s="78"/>
      <c r="Q205" s="33"/>
      <c r="R205" s="78"/>
      <c r="S205" s="33"/>
      <c r="T205" s="75">
        <v>2.0</v>
      </c>
      <c r="U205" s="33"/>
      <c r="V205" s="75">
        <v>2.0</v>
      </c>
      <c r="W205" s="33"/>
      <c r="X205" s="75">
        <v>2.0</v>
      </c>
      <c r="Y205" s="33"/>
      <c r="Z205" s="75">
        <v>1.0</v>
      </c>
      <c r="AA205" s="33"/>
      <c r="AB205" s="78"/>
      <c r="AC205" s="33"/>
      <c r="AD205" s="78"/>
      <c r="AE205" s="33"/>
      <c r="AF205" s="75">
        <v>2.0</v>
      </c>
      <c r="AG205" s="33"/>
      <c r="AH205" s="78"/>
      <c r="AI205" s="33"/>
      <c r="AJ205" s="78"/>
      <c r="AK205" s="33"/>
      <c r="AL205" s="78"/>
      <c r="AM205" s="33"/>
      <c r="AN205" s="78"/>
      <c r="AO205" s="33"/>
      <c r="AP205" s="78"/>
      <c r="AQ205" s="33"/>
      <c r="AR205" s="78"/>
      <c r="AS205" s="33"/>
      <c r="AT205" s="78"/>
      <c r="AU205" s="33"/>
      <c r="AV205" s="75">
        <v>2.0</v>
      </c>
      <c r="AW205" s="33"/>
      <c r="AX205" s="78"/>
      <c r="AY205" s="33"/>
      <c r="AZ205" s="78"/>
      <c r="BA205" s="33"/>
      <c r="BB205" s="78"/>
      <c r="BC205" s="33"/>
      <c r="BD205" s="75">
        <v>2.0</v>
      </c>
      <c r="BE205" s="33"/>
      <c r="BF205" s="78"/>
      <c r="BG205" s="33"/>
      <c r="BH205" s="75">
        <v>2.0</v>
      </c>
      <c r="BI205" s="33"/>
      <c r="BJ205" s="75">
        <v>2.0</v>
      </c>
      <c r="BK205" s="33"/>
      <c r="BL205" s="78"/>
      <c r="BM205" s="33"/>
      <c r="BN205" s="78"/>
      <c r="BO205" s="33"/>
    </row>
    <row r="206" hidden="1" outlineLevel="1">
      <c r="A206" s="66" t="str">
        <f>B206&amp;D206</f>
        <v>OctoberPINU BAGH</v>
      </c>
      <c r="B206" s="67" t="s">
        <v>33</v>
      </c>
      <c r="C206" s="68" t="s">
        <v>53</v>
      </c>
      <c r="D206" s="69" t="str">
        <f>IFERROR(VLOOKUP(C206,'Employees List'!$B$2:$C$28,2,0),"")</f>
        <v>PINU BAGH</v>
      </c>
      <c r="E206" s="70">
        <f>(F206+G206+H206+I206+J206+K206+L206+M206+N206+O206+P206+Q206+R206+S206+T206+U206+V206+W206+X206+Y206+Z206+AA206+AB206+AC206+AD206+AE206+AF206+AG206+AH206+AI206+AJ206+AK206+AL206+AM206+AN206+AO206+AP206+AQ206+AR206+AS206+AT206+AU206+AV206+AW206+AX206+AY206+AZ206+BA206+BB206+BC206+BD206+BE206+BF206+BG206+BH206+BI206+BJ206+BK206+BL206+BM206+BN206+BO206)/2</f>
        <v>31</v>
      </c>
      <c r="F206" s="54" t="b">
        <v>1</v>
      </c>
      <c r="G206" s="54" t="b">
        <v>1</v>
      </c>
      <c r="H206" s="54" t="b">
        <v>1</v>
      </c>
      <c r="I206" s="54" t="b">
        <v>1</v>
      </c>
      <c r="J206" s="54" t="b">
        <v>1</v>
      </c>
      <c r="K206" s="54" t="b">
        <v>1</v>
      </c>
      <c r="L206" s="54" t="b">
        <v>1</v>
      </c>
      <c r="M206" s="54" t="b">
        <v>1</v>
      </c>
      <c r="N206" s="54" t="b">
        <v>1</v>
      </c>
      <c r="O206" s="54" t="b">
        <v>1</v>
      </c>
      <c r="P206" s="54" t="b">
        <v>1</v>
      </c>
      <c r="Q206" s="54" t="b">
        <v>1</v>
      </c>
      <c r="R206" s="54" t="b">
        <v>1</v>
      </c>
      <c r="S206" s="54" t="b">
        <v>1</v>
      </c>
      <c r="T206" s="54" t="b">
        <v>1</v>
      </c>
      <c r="U206" s="54" t="b">
        <v>1</v>
      </c>
      <c r="V206" s="54" t="b">
        <v>1</v>
      </c>
      <c r="W206" s="54" t="b">
        <v>1</v>
      </c>
      <c r="X206" s="54" t="b">
        <v>1</v>
      </c>
      <c r="Y206" s="54" t="b">
        <v>1</v>
      </c>
      <c r="Z206" s="54" t="b">
        <v>1</v>
      </c>
      <c r="AA206" s="54" t="b">
        <v>1</v>
      </c>
      <c r="AB206" s="54" t="b">
        <v>1</v>
      </c>
      <c r="AC206" s="54" t="b">
        <v>1</v>
      </c>
      <c r="AD206" s="54" t="b">
        <v>1</v>
      </c>
      <c r="AE206" s="54" t="b">
        <v>1</v>
      </c>
      <c r="AF206" s="54" t="b">
        <v>1</v>
      </c>
      <c r="AG206" s="54" t="b">
        <v>1</v>
      </c>
      <c r="AH206" s="54" t="b">
        <v>1</v>
      </c>
      <c r="AI206" s="54" t="b">
        <v>1</v>
      </c>
      <c r="AJ206" s="54" t="b">
        <v>1</v>
      </c>
      <c r="AK206" s="54" t="b">
        <v>1</v>
      </c>
      <c r="AL206" s="54" t="b">
        <v>1</v>
      </c>
      <c r="AM206" s="54" t="b">
        <v>1</v>
      </c>
      <c r="AN206" s="54" t="b">
        <v>1</v>
      </c>
      <c r="AO206" s="54" t="b">
        <v>1</v>
      </c>
      <c r="AP206" s="54" t="b">
        <v>1</v>
      </c>
      <c r="AQ206" s="54" t="b">
        <v>1</v>
      </c>
      <c r="AR206" s="54" t="b">
        <v>1</v>
      </c>
      <c r="AS206" s="54" t="b">
        <v>1</v>
      </c>
      <c r="AT206" s="54" t="b">
        <v>1</v>
      </c>
      <c r="AU206" s="54" t="b">
        <v>1</v>
      </c>
      <c r="AV206" s="54" t="b">
        <v>1</v>
      </c>
      <c r="AW206" s="54" t="b">
        <v>1</v>
      </c>
      <c r="AX206" s="54" t="b">
        <v>1</v>
      </c>
      <c r="AY206" s="54" t="b">
        <v>1</v>
      </c>
      <c r="AZ206" s="54" t="b">
        <v>1</v>
      </c>
      <c r="BA206" s="54" t="b">
        <v>1</v>
      </c>
      <c r="BB206" s="54" t="b">
        <v>1</v>
      </c>
      <c r="BC206" s="54" t="b">
        <v>1</v>
      </c>
      <c r="BD206" s="54" t="b">
        <v>1</v>
      </c>
      <c r="BE206" s="54" t="b">
        <v>1</v>
      </c>
      <c r="BF206" s="54" t="b">
        <v>1</v>
      </c>
      <c r="BG206" s="54" t="b">
        <v>1</v>
      </c>
      <c r="BH206" s="54" t="b">
        <v>1</v>
      </c>
      <c r="BI206" s="54" t="b">
        <v>1</v>
      </c>
      <c r="BJ206" s="54" t="b">
        <v>1</v>
      </c>
      <c r="BK206" s="54" t="b">
        <v>1</v>
      </c>
      <c r="BL206" s="54" t="b">
        <v>1</v>
      </c>
      <c r="BM206" s="54" t="b">
        <v>1</v>
      </c>
      <c r="BN206" s="54" t="b">
        <v>1</v>
      </c>
      <c r="BO206" s="54" t="b">
        <v>1</v>
      </c>
    </row>
    <row r="207" hidden="1" outlineLevel="1">
      <c r="A207" s="71" t="str">
        <f>A206&amp;C207</f>
        <v>OctoberPINU BAGHOT HOURS</v>
      </c>
      <c r="B207" s="72"/>
      <c r="C207" s="73" t="s">
        <v>120</v>
      </c>
      <c r="D207" s="33"/>
      <c r="E207" s="70">
        <f>(F207+G207+H207+I207+J207+K207+L207+M207+N207+O207+P207+Q207+R207+S207+T207+U207+V207+W207+X207+Y207+Z207+AA207+AB207+AC207+AD207+AE207+AF207+AG207+AH207+AI207+AJ207+AK207+AL207+AM207+AN207+AO207+AP207+AQ207+AR207+AS207+AT207+AU207+AV207+AW207+AX207+AY207+AZ207+BA207+BB207+BC207+BD207+BE207+BF207+BG207+BH207+BI207+BJ207+BK207+BL207+BM207+BN207+BO207)</f>
        <v>71</v>
      </c>
      <c r="F207" s="59">
        <v>2.0</v>
      </c>
      <c r="G207" s="33"/>
      <c r="H207" s="78"/>
      <c r="I207" s="33"/>
      <c r="J207" s="75">
        <v>4.0</v>
      </c>
      <c r="K207" s="33"/>
      <c r="L207" s="75">
        <v>2.0</v>
      </c>
      <c r="M207" s="33"/>
      <c r="N207" s="75">
        <v>4.0</v>
      </c>
      <c r="O207" s="33"/>
      <c r="P207" s="59"/>
      <c r="Q207" s="33"/>
      <c r="R207" s="78"/>
      <c r="S207" s="33"/>
      <c r="T207" s="75">
        <v>4.0</v>
      </c>
      <c r="U207" s="33"/>
      <c r="V207" s="75">
        <v>5.0</v>
      </c>
      <c r="W207" s="33"/>
      <c r="X207" s="75">
        <v>6.0</v>
      </c>
      <c r="Y207" s="33"/>
      <c r="Z207" s="75">
        <v>2.0</v>
      </c>
      <c r="AA207" s="33"/>
      <c r="AB207" s="78"/>
      <c r="AC207" s="33"/>
      <c r="AD207" s="75">
        <v>3.0</v>
      </c>
      <c r="AE207" s="33"/>
      <c r="AF207" s="75">
        <v>5.0</v>
      </c>
      <c r="AG207" s="33"/>
      <c r="AH207" s="78"/>
      <c r="AI207" s="33"/>
      <c r="AJ207" s="78"/>
      <c r="AK207" s="33"/>
      <c r="AL207" s="75">
        <v>2.0</v>
      </c>
      <c r="AM207" s="33"/>
      <c r="AN207" s="75">
        <v>2.0</v>
      </c>
      <c r="AO207" s="33"/>
      <c r="AP207" s="78"/>
      <c r="AQ207" s="33"/>
      <c r="AR207" s="78"/>
      <c r="AS207" s="33"/>
      <c r="AT207" s="75">
        <v>2.0</v>
      </c>
      <c r="AU207" s="33"/>
      <c r="AV207" s="75">
        <v>4.0</v>
      </c>
      <c r="AW207" s="33"/>
      <c r="AX207" s="78"/>
      <c r="AY207" s="33"/>
      <c r="AZ207" s="75"/>
      <c r="BA207" s="33"/>
      <c r="BB207" s="78"/>
      <c r="BC207" s="33"/>
      <c r="BD207" s="75">
        <v>4.0</v>
      </c>
      <c r="BE207" s="33"/>
      <c r="BF207" s="75">
        <v>2.0</v>
      </c>
      <c r="BG207" s="33"/>
      <c r="BH207" s="75">
        <v>3.0</v>
      </c>
      <c r="BI207" s="33"/>
      <c r="BJ207" s="75">
        <v>6.0</v>
      </c>
      <c r="BK207" s="33"/>
      <c r="BL207" s="75">
        <v>4.0</v>
      </c>
      <c r="BM207" s="33"/>
      <c r="BN207" s="75">
        <v>5.0</v>
      </c>
      <c r="BO207" s="33"/>
    </row>
    <row r="208" hidden="1" outlineLevel="1">
      <c r="A208" s="66" t="str">
        <f>B208&amp;D208</f>
        <v>OctoberLEELA</v>
      </c>
      <c r="B208" s="67" t="s">
        <v>33</v>
      </c>
      <c r="C208" s="68" t="s">
        <v>67</v>
      </c>
      <c r="D208" s="69" t="str">
        <f>IFERROR(VLOOKUP(C208,'Employees List'!$B$2:$C$28,2,0),"")</f>
        <v>LEELA</v>
      </c>
      <c r="E208" s="70">
        <f>(F208+G208+H208+I208+J208+K208+L208+M208+N208+O208+P208+Q208+R208+S208+T208+U208+V208+W208+X208+Y208+Z208+AA208+AB208+AC208+AD208+AE208+AF208+AG208+AH208+AI208+AJ208+AK208+AL208+AM208+AN208+AO208+AP208+AQ208+AR208+AS208+AT208+AU208+AV208+AW208+AX208+AY208+AZ208+BA208+BB208+BC208+BD208+BE208+BF208+BG208+BH208+BI208+BJ208+BK208+BL208+BM208+BN208+BO208)/2</f>
        <v>30</v>
      </c>
      <c r="F208" s="54" t="b">
        <v>1</v>
      </c>
      <c r="G208" s="54" t="b">
        <v>1</v>
      </c>
      <c r="H208" s="54" t="b">
        <v>1</v>
      </c>
      <c r="I208" s="54" t="b">
        <v>1</v>
      </c>
      <c r="J208" s="54" t="b">
        <v>1</v>
      </c>
      <c r="K208" s="54" t="b">
        <v>1</v>
      </c>
      <c r="L208" s="54" t="b">
        <v>1</v>
      </c>
      <c r="M208" s="54" t="b">
        <v>1</v>
      </c>
      <c r="N208" s="54" t="b">
        <v>1</v>
      </c>
      <c r="O208" s="54" t="b">
        <v>1</v>
      </c>
      <c r="P208" s="54" t="b">
        <v>1</v>
      </c>
      <c r="Q208" s="54" t="b">
        <v>1</v>
      </c>
      <c r="R208" s="54" t="b">
        <v>1</v>
      </c>
      <c r="S208" s="54" t="b">
        <v>1</v>
      </c>
      <c r="T208" s="54" t="b">
        <v>1</v>
      </c>
      <c r="U208" s="54" t="b">
        <v>1</v>
      </c>
      <c r="V208" s="54" t="b">
        <v>1</v>
      </c>
      <c r="W208" s="54" t="b">
        <v>1</v>
      </c>
      <c r="X208" s="54" t="b">
        <v>1</v>
      </c>
      <c r="Y208" s="54" t="b">
        <v>1</v>
      </c>
      <c r="Z208" s="54" t="b">
        <v>1</v>
      </c>
      <c r="AA208" s="54" t="b">
        <v>1</v>
      </c>
      <c r="AB208" s="54" t="b">
        <v>1</v>
      </c>
      <c r="AC208" s="54" t="b">
        <v>1</v>
      </c>
      <c r="AD208" s="54" t="b">
        <v>1</v>
      </c>
      <c r="AE208" s="54" t="b">
        <v>1</v>
      </c>
      <c r="AF208" s="54" t="b">
        <v>1</v>
      </c>
      <c r="AG208" s="54" t="b">
        <v>1</v>
      </c>
      <c r="AH208" s="54" t="b">
        <v>0</v>
      </c>
      <c r="AI208" s="61" t="b">
        <v>0</v>
      </c>
      <c r="AJ208" s="54" t="b">
        <v>1</v>
      </c>
      <c r="AK208" s="54" t="b">
        <v>1</v>
      </c>
      <c r="AL208" s="54" t="b">
        <v>1</v>
      </c>
      <c r="AM208" s="54" t="b">
        <v>1</v>
      </c>
      <c r="AN208" s="54" t="b">
        <v>1</v>
      </c>
      <c r="AO208" s="54" t="b">
        <v>1</v>
      </c>
      <c r="AP208" s="54" t="b">
        <v>1</v>
      </c>
      <c r="AQ208" s="54" t="b">
        <v>1</v>
      </c>
      <c r="AR208" s="54" t="b">
        <v>1</v>
      </c>
      <c r="AS208" s="54" t="b">
        <v>1</v>
      </c>
      <c r="AT208" s="54" t="b">
        <v>1</v>
      </c>
      <c r="AU208" s="54" t="b">
        <v>1</v>
      </c>
      <c r="AV208" s="54" t="b">
        <v>1</v>
      </c>
      <c r="AW208" s="54" t="b">
        <v>1</v>
      </c>
      <c r="AX208" s="54" t="b">
        <v>1</v>
      </c>
      <c r="AY208" s="54" t="b">
        <v>1</v>
      </c>
      <c r="AZ208" s="54" t="b">
        <v>1</v>
      </c>
      <c r="BA208" s="54" t="b">
        <v>1</v>
      </c>
      <c r="BB208" s="54" t="b">
        <v>1</v>
      </c>
      <c r="BC208" s="54" t="b">
        <v>1</v>
      </c>
      <c r="BD208" s="54" t="b">
        <v>1</v>
      </c>
      <c r="BE208" s="54" t="b">
        <v>1</v>
      </c>
      <c r="BF208" s="54" t="b">
        <v>1</v>
      </c>
      <c r="BG208" s="54" t="b">
        <v>1</v>
      </c>
      <c r="BH208" s="54" t="b">
        <v>1</v>
      </c>
      <c r="BI208" s="54" t="b">
        <v>1</v>
      </c>
      <c r="BJ208" s="54" t="b">
        <v>1</v>
      </c>
      <c r="BK208" s="54" t="b">
        <v>1</v>
      </c>
      <c r="BL208" s="54" t="b">
        <v>1</v>
      </c>
      <c r="BM208" s="54" t="b">
        <v>1</v>
      </c>
      <c r="BN208" s="54" t="b">
        <v>1</v>
      </c>
      <c r="BO208" s="54" t="b">
        <v>1</v>
      </c>
    </row>
    <row r="209" hidden="1" outlineLevel="1">
      <c r="A209" s="71" t="str">
        <f>A208&amp;C209</f>
        <v>OctoberLEELAOT HOURS</v>
      </c>
      <c r="B209" s="72"/>
      <c r="C209" s="73" t="s">
        <v>120</v>
      </c>
      <c r="D209" s="33"/>
      <c r="E209" s="70">
        <f>(F209+G209+H209+I209+J209+K209+L209+M209+N209+O209+P209+Q209+R209+S209+T209+U209+V209+W209+X209+Y209+Z209+AA209+AB209+AC209+AD209+AE209+AF209+AG209+AH209+AI209+AJ209+AK209+AL209+AM209+AN209+AO209+AP209+AQ209+AR209+AS209+AT209+AU209+AV209+AW209+AX209+AY209+AZ209+BA209+BB209+BC209+BD209+BE209+BF209+BG209+BH209+BI209+BJ209+BK209+BL209+BM209+BN209+BO209)</f>
        <v>0</v>
      </c>
      <c r="F209" s="59"/>
      <c r="G209" s="33"/>
      <c r="H209" s="75"/>
      <c r="I209" s="33"/>
      <c r="J209" s="75"/>
      <c r="K209" s="33"/>
      <c r="L209" s="78"/>
      <c r="M209" s="33"/>
      <c r="N209" s="78"/>
      <c r="O209" s="33"/>
      <c r="P209" s="78"/>
      <c r="Q209" s="33"/>
      <c r="R209" s="78"/>
      <c r="S209" s="33"/>
      <c r="T209" s="78"/>
      <c r="U209" s="33"/>
      <c r="V209" s="78"/>
      <c r="W209" s="33"/>
      <c r="X209" s="78"/>
      <c r="Y209" s="33"/>
      <c r="Z209" s="78"/>
      <c r="AA209" s="33"/>
      <c r="AB209" s="78"/>
      <c r="AC209" s="33"/>
      <c r="AD209" s="78"/>
      <c r="AE209" s="33"/>
      <c r="AF209" s="78"/>
      <c r="AG209" s="33"/>
      <c r="AH209" s="78"/>
      <c r="AI209" s="33"/>
      <c r="AJ209" s="78"/>
      <c r="AK209" s="33"/>
      <c r="AL209" s="78"/>
      <c r="AM209" s="33"/>
      <c r="AN209" s="78"/>
      <c r="AO209" s="33"/>
      <c r="AP209" s="78"/>
      <c r="AQ209" s="33"/>
      <c r="AR209" s="78"/>
      <c r="AS209" s="33"/>
      <c r="AT209" s="78"/>
      <c r="AU209" s="33"/>
      <c r="AV209" s="78"/>
      <c r="AW209" s="33"/>
      <c r="AX209" s="78"/>
      <c r="AY209" s="33"/>
      <c r="AZ209" s="78"/>
      <c r="BA209" s="33"/>
      <c r="BB209" s="78"/>
      <c r="BC209" s="33"/>
      <c r="BD209" s="78"/>
      <c r="BE209" s="33"/>
      <c r="BF209" s="78"/>
      <c r="BG209" s="33"/>
      <c r="BH209" s="78"/>
      <c r="BI209" s="33"/>
      <c r="BJ209" s="78"/>
      <c r="BK209" s="33"/>
      <c r="BL209" s="78"/>
      <c r="BM209" s="33"/>
      <c r="BN209" s="78"/>
      <c r="BO209" s="33"/>
    </row>
    <row r="210" collapsed="1">
      <c r="A210" s="30"/>
      <c r="B210" s="31"/>
      <c r="C210" s="36">
        <v>45597.0</v>
      </c>
      <c r="D210" s="33"/>
      <c r="E210" s="34"/>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row>
    <row r="211" hidden="1" outlineLevel="1">
      <c r="A211" s="38"/>
      <c r="B211" s="39"/>
      <c r="C211" s="40" t="s">
        <v>1</v>
      </c>
      <c r="D211" s="40" t="s">
        <v>2</v>
      </c>
      <c r="E211" s="41" t="s">
        <v>117</v>
      </c>
      <c r="F211" s="40" t="s">
        <v>118</v>
      </c>
      <c r="G211" s="40" t="s">
        <v>119</v>
      </c>
      <c r="H211" s="40" t="s">
        <v>118</v>
      </c>
      <c r="I211" s="40" t="s">
        <v>119</v>
      </c>
      <c r="J211" s="40" t="s">
        <v>118</v>
      </c>
      <c r="K211" s="40" t="s">
        <v>119</v>
      </c>
      <c r="L211" s="40" t="s">
        <v>118</v>
      </c>
      <c r="M211" s="40" t="s">
        <v>119</v>
      </c>
      <c r="N211" s="40" t="s">
        <v>118</v>
      </c>
      <c r="O211" s="40" t="s">
        <v>119</v>
      </c>
      <c r="P211" s="40" t="s">
        <v>118</v>
      </c>
      <c r="Q211" s="40" t="s">
        <v>119</v>
      </c>
      <c r="R211" s="40" t="s">
        <v>118</v>
      </c>
      <c r="S211" s="40" t="s">
        <v>119</v>
      </c>
      <c r="T211" s="40" t="s">
        <v>118</v>
      </c>
      <c r="U211" s="40" t="s">
        <v>119</v>
      </c>
      <c r="V211" s="40" t="s">
        <v>118</v>
      </c>
      <c r="W211" s="40" t="s">
        <v>119</v>
      </c>
      <c r="X211" s="40" t="s">
        <v>118</v>
      </c>
      <c r="Y211" s="40" t="s">
        <v>119</v>
      </c>
      <c r="Z211" s="40" t="s">
        <v>118</v>
      </c>
      <c r="AA211" s="40" t="s">
        <v>119</v>
      </c>
      <c r="AB211" s="40" t="s">
        <v>118</v>
      </c>
      <c r="AC211" s="40" t="s">
        <v>119</v>
      </c>
      <c r="AD211" s="40" t="s">
        <v>118</v>
      </c>
      <c r="AE211" s="40" t="s">
        <v>119</v>
      </c>
      <c r="AF211" s="40" t="s">
        <v>118</v>
      </c>
      <c r="AG211" s="40" t="s">
        <v>119</v>
      </c>
      <c r="AH211" s="40" t="s">
        <v>118</v>
      </c>
      <c r="AI211" s="40" t="s">
        <v>119</v>
      </c>
      <c r="AJ211" s="40" t="s">
        <v>118</v>
      </c>
      <c r="AK211" s="40" t="s">
        <v>119</v>
      </c>
      <c r="AL211" s="40" t="s">
        <v>118</v>
      </c>
      <c r="AM211" s="40" t="s">
        <v>119</v>
      </c>
      <c r="AN211" s="40" t="s">
        <v>118</v>
      </c>
      <c r="AO211" s="40" t="s">
        <v>119</v>
      </c>
      <c r="AP211" s="40" t="s">
        <v>118</v>
      </c>
      <c r="AQ211" s="40" t="s">
        <v>119</v>
      </c>
      <c r="AR211" s="40" t="s">
        <v>118</v>
      </c>
      <c r="AS211" s="40" t="s">
        <v>119</v>
      </c>
      <c r="AT211" s="40" t="s">
        <v>118</v>
      </c>
      <c r="AU211" s="40" t="s">
        <v>119</v>
      </c>
      <c r="AV211" s="40" t="s">
        <v>118</v>
      </c>
      <c r="AW211" s="40" t="s">
        <v>119</v>
      </c>
      <c r="AX211" s="40" t="s">
        <v>118</v>
      </c>
      <c r="AY211" s="40" t="s">
        <v>119</v>
      </c>
      <c r="AZ211" s="40" t="s">
        <v>118</v>
      </c>
      <c r="BA211" s="40" t="s">
        <v>119</v>
      </c>
      <c r="BB211" s="40" t="s">
        <v>118</v>
      </c>
      <c r="BC211" s="40" t="s">
        <v>119</v>
      </c>
      <c r="BD211" s="40" t="s">
        <v>118</v>
      </c>
      <c r="BE211" s="40" t="s">
        <v>119</v>
      </c>
      <c r="BF211" s="40" t="s">
        <v>118</v>
      </c>
      <c r="BG211" s="40" t="s">
        <v>119</v>
      </c>
      <c r="BH211" s="40" t="s">
        <v>118</v>
      </c>
      <c r="BI211" s="40" t="s">
        <v>119</v>
      </c>
      <c r="BJ211" s="40" t="s">
        <v>118</v>
      </c>
      <c r="BK211" s="40" t="s">
        <v>119</v>
      </c>
      <c r="BL211" s="40" t="s">
        <v>118</v>
      </c>
      <c r="BM211" s="40" t="s">
        <v>119</v>
      </c>
      <c r="BN211" s="40" t="s">
        <v>118</v>
      </c>
      <c r="BO211" s="40" t="s">
        <v>119</v>
      </c>
    </row>
    <row r="212" hidden="1" outlineLevel="1">
      <c r="A212" s="42" t="str">
        <f>B212&amp;D212</f>
        <v>NovemberBHUVANESWARAN</v>
      </c>
      <c r="B212" s="43" t="s">
        <v>36</v>
      </c>
      <c r="C212" s="43" t="s">
        <v>9</v>
      </c>
      <c r="D212" s="44" t="str">
        <f>IFERROR(VLOOKUP(C212,'Employees List'!$B$2:$C$28,2,0),"")</f>
        <v>BHUVANESWARAN</v>
      </c>
      <c r="E212" s="70">
        <f>(F212+G212+H212+I212+J212+K212+L212+M212+N212+O212+P212+Q212+R212+S212+T212+U212+V212+W212+X212+Y212+Z212+AA212+AB212+AC212+AD212+AE212+AF212+AG212+AH212+AI212+AJ212+AK212+AL212+AM212+AN212+AO212+AP212+AQ212+AR212+AS212+AT212+AU212+AV212+AW212+AX212+AY212+AZ212+BA212+BB212+BC212+BD212+BE212+BF212+BG212+BH212+BI212+BJ212+BK212+BL212+BM212+BN212+BO212)/2</f>
        <v>30</v>
      </c>
      <c r="F212" s="54" t="b">
        <v>1</v>
      </c>
      <c r="G212" s="54" t="b">
        <v>1</v>
      </c>
      <c r="H212" s="54" t="b">
        <v>1</v>
      </c>
      <c r="I212" s="54" t="b">
        <v>1</v>
      </c>
      <c r="J212" s="54" t="b">
        <v>1</v>
      </c>
      <c r="K212" s="54" t="b">
        <v>1</v>
      </c>
      <c r="L212" s="54" t="b">
        <v>1</v>
      </c>
      <c r="M212" s="54" t="b">
        <v>1</v>
      </c>
      <c r="N212" s="54" t="b">
        <v>1</v>
      </c>
      <c r="O212" s="54" t="b">
        <v>1</v>
      </c>
      <c r="P212" s="54" t="b">
        <v>1</v>
      </c>
      <c r="Q212" s="54" t="b">
        <v>1</v>
      </c>
      <c r="R212" s="54" t="b">
        <v>1</v>
      </c>
      <c r="S212" s="54" t="b">
        <v>1</v>
      </c>
      <c r="T212" s="54" t="b">
        <v>1</v>
      </c>
      <c r="U212" s="54" t="b">
        <v>1</v>
      </c>
      <c r="V212" s="54" t="b">
        <v>1</v>
      </c>
      <c r="W212" s="54" t="b">
        <v>1</v>
      </c>
      <c r="X212" s="54" t="b">
        <v>1</v>
      </c>
      <c r="Y212" s="54" t="b">
        <v>1</v>
      </c>
      <c r="Z212" s="54" t="b">
        <v>1</v>
      </c>
      <c r="AA212" s="54" t="b">
        <v>1</v>
      </c>
      <c r="AB212" s="54" t="b">
        <v>1</v>
      </c>
      <c r="AC212" s="54" t="b">
        <v>1</v>
      </c>
      <c r="AD212" s="54" t="b">
        <v>1</v>
      </c>
      <c r="AE212" s="54" t="b">
        <v>1</v>
      </c>
      <c r="AF212" s="54" t="b">
        <v>1</v>
      </c>
      <c r="AG212" s="54" t="b">
        <v>1</v>
      </c>
      <c r="AH212" s="54" t="b">
        <v>1</v>
      </c>
      <c r="AI212" s="54" t="b">
        <v>1</v>
      </c>
      <c r="AJ212" s="54" t="b">
        <v>1</v>
      </c>
      <c r="AK212" s="54" t="b">
        <v>1</v>
      </c>
      <c r="AL212" s="54" t="b">
        <v>1</v>
      </c>
      <c r="AM212" s="54" t="b">
        <v>1</v>
      </c>
      <c r="AN212" s="54" t="b">
        <v>1</v>
      </c>
      <c r="AO212" s="54" t="b">
        <v>1</v>
      </c>
      <c r="AP212" s="54" t="b">
        <v>1</v>
      </c>
      <c r="AQ212" s="54" t="b">
        <v>1</v>
      </c>
      <c r="AR212" s="54" t="b">
        <v>1</v>
      </c>
      <c r="AS212" s="54" t="b">
        <v>1</v>
      </c>
      <c r="AT212" s="54" t="b">
        <v>1</v>
      </c>
      <c r="AU212" s="54" t="b">
        <v>1</v>
      </c>
      <c r="AV212" s="54" t="b">
        <v>1</v>
      </c>
      <c r="AW212" s="54" t="b">
        <v>1</v>
      </c>
      <c r="AX212" s="54" t="b">
        <v>1</v>
      </c>
      <c r="AY212" s="54" t="b">
        <v>1</v>
      </c>
      <c r="AZ212" s="54" t="b">
        <v>1</v>
      </c>
      <c r="BA212" s="54" t="b">
        <v>1</v>
      </c>
      <c r="BB212" s="54" t="b">
        <v>1</v>
      </c>
      <c r="BC212" s="54" t="b">
        <v>1</v>
      </c>
      <c r="BD212" s="54" t="b">
        <v>1</v>
      </c>
      <c r="BE212" s="54" t="b">
        <v>1</v>
      </c>
      <c r="BF212" s="54" t="b">
        <v>1</v>
      </c>
      <c r="BG212" s="54" t="b">
        <v>1</v>
      </c>
      <c r="BH212" s="54" t="b">
        <v>1</v>
      </c>
      <c r="BI212" s="54" t="b">
        <v>1</v>
      </c>
      <c r="BJ212" s="54" t="b">
        <v>1</v>
      </c>
      <c r="BK212" s="54" t="b">
        <v>1</v>
      </c>
      <c r="BL212" s="54" t="b">
        <v>1</v>
      </c>
      <c r="BM212" s="54" t="b">
        <v>1</v>
      </c>
      <c r="BN212" s="54" t="b">
        <v>0</v>
      </c>
      <c r="BO212" s="54" t="b">
        <v>0</v>
      </c>
    </row>
    <row r="213" hidden="1" outlineLevel="1">
      <c r="A213" s="47" t="str">
        <f>A212&amp;C213</f>
        <v>NovemberBHUVANESWARANOT HOURS</v>
      </c>
      <c r="B213" s="48"/>
      <c r="C213" s="49" t="s">
        <v>120</v>
      </c>
      <c r="D213" s="33"/>
      <c r="E213" s="70">
        <f>(F213+G213+H213+I213+J213+K213+L213+M213+N213+O213+P213+Q213+R213+S213+T213+U213+V213+W213+X213+Y213+Z213+AA213+AB213+AC213+AD213+AE213+AF213+AG213+AH213+AI213+AJ213+AK213+AL213+AM213+AN213+AO213+AP213+AQ213+AR213+AS213+AT213+AU213+AV213+AW213+AX213+AY213+AZ213+BA213+BB213+BC213+BD213+BE213+BF213+BG213+BH213+BI213+BJ213+BK213+BL213+BM213+BN213+BO213)</f>
        <v>0</v>
      </c>
      <c r="F213" s="59"/>
      <c r="G213" s="33"/>
      <c r="H213" s="59"/>
      <c r="I213" s="33"/>
      <c r="J213" s="59"/>
      <c r="K213" s="33"/>
      <c r="L213" s="60"/>
      <c r="M213" s="33"/>
      <c r="N213" s="60"/>
      <c r="O213" s="33"/>
      <c r="P213" s="60"/>
      <c r="Q213" s="33"/>
      <c r="R213" s="60"/>
      <c r="S213" s="33"/>
      <c r="T213" s="60"/>
      <c r="U213" s="33"/>
      <c r="V213" s="60"/>
      <c r="W213" s="33"/>
      <c r="X213" s="60"/>
      <c r="Y213" s="33"/>
      <c r="Z213" s="60"/>
      <c r="AA213" s="33"/>
      <c r="AB213" s="60"/>
      <c r="AC213" s="33"/>
      <c r="AD213" s="60"/>
      <c r="AE213" s="33"/>
      <c r="AF213" s="60"/>
      <c r="AG213" s="33"/>
      <c r="AH213" s="60"/>
      <c r="AI213" s="33"/>
      <c r="AJ213" s="60"/>
      <c r="AK213" s="33"/>
      <c r="AL213" s="60"/>
      <c r="AM213" s="33"/>
      <c r="AN213" s="60"/>
      <c r="AO213" s="33"/>
      <c r="AP213" s="60"/>
      <c r="AQ213" s="33"/>
      <c r="AR213" s="60"/>
      <c r="AS213" s="33"/>
      <c r="AT213" s="60"/>
      <c r="AU213" s="33"/>
      <c r="AV213" s="60"/>
      <c r="AW213" s="33"/>
      <c r="AX213" s="60"/>
      <c r="AY213" s="33"/>
      <c r="AZ213" s="60"/>
      <c r="BA213" s="33"/>
      <c r="BB213" s="60"/>
      <c r="BC213" s="33"/>
      <c r="BD213" s="60"/>
      <c r="BE213" s="33"/>
      <c r="BF213" s="60"/>
      <c r="BG213" s="33"/>
      <c r="BH213" s="60"/>
      <c r="BI213" s="33"/>
      <c r="BJ213" s="60"/>
      <c r="BK213" s="33"/>
      <c r="BL213" s="60"/>
      <c r="BM213" s="33"/>
      <c r="BN213" s="60"/>
      <c r="BO213" s="33"/>
    </row>
    <row r="214" hidden="1" outlineLevel="1">
      <c r="A214" s="42" t="str">
        <f>B214&amp;D214</f>
        <v>NovemberSUNDARI</v>
      </c>
      <c r="B214" s="43" t="s">
        <v>36</v>
      </c>
      <c r="C214" s="43" t="s">
        <v>64</v>
      </c>
      <c r="D214" s="44" t="str">
        <f>IFERROR(VLOOKUP(C214,'Employees List'!$B$2:$C$28,2,0),"")</f>
        <v>SUNDARI</v>
      </c>
      <c r="E214" s="70">
        <f>(F214+G214+H214+I214+J214+K214+L214+M214+N214+O214+P214+Q214+R214+S214+T214+U214+V214+W214+X214+Y214+Z214+AA214+AB214+AC214+AD214+AE214+AF214+AG214+AH214+AI214+AJ214+AK214+AL214+AM214+AN214+AO214+AP214+AQ214+AR214+AS214+AT214+AU214+AV214+AW214+AX214+AY214+AZ214+BA214+BB214+BC214+BD214+BE214+BF214+BG214+BH214+BI214+BJ214+BK214+BL214+BM214+BN214+BO214)/2</f>
        <v>30</v>
      </c>
      <c r="F214" s="54" t="b">
        <v>1</v>
      </c>
      <c r="G214" s="54" t="b">
        <v>1</v>
      </c>
      <c r="H214" s="54" t="b">
        <v>1</v>
      </c>
      <c r="I214" s="54" t="b">
        <v>1</v>
      </c>
      <c r="J214" s="54" t="b">
        <v>1</v>
      </c>
      <c r="K214" s="54" t="b">
        <v>1</v>
      </c>
      <c r="L214" s="54" t="b">
        <v>1</v>
      </c>
      <c r="M214" s="54" t="b">
        <v>1</v>
      </c>
      <c r="N214" s="54" t="b">
        <v>1</v>
      </c>
      <c r="O214" s="54" t="b">
        <v>1</v>
      </c>
      <c r="P214" s="54" t="b">
        <v>1</v>
      </c>
      <c r="Q214" s="54" t="b">
        <v>1</v>
      </c>
      <c r="R214" s="54" t="b">
        <v>1</v>
      </c>
      <c r="S214" s="54" t="b">
        <v>1</v>
      </c>
      <c r="T214" s="54" t="b">
        <v>1</v>
      </c>
      <c r="U214" s="54" t="b">
        <v>1</v>
      </c>
      <c r="V214" s="54" t="b">
        <v>1</v>
      </c>
      <c r="W214" s="54" t="b">
        <v>1</v>
      </c>
      <c r="X214" s="54" t="b">
        <v>1</v>
      </c>
      <c r="Y214" s="54" t="b">
        <v>1</v>
      </c>
      <c r="Z214" s="54" t="b">
        <v>1</v>
      </c>
      <c r="AA214" s="54" t="b">
        <v>1</v>
      </c>
      <c r="AB214" s="54" t="b">
        <v>1</v>
      </c>
      <c r="AC214" s="54" t="b">
        <v>1</v>
      </c>
      <c r="AD214" s="54" t="b">
        <v>1</v>
      </c>
      <c r="AE214" s="54" t="b">
        <v>1</v>
      </c>
      <c r="AF214" s="54" t="b">
        <v>1</v>
      </c>
      <c r="AG214" s="54" t="b">
        <v>1</v>
      </c>
      <c r="AH214" s="54" t="b">
        <v>1</v>
      </c>
      <c r="AI214" s="54" t="b">
        <v>1</v>
      </c>
      <c r="AJ214" s="54" t="b">
        <v>1</v>
      </c>
      <c r="AK214" s="54" t="b">
        <v>1</v>
      </c>
      <c r="AL214" s="54" t="b">
        <v>1</v>
      </c>
      <c r="AM214" s="54" t="b">
        <v>1</v>
      </c>
      <c r="AN214" s="54" t="b">
        <v>1</v>
      </c>
      <c r="AO214" s="54" t="b">
        <v>1</v>
      </c>
      <c r="AP214" s="54" t="b">
        <v>1</v>
      </c>
      <c r="AQ214" s="54" t="b">
        <v>1</v>
      </c>
      <c r="AR214" s="54" t="b">
        <v>1</v>
      </c>
      <c r="AS214" s="54" t="b">
        <v>1</v>
      </c>
      <c r="AT214" s="54" t="b">
        <v>1</v>
      </c>
      <c r="AU214" s="54" t="b">
        <v>1</v>
      </c>
      <c r="AV214" s="54" t="b">
        <v>1</v>
      </c>
      <c r="AW214" s="54" t="b">
        <v>1</v>
      </c>
      <c r="AX214" s="54" t="b">
        <v>1</v>
      </c>
      <c r="AY214" s="54" t="b">
        <v>1</v>
      </c>
      <c r="AZ214" s="54" t="b">
        <v>1</v>
      </c>
      <c r="BA214" s="54" t="b">
        <v>1</v>
      </c>
      <c r="BB214" s="54" t="b">
        <v>1</v>
      </c>
      <c r="BC214" s="54" t="b">
        <v>1</v>
      </c>
      <c r="BD214" s="54" t="b">
        <v>1</v>
      </c>
      <c r="BE214" s="54" t="b">
        <v>1</v>
      </c>
      <c r="BF214" s="54" t="b">
        <v>1</v>
      </c>
      <c r="BG214" s="54" t="b">
        <v>1</v>
      </c>
      <c r="BH214" s="54" t="b">
        <v>1</v>
      </c>
      <c r="BI214" s="54" t="b">
        <v>1</v>
      </c>
      <c r="BJ214" s="54" t="b">
        <v>1</v>
      </c>
      <c r="BK214" s="54" t="b">
        <v>1</v>
      </c>
      <c r="BL214" s="54" t="b">
        <v>1</v>
      </c>
      <c r="BM214" s="54" t="b">
        <v>1</v>
      </c>
      <c r="BN214" s="54" t="b">
        <v>0</v>
      </c>
      <c r="BO214" s="54" t="b">
        <v>0</v>
      </c>
    </row>
    <row r="215" hidden="1" outlineLevel="1">
      <c r="A215" s="47" t="str">
        <f>A214&amp;C215</f>
        <v>NovemberSUNDARIOT HOURS</v>
      </c>
      <c r="B215" s="48"/>
      <c r="C215" s="49" t="s">
        <v>120</v>
      </c>
      <c r="D215" s="33"/>
      <c r="E215" s="70">
        <f>(F215+G215+H215+I215+J215+K215+L215+M215+N215+O215+P215+Q215+R215+S215+T215+U215+V215+W215+X215+Y215+Z215+AA215+AB215+AC215+AD215+AE215+AF215+AG215+AH215+AI215+AJ215+AK215+AL215+AM215+AN215+AO215+AP215+AQ215+AR215+AS215+AT215+AU215+AV215+AW215+AX215+AY215+AZ215+BA215+BB215+BC215+BD215+BE215+BF215+BG215+BH215+BI215+BJ215+BK215+BL215+BM215+BN215+BO215)</f>
        <v>1</v>
      </c>
      <c r="F215" s="59"/>
      <c r="G215" s="33"/>
      <c r="H215" s="59">
        <v>1.0</v>
      </c>
      <c r="I215" s="33"/>
      <c r="J215" s="59"/>
      <c r="K215" s="33"/>
      <c r="L215" s="60"/>
      <c r="M215" s="33"/>
      <c r="N215" s="60"/>
      <c r="O215" s="33"/>
      <c r="P215" s="60"/>
      <c r="Q215" s="33"/>
      <c r="R215" s="60"/>
      <c r="S215" s="33"/>
      <c r="T215" s="60"/>
      <c r="U215" s="33"/>
      <c r="V215" s="60"/>
      <c r="W215" s="33"/>
      <c r="X215" s="60"/>
      <c r="Y215" s="33"/>
      <c r="Z215" s="60"/>
      <c r="AA215" s="33"/>
      <c r="AB215" s="60"/>
      <c r="AC215" s="33"/>
      <c r="AD215" s="60"/>
      <c r="AE215" s="33"/>
      <c r="AF215" s="60"/>
      <c r="AG215" s="33"/>
      <c r="AH215" s="60"/>
      <c r="AI215" s="33"/>
      <c r="AJ215" s="60"/>
      <c r="AK215" s="33"/>
      <c r="AL215" s="60"/>
      <c r="AM215" s="33"/>
      <c r="AN215" s="60"/>
      <c r="AO215" s="33"/>
      <c r="AP215" s="60"/>
      <c r="AQ215" s="33"/>
      <c r="AR215" s="60"/>
      <c r="AS215" s="33"/>
      <c r="AT215" s="60"/>
      <c r="AU215" s="33"/>
      <c r="AV215" s="60"/>
      <c r="AW215" s="33"/>
      <c r="AX215" s="60"/>
      <c r="AY215" s="33"/>
      <c r="AZ215" s="60"/>
      <c r="BA215" s="33"/>
      <c r="BB215" s="60"/>
      <c r="BC215" s="33"/>
      <c r="BD215" s="60"/>
      <c r="BE215" s="33"/>
      <c r="BF215" s="60"/>
      <c r="BG215" s="33"/>
      <c r="BH215" s="60"/>
      <c r="BI215" s="33"/>
      <c r="BJ215" s="60"/>
      <c r="BK215" s="33"/>
      <c r="BL215" s="60"/>
      <c r="BM215" s="33"/>
      <c r="BN215" s="60"/>
      <c r="BO215" s="33"/>
    </row>
    <row r="216" hidden="1" outlineLevel="1">
      <c r="A216" s="42" t="str">
        <f>B216&amp;D216</f>
        <v>NovemberVASANTHA</v>
      </c>
      <c r="B216" s="43" t="s">
        <v>36</v>
      </c>
      <c r="C216" s="43" t="s">
        <v>13</v>
      </c>
      <c r="D216" s="44" t="str">
        <f>IFERROR(VLOOKUP(C216,'Employees List'!$B$2:$C$28,2,0),"")</f>
        <v>VASANTHA</v>
      </c>
      <c r="E216" s="70">
        <f>(F216+G216+H216+I216+J216+K216+L216+M216+N216+O216+P216+Q216+R216+S216+T216+U216+V216+W216+X216+Y216+Z216+AA216+AB216+AC216+AD216+AE216+AF216+AG216+AH216+AI216+AJ216+AK216+AL216+AM216+AN216+AO216+AP216+AQ216+AR216+AS216+AT216+AU216+AV216+AW216+AX216+AY216+AZ216+BA216+BB216+BC216+BD216+BE216+BF216+BG216+BH216+BI216+BJ216+BK216+BL216+BM216+BN216+BO216)/2</f>
        <v>13</v>
      </c>
      <c r="F216" s="54" t="b">
        <v>1</v>
      </c>
      <c r="G216" s="54" t="b">
        <v>1</v>
      </c>
      <c r="H216" s="54" t="b">
        <v>1</v>
      </c>
      <c r="I216" s="54" t="b">
        <v>1</v>
      </c>
      <c r="J216" s="54" t="b">
        <v>1</v>
      </c>
      <c r="K216" s="54" t="b">
        <v>1</v>
      </c>
      <c r="L216" s="54" t="b">
        <v>1</v>
      </c>
      <c r="M216" s="54" t="b">
        <v>1</v>
      </c>
      <c r="N216" s="54" t="b">
        <v>1</v>
      </c>
      <c r="O216" s="54" t="b">
        <v>1</v>
      </c>
      <c r="P216" s="54" t="b">
        <v>1</v>
      </c>
      <c r="Q216" s="54" t="b">
        <v>1</v>
      </c>
      <c r="R216" s="54" t="b">
        <v>1</v>
      </c>
      <c r="S216" s="54" t="b">
        <v>1</v>
      </c>
      <c r="T216" s="54" t="b">
        <v>1</v>
      </c>
      <c r="U216" s="54" t="b">
        <v>1</v>
      </c>
      <c r="V216" s="54" t="b">
        <v>1</v>
      </c>
      <c r="W216" s="54" t="b">
        <v>1</v>
      </c>
      <c r="X216" s="54" t="b">
        <v>1</v>
      </c>
      <c r="Y216" s="54" t="b">
        <v>1</v>
      </c>
      <c r="Z216" s="54" t="b">
        <v>1</v>
      </c>
      <c r="AA216" s="54" t="b">
        <v>1</v>
      </c>
      <c r="AB216" s="54" t="b">
        <v>1</v>
      </c>
      <c r="AC216" s="54" t="b">
        <v>1</v>
      </c>
      <c r="AD216" s="54" t="b">
        <v>1</v>
      </c>
      <c r="AE216" s="54" t="b">
        <v>1</v>
      </c>
      <c r="AF216" s="54" t="b">
        <v>0</v>
      </c>
      <c r="AG216" s="54" t="b">
        <v>0</v>
      </c>
      <c r="AH216" s="54" t="b">
        <v>0</v>
      </c>
      <c r="AI216" s="54" t="b">
        <v>0</v>
      </c>
      <c r="AJ216" s="54" t="b">
        <v>0</v>
      </c>
      <c r="AK216" s="54" t="b">
        <v>0</v>
      </c>
      <c r="AL216" s="54" t="b">
        <v>0</v>
      </c>
      <c r="AM216" s="54" t="b">
        <v>0</v>
      </c>
      <c r="AN216" s="54" t="b">
        <v>0</v>
      </c>
      <c r="AO216" s="54" t="b">
        <v>0</v>
      </c>
      <c r="AP216" s="54" t="b">
        <v>0</v>
      </c>
      <c r="AQ216" s="54" t="b">
        <v>0</v>
      </c>
      <c r="AR216" s="54" t="b">
        <v>0</v>
      </c>
      <c r="AS216" s="54" t="b">
        <v>0</v>
      </c>
      <c r="AT216" s="54" t="b">
        <v>0</v>
      </c>
      <c r="AU216" s="54" t="b">
        <v>0</v>
      </c>
      <c r="AV216" s="54" t="b">
        <v>0</v>
      </c>
      <c r="AW216" s="54" t="b">
        <v>0</v>
      </c>
      <c r="AX216" s="54" t="b">
        <v>0</v>
      </c>
      <c r="AY216" s="54" t="b">
        <v>0</v>
      </c>
      <c r="AZ216" s="54" t="b">
        <v>0</v>
      </c>
      <c r="BA216" s="54" t="b">
        <v>0</v>
      </c>
      <c r="BB216" s="54" t="b">
        <v>0</v>
      </c>
      <c r="BC216" s="54" t="b">
        <v>0</v>
      </c>
      <c r="BD216" s="54" t="b">
        <v>0</v>
      </c>
      <c r="BE216" s="54" t="b">
        <v>0</v>
      </c>
      <c r="BF216" s="54" t="b">
        <v>0</v>
      </c>
      <c r="BG216" s="54" t="b">
        <v>0</v>
      </c>
      <c r="BH216" s="54" t="b">
        <v>0</v>
      </c>
      <c r="BI216" s="54" t="b">
        <v>0</v>
      </c>
      <c r="BJ216" s="54" t="b">
        <v>0</v>
      </c>
      <c r="BK216" s="54" t="b">
        <v>0</v>
      </c>
      <c r="BL216" s="54" t="b">
        <v>0</v>
      </c>
      <c r="BM216" s="54" t="b">
        <v>0</v>
      </c>
      <c r="BN216" s="54" t="b">
        <v>0</v>
      </c>
      <c r="BO216" s="54" t="b">
        <v>0</v>
      </c>
    </row>
    <row r="217" hidden="1" outlineLevel="1">
      <c r="A217" s="47" t="str">
        <f>A216&amp;C217</f>
        <v>NovemberVASANTHAOT HOURS</v>
      </c>
      <c r="B217" s="48"/>
      <c r="C217" s="49" t="s">
        <v>120</v>
      </c>
      <c r="D217" s="33"/>
      <c r="E217" s="70">
        <f>(F217+G217+H217+I217+J217+K217+L217+M217+N217+O217+P217+Q217+R217+S217+T217+U217+V217+W217+X217+Y217+Z217+AA217+AB217+AC217+AD217+AE217+AF217+AG217+AH217+AI217+AJ217+AK217+AL217+AM217+AN217+AO217+AP217+AQ217+AR217+AS217+AT217+AU217+AV217+AW217+AX217+AY217+AZ217+BA217+BB217+BC217+BD217+BE217+BF217+BG217+BH217+BI217+BJ217+BK217+BL217+BM217+BN217+BO217)</f>
        <v>9</v>
      </c>
      <c r="F217" s="59"/>
      <c r="G217" s="33"/>
      <c r="H217" s="59">
        <v>2.0</v>
      </c>
      <c r="I217" s="33"/>
      <c r="J217" s="59">
        <v>7.0</v>
      </c>
      <c r="K217" s="33"/>
      <c r="L217" s="60"/>
      <c r="M217" s="33"/>
      <c r="N217" s="60"/>
      <c r="O217" s="33"/>
      <c r="P217" s="60"/>
      <c r="Q217" s="33"/>
      <c r="R217" s="60"/>
      <c r="S217" s="33"/>
      <c r="T217" s="60"/>
      <c r="U217" s="33"/>
      <c r="V217" s="60"/>
      <c r="W217" s="33"/>
      <c r="X217" s="60"/>
      <c r="Y217" s="33"/>
      <c r="Z217" s="60"/>
      <c r="AA217" s="33"/>
      <c r="AB217" s="60"/>
      <c r="AC217" s="33"/>
      <c r="AD217" s="60"/>
      <c r="AE217" s="33"/>
      <c r="AF217" s="60"/>
      <c r="AG217" s="33"/>
      <c r="AH217" s="60"/>
      <c r="AI217" s="33"/>
      <c r="AJ217" s="60"/>
      <c r="AK217" s="33"/>
      <c r="AL217" s="60"/>
      <c r="AM217" s="33"/>
      <c r="AN217" s="60"/>
      <c r="AO217" s="33"/>
      <c r="AP217" s="60"/>
      <c r="AQ217" s="33"/>
      <c r="AR217" s="60"/>
      <c r="AS217" s="33"/>
      <c r="AT217" s="60"/>
      <c r="AU217" s="33"/>
      <c r="AV217" s="60"/>
      <c r="AW217" s="33"/>
      <c r="AX217" s="60"/>
      <c r="AY217" s="33"/>
      <c r="AZ217" s="60"/>
      <c r="BA217" s="33"/>
      <c r="BB217" s="60"/>
      <c r="BC217" s="33"/>
      <c r="BD217" s="60"/>
      <c r="BE217" s="33"/>
      <c r="BF217" s="60"/>
      <c r="BG217" s="33"/>
      <c r="BH217" s="60"/>
      <c r="BI217" s="33"/>
      <c r="BJ217" s="60"/>
      <c r="BK217" s="33"/>
      <c r="BL217" s="60"/>
      <c r="BM217" s="33"/>
      <c r="BN217" s="60"/>
      <c r="BO217" s="33"/>
    </row>
    <row r="218" hidden="1" outlineLevel="1">
      <c r="A218" s="42" t="str">
        <f>B218&amp;D218</f>
        <v>NovemberGANESH</v>
      </c>
      <c r="B218" s="43" t="s">
        <v>36</v>
      </c>
      <c r="C218" s="43" t="s">
        <v>18</v>
      </c>
      <c r="D218" s="44" t="str">
        <f>IFERROR(VLOOKUP(C218,'Employees List'!$B$2:$C$28,2,0),"")</f>
        <v>GANESH</v>
      </c>
      <c r="E218" s="70">
        <f>(F218+G218+H218+I218+J218+K218+L218+M218+N218+O218+P218+Q218+R218+S218+T218+U218+V218+W218+X218+Y218+Z218+AA218+AB218+AC218+AD218+AE218+AF218+AG218+AH218+AI218+AJ218+AK218+AL218+AM218+AN218+AO218+AP218+AQ218+AR218+AS218+AT218+AU218+AV218+AW218+AX218+AY218+AZ218+BA218+BB218+BC218+BD218+BE218+BF218+BG218+BH218+BI218+BJ218+BK218+BL218+BM218+BN218+BO218)/2</f>
        <v>23</v>
      </c>
      <c r="F218" s="54" t="b">
        <v>0</v>
      </c>
      <c r="G218" s="54" t="b">
        <v>0</v>
      </c>
      <c r="H218" s="54" t="b">
        <v>0</v>
      </c>
      <c r="I218" s="54" t="b">
        <v>0</v>
      </c>
      <c r="J218" s="54" t="b">
        <v>0</v>
      </c>
      <c r="K218" s="54" t="b">
        <v>0</v>
      </c>
      <c r="L218" s="54" t="b">
        <v>0</v>
      </c>
      <c r="M218" s="54" t="b">
        <v>0</v>
      </c>
      <c r="N218" s="54" t="b">
        <v>0</v>
      </c>
      <c r="O218" s="54" t="b">
        <v>0</v>
      </c>
      <c r="P218" s="54" t="b">
        <v>0</v>
      </c>
      <c r="Q218" s="54" t="b">
        <v>0</v>
      </c>
      <c r="R218" s="54" t="b">
        <v>0</v>
      </c>
      <c r="S218" s="54" t="b">
        <v>0</v>
      </c>
      <c r="T218" s="54" t="b">
        <v>1</v>
      </c>
      <c r="U218" s="54" t="b">
        <v>1</v>
      </c>
      <c r="V218" s="54" t="b">
        <v>1</v>
      </c>
      <c r="W218" s="54" t="b">
        <v>1</v>
      </c>
      <c r="X218" s="54" t="b">
        <v>1</v>
      </c>
      <c r="Y218" s="54" t="b">
        <v>1</v>
      </c>
      <c r="Z218" s="54" t="b">
        <v>1</v>
      </c>
      <c r="AA218" s="54" t="b">
        <v>1</v>
      </c>
      <c r="AB218" s="54" t="b">
        <v>1</v>
      </c>
      <c r="AC218" s="54" t="b">
        <v>1</v>
      </c>
      <c r="AD218" s="54" t="b">
        <v>1</v>
      </c>
      <c r="AE218" s="54" t="b">
        <v>1</v>
      </c>
      <c r="AF218" s="54" t="b">
        <v>1</v>
      </c>
      <c r="AG218" s="54" t="b">
        <v>1</v>
      </c>
      <c r="AH218" s="54" t="b">
        <v>1</v>
      </c>
      <c r="AI218" s="54" t="b">
        <v>1</v>
      </c>
      <c r="AJ218" s="54" t="b">
        <v>1</v>
      </c>
      <c r="AK218" s="54" t="b">
        <v>1</v>
      </c>
      <c r="AL218" s="54" t="b">
        <v>1</v>
      </c>
      <c r="AM218" s="54" t="b">
        <v>1</v>
      </c>
      <c r="AN218" s="54" t="b">
        <v>1</v>
      </c>
      <c r="AO218" s="54" t="b">
        <v>1</v>
      </c>
      <c r="AP218" s="54" t="b">
        <v>1</v>
      </c>
      <c r="AQ218" s="54" t="b">
        <v>1</v>
      </c>
      <c r="AR218" s="54" t="b">
        <v>1</v>
      </c>
      <c r="AS218" s="54" t="b">
        <v>1</v>
      </c>
      <c r="AT218" s="54" t="b">
        <v>1</v>
      </c>
      <c r="AU218" s="54" t="b">
        <v>1</v>
      </c>
      <c r="AV218" s="54" t="b">
        <v>1</v>
      </c>
      <c r="AW218" s="54" t="b">
        <v>1</v>
      </c>
      <c r="AX218" s="54" t="b">
        <v>1</v>
      </c>
      <c r="AY218" s="54" t="b">
        <v>1</v>
      </c>
      <c r="AZ218" s="54" t="b">
        <v>1</v>
      </c>
      <c r="BA218" s="54" t="b">
        <v>1</v>
      </c>
      <c r="BB218" s="54" t="b">
        <v>1</v>
      </c>
      <c r="BC218" s="54" t="b">
        <v>1</v>
      </c>
      <c r="BD218" s="54" t="b">
        <v>1</v>
      </c>
      <c r="BE218" s="54" t="b">
        <v>1</v>
      </c>
      <c r="BF218" s="54" t="b">
        <v>1</v>
      </c>
      <c r="BG218" s="54" t="b">
        <v>1</v>
      </c>
      <c r="BH218" s="54" t="b">
        <v>1</v>
      </c>
      <c r="BI218" s="54" t="b">
        <v>1</v>
      </c>
      <c r="BJ218" s="54" t="b">
        <v>1</v>
      </c>
      <c r="BK218" s="54" t="b">
        <v>1</v>
      </c>
      <c r="BL218" s="54" t="b">
        <v>1</v>
      </c>
      <c r="BM218" s="54" t="b">
        <v>1</v>
      </c>
      <c r="BN218" s="54" t="b">
        <v>0</v>
      </c>
      <c r="BO218" s="54" t="b">
        <v>0</v>
      </c>
    </row>
    <row r="219" hidden="1" outlineLevel="1">
      <c r="A219" s="47" t="str">
        <f>A218&amp;C219</f>
        <v>NovemberGANESHOT HOURS</v>
      </c>
      <c r="B219" s="48"/>
      <c r="C219" s="49" t="s">
        <v>120</v>
      </c>
      <c r="D219" s="33"/>
      <c r="E219" s="70">
        <f>(F219+G219+H219+I219+J219+K219+L219+M219+N219+O219+P219+Q219+R219+S219+T219+U219+V219+W219+X219+Y219+Z219+AA219+AB219+AC219+AD219+AE219+AF219+AG219+AH219+AI219+AJ219+AK219+AL219+AM219+AN219+AO219+AP219+AQ219+AR219+AS219+AT219+AU219+AV219+AW219+AX219+AY219+AZ219+BA219+BB219+BC219+BD219+BE219+BF219+BG219+BH219+BI219+BJ219+BK219+BL219+BM219+BN219+BO219)</f>
        <v>1</v>
      </c>
      <c r="F219" s="59"/>
      <c r="G219" s="33"/>
      <c r="H219" s="59"/>
      <c r="I219" s="33"/>
      <c r="J219" s="59"/>
      <c r="K219" s="33"/>
      <c r="L219" s="60"/>
      <c r="M219" s="33"/>
      <c r="N219" s="60"/>
      <c r="O219" s="33"/>
      <c r="P219" s="60"/>
      <c r="Q219" s="33"/>
      <c r="R219" s="60"/>
      <c r="S219" s="33"/>
      <c r="T219" s="59">
        <v>1.0</v>
      </c>
      <c r="U219" s="33"/>
      <c r="V219" s="60"/>
      <c r="W219" s="33"/>
      <c r="X219" s="60"/>
      <c r="Y219" s="33"/>
      <c r="Z219" s="60"/>
      <c r="AA219" s="33"/>
      <c r="AB219" s="60"/>
      <c r="AC219" s="33"/>
      <c r="AD219" s="60"/>
      <c r="AE219" s="33"/>
      <c r="AF219" s="60"/>
      <c r="AG219" s="33"/>
      <c r="AH219" s="60"/>
      <c r="AI219" s="33"/>
      <c r="AJ219" s="60"/>
      <c r="AK219" s="33"/>
      <c r="AL219" s="60"/>
      <c r="AM219" s="33"/>
      <c r="AN219" s="60"/>
      <c r="AO219" s="33"/>
      <c r="AP219" s="60"/>
      <c r="AQ219" s="33"/>
      <c r="AR219" s="60"/>
      <c r="AS219" s="33"/>
      <c r="AT219" s="60"/>
      <c r="AU219" s="33"/>
      <c r="AV219" s="60"/>
      <c r="AW219" s="33"/>
      <c r="AX219" s="60"/>
      <c r="AY219" s="33"/>
      <c r="AZ219" s="60"/>
      <c r="BA219" s="33"/>
      <c r="BB219" s="60"/>
      <c r="BC219" s="33"/>
      <c r="BD219" s="60"/>
      <c r="BE219" s="33"/>
      <c r="BF219" s="60"/>
      <c r="BG219" s="33"/>
      <c r="BH219" s="60"/>
      <c r="BI219" s="33"/>
      <c r="BJ219" s="60"/>
      <c r="BK219" s="33"/>
      <c r="BL219" s="60"/>
      <c r="BM219" s="33"/>
      <c r="BN219" s="60"/>
      <c r="BO219" s="33"/>
    </row>
    <row r="220" hidden="1" outlineLevel="1">
      <c r="A220" s="66" t="str">
        <f>B220&amp;D220</f>
        <v>NovemberADHIKARI BALIA</v>
      </c>
      <c r="B220" s="67" t="s">
        <v>36</v>
      </c>
      <c r="C220" s="77" t="s">
        <v>22</v>
      </c>
      <c r="D220" s="69" t="str">
        <f>IFERROR(VLOOKUP(C220,'Employees List'!$B$2:$C$28,2,0),"")</f>
        <v>ADHIKARI BALIA</v>
      </c>
      <c r="E220" s="70">
        <f>(F220+G220+H220+I220+J220+K220+L220+M220+N220+O220+P220+Q220+R220+S220+T220+U220+V220+W220+X220+Y220+Z220+AA220+AB220+AC220+AD220+AE220+AF220+AG220+AH220+AI220+AJ220+AK220+AL220+AM220+AN220+AO220+AP220+AQ220+AR220+AS220+AT220+AU220+AV220+AW220+AX220+AY220+AZ220+BA220+BB220+BC220+BD220+BE220+BF220+BG220+BH220+BI220+BJ220+BK220+BL220+BM220+BN220+BO220)/2</f>
        <v>28</v>
      </c>
      <c r="F220" s="54" t="b">
        <v>0</v>
      </c>
      <c r="G220" s="54" t="b">
        <v>0</v>
      </c>
      <c r="H220" s="54" t="b">
        <v>1</v>
      </c>
      <c r="I220" s="54" t="b">
        <v>1</v>
      </c>
      <c r="J220" s="54" t="b">
        <v>1</v>
      </c>
      <c r="K220" s="54" t="b">
        <v>1</v>
      </c>
      <c r="L220" s="54" t="b">
        <v>1</v>
      </c>
      <c r="M220" s="54" t="b">
        <v>1</v>
      </c>
      <c r="N220" s="54" t="b">
        <v>1</v>
      </c>
      <c r="O220" s="54" t="b">
        <v>1</v>
      </c>
      <c r="P220" s="54" t="b">
        <v>1</v>
      </c>
      <c r="Q220" s="54" t="b">
        <v>1</v>
      </c>
      <c r="R220" s="54" t="b">
        <v>1</v>
      </c>
      <c r="S220" s="54" t="b">
        <v>1</v>
      </c>
      <c r="T220" s="54" t="b">
        <v>1</v>
      </c>
      <c r="U220" s="54" t="b">
        <v>1</v>
      </c>
      <c r="V220" s="54" t="b">
        <v>1</v>
      </c>
      <c r="W220" s="54" t="b">
        <v>1</v>
      </c>
      <c r="X220" s="54" t="b">
        <v>1</v>
      </c>
      <c r="Y220" s="54" t="b">
        <v>1</v>
      </c>
      <c r="Z220" s="54" t="b">
        <v>1</v>
      </c>
      <c r="AA220" s="54" t="b">
        <v>1</v>
      </c>
      <c r="AB220" s="54" t="b">
        <v>1</v>
      </c>
      <c r="AC220" s="54" t="b">
        <v>1</v>
      </c>
      <c r="AD220" s="54" t="b">
        <v>1</v>
      </c>
      <c r="AE220" s="54" t="b">
        <v>1</v>
      </c>
      <c r="AF220" s="54" t="b">
        <v>1</v>
      </c>
      <c r="AG220" s="54" t="b">
        <v>1</v>
      </c>
      <c r="AH220" s="54" t="b">
        <v>1</v>
      </c>
      <c r="AI220" s="54" t="b">
        <v>1</v>
      </c>
      <c r="AJ220" s="54" t="b">
        <v>1</v>
      </c>
      <c r="AK220" s="54" t="b">
        <v>1</v>
      </c>
      <c r="AL220" s="54" t="b">
        <v>1</v>
      </c>
      <c r="AM220" s="54" t="b">
        <v>1</v>
      </c>
      <c r="AN220" s="54" t="b">
        <v>0</v>
      </c>
      <c r="AO220" s="54" t="b">
        <v>0</v>
      </c>
      <c r="AP220" s="54" t="b">
        <v>1</v>
      </c>
      <c r="AQ220" s="54" t="b">
        <v>1</v>
      </c>
      <c r="AR220" s="54" t="b">
        <v>1</v>
      </c>
      <c r="AS220" s="54" t="b">
        <v>1</v>
      </c>
      <c r="AT220" s="54" t="b">
        <v>1</v>
      </c>
      <c r="AU220" s="54" t="b">
        <v>1</v>
      </c>
      <c r="AV220" s="54" t="b">
        <v>1</v>
      </c>
      <c r="AW220" s="54" t="b">
        <v>1</v>
      </c>
      <c r="AX220" s="54" t="b">
        <v>1</v>
      </c>
      <c r="AY220" s="54" t="b">
        <v>1</v>
      </c>
      <c r="AZ220" s="54" t="b">
        <v>1</v>
      </c>
      <c r="BA220" s="54" t="b">
        <v>1</v>
      </c>
      <c r="BB220" s="54" t="b">
        <v>1</v>
      </c>
      <c r="BC220" s="54" t="b">
        <v>1</v>
      </c>
      <c r="BD220" s="54" t="b">
        <v>1</v>
      </c>
      <c r="BE220" s="54" t="b">
        <v>1</v>
      </c>
      <c r="BF220" s="54" t="b">
        <v>1</v>
      </c>
      <c r="BG220" s="54" t="b">
        <v>1</v>
      </c>
      <c r="BH220" s="54" t="b">
        <v>1</v>
      </c>
      <c r="BI220" s="54" t="b">
        <v>1</v>
      </c>
      <c r="BJ220" s="54" t="b">
        <v>1</v>
      </c>
      <c r="BK220" s="54" t="b">
        <v>1</v>
      </c>
      <c r="BL220" s="54" t="b">
        <v>1</v>
      </c>
      <c r="BM220" s="54" t="b">
        <v>1</v>
      </c>
      <c r="BN220" s="54" t="b">
        <v>0</v>
      </c>
      <c r="BO220" s="54" t="b">
        <v>0</v>
      </c>
    </row>
    <row r="221" hidden="1" outlineLevel="1">
      <c r="A221" s="71" t="str">
        <f>A220&amp;C221</f>
        <v>NovemberADHIKARI BALIAOT HOURS</v>
      </c>
      <c r="B221" s="72"/>
      <c r="C221" s="73" t="s">
        <v>120</v>
      </c>
      <c r="D221" s="33"/>
      <c r="E221" s="70">
        <f>(F221+G221+H221+I221+J221+K221+L221+M221+N221+O221+P221+Q221+R221+S221+T221+U221+V221+W221+X221+Y221+Z221+AA221+AB221+AC221+AD221+AE221+AF221+AG221+AH221+AI221+AJ221+AK221+AL221+AM221+AN221+AO221+AP221+AQ221+AR221+AS221+AT221+AU221+AV221+AW221+AX221+AY221+AZ221+BA221+BB221+BC221+BD221+BE221+BF221+BG221+BH221+BI221+BJ221+BK221+BL221+BM221+BN221+BO221)</f>
        <v>38</v>
      </c>
      <c r="F221" s="59"/>
      <c r="G221" s="33"/>
      <c r="H221" s="59">
        <v>4.0</v>
      </c>
      <c r="I221" s="33"/>
      <c r="J221" s="59">
        <v>7.0</v>
      </c>
      <c r="K221" s="33"/>
      <c r="L221" s="60"/>
      <c r="M221" s="33"/>
      <c r="N221" s="59">
        <v>3.0</v>
      </c>
      <c r="O221" s="33"/>
      <c r="P221" s="59">
        <v>3.0</v>
      </c>
      <c r="Q221" s="33"/>
      <c r="R221" s="60"/>
      <c r="S221" s="33"/>
      <c r="T221" s="59">
        <v>4.0</v>
      </c>
      <c r="U221" s="33"/>
      <c r="V221" s="60"/>
      <c r="W221" s="33"/>
      <c r="X221" s="59">
        <v>3.0</v>
      </c>
      <c r="Y221" s="33"/>
      <c r="Z221" s="60"/>
      <c r="AA221" s="33"/>
      <c r="AB221" s="60"/>
      <c r="AC221" s="33"/>
      <c r="AD221" s="60"/>
      <c r="AE221" s="33"/>
      <c r="AF221" s="60"/>
      <c r="AG221" s="33"/>
      <c r="AH221" s="60"/>
      <c r="AI221" s="33"/>
      <c r="AJ221" s="60"/>
      <c r="AK221" s="33"/>
      <c r="AL221" s="59">
        <v>5.0</v>
      </c>
      <c r="AM221" s="33"/>
      <c r="AN221" s="60"/>
      <c r="AO221" s="33"/>
      <c r="AP221" s="59">
        <v>2.0</v>
      </c>
      <c r="AQ221" s="33"/>
      <c r="AR221" s="60"/>
      <c r="AS221" s="33"/>
      <c r="AT221" s="59">
        <v>3.0</v>
      </c>
      <c r="AU221" s="33"/>
      <c r="AV221" s="60"/>
      <c r="AW221" s="33"/>
      <c r="AX221" s="60"/>
      <c r="AY221" s="33"/>
      <c r="AZ221" s="59">
        <v>4.0</v>
      </c>
      <c r="BA221" s="33"/>
      <c r="BB221" s="60"/>
      <c r="BC221" s="33"/>
      <c r="BD221" s="60"/>
      <c r="BE221" s="33"/>
      <c r="BF221" s="60"/>
      <c r="BG221" s="33"/>
      <c r="BH221" s="60"/>
      <c r="BI221" s="33"/>
      <c r="BJ221" s="60"/>
      <c r="BK221" s="33"/>
      <c r="BL221" s="60"/>
      <c r="BM221" s="33"/>
      <c r="BN221" s="60"/>
      <c r="BO221" s="33"/>
    </row>
    <row r="222" hidden="1" outlineLevel="1">
      <c r="A222" s="66" t="str">
        <f>B222&amp;D222</f>
        <v>NovemberRUPESH</v>
      </c>
      <c r="B222" s="67" t="s">
        <v>36</v>
      </c>
      <c r="C222" s="77" t="s">
        <v>26</v>
      </c>
      <c r="D222" s="69" t="str">
        <f>IFERROR(VLOOKUP(C222,'Employees List'!$B$2:$C$28,2,0),"")</f>
        <v>RUPESH</v>
      </c>
      <c r="E222" s="70">
        <f>(F222+G222+H222+I222+J222+K222+L222+M222+N222+O222+P222+Q222+R222+S222+T222+U222+V222+W222+X222+Y222+Z222+AA222+AB222+AC222+AD222+AE222+AF222+AG222+AH222+AI222+AJ222+AK222+AL222+AM222+AN222+AO222+AP222+AQ222+AR222+AS222+AT222+AU222+AV222+AW222+AX222+AY222+AZ222+BA222+BB222+BC222+BD222+BE222+BF222+BG222+BH222+BI222+BJ222+BK222+BL222+BM222+BN222+BO222)/2</f>
        <v>28</v>
      </c>
      <c r="F222" s="54" t="b">
        <v>0</v>
      </c>
      <c r="G222" s="54" t="b">
        <v>0</v>
      </c>
      <c r="H222" s="54" t="b">
        <v>1</v>
      </c>
      <c r="I222" s="54" t="b">
        <v>1</v>
      </c>
      <c r="J222" s="54" t="b">
        <v>1</v>
      </c>
      <c r="K222" s="54" t="b">
        <v>1</v>
      </c>
      <c r="L222" s="54" t="b">
        <v>1</v>
      </c>
      <c r="M222" s="54" t="b">
        <v>1</v>
      </c>
      <c r="N222" s="54" t="b">
        <v>1</v>
      </c>
      <c r="O222" s="54" t="b">
        <v>1</v>
      </c>
      <c r="P222" s="54" t="b">
        <v>1</v>
      </c>
      <c r="Q222" s="54" t="b">
        <v>1</v>
      </c>
      <c r="R222" s="54" t="b">
        <v>1</v>
      </c>
      <c r="S222" s="54" t="b">
        <v>1</v>
      </c>
      <c r="T222" s="54" t="b">
        <v>1</v>
      </c>
      <c r="U222" s="54" t="b">
        <v>1</v>
      </c>
      <c r="V222" s="54" t="b">
        <v>1</v>
      </c>
      <c r="W222" s="54" t="b">
        <v>1</v>
      </c>
      <c r="X222" s="54" t="b">
        <v>1</v>
      </c>
      <c r="Y222" s="54" t="b">
        <v>1</v>
      </c>
      <c r="Z222" s="54" t="b">
        <v>1</v>
      </c>
      <c r="AA222" s="54" t="b">
        <v>1</v>
      </c>
      <c r="AB222" s="54" t="b">
        <v>1</v>
      </c>
      <c r="AC222" s="54" t="b">
        <v>1</v>
      </c>
      <c r="AD222" s="54" t="b">
        <v>1</v>
      </c>
      <c r="AE222" s="54" t="b">
        <v>1</v>
      </c>
      <c r="AF222" s="54" t="b">
        <v>1</v>
      </c>
      <c r="AG222" s="54" t="b">
        <v>1</v>
      </c>
      <c r="AH222" s="54" t="b">
        <v>1</v>
      </c>
      <c r="AI222" s="54" t="b">
        <v>1</v>
      </c>
      <c r="AJ222" s="54" t="b">
        <v>1</v>
      </c>
      <c r="AK222" s="54" t="b">
        <v>1</v>
      </c>
      <c r="AL222" s="54" t="b">
        <v>1</v>
      </c>
      <c r="AM222" s="54" t="b">
        <v>1</v>
      </c>
      <c r="AN222" s="54" t="b">
        <v>0</v>
      </c>
      <c r="AO222" s="54" t="b">
        <v>0</v>
      </c>
      <c r="AP222" s="54" t="b">
        <v>1</v>
      </c>
      <c r="AQ222" s="54" t="b">
        <v>1</v>
      </c>
      <c r="AR222" s="54" t="b">
        <v>1</v>
      </c>
      <c r="AS222" s="54" t="b">
        <v>1</v>
      </c>
      <c r="AT222" s="54" t="b">
        <v>1</v>
      </c>
      <c r="AU222" s="54" t="b">
        <v>1</v>
      </c>
      <c r="AV222" s="54" t="b">
        <v>1</v>
      </c>
      <c r="AW222" s="54" t="b">
        <v>1</v>
      </c>
      <c r="AX222" s="54" t="b">
        <v>1</v>
      </c>
      <c r="AY222" s="54" t="b">
        <v>1</v>
      </c>
      <c r="AZ222" s="54" t="b">
        <v>1</v>
      </c>
      <c r="BA222" s="54" t="b">
        <v>1</v>
      </c>
      <c r="BB222" s="54" t="b">
        <v>1</v>
      </c>
      <c r="BC222" s="54" t="b">
        <v>1</v>
      </c>
      <c r="BD222" s="54" t="b">
        <v>1</v>
      </c>
      <c r="BE222" s="54" t="b">
        <v>1</v>
      </c>
      <c r="BF222" s="54" t="b">
        <v>1</v>
      </c>
      <c r="BG222" s="54" t="b">
        <v>1</v>
      </c>
      <c r="BH222" s="54" t="b">
        <v>1</v>
      </c>
      <c r="BI222" s="54" t="b">
        <v>1</v>
      </c>
      <c r="BJ222" s="54" t="b">
        <v>1</v>
      </c>
      <c r="BK222" s="54" t="b">
        <v>1</v>
      </c>
      <c r="BL222" s="54" t="b">
        <v>1</v>
      </c>
      <c r="BM222" s="54" t="b">
        <v>1</v>
      </c>
      <c r="BN222" s="54" t="b">
        <v>0</v>
      </c>
      <c r="BO222" s="54" t="b">
        <v>0</v>
      </c>
    </row>
    <row r="223" hidden="1" outlineLevel="1">
      <c r="A223" s="71" t="str">
        <f>A222&amp;C223</f>
        <v>NovemberRUPESHOT HOURS</v>
      </c>
      <c r="B223" s="72"/>
      <c r="C223" s="73" t="s">
        <v>120</v>
      </c>
      <c r="D223" s="33"/>
      <c r="E223" s="70">
        <f>(F223+G223+H223+I223+J223+K223+L223+M223+N223+O223+P223+Q223+R223+S223+T223+U223+V223+W223+X223+Y223+Z223+AA223+AB223+AC223+AD223+AE223+AF223+AG223+AH223+AI223+AJ223+AK223+AL223+AM223+AN223+AO223+AP223+AQ223+AR223+AS223+AT223+AU223+AV223+AW223+AX223+AY223+AZ223+BA223+BB223+BC223+BD223+BE223+BF223+BG223+BH223+BI223+BJ223+BK223+BL223+BM223+BN223+BO223)</f>
        <v>36</v>
      </c>
      <c r="F223" s="59"/>
      <c r="G223" s="33"/>
      <c r="H223" s="59">
        <v>3.0</v>
      </c>
      <c r="I223" s="33"/>
      <c r="J223" s="59">
        <v>7.0</v>
      </c>
      <c r="K223" s="33"/>
      <c r="L223" s="60"/>
      <c r="M223" s="33"/>
      <c r="N223" s="59">
        <v>3.0</v>
      </c>
      <c r="O223" s="33"/>
      <c r="P223" s="59">
        <v>3.0</v>
      </c>
      <c r="Q223" s="33"/>
      <c r="R223" s="59">
        <v>1.0</v>
      </c>
      <c r="S223" s="33"/>
      <c r="T223" s="59"/>
      <c r="U223" s="33"/>
      <c r="V223" s="60"/>
      <c r="W223" s="33"/>
      <c r="X223" s="59">
        <v>3.0</v>
      </c>
      <c r="Y223" s="33"/>
      <c r="Z223" s="59">
        <v>1.0</v>
      </c>
      <c r="AA223" s="33"/>
      <c r="AB223" s="60"/>
      <c r="AC223" s="33"/>
      <c r="AD223" s="60"/>
      <c r="AE223" s="33"/>
      <c r="AF223" s="60"/>
      <c r="AG223" s="33"/>
      <c r="AH223" s="60"/>
      <c r="AI223" s="33"/>
      <c r="AJ223" s="60"/>
      <c r="AK223" s="33"/>
      <c r="AL223" s="59">
        <v>5.0</v>
      </c>
      <c r="AM223" s="33"/>
      <c r="AN223" s="60"/>
      <c r="AO223" s="33"/>
      <c r="AP223" s="59">
        <v>2.0</v>
      </c>
      <c r="AQ223" s="33"/>
      <c r="AR223" s="60"/>
      <c r="AS223" s="33"/>
      <c r="AT223" s="60"/>
      <c r="AU223" s="33"/>
      <c r="AV223" s="60"/>
      <c r="AW223" s="33"/>
      <c r="AX223" s="60"/>
      <c r="AY223" s="33"/>
      <c r="AZ223" s="59">
        <v>4.0</v>
      </c>
      <c r="BA223" s="33"/>
      <c r="BB223" s="60"/>
      <c r="BC223" s="33"/>
      <c r="BD223" s="60"/>
      <c r="BE223" s="33"/>
      <c r="BF223" s="60"/>
      <c r="BG223" s="33"/>
      <c r="BH223" s="59">
        <v>2.0</v>
      </c>
      <c r="BI223" s="33"/>
      <c r="BJ223" s="60"/>
      <c r="BK223" s="33"/>
      <c r="BL223" s="59">
        <v>2.0</v>
      </c>
      <c r="BM223" s="33"/>
      <c r="BN223" s="60"/>
      <c r="BO223" s="33"/>
    </row>
    <row r="224" hidden="1" outlineLevel="1">
      <c r="A224" s="66" t="str">
        <f>B224&amp;D224</f>
        <v>NovemberSANJAI BHAGAT</v>
      </c>
      <c r="B224" s="67" t="s">
        <v>36</v>
      </c>
      <c r="C224" s="77" t="s">
        <v>30</v>
      </c>
      <c r="D224" s="69" t="str">
        <f>IFERROR(VLOOKUP(C224,'Employees List'!$B$2:$C$28,2,0),"")</f>
        <v>SANJAI BHAGAT</v>
      </c>
      <c r="E224" s="70">
        <f>(F224+G224+H224+I224+J224+K224+L224+M224+N224+O224+P224+Q224+R224+S224+T224+U224+V224+W224+X224+Y224+Z224+AA224+AB224+AC224+AD224+AE224+AF224+AG224+AH224+AI224+AJ224+AK224+AL224+AM224+AN224+AO224+AP224+AQ224+AR224+AS224+AT224+AU224+AV224+AW224+AX224+AY224+AZ224+BA224+BB224+BC224+BD224+BE224+BF224+BG224+BH224+BI224+BJ224+BK224+BL224+BM224+BN224+BO224)/2</f>
        <v>29</v>
      </c>
      <c r="F224" s="54" t="b">
        <v>1</v>
      </c>
      <c r="G224" s="54" t="b">
        <v>1</v>
      </c>
      <c r="H224" s="54" t="b">
        <v>1</v>
      </c>
      <c r="I224" s="54" t="b">
        <v>1</v>
      </c>
      <c r="J224" s="54" t="b">
        <v>1</v>
      </c>
      <c r="K224" s="54" t="b">
        <v>1</v>
      </c>
      <c r="L224" s="54" t="b">
        <v>1</v>
      </c>
      <c r="M224" s="54" t="b">
        <v>1</v>
      </c>
      <c r="N224" s="54" t="b">
        <v>1</v>
      </c>
      <c r="O224" s="54" t="b">
        <v>1</v>
      </c>
      <c r="P224" s="54" t="b">
        <v>1</v>
      </c>
      <c r="Q224" s="54" t="b">
        <v>1</v>
      </c>
      <c r="R224" s="54" t="b">
        <v>1</v>
      </c>
      <c r="S224" s="54" t="b">
        <v>1</v>
      </c>
      <c r="T224" s="54" t="b">
        <v>1</v>
      </c>
      <c r="U224" s="54" t="b">
        <v>1</v>
      </c>
      <c r="V224" s="54" t="b">
        <v>1</v>
      </c>
      <c r="W224" s="54" t="b">
        <v>1</v>
      </c>
      <c r="X224" s="54" t="b">
        <v>1</v>
      </c>
      <c r="Y224" s="54" t="b">
        <v>1</v>
      </c>
      <c r="Z224" s="54" t="b">
        <v>1</v>
      </c>
      <c r="AA224" s="54" t="b">
        <v>1</v>
      </c>
      <c r="AB224" s="54" t="b">
        <v>1</v>
      </c>
      <c r="AC224" s="54" t="b">
        <v>1</v>
      </c>
      <c r="AD224" s="54" t="b">
        <v>1</v>
      </c>
      <c r="AE224" s="54" t="b">
        <v>1</v>
      </c>
      <c r="AF224" s="54" t="b">
        <v>1</v>
      </c>
      <c r="AG224" s="54" t="b">
        <v>1</v>
      </c>
      <c r="AH224" s="54" t="b">
        <v>1</v>
      </c>
      <c r="AI224" s="54" t="b">
        <v>1</v>
      </c>
      <c r="AJ224" s="54" t="b">
        <v>1</v>
      </c>
      <c r="AK224" s="54" t="b">
        <v>1</v>
      </c>
      <c r="AL224" s="54" t="b">
        <v>1</v>
      </c>
      <c r="AM224" s="54" t="b">
        <v>1</v>
      </c>
      <c r="AN224" s="54" t="b">
        <v>0</v>
      </c>
      <c r="AO224" s="54" t="b">
        <v>0</v>
      </c>
      <c r="AP224" s="54" t="b">
        <v>1</v>
      </c>
      <c r="AQ224" s="54" t="b">
        <v>1</v>
      </c>
      <c r="AR224" s="54" t="b">
        <v>1</v>
      </c>
      <c r="AS224" s="54" t="b">
        <v>1</v>
      </c>
      <c r="AT224" s="54" t="b">
        <v>1</v>
      </c>
      <c r="AU224" s="54" t="b">
        <v>1</v>
      </c>
      <c r="AV224" s="54" t="b">
        <v>1</v>
      </c>
      <c r="AW224" s="54" t="b">
        <v>1</v>
      </c>
      <c r="AX224" s="54" t="b">
        <v>1</v>
      </c>
      <c r="AY224" s="54" t="b">
        <v>1</v>
      </c>
      <c r="AZ224" s="54" t="b">
        <v>1</v>
      </c>
      <c r="BA224" s="54" t="b">
        <v>1</v>
      </c>
      <c r="BB224" s="54" t="b">
        <v>1</v>
      </c>
      <c r="BC224" s="54" t="b">
        <v>1</v>
      </c>
      <c r="BD224" s="54" t="b">
        <v>1</v>
      </c>
      <c r="BE224" s="54" t="b">
        <v>1</v>
      </c>
      <c r="BF224" s="54" t="b">
        <v>1</v>
      </c>
      <c r="BG224" s="54" t="b">
        <v>1</v>
      </c>
      <c r="BH224" s="54" t="b">
        <v>1</v>
      </c>
      <c r="BI224" s="54" t="b">
        <v>1</v>
      </c>
      <c r="BJ224" s="54" t="b">
        <v>1</v>
      </c>
      <c r="BK224" s="54" t="b">
        <v>1</v>
      </c>
      <c r="BL224" s="54" t="b">
        <v>1</v>
      </c>
      <c r="BM224" s="54" t="b">
        <v>1</v>
      </c>
      <c r="BN224" s="54" t="b">
        <v>0</v>
      </c>
      <c r="BO224" s="54" t="b">
        <v>0</v>
      </c>
    </row>
    <row r="225" hidden="1" outlineLevel="1">
      <c r="A225" s="71" t="str">
        <f>A224&amp;C225</f>
        <v>NovemberSANJAI BHAGATOT HOURS</v>
      </c>
      <c r="B225" s="72"/>
      <c r="C225" s="73" t="s">
        <v>120</v>
      </c>
      <c r="D225" s="33"/>
      <c r="E225" s="70">
        <f>(F225+G225+H225+I225+J225+K225+L225+M225+N225+O225+P225+Q225+R225+S225+T225+U225+V225+W225+X225+Y225+Z225+AA225+AB225+AC225+AD225+AE225+AF225+AG225+AH225+AI225+AJ225+AK225+AL225+AM225+AN225+AO225+AP225+AQ225+AR225+AS225+AT225+AU225+AV225+AW225+AX225+AY225+AZ225+BA225+BB225+BC225+BD225+BE225+BF225+BG225+BH225+BI225+BJ225+BK225+BL225+BM225+BN225+BO225)</f>
        <v>49</v>
      </c>
      <c r="F225" s="59"/>
      <c r="G225" s="33"/>
      <c r="H225" s="59">
        <v>4.0</v>
      </c>
      <c r="I225" s="33"/>
      <c r="J225" s="59">
        <v>9.0</v>
      </c>
      <c r="K225" s="33"/>
      <c r="L225" s="60"/>
      <c r="M225" s="33"/>
      <c r="N225" s="59">
        <v>3.0</v>
      </c>
      <c r="O225" s="33"/>
      <c r="P225" s="59">
        <v>3.0</v>
      </c>
      <c r="Q225" s="33"/>
      <c r="R225" s="59">
        <v>1.0</v>
      </c>
      <c r="S225" s="33"/>
      <c r="T225" s="59">
        <v>4.0</v>
      </c>
      <c r="U225" s="33"/>
      <c r="V225" s="59">
        <v>3.0</v>
      </c>
      <c r="W225" s="33"/>
      <c r="X225" s="59">
        <v>5.0</v>
      </c>
      <c r="Y225" s="33"/>
      <c r="Z225" s="60"/>
      <c r="AA225" s="33"/>
      <c r="AB225" s="60"/>
      <c r="AC225" s="33"/>
      <c r="AD225" s="60"/>
      <c r="AE225" s="33"/>
      <c r="AF225" s="60"/>
      <c r="AG225" s="33"/>
      <c r="AH225" s="60"/>
      <c r="AI225" s="33"/>
      <c r="AJ225" s="60"/>
      <c r="AK225" s="33"/>
      <c r="AL225" s="59">
        <v>5.0</v>
      </c>
      <c r="AM225" s="33"/>
      <c r="AN225" s="60"/>
      <c r="AO225" s="33"/>
      <c r="AP225" s="59">
        <v>2.0</v>
      </c>
      <c r="AQ225" s="33"/>
      <c r="AR225" s="60"/>
      <c r="AS225" s="33"/>
      <c r="AT225" s="59">
        <v>3.0</v>
      </c>
      <c r="AU225" s="33"/>
      <c r="AV225" s="60"/>
      <c r="AW225" s="33"/>
      <c r="AX225" s="60"/>
      <c r="AY225" s="33"/>
      <c r="AZ225" s="59">
        <v>6.0</v>
      </c>
      <c r="BA225" s="33"/>
      <c r="BB225" s="60"/>
      <c r="BC225" s="33"/>
      <c r="BD225" s="60"/>
      <c r="BE225" s="33"/>
      <c r="BF225" s="59">
        <v>1.0</v>
      </c>
      <c r="BG225" s="33"/>
      <c r="BH225" s="60"/>
      <c r="BI225" s="33"/>
      <c r="BJ225" s="60"/>
      <c r="BK225" s="33"/>
      <c r="BL225" s="60"/>
      <c r="BM225" s="33"/>
      <c r="BN225" s="60"/>
      <c r="BO225" s="33"/>
    </row>
    <row r="226" hidden="1" outlineLevel="1">
      <c r="A226" s="66" t="str">
        <f>B226&amp;D226</f>
        <v>NovemberJAGABANDH</v>
      </c>
      <c r="B226" s="67" t="s">
        <v>36</v>
      </c>
      <c r="C226" s="68" t="s">
        <v>80</v>
      </c>
      <c r="D226" s="69" t="str">
        <f>IFERROR(VLOOKUP(C226,'Employees List'!$B$2:$C$28,2,0),"")</f>
        <v>JAGABANDH</v>
      </c>
      <c r="E226" s="70">
        <f>(F226+G226+H226+I226+J226+K226+L226+M226+N226+O226+P226+Q226+R226+S226+T226+U226+V226+W226+X226+Y226+Z226+AA226+AB226+AC226+AD226+AE226+AF226+AG226+AH226+AI226+AJ226+AK226+AL226+AM226+AN226+AO226+AP226+AQ226+AR226+AS226+AT226+AU226+AV226+AW226+AX226+AY226+AZ226+BA226+BB226+BC226+BD226+BE226+BF226+BG226+BH226+BI226+BJ226+BK226+BL226+BM226+BN226+BO226)/2</f>
        <v>0</v>
      </c>
      <c r="F226" s="54" t="b">
        <v>0</v>
      </c>
      <c r="G226" s="54" t="b">
        <v>0</v>
      </c>
      <c r="H226" s="54" t="b">
        <v>0</v>
      </c>
      <c r="I226" s="54" t="b">
        <v>0</v>
      </c>
      <c r="J226" s="54" t="b">
        <v>0</v>
      </c>
      <c r="K226" s="54" t="b">
        <v>0</v>
      </c>
      <c r="L226" s="54" t="b">
        <v>0</v>
      </c>
      <c r="M226" s="54" t="b">
        <v>0</v>
      </c>
      <c r="N226" s="54" t="b">
        <v>0</v>
      </c>
      <c r="O226" s="54" t="b">
        <v>0</v>
      </c>
      <c r="P226" s="54" t="b">
        <v>0</v>
      </c>
      <c r="Q226" s="54" t="b">
        <v>0</v>
      </c>
      <c r="R226" s="54" t="b">
        <v>0</v>
      </c>
      <c r="S226" s="54" t="b">
        <v>0</v>
      </c>
      <c r="T226" s="54" t="b">
        <v>0</v>
      </c>
      <c r="U226" s="54" t="b">
        <v>0</v>
      </c>
      <c r="V226" s="54" t="b">
        <v>0</v>
      </c>
      <c r="W226" s="54" t="b">
        <v>0</v>
      </c>
      <c r="X226" s="54" t="b">
        <v>0</v>
      </c>
      <c r="Y226" s="54" t="b">
        <v>0</v>
      </c>
      <c r="Z226" s="54" t="b">
        <v>0</v>
      </c>
      <c r="AA226" s="54" t="b">
        <v>0</v>
      </c>
      <c r="AB226" s="54" t="b">
        <v>0</v>
      </c>
      <c r="AC226" s="54" t="b">
        <v>0</v>
      </c>
      <c r="AD226" s="54" t="b">
        <v>0</v>
      </c>
      <c r="AE226" s="54" t="b">
        <v>0</v>
      </c>
      <c r="AF226" s="54" t="b">
        <v>0</v>
      </c>
      <c r="AG226" s="54" t="b">
        <v>0</v>
      </c>
      <c r="AH226" s="54" t="b">
        <v>0</v>
      </c>
      <c r="AI226" s="54" t="b">
        <v>0</v>
      </c>
      <c r="AJ226" s="54" t="b">
        <v>0</v>
      </c>
      <c r="AK226" s="54" t="b">
        <v>0</v>
      </c>
      <c r="AL226" s="54" t="b">
        <v>0</v>
      </c>
      <c r="AM226" s="54" t="b">
        <v>0</v>
      </c>
      <c r="AN226" s="54" t="b">
        <v>0</v>
      </c>
      <c r="AO226" s="54" t="b">
        <v>0</v>
      </c>
      <c r="AP226" s="54" t="b">
        <v>0</v>
      </c>
      <c r="AQ226" s="54" t="b">
        <v>0</v>
      </c>
      <c r="AR226" s="54" t="b">
        <v>0</v>
      </c>
      <c r="AS226" s="54" t="b">
        <v>0</v>
      </c>
      <c r="AT226" s="54" t="b">
        <v>0</v>
      </c>
      <c r="AU226" s="54" t="b">
        <v>0</v>
      </c>
      <c r="AV226" s="54" t="b">
        <v>0</v>
      </c>
      <c r="AW226" s="54" t="b">
        <v>0</v>
      </c>
      <c r="AX226" s="54" t="b">
        <v>0</v>
      </c>
      <c r="AY226" s="54" t="b">
        <v>0</v>
      </c>
      <c r="AZ226" s="54" t="b">
        <v>0</v>
      </c>
      <c r="BA226" s="54" t="b">
        <v>0</v>
      </c>
      <c r="BB226" s="54" t="b">
        <v>0</v>
      </c>
      <c r="BC226" s="54" t="b">
        <v>0</v>
      </c>
      <c r="BD226" s="54" t="b">
        <v>0</v>
      </c>
      <c r="BE226" s="54" t="b">
        <v>0</v>
      </c>
      <c r="BF226" s="54" t="b">
        <v>0</v>
      </c>
      <c r="BG226" s="54" t="b">
        <v>0</v>
      </c>
      <c r="BH226" s="54" t="b">
        <v>0</v>
      </c>
      <c r="BI226" s="54" t="b">
        <v>0</v>
      </c>
      <c r="BJ226" s="54" t="b">
        <v>0</v>
      </c>
      <c r="BK226" s="54" t="b">
        <v>0</v>
      </c>
      <c r="BL226" s="54" t="b">
        <v>0</v>
      </c>
      <c r="BM226" s="54" t="b">
        <v>0</v>
      </c>
      <c r="BN226" s="54" t="b">
        <v>0</v>
      </c>
      <c r="BO226" s="54" t="b">
        <v>0</v>
      </c>
    </row>
    <row r="227" hidden="1" outlineLevel="1">
      <c r="A227" s="71" t="str">
        <f>A226&amp;C227</f>
        <v>NovemberJAGABANDHOT HOURS</v>
      </c>
      <c r="B227" s="72"/>
      <c r="C227" s="73" t="s">
        <v>120</v>
      </c>
      <c r="D227" s="33"/>
      <c r="E227" s="70">
        <f>(F227+G227+H227+I227+J227+K227+L227+M227+N227+O227+P227+Q227+R227+S227+T227+U227+V227+W227+X227+Y227+Z227+AA227+AB227+AC227+AD227+AE227+AF227+AG227+AH227+AI227+AJ227+AK227+AL227+AM227+AN227+AO227+AP227+AQ227+AR227+AS227+AT227+AU227+AV227+AW227+AX227+AY227+AZ227+BA227+BB227+BC227+BD227+BE227+BF227+BG227+BH227+BI227+BJ227+BK227+BL227+BM227+BN227+BO227)</f>
        <v>0</v>
      </c>
      <c r="F227" s="59"/>
      <c r="G227" s="33"/>
      <c r="H227" s="59"/>
      <c r="I227" s="33"/>
      <c r="J227" s="59"/>
      <c r="K227" s="33"/>
      <c r="L227" s="60"/>
      <c r="M227" s="33"/>
      <c r="N227" s="60"/>
      <c r="O227" s="33"/>
      <c r="P227" s="60"/>
      <c r="Q227" s="33"/>
      <c r="R227" s="60"/>
      <c r="S227" s="33"/>
      <c r="T227" s="60"/>
      <c r="U227" s="33"/>
      <c r="V227" s="60"/>
      <c r="W227" s="33"/>
      <c r="X227" s="60"/>
      <c r="Y227" s="33"/>
      <c r="Z227" s="60"/>
      <c r="AA227" s="33"/>
      <c r="AB227" s="60"/>
      <c r="AC227" s="33"/>
      <c r="AD227" s="60"/>
      <c r="AE227" s="33"/>
      <c r="AF227" s="60"/>
      <c r="AG227" s="33"/>
      <c r="AH227" s="60"/>
      <c r="AI227" s="33"/>
      <c r="AJ227" s="60"/>
      <c r="AK227" s="33"/>
      <c r="AL227" s="60"/>
      <c r="AM227" s="33"/>
      <c r="AN227" s="60"/>
      <c r="AO227" s="33"/>
      <c r="AP227" s="60"/>
      <c r="AQ227" s="33"/>
      <c r="AR227" s="60"/>
      <c r="AS227" s="33"/>
      <c r="AT227" s="60"/>
      <c r="AU227" s="33"/>
      <c r="AV227" s="60"/>
      <c r="AW227" s="33"/>
      <c r="AX227" s="60"/>
      <c r="AY227" s="33"/>
      <c r="AZ227" s="60"/>
      <c r="BA227" s="33"/>
      <c r="BB227" s="60"/>
      <c r="BC227" s="33"/>
      <c r="BD227" s="60"/>
      <c r="BE227" s="33"/>
      <c r="BF227" s="60"/>
      <c r="BG227" s="33"/>
      <c r="BH227" s="60"/>
      <c r="BI227" s="33"/>
      <c r="BJ227" s="60"/>
      <c r="BK227" s="33"/>
      <c r="BL227" s="60"/>
      <c r="BM227" s="33"/>
      <c r="BN227" s="60"/>
      <c r="BO227" s="33"/>
    </row>
    <row r="228" hidden="1" outlineLevel="1">
      <c r="A228" s="66" t="str">
        <f>B228&amp;D228</f>
        <v>NovemberLIPAN</v>
      </c>
      <c r="B228" s="67" t="s">
        <v>36</v>
      </c>
      <c r="C228" s="77" t="s">
        <v>83</v>
      </c>
      <c r="D228" s="69" t="str">
        <f>IFERROR(VLOOKUP(C228,'Employees List'!$B$2:$C$28,2,0),"")</f>
        <v>LIPAN</v>
      </c>
      <c r="E228" s="70">
        <f>(F228+G228+H228+I228+J228+K228+L228+M228+N228+O228+P228+Q228+R228+S228+T228+U228+V228+W228+X228+Y228+Z228+AA228+AB228+AC228+AD228+AE228+AF228+AG228+AH228+AI228+AJ228+AK228+AL228+AM228+AN228+AO228+AP228+AQ228+AR228+AS228+AT228+AU228+AV228+AW228+AX228+AY228+AZ228+BA228+BB228+BC228+BD228+BE228+BF228+BG228+BH228+BI228+BJ228+BK228+BL228+BM228+BN228+BO228)/2</f>
        <v>28.5</v>
      </c>
      <c r="F228" s="54" t="b">
        <v>1</v>
      </c>
      <c r="G228" s="54" t="b">
        <v>1</v>
      </c>
      <c r="H228" s="54" t="b">
        <v>1</v>
      </c>
      <c r="I228" s="54" t="b">
        <v>1</v>
      </c>
      <c r="J228" s="54" t="b">
        <v>1</v>
      </c>
      <c r="K228" s="54" t="b">
        <v>1</v>
      </c>
      <c r="L228" s="54" t="b">
        <v>1</v>
      </c>
      <c r="M228" s="54" t="b">
        <v>1</v>
      </c>
      <c r="N228" s="54" t="b">
        <v>1</v>
      </c>
      <c r="O228" s="54" t="b">
        <v>1</v>
      </c>
      <c r="P228" s="54" t="b">
        <v>1</v>
      </c>
      <c r="Q228" s="54" t="b">
        <v>1</v>
      </c>
      <c r="R228" s="54" t="b">
        <v>1</v>
      </c>
      <c r="S228" s="54" t="b">
        <v>1</v>
      </c>
      <c r="T228" s="54" t="b">
        <v>1</v>
      </c>
      <c r="U228" s="54" t="b">
        <v>1</v>
      </c>
      <c r="V228" s="54" t="b">
        <v>1</v>
      </c>
      <c r="W228" s="54" t="b">
        <v>1</v>
      </c>
      <c r="X228" s="54" t="b">
        <v>1</v>
      </c>
      <c r="Y228" s="54" t="b">
        <v>1</v>
      </c>
      <c r="Z228" s="54" t="b">
        <v>1</v>
      </c>
      <c r="AA228" s="54" t="b">
        <v>1</v>
      </c>
      <c r="AB228" s="54" t="b">
        <v>1</v>
      </c>
      <c r="AC228" s="54" t="b">
        <v>1</v>
      </c>
      <c r="AD228" s="54" t="b">
        <v>1</v>
      </c>
      <c r="AE228" s="54" t="b">
        <v>1</v>
      </c>
      <c r="AF228" s="54" t="b">
        <v>1</v>
      </c>
      <c r="AG228" s="54" t="b">
        <v>1</v>
      </c>
      <c r="AH228" s="54" t="b">
        <v>1</v>
      </c>
      <c r="AI228" s="54" t="b">
        <v>1</v>
      </c>
      <c r="AJ228" s="54" t="b">
        <v>1</v>
      </c>
      <c r="AK228" s="54" t="b">
        <v>1</v>
      </c>
      <c r="AL228" s="54" t="b">
        <v>1</v>
      </c>
      <c r="AM228" s="54" t="b">
        <v>1</v>
      </c>
      <c r="AN228" s="54" t="b">
        <v>1</v>
      </c>
      <c r="AO228" s="54" t="b">
        <v>1</v>
      </c>
      <c r="AP228" s="54" t="b">
        <v>1</v>
      </c>
      <c r="AQ228" s="54" t="b">
        <v>1</v>
      </c>
      <c r="AR228" s="54" t="b">
        <v>1</v>
      </c>
      <c r="AS228" s="54" t="b">
        <v>0</v>
      </c>
      <c r="AT228" s="54" t="b">
        <v>0</v>
      </c>
      <c r="AU228" s="54" t="b">
        <v>0</v>
      </c>
      <c r="AV228" s="54" t="b">
        <v>1</v>
      </c>
      <c r="AW228" s="54" t="b">
        <v>1</v>
      </c>
      <c r="AX228" s="54" t="b">
        <v>1</v>
      </c>
      <c r="AY228" s="54" t="b">
        <v>1</v>
      </c>
      <c r="AZ228" s="54" t="b">
        <v>1</v>
      </c>
      <c r="BA228" s="54" t="b">
        <v>1</v>
      </c>
      <c r="BB228" s="54" t="b">
        <v>1</v>
      </c>
      <c r="BC228" s="54" t="b">
        <v>1</v>
      </c>
      <c r="BD228" s="54" t="b">
        <v>1</v>
      </c>
      <c r="BE228" s="54" t="b">
        <v>1</v>
      </c>
      <c r="BF228" s="54" t="b">
        <v>1</v>
      </c>
      <c r="BG228" s="54" t="b">
        <v>1</v>
      </c>
      <c r="BH228" s="54" t="b">
        <v>1</v>
      </c>
      <c r="BI228" s="54" t="b">
        <v>1</v>
      </c>
      <c r="BJ228" s="54" t="b">
        <v>1</v>
      </c>
      <c r="BK228" s="54" t="b">
        <v>1</v>
      </c>
      <c r="BL228" s="54" t="b">
        <v>1</v>
      </c>
      <c r="BM228" s="54" t="b">
        <v>1</v>
      </c>
      <c r="BN228" s="54" t="b">
        <v>0</v>
      </c>
      <c r="BO228" s="54" t="b">
        <v>0</v>
      </c>
    </row>
    <row r="229" hidden="1" outlineLevel="1">
      <c r="A229" s="71" t="str">
        <f>A228&amp;C229</f>
        <v>NovemberLIPANOT HOURS</v>
      </c>
      <c r="B229" s="72"/>
      <c r="C229" s="73" t="s">
        <v>120</v>
      </c>
      <c r="D229" s="33"/>
      <c r="E229" s="70">
        <f>(F229+G229+H229+I229+J229+K229+L229+M229+N229+O229+P229+Q229+R229+S229+T229+U229+V229+W229+X229+Y229+Z229+AA229+AB229+AC229+AD229+AE229+AF229+AG229+AH229+AI229+AJ229+AK229+AL229+AM229+AN229+AO229+AP229+AQ229+AR229+AS229+AT229+AU229+AV229+AW229+AX229+AY229+AZ229+BA229+BB229+BC229+BD229+BE229+BF229+BG229+BH229+BI229+BJ229+BK229+BL229+BM229+BN229+BO229)</f>
        <v>59</v>
      </c>
      <c r="F229" s="59">
        <v>2.0</v>
      </c>
      <c r="G229" s="33"/>
      <c r="H229" s="59">
        <v>5.0</v>
      </c>
      <c r="I229" s="33"/>
      <c r="J229" s="59">
        <v>7.0</v>
      </c>
      <c r="K229" s="33"/>
      <c r="L229" s="59">
        <v>3.0</v>
      </c>
      <c r="M229" s="33"/>
      <c r="N229" s="59">
        <v>3.0</v>
      </c>
      <c r="O229" s="33"/>
      <c r="P229" s="59">
        <v>3.0</v>
      </c>
      <c r="Q229" s="33"/>
      <c r="R229" s="60"/>
      <c r="S229" s="33"/>
      <c r="T229" s="59">
        <v>1.0</v>
      </c>
      <c r="U229" s="33"/>
      <c r="V229" s="59">
        <v>3.0</v>
      </c>
      <c r="W229" s="33"/>
      <c r="X229" s="59">
        <v>3.0</v>
      </c>
      <c r="Y229" s="33"/>
      <c r="Z229" s="60"/>
      <c r="AA229" s="33"/>
      <c r="AB229" s="60"/>
      <c r="AC229" s="33"/>
      <c r="AD229" s="60"/>
      <c r="AE229" s="33"/>
      <c r="AF229" s="59">
        <v>3.0</v>
      </c>
      <c r="AG229" s="33"/>
      <c r="AH229" s="59">
        <v>2.0</v>
      </c>
      <c r="AI229" s="33"/>
      <c r="AJ229" s="60"/>
      <c r="AK229" s="33"/>
      <c r="AL229" s="59">
        <v>7.0</v>
      </c>
      <c r="AM229" s="33"/>
      <c r="AN229" s="59">
        <v>3.0</v>
      </c>
      <c r="AO229" s="33"/>
      <c r="AP229" s="59">
        <v>2.0</v>
      </c>
      <c r="AQ229" s="33"/>
      <c r="AR229" s="60"/>
      <c r="AS229" s="33"/>
      <c r="AT229" s="60"/>
      <c r="AU229" s="33"/>
      <c r="AV229" s="60"/>
      <c r="AW229" s="33"/>
      <c r="AX229" s="59">
        <v>2.0</v>
      </c>
      <c r="AY229" s="33"/>
      <c r="AZ229" s="59">
        <v>4.0</v>
      </c>
      <c r="BA229" s="33"/>
      <c r="BB229" s="59">
        <v>4.0</v>
      </c>
      <c r="BC229" s="33"/>
      <c r="BD229" s="60"/>
      <c r="BE229" s="33"/>
      <c r="BF229" s="60"/>
      <c r="BG229" s="33"/>
      <c r="BH229" s="60"/>
      <c r="BI229" s="33"/>
      <c r="BJ229" s="60"/>
      <c r="BK229" s="33"/>
      <c r="BL229" s="59">
        <v>2.0</v>
      </c>
      <c r="BM229" s="33"/>
      <c r="BN229" s="60"/>
      <c r="BO229" s="33"/>
    </row>
    <row r="230" hidden="1" outlineLevel="1">
      <c r="A230" s="66" t="str">
        <f>B230&amp;D230</f>
        <v>NovemberMathi</v>
      </c>
      <c r="B230" s="67" t="s">
        <v>36</v>
      </c>
      <c r="C230" s="68" t="s">
        <v>70</v>
      </c>
      <c r="D230" s="69" t="str">
        <f>IFERROR(VLOOKUP(C230,'Employees List'!$B$2:$C$28,2,0),"")</f>
        <v>Mathi</v>
      </c>
      <c r="E230" s="70">
        <f>(F230+G230+H230+I230+J230+K230+L230+M230+N230+O230+P230+Q230+R230+S230+T230+U230+V230+W230+X230+Y230+Z230+AA230+AB230+AC230+AD230+AE230+AF230+AG230+AH230+AI230+AJ230+AK230+AL230+AM230+AN230+AO230+AP230+AQ230+AR230+AS230+AT230+AU230+AV230+AW230+AX230+AY230+AZ230+BA230+BB230+BC230+BD230+BE230+BF230+BG230+BH230+BI230+BJ230+BK230+BL230+BM230+BN230+BO230)/2</f>
        <v>28</v>
      </c>
      <c r="F230" s="54" t="b">
        <v>1</v>
      </c>
      <c r="G230" s="54" t="b">
        <v>1</v>
      </c>
      <c r="H230" s="54" t="b">
        <v>1</v>
      </c>
      <c r="I230" s="54" t="b">
        <v>1</v>
      </c>
      <c r="J230" s="54" t="b">
        <v>1</v>
      </c>
      <c r="K230" s="54" t="b">
        <v>1</v>
      </c>
      <c r="L230" s="54" t="b">
        <v>1</v>
      </c>
      <c r="M230" s="54" t="b">
        <v>1</v>
      </c>
      <c r="N230" s="54" t="b">
        <v>1</v>
      </c>
      <c r="O230" s="54" t="b">
        <v>1</v>
      </c>
      <c r="P230" s="54" t="b">
        <v>1</v>
      </c>
      <c r="Q230" s="54" t="b">
        <v>1</v>
      </c>
      <c r="R230" s="54" t="b">
        <v>1</v>
      </c>
      <c r="S230" s="54" t="b">
        <v>1</v>
      </c>
      <c r="T230" s="54" t="b">
        <v>1</v>
      </c>
      <c r="U230" s="54" t="b">
        <v>1</v>
      </c>
      <c r="V230" s="54" t="b">
        <v>1</v>
      </c>
      <c r="W230" s="54" t="b">
        <v>1</v>
      </c>
      <c r="X230" s="54" t="b">
        <v>1</v>
      </c>
      <c r="Y230" s="54" t="b">
        <v>1</v>
      </c>
      <c r="Z230" s="54" t="b">
        <v>1</v>
      </c>
      <c r="AA230" s="54" t="b">
        <v>1</v>
      </c>
      <c r="AB230" s="54" t="b">
        <v>1</v>
      </c>
      <c r="AC230" s="54" t="b">
        <v>1</v>
      </c>
      <c r="AD230" s="54" t="b">
        <v>1</v>
      </c>
      <c r="AE230" s="54" t="b">
        <v>1</v>
      </c>
      <c r="AF230" s="54" t="b">
        <v>0</v>
      </c>
      <c r="AG230" s="54" t="b">
        <v>0</v>
      </c>
      <c r="AH230" s="54" t="b">
        <v>1</v>
      </c>
      <c r="AI230" s="54" t="b">
        <v>1</v>
      </c>
      <c r="AJ230" s="54" t="b">
        <v>1</v>
      </c>
      <c r="AK230" s="54" t="b">
        <v>1</v>
      </c>
      <c r="AL230" s="54" t="b">
        <v>1</v>
      </c>
      <c r="AM230" s="54" t="b">
        <v>1</v>
      </c>
      <c r="AN230" s="54" t="b">
        <v>1</v>
      </c>
      <c r="AO230" s="54" t="b">
        <v>1</v>
      </c>
      <c r="AP230" s="54" t="b">
        <v>1</v>
      </c>
      <c r="AQ230" s="54" t="b">
        <v>1</v>
      </c>
      <c r="AR230" s="54" t="b">
        <v>1</v>
      </c>
      <c r="AS230" s="54" t="b">
        <v>1</v>
      </c>
      <c r="AT230" s="54" t="b">
        <v>1</v>
      </c>
      <c r="AU230" s="54" t="b">
        <v>1</v>
      </c>
      <c r="AV230" s="54" t="b">
        <v>1</v>
      </c>
      <c r="AW230" s="54" t="b">
        <v>1</v>
      </c>
      <c r="AX230" s="54" t="b">
        <v>0</v>
      </c>
      <c r="AY230" s="54" t="b">
        <v>0</v>
      </c>
      <c r="AZ230" s="54" t="b">
        <v>1</v>
      </c>
      <c r="BA230" s="54" t="b">
        <v>1</v>
      </c>
      <c r="BB230" s="54" t="b">
        <v>1</v>
      </c>
      <c r="BC230" s="54" t="b">
        <v>1</v>
      </c>
      <c r="BD230" s="54" t="b">
        <v>1</v>
      </c>
      <c r="BE230" s="54" t="b">
        <v>1</v>
      </c>
      <c r="BF230" s="54" t="b">
        <v>1</v>
      </c>
      <c r="BG230" s="54" t="b">
        <v>1</v>
      </c>
      <c r="BH230" s="54" t="b">
        <v>1</v>
      </c>
      <c r="BI230" s="54" t="b">
        <v>1</v>
      </c>
      <c r="BJ230" s="54" t="b">
        <v>1</v>
      </c>
      <c r="BK230" s="54" t="b">
        <v>1</v>
      </c>
      <c r="BL230" s="54" t="b">
        <v>1</v>
      </c>
      <c r="BM230" s="54" t="b">
        <v>1</v>
      </c>
      <c r="BN230" s="54" t="b">
        <v>0</v>
      </c>
      <c r="BO230" s="54" t="b">
        <v>0</v>
      </c>
    </row>
    <row r="231" hidden="1" outlineLevel="1">
      <c r="A231" s="71" t="str">
        <f>A230&amp;C231</f>
        <v>NovemberMathiOT HOURS</v>
      </c>
      <c r="B231" s="72"/>
      <c r="C231" s="73" t="s">
        <v>120</v>
      </c>
      <c r="D231" s="33"/>
      <c r="E231" s="70">
        <f>(F231+G231+H231+I231+J231+K231+L231+M231+N231+O231+P231+Q231+R231+S231+T231+U231+V231+W231+X231+Y231+Z231+AA231+AB231+AC231+AD231+AE231+AF231+AG231+AH231+AI231+AJ231+AK231+AL231+AM231+AN231+AO231+AP231+AQ231+AR231+AS231+AT231+AU231+AV231+AW231+AX231+AY231+AZ231+BA231+BB231+BC231+BD231+BE231+BF231+BG231+BH231+BI231+BJ231+BK231+BL231+BM231+BN231+BO231)</f>
        <v>26</v>
      </c>
      <c r="F231" s="59">
        <v>1.0</v>
      </c>
      <c r="G231" s="33"/>
      <c r="H231" s="59">
        <v>4.0</v>
      </c>
      <c r="I231" s="33"/>
      <c r="J231" s="59"/>
      <c r="K231" s="33"/>
      <c r="L231" s="59">
        <v>2.0</v>
      </c>
      <c r="M231" s="33"/>
      <c r="N231" s="60"/>
      <c r="O231" s="33"/>
      <c r="P231" s="60"/>
      <c r="Q231" s="33"/>
      <c r="R231" s="59">
        <v>2.0</v>
      </c>
      <c r="S231" s="33"/>
      <c r="T231" s="59">
        <v>3.0</v>
      </c>
      <c r="U231" s="33"/>
      <c r="V231" s="59">
        <v>2.0</v>
      </c>
      <c r="W231" s="33"/>
      <c r="X231" s="60"/>
      <c r="Y231" s="33"/>
      <c r="Z231" s="60"/>
      <c r="AA231" s="33"/>
      <c r="AB231" s="60"/>
      <c r="AC231" s="33"/>
      <c r="AD231" s="60"/>
      <c r="AE231" s="33"/>
      <c r="AF231" s="60"/>
      <c r="AG231" s="33"/>
      <c r="AH231" s="59">
        <v>1.0</v>
      </c>
      <c r="AI231" s="33"/>
      <c r="AJ231" s="59">
        <v>1.0</v>
      </c>
      <c r="AK231" s="33"/>
      <c r="AL231" s="60"/>
      <c r="AM231" s="33"/>
      <c r="AN231" s="59">
        <v>1.0</v>
      </c>
      <c r="AO231" s="33"/>
      <c r="AP231" s="59">
        <v>1.0</v>
      </c>
      <c r="AQ231" s="33"/>
      <c r="AR231" s="59"/>
      <c r="AS231" s="33"/>
      <c r="AT231" s="60"/>
      <c r="AU231" s="33"/>
      <c r="AV231" s="59">
        <v>1.0</v>
      </c>
      <c r="AW231" s="33"/>
      <c r="AX231" s="60"/>
      <c r="AY231" s="33"/>
      <c r="AZ231" s="60"/>
      <c r="BA231" s="33"/>
      <c r="BB231" s="59">
        <v>4.0</v>
      </c>
      <c r="BC231" s="33"/>
      <c r="BD231" s="60"/>
      <c r="BE231" s="33"/>
      <c r="BF231" s="59">
        <v>1.0</v>
      </c>
      <c r="BG231" s="33"/>
      <c r="BH231" s="59">
        <v>1.0</v>
      </c>
      <c r="BI231" s="33"/>
      <c r="BJ231" s="60"/>
      <c r="BK231" s="33"/>
      <c r="BL231" s="59">
        <v>1.0</v>
      </c>
      <c r="BM231" s="33"/>
      <c r="BN231" s="60"/>
      <c r="BO231" s="33"/>
    </row>
    <row r="232" hidden="1" outlineLevel="1">
      <c r="A232" s="66" t="str">
        <f>B232&amp;D232</f>
        <v>NovemberSIDHESHWAR</v>
      </c>
      <c r="B232" s="67" t="s">
        <v>36</v>
      </c>
      <c r="C232" s="68" t="s">
        <v>77</v>
      </c>
      <c r="D232" s="69" t="str">
        <f>IFERROR(VLOOKUP(C232,'Employees List'!$B$2:$C$28,2,0),"")</f>
        <v>SIDHESHWAR</v>
      </c>
      <c r="E232" s="70">
        <f>(F232+G232+H232+I232+J232+K232+L232+M232+N232+O232+P232+Q232+R232+S232+T232+U232+V232+W232+X232+Y232+Z232+AA232+AB232+AC232+AD232+AE232+AF232+AG232+AH232+AI232+AJ232+AK232+AL232+AM232+AN232+AO232+AP232+AQ232+AR232+AS232+AT232+AU232+AV232+AW232+AX232+AY232+AZ232+BA232+BB232+BC232+BD232+BE232+BF232+BG232+BH232+BI232+BJ232+BK232+BL232+BM232+BN232+BO232)/2</f>
        <v>29</v>
      </c>
      <c r="F232" s="54" t="b">
        <v>1</v>
      </c>
      <c r="G232" s="54" t="b">
        <v>1</v>
      </c>
      <c r="H232" s="54" t="b">
        <v>0</v>
      </c>
      <c r="I232" s="54" t="b">
        <v>0</v>
      </c>
      <c r="J232" s="54" t="b">
        <v>1</v>
      </c>
      <c r="K232" s="54" t="b">
        <v>1</v>
      </c>
      <c r="L232" s="54" t="b">
        <v>1</v>
      </c>
      <c r="M232" s="54" t="b">
        <v>1</v>
      </c>
      <c r="N232" s="54" t="b">
        <v>1</v>
      </c>
      <c r="O232" s="54" t="b">
        <v>1</v>
      </c>
      <c r="P232" s="54" t="b">
        <v>1</v>
      </c>
      <c r="Q232" s="54" t="b">
        <v>1</v>
      </c>
      <c r="R232" s="54" t="b">
        <v>1</v>
      </c>
      <c r="S232" s="54" t="b">
        <v>1</v>
      </c>
      <c r="T232" s="54" t="b">
        <v>1</v>
      </c>
      <c r="U232" s="54" t="b">
        <v>1</v>
      </c>
      <c r="V232" s="54" t="b">
        <v>1</v>
      </c>
      <c r="W232" s="54" t="b">
        <v>1</v>
      </c>
      <c r="X232" s="54" t="b">
        <v>1</v>
      </c>
      <c r="Y232" s="54" t="b">
        <v>1</v>
      </c>
      <c r="Z232" s="54" t="b">
        <v>1</v>
      </c>
      <c r="AA232" s="54" t="b">
        <v>1</v>
      </c>
      <c r="AB232" s="54" t="b">
        <v>1</v>
      </c>
      <c r="AC232" s="54" t="b">
        <v>1</v>
      </c>
      <c r="AD232" s="54" t="b">
        <v>1</v>
      </c>
      <c r="AE232" s="54" t="b">
        <v>1</v>
      </c>
      <c r="AF232" s="54" t="b">
        <v>1</v>
      </c>
      <c r="AG232" s="54" t="b">
        <v>1</v>
      </c>
      <c r="AH232" s="54" t="b">
        <v>1</v>
      </c>
      <c r="AI232" s="54" t="b">
        <v>1</v>
      </c>
      <c r="AJ232" s="54" t="b">
        <v>1</v>
      </c>
      <c r="AK232" s="54" t="b">
        <v>1</v>
      </c>
      <c r="AL232" s="54" t="b">
        <v>1</v>
      </c>
      <c r="AM232" s="54" t="b">
        <v>1</v>
      </c>
      <c r="AN232" s="54" t="b">
        <v>1</v>
      </c>
      <c r="AO232" s="54" t="b">
        <v>1</v>
      </c>
      <c r="AP232" s="54" t="b">
        <v>1</v>
      </c>
      <c r="AQ232" s="54" t="b">
        <v>1</v>
      </c>
      <c r="AR232" s="54" t="b">
        <v>1</v>
      </c>
      <c r="AS232" s="54" t="b">
        <v>1</v>
      </c>
      <c r="AT232" s="54" t="b">
        <v>1</v>
      </c>
      <c r="AU232" s="54" t="b">
        <v>1</v>
      </c>
      <c r="AV232" s="54" t="b">
        <v>1</v>
      </c>
      <c r="AW232" s="54" t="b">
        <v>1</v>
      </c>
      <c r="AX232" s="54" t="b">
        <v>1</v>
      </c>
      <c r="AY232" s="54" t="b">
        <v>1</v>
      </c>
      <c r="AZ232" s="54" t="b">
        <v>1</v>
      </c>
      <c r="BA232" s="54" t="b">
        <v>1</v>
      </c>
      <c r="BB232" s="54" t="b">
        <v>1</v>
      </c>
      <c r="BC232" s="54" t="b">
        <v>1</v>
      </c>
      <c r="BD232" s="54" t="b">
        <v>1</v>
      </c>
      <c r="BE232" s="54" t="b">
        <v>1</v>
      </c>
      <c r="BF232" s="54" t="b">
        <v>1</v>
      </c>
      <c r="BG232" s="54" t="b">
        <v>1</v>
      </c>
      <c r="BH232" s="54" t="b">
        <v>1</v>
      </c>
      <c r="BI232" s="54" t="b">
        <v>1</v>
      </c>
      <c r="BJ232" s="54" t="b">
        <v>1</v>
      </c>
      <c r="BK232" s="54" t="b">
        <v>1</v>
      </c>
      <c r="BL232" s="54" t="b">
        <v>1</v>
      </c>
      <c r="BM232" s="54" t="b">
        <v>1</v>
      </c>
      <c r="BN232" s="54" t="b">
        <v>0</v>
      </c>
      <c r="BO232" s="54" t="b">
        <v>0</v>
      </c>
    </row>
    <row r="233" hidden="1" outlineLevel="1">
      <c r="A233" s="71" t="str">
        <f>A232&amp;C233</f>
        <v>NovemberSIDHESHWAROT HOURS</v>
      </c>
      <c r="B233" s="72"/>
      <c r="C233" s="73" t="s">
        <v>120</v>
      </c>
      <c r="D233" s="33"/>
      <c r="E233" s="70">
        <f>(F233+G233+H233+I233+J233+K233+L233+M233+N233+O233+P233+Q233+R233+S233+T233+U233+V233+W233+X233+Y233+Z233+AA233+AB233+AC233+AD233+AE233+AF233+AG233+AH233+AI233+AJ233+AK233+AL233+AM233+AN233+AO233+AP233+AQ233+AR233+AS233+AT233+AU233+AV233+AW233+AX233+AY233+AZ233+BA233+BB233+BC233+BD233+BE233+BF233+BG233+BH233+BI233+BJ233+BK233+BL233+BM233+BN233+BO233)</f>
        <v>36</v>
      </c>
      <c r="F233" s="59"/>
      <c r="G233" s="33"/>
      <c r="H233" s="59"/>
      <c r="I233" s="33"/>
      <c r="J233" s="59">
        <v>9.0</v>
      </c>
      <c r="K233" s="33"/>
      <c r="L233" s="60"/>
      <c r="M233" s="33"/>
      <c r="N233" s="59">
        <v>2.0</v>
      </c>
      <c r="O233" s="33"/>
      <c r="P233" s="59">
        <v>3.0</v>
      </c>
      <c r="Q233" s="33"/>
      <c r="R233" s="59">
        <v>1.0</v>
      </c>
      <c r="S233" s="33"/>
      <c r="T233" s="59">
        <v>1.0</v>
      </c>
      <c r="U233" s="33"/>
      <c r="V233" s="60"/>
      <c r="W233" s="33"/>
      <c r="X233" s="59">
        <v>3.0</v>
      </c>
      <c r="Y233" s="33"/>
      <c r="Z233" s="60"/>
      <c r="AA233" s="33"/>
      <c r="AB233" s="60"/>
      <c r="AC233" s="33"/>
      <c r="AD233" s="60"/>
      <c r="AE233" s="33"/>
      <c r="AF233" s="60"/>
      <c r="AG233" s="33"/>
      <c r="AH233" s="60"/>
      <c r="AI233" s="33"/>
      <c r="AJ233" s="60"/>
      <c r="AK233" s="33"/>
      <c r="AL233" s="59">
        <v>7.0</v>
      </c>
      <c r="AM233" s="33"/>
      <c r="AN233" s="60"/>
      <c r="AO233" s="33"/>
      <c r="AP233" s="59">
        <v>2.0</v>
      </c>
      <c r="AQ233" s="33"/>
      <c r="AR233" s="60"/>
      <c r="AS233" s="33"/>
      <c r="AT233" s="59">
        <v>1.0</v>
      </c>
      <c r="AU233" s="33"/>
      <c r="AV233" s="60"/>
      <c r="AW233" s="33"/>
      <c r="AX233" s="60"/>
      <c r="AY233" s="33"/>
      <c r="AZ233" s="59">
        <v>6.0</v>
      </c>
      <c r="BA233" s="33"/>
      <c r="BB233" s="60"/>
      <c r="BC233" s="33"/>
      <c r="BD233" s="60"/>
      <c r="BE233" s="33"/>
      <c r="BF233" s="59">
        <v>1.0</v>
      </c>
      <c r="BG233" s="33"/>
      <c r="BH233" s="60"/>
      <c r="BI233" s="33"/>
      <c r="BJ233" s="60"/>
      <c r="BK233" s="33"/>
      <c r="BL233" s="60"/>
      <c r="BM233" s="33"/>
      <c r="BN233" s="60"/>
      <c r="BO233" s="33"/>
    </row>
    <row r="234" hidden="1" outlineLevel="1">
      <c r="A234" s="66" t="str">
        <f>B234&amp;D234</f>
        <v>NovemberAMMU</v>
      </c>
      <c r="B234" s="67" t="s">
        <v>36</v>
      </c>
      <c r="C234" s="68" t="s">
        <v>37</v>
      </c>
      <c r="D234" s="69" t="str">
        <f>IFERROR(VLOOKUP(C234,'Employees List'!$B$2:$C$28,2,0),"")</f>
        <v>AMMU</v>
      </c>
      <c r="E234" s="70">
        <f>(F234+G234+H234+I234+J234+K234+L234+M234+N234+O234+P234+Q234+R234+S234+T234+U234+V234+W234+X234+Y234+Z234+AA234+AB234+AC234+AD234+AE234+AF234+AG234+AH234+AI234+AJ234+AK234+AL234+AM234+AN234+AO234+AP234+AQ234+AR234+AS234+AT234+AU234+AV234+AW234+AX234+AY234+AZ234+BA234+BB234+BC234+BD234+BE234+BF234+BG234+BH234+BI234+BJ234+BK234+BL234+BM234+BN234+BO234)/2</f>
        <v>25</v>
      </c>
      <c r="F234" s="54" t="b">
        <v>0</v>
      </c>
      <c r="G234" s="54" t="b">
        <v>0</v>
      </c>
      <c r="H234" s="54" t="b">
        <v>0</v>
      </c>
      <c r="I234" s="54" t="b">
        <v>0</v>
      </c>
      <c r="J234" s="54" t="b">
        <v>0</v>
      </c>
      <c r="K234" s="54" t="b">
        <v>0</v>
      </c>
      <c r="L234" s="54" t="b">
        <v>0</v>
      </c>
      <c r="M234" s="54" t="b">
        <v>0</v>
      </c>
      <c r="N234" s="54" t="b">
        <v>1</v>
      </c>
      <c r="O234" s="54" t="b">
        <v>1</v>
      </c>
      <c r="P234" s="54" t="b">
        <v>1</v>
      </c>
      <c r="Q234" s="54" t="b">
        <v>1</v>
      </c>
      <c r="R234" s="54" t="b">
        <v>1</v>
      </c>
      <c r="S234" s="54" t="b">
        <v>1</v>
      </c>
      <c r="T234" s="54" t="b">
        <v>1</v>
      </c>
      <c r="U234" s="54" t="b">
        <v>1</v>
      </c>
      <c r="V234" s="54" t="b">
        <v>1</v>
      </c>
      <c r="W234" s="54" t="b">
        <v>1</v>
      </c>
      <c r="X234" s="54" t="b">
        <v>1</v>
      </c>
      <c r="Y234" s="54" t="b">
        <v>1</v>
      </c>
      <c r="Z234" s="54" t="b">
        <v>1</v>
      </c>
      <c r="AA234" s="54" t="b">
        <v>1</v>
      </c>
      <c r="AB234" s="54" t="b">
        <v>1</v>
      </c>
      <c r="AC234" s="54" t="b">
        <v>1</v>
      </c>
      <c r="AD234" s="54" t="b">
        <v>1</v>
      </c>
      <c r="AE234" s="54" t="b">
        <v>1</v>
      </c>
      <c r="AF234" s="54" t="b">
        <v>1</v>
      </c>
      <c r="AG234" s="54" t="b">
        <v>1</v>
      </c>
      <c r="AH234" s="54" t="b">
        <v>1</v>
      </c>
      <c r="AI234" s="54" t="b">
        <v>1</v>
      </c>
      <c r="AJ234" s="54" t="b">
        <v>1</v>
      </c>
      <c r="AK234" s="54" t="b">
        <v>1</v>
      </c>
      <c r="AL234" s="54" t="b">
        <v>1</v>
      </c>
      <c r="AM234" s="54" t="b">
        <v>1</v>
      </c>
      <c r="AN234" s="54" t="b">
        <v>1</v>
      </c>
      <c r="AO234" s="54" t="b">
        <v>1</v>
      </c>
      <c r="AP234" s="54" t="b">
        <v>1</v>
      </c>
      <c r="AQ234" s="54" t="b">
        <v>1</v>
      </c>
      <c r="AR234" s="54" t="b">
        <v>1</v>
      </c>
      <c r="AS234" s="54" t="b">
        <v>1</v>
      </c>
      <c r="AT234" s="54" t="b">
        <v>1</v>
      </c>
      <c r="AU234" s="54" t="b">
        <v>1</v>
      </c>
      <c r="AV234" s="54" t="b">
        <v>1</v>
      </c>
      <c r="AW234" s="54" t="b">
        <v>1</v>
      </c>
      <c r="AX234" s="54" t="b">
        <v>1</v>
      </c>
      <c r="AY234" s="54" t="b">
        <v>1</v>
      </c>
      <c r="AZ234" s="54" t="b">
        <v>1</v>
      </c>
      <c r="BA234" s="54" t="b">
        <v>1</v>
      </c>
      <c r="BB234" s="54" t="b">
        <v>1</v>
      </c>
      <c r="BC234" s="54" t="b">
        <v>1</v>
      </c>
      <c r="BD234" s="54" t="b">
        <v>1</v>
      </c>
      <c r="BE234" s="54" t="b">
        <v>1</v>
      </c>
      <c r="BF234" s="54" t="b">
        <v>1</v>
      </c>
      <c r="BG234" s="54" t="b">
        <v>1</v>
      </c>
      <c r="BH234" s="54" t="b">
        <v>1</v>
      </c>
      <c r="BI234" s="54" t="b">
        <v>1</v>
      </c>
      <c r="BJ234" s="54" t="b">
        <v>1</v>
      </c>
      <c r="BK234" s="54" t="b">
        <v>1</v>
      </c>
      <c r="BL234" s="54" t="b">
        <v>0</v>
      </c>
      <c r="BM234" s="54" t="b">
        <v>0</v>
      </c>
      <c r="BN234" s="54" t="b">
        <v>0</v>
      </c>
      <c r="BO234" s="54" t="b">
        <v>0</v>
      </c>
    </row>
    <row r="235" hidden="1" outlineLevel="1">
      <c r="A235" s="71" t="str">
        <f>A234&amp;C235</f>
        <v>NovemberAMMUOT HOURS</v>
      </c>
      <c r="B235" s="72"/>
      <c r="C235" s="73" t="s">
        <v>120</v>
      </c>
      <c r="D235" s="33"/>
      <c r="E235" s="70">
        <f>(F235+G235+H235+I235+J235+K235+L235+M235+N235+O235+P235+Q235+R235+S235+T235+U235+V235+W235+X235+Y235+Z235+AA235+AB235+AC235+AD235+AE235+AF235+AG235+AH235+AI235+AJ235+AK235+AL235+AM235+AN235+AO235+AP235+AQ235+AR235+AS235+AT235+AU235+AV235+AW235+AX235+AY235+AZ235+BA235+BB235+BC235+BD235+BE235+BF235+BG235+BH235+BI235+BJ235+BK235+BL235+BM235+BN235+BO235)</f>
        <v>2</v>
      </c>
      <c r="F235" s="59"/>
      <c r="G235" s="33"/>
      <c r="H235" s="59"/>
      <c r="I235" s="33"/>
      <c r="J235" s="59"/>
      <c r="K235" s="33"/>
      <c r="L235" s="60"/>
      <c r="M235" s="33"/>
      <c r="N235" s="60"/>
      <c r="O235" s="33"/>
      <c r="P235" s="60"/>
      <c r="Q235" s="33"/>
      <c r="R235" s="60"/>
      <c r="S235" s="33"/>
      <c r="T235" s="60"/>
      <c r="U235" s="33"/>
      <c r="V235" s="60"/>
      <c r="W235" s="33"/>
      <c r="X235" s="60"/>
      <c r="Y235" s="33"/>
      <c r="Z235" s="60"/>
      <c r="AA235" s="33"/>
      <c r="AB235" s="60"/>
      <c r="AC235" s="33"/>
      <c r="AD235" s="60"/>
      <c r="AE235" s="33"/>
      <c r="AF235" s="60"/>
      <c r="AG235" s="33"/>
      <c r="AH235" s="60"/>
      <c r="AI235" s="33"/>
      <c r="AJ235" s="60"/>
      <c r="AK235" s="33"/>
      <c r="AL235" s="60"/>
      <c r="AM235" s="33"/>
      <c r="AN235" s="60"/>
      <c r="AO235" s="33"/>
      <c r="AP235" s="59">
        <v>2.0</v>
      </c>
      <c r="AQ235" s="33"/>
      <c r="AR235" s="60"/>
      <c r="AS235" s="33"/>
      <c r="AT235" s="60"/>
      <c r="AU235" s="33"/>
      <c r="AV235" s="60"/>
      <c r="AW235" s="33"/>
      <c r="AX235" s="60"/>
      <c r="AY235" s="33"/>
      <c r="AZ235" s="60"/>
      <c r="BA235" s="33"/>
      <c r="BB235" s="60"/>
      <c r="BC235" s="33"/>
      <c r="BD235" s="60"/>
      <c r="BE235" s="33"/>
      <c r="BF235" s="60"/>
      <c r="BG235" s="33"/>
      <c r="BH235" s="60"/>
      <c r="BI235" s="33"/>
      <c r="BJ235" s="60"/>
      <c r="BK235" s="33"/>
      <c r="BL235" s="60"/>
      <c r="BM235" s="33"/>
      <c r="BN235" s="60"/>
      <c r="BO235" s="33"/>
    </row>
    <row r="236" hidden="1" outlineLevel="1">
      <c r="A236" s="66" t="str">
        <f>B236&amp;D236</f>
        <v>NovemberREVATHI S</v>
      </c>
      <c r="B236" s="67" t="s">
        <v>36</v>
      </c>
      <c r="C236" s="68" t="s">
        <v>41</v>
      </c>
      <c r="D236" s="69" t="str">
        <f>IFERROR(VLOOKUP(C236,'Employees List'!$B$2:$C$28,2,0),"")</f>
        <v>REVATHI S</v>
      </c>
      <c r="E236" s="70">
        <f>(F236+G236+H236+I236+J236+K236+L236+M236+N236+O236+P236+Q236+R236+S236+T236+U236+V236+W236+X236+Y236+Z236+AA236+AB236+AC236+AD236+AE236+AF236+AG236+AH236+AI236+AJ236+AK236+AL236+AM236+AN236+AO236+AP236+AQ236+AR236+AS236+AT236+AU236+AV236+AW236+AX236+AY236+AZ236+BA236+BB236+BC236+BD236+BE236+BF236+BG236+BH236+BI236+BJ236+BK236+BL236+BM236+BN236+BO236)/2</f>
        <v>29</v>
      </c>
      <c r="F236" s="54" t="b">
        <v>0</v>
      </c>
      <c r="G236" s="54" t="b">
        <v>0</v>
      </c>
      <c r="H236" s="54" t="b">
        <v>1</v>
      </c>
      <c r="I236" s="54" t="b">
        <v>1</v>
      </c>
      <c r="J236" s="54" t="b">
        <v>1</v>
      </c>
      <c r="K236" s="54" t="b">
        <v>1</v>
      </c>
      <c r="L236" s="54" t="b">
        <v>1</v>
      </c>
      <c r="M236" s="54" t="b">
        <v>1</v>
      </c>
      <c r="N236" s="54" t="b">
        <v>1</v>
      </c>
      <c r="O236" s="54" t="b">
        <v>1</v>
      </c>
      <c r="P236" s="54" t="b">
        <v>1</v>
      </c>
      <c r="Q236" s="54" t="b">
        <v>1</v>
      </c>
      <c r="R236" s="54" t="b">
        <v>1</v>
      </c>
      <c r="S236" s="54" t="b">
        <v>1</v>
      </c>
      <c r="T236" s="54" t="b">
        <v>1</v>
      </c>
      <c r="U236" s="54" t="b">
        <v>1</v>
      </c>
      <c r="V236" s="54" t="b">
        <v>1</v>
      </c>
      <c r="W236" s="54" t="b">
        <v>1</v>
      </c>
      <c r="X236" s="54" t="b">
        <v>1</v>
      </c>
      <c r="Y236" s="54" t="b">
        <v>1</v>
      </c>
      <c r="Z236" s="54" t="b">
        <v>1</v>
      </c>
      <c r="AA236" s="54" t="b">
        <v>1</v>
      </c>
      <c r="AB236" s="54" t="b">
        <v>1</v>
      </c>
      <c r="AC236" s="54" t="b">
        <v>1</v>
      </c>
      <c r="AD236" s="54" t="b">
        <v>1</v>
      </c>
      <c r="AE236" s="54" t="b">
        <v>1</v>
      </c>
      <c r="AF236" s="54" t="b">
        <v>1</v>
      </c>
      <c r="AG236" s="54" t="b">
        <v>1</v>
      </c>
      <c r="AH236" s="54" t="b">
        <v>1</v>
      </c>
      <c r="AI236" s="54" t="b">
        <v>1</v>
      </c>
      <c r="AJ236" s="54" t="b">
        <v>1</v>
      </c>
      <c r="AK236" s="54" t="b">
        <v>1</v>
      </c>
      <c r="AL236" s="54" t="b">
        <v>1</v>
      </c>
      <c r="AM236" s="54" t="b">
        <v>1</v>
      </c>
      <c r="AN236" s="54" t="b">
        <v>1</v>
      </c>
      <c r="AO236" s="54" t="b">
        <v>1</v>
      </c>
      <c r="AP236" s="54" t="b">
        <v>1</v>
      </c>
      <c r="AQ236" s="54" t="b">
        <v>1</v>
      </c>
      <c r="AR236" s="54" t="b">
        <v>1</v>
      </c>
      <c r="AS236" s="54" t="b">
        <v>1</v>
      </c>
      <c r="AT236" s="54" t="b">
        <v>1</v>
      </c>
      <c r="AU236" s="54" t="b">
        <v>1</v>
      </c>
      <c r="AV236" s="54" t="b">
        <v>1</v>
      </c>
      <c r="AW236" s="54" t="b">
        <v>1</v>
      </c>
      <c r="AX236" s="54" t="b">
        <v>1</v>
      </c>
      <c r="AY236" s="54" t="b">
        <v>1</v>
      </c>
      <c r="AZ236" s="54" t="b">
        <v>1</v>
      </c>
      <c r="BA236" s="54" t="b">
        <v>1</v>
      </c>
      <c r="BB236" s="54" t="b">
        <v>1</v>
      </c>
      <c r="BC236" s="54" t="b">
        <v>1</v>
      </c>
      <c r="BD236" s="54" t="b">
        <v>1</v>
      </c>
      <c r="BE236" s="54" t="b">
        <v>1</v>
      </c>
      <c r="BF236" s="54" t="b">
        <v>1</v>
      </c>
      <c r="BG236" s="54" t="b">
        <v>1</v>
      </c>
      <c r="BH236" s="54" t="b">
        <v>1</v>
      </c>
      <c r="BI236" s="54" t="b">
        <v>1</v>
      </c>
      <c r="BJ236" s="54" t="b">
        <v>1</v>
      </c>
      <c r="BK236" s="54" t="b">
        <v>1</v>
      </c>
      <c r="BL236" s="54" t="b">
        <v>1</v>
      </c>
      <c r="BM236" s="54" t="b">
        <v>1</v>
      </c>
      <c r="BN236" s="54" t="b">
        <v>0</v>
      </c>
      <c r="BO236" s="54" t="b">
        <v>0</v>
      </c>
    </row>
    <row r="237" hidden="1" outlineLevel="1">
      <c r="A237" s="71" t="str">
        <f>A236&amp;C237</f>
        <v>NovemberREVATHI SOT HOURS</v>
      </c>
      <c r="B237" s="72"/>
      <c r="C237" s="73" t="s">
        <v>120</v>
      </c>
      <c r="D237" s="33"/>
      <c r="E237" s="70">
        <f>(F237+G237+H237+I237+J237+K237+L237+M237+N237+O237+P237+Q237+R237+S237+T237+U237+V237+W237+X237+Y237+Z237+AA237+AB237+AC237+AD237+AE237+AF237+AG237+AH237+AI237+AJ237+AK237+AL237+AM237+AN237+AO237+AP237+AQ237+AR237+AS237+AT237+AU237+AV237+AW237+AX237+AY237+AZ237+BA237+BB237+BC237+BD237+BE237+BF237+BG237+BH237+BI237+BJ237+BK237+BL237+BM237+BN237+BO237)</f>
        <v>11</v>
      </c>
      <c r="F237" s="59"/>
      <c r="G237" s="33"/>
      <c r="H237" s="59">
        <v>2.0</v>
      </c>
      <c r="I237" s="33"/>
      <c r="J237" s="59">
        <v>7.0</v>
      </c>
      <c r="K237" s="33"/>
      <c r="L237" s="60"/>
      <c r="M237" s="33"/>
      <c r="N237" s="60"/>
      <c r="O237" s="33"/>
      <c r="P237" s="60"/>
      <c r="Q237" s="33"/>
      <c r="R237" s="60"/>
      <c r="S237" s="33"/>
      <c r="T237" s="60"/>
      <c r="U237" s="33"/>
      <c r="V237" s="60"/>
      <c r="W237" s="33"/>
      <c r="X237" s="60"/>
      <c r="Y237" s="33"/>
      <c r="Z237" s="60"/>
      <c r="AA237" s="33"/>
      <c r="AB237" s="60"/>
      <c r="AC237" s="33"/>
      <c r="AD237" s="60"/>
      <c r="AE237" s="33"/>
      <c r="AF237" s="60"/>
      <c r="AG237" s="33"/>
      <c r="AH237" s="60"/>
      <c r="AI237" s="33"/>
      <c r="AJ237" s="60"/>
      <c r="AK237" s="33"/>
      <c r="AL237" s="60"/>
      <c r="AM237" s="33"/>
      <c r="AN237" s="60"/>
      <c r="AO237" s="33"/>
      <c r="AP237" s="59">
        <v>2.0</v>
      </c>
      <c r="AQ237" s="33"/>
      <c r="AR237" s="60"/>
      <c r="AS237" s="33"/>
      <c r="AT237" s="60"/>
      <c r="AU237" s="33"/>
      <c r="AV237" s="60"/>
      <c r="AW237" s="33"/>
      <c r="AX237" s="60"/>
      <c r="AY237" s="33"/>
      <c r="AZ237" s="60"/>
      <c r="BA237" s="33"/>
      <c r="BB237" s="60"/>
      <c r="BC237" s="33"/>
      <c r="BD237" s="60"/>
      <c r="BE237" s="33"/>
      <c r="BF237" s="60"/>
      <c r="BG237" s="33"/>
      <c r="BH237" s="60"/>
      <c r="BI237" s="33"/>
      <c r="BJ237" s="60"/>
      <c r="BK237" s="33"/>
      <c r="BL237" s="60"/>
      <c r="BM237" s="33"/>
      <c r="BN237" s="60"/>
      <c r="BO237" s="33"/>
    </row>
    <row r="238" hidden="1" outlineLevel="1">
      <c r="A238" s="66" t="str">
        <f>B238&amp;D238</f>
        <v>NovemberPINU BAGH</v>
      </c>
      <c r="B238" s="67" t="s">
        <v>36</v>
      </c>
      <c r="C238" s="68" t="s">
        <v>53</v>
      </c>
      <c r="D238" s="69" t="str">
        <f>IFERROR(VLOOKUP(C238,'Employees List'!$B$2:$C$28,2,0),"")</f>
        <v>PINU BAGH</v>
      </c>
      <c r="E238" s="70">
        <f>(F238+G238+H238+I238+J238+K238+L238+M238+N238+O238+P238+Q238+R238+S238+T238+U238+V238+W238+X238+Y238+Z238+AA238+AB238+AC238+AD238+AE238+AF238+AG238+AH238+AI238+AJ238+AK238+AL238+AM238+AN238+AO238+AP238+AQ238+AR238+AS238+AT238+AU238+AV238+AW238+AX238+AY238+AZ238+BA238+BB238+BC238+BD238+BE238+BF238+BG238+BH238+BI238+BJ238+BK238+BL238+BM238+BN238+BO238)/2</f>
        <v>29</v>
      </c>
      <c r="F238" s="54" t="b">
        <v>1</v>
      </c>
      <c r="G238" s="54" t="b">
        <v>1</v>
      </c>
      <c r="H238" s="54" t="b">
        <v>0</v>
      </c>
      <c r="I238" s="54" t="b">
        <v>0</v>
      </c>
      <c r="J238" s="54" t="b">
        <v>1</v>
      </c>
      <c r="K238" s="54" t="b">
        <v>1</v>
      </c>
      <c r="L238" s="54" t="b">
        <v>1</v>
      </c>
      <c r="M238" s="54" t="b">
        <v>1</v>
      </c>
      <c r="N238" s="54" t="b">
        <v>1</v>
      </c>
      <c r="O238" s="54" t="b">
        <v>1</v>
      </c>
      <c r="P238" s="54" t="b">
        <v>1</v>
      </c>
      <c r="Q238" s="54" t="b">
        <v>1</v>
      </c>
      <c r="R238" s="54" t="b">
        <v>1</v>
      </c>
      <c r="S238" s="54" t="b">
        <v>1</v>
      </c>
      <c r="T238" s="54" t="b">
        <v>1</v>
      </c>
      <c r="U238" s="54" t="b">
        <v>1</v>
      </c>
      <c r="V238" s="54" t="b">
        <v>1</v>
      </c>
      <c r="W238" s="54" t="b">
        <v>1</v>
      </c>
      <c r="X238" s="54" t="b">
        <v>1</v>
      </c>
      <c r="Y238" s="54" t="b">
        <v>1</v>
      </c>
      <c r="Z238" s="54" t="b">
        <v>1</v>
      </c>
      <c r="AA238" s="54" t="b">
        <v>1</v>
      </c>
      <c r="AB238" s="54" t="b">
        <v>1</v>
      </c>
      <c r="AC238" s="54" t="b">
        <v>1</v>
      </c>
      <c r="AD238" s="54" t="b">
        <v>1</v>
      </c>
      <c r="AE238" s="54" t="b">
        <v>1</v>
      </c>
      <c r="AF238" s="54" t="b">
        <v>1</v>
      </c>
      <c r="AG238" s="54" t="b">
        <v>1</v>
      </c>
      <c r="AH238" s="54" t="b">
        <v>1</v>
      </c>
      <c r="AI238" s="54" t="b">
        <v>1</v>
      </c>
      <c r="AJ238" s="54" t="b">
        <v>1</v>
      </c>
      <c r="AK238" s="54" t="b">
        <v>1</v>
      </c>
      <c r="AL238" s="54" t="b">
        <v>1</v>
      </c>
      <c r="AM238" s="54" t="b">
        <v>1</v>
      </c>
      <c r="AN238" s="54" t="b">
        <v>1</v>
      </c>
      <c r="AO238" s="54" t="b">
        <v>1</v>
      </c>
      <c r="AP238" s="54" t="b">
        <v>1</v>
      </c>
      <c r="AQ238" s="54" t="b">
        <v>1</v>
      </c>
      <c r="AR238" s="54" t="b">
        <v>1</v>
      </c>
      <c r="AS238" s="54" t="b">
        <v>1</v>
      </c>
      <c r="AT238" s="54" t="b">
        <v>1</v>
      </c>
      <c r="AU238" s="54" t="b">
        <v>1</v>
      </c>
      <c r="AV238" s="54" t="b">
        <v>1</v>
      </c>
      <c r="AW238" s="54" t="b">
        <v>1</v>
      </c>
      <c r="AX238" s="54" t="b">
        <v>1</v>
      </c>
      <c r="AY238" s="54" t="b">
        <v>1</v>
      </c>
      <c r="AZ238" s="54" t="b">
        <v>1</v>
      </c>
      <c r="BA238" s="54" t="b">
        <v>1</v>
      </c>
      <c r="BB238" s="54" t="b">
        <v>1</v>
      </c>
      <c r="BC238" s="54" t="b">
        <v>1</v>
      </c>
      <c r="BD238" s="54" t="b">
        <v>1</v>
      </c>
      <c r="BE238" s="54" t="b">
        <v>1</v>
      </c>
      <c r="BF238" s="54" t="b">
        <v>1</v>
      </c>
      <c r="BG238" s="54" t="b">
        <v>1</v>
      </c>
      <c r="BH238" s="54" t="b">
        <v>1</v>
      </c>
      <c r="BI238" s="54" t="b">
        <v>1</v>
      </c>
      <c r="BJ238" s="54" t="b">
        <v>1</v>
      </c>
      <c r="BK238" s="54" t="b">
        <v>1</v>
      </c>
      <c r="BL238" s="54" t="b">
        <v>1</v>
      </c>
      <c r="BM238" s="54" t="b">
        <v>1</v>
      </c>
      <c r="BN238" s="54" t="b">
        <v>0</v>
      </c>
      <c r="BO238" s="54" t="b">
        <v>0</v>
      </c>
    </row>
    <row r="239" hidden="1" outlineLevel="1">
      <c r="A239" s="71" t="str">
        <f>A238&amp;C239</f>
        <v>NovemberPINU BAGHOT HOURS</v>
      </c>
      <c r="B239" s="72"/>
      <c r="C239" s="73" t="s">
        <v>120</v>
      </c>
      <c r="D239" s="33"/>
      <c r="E239" s="70">
        <f>(F239+G239+H239+I239+J239+K239+L239+M239+N239+O239+P239+Q239+R239+S239+T239+U239+V239+W239+X239+Y239+Z239+AA239+AB239+AC239+AD239+AE239+AF239+AG239+AH239+AI239+AJ239+AK239+AL239+AM239+AN239+AO239+AP239+AQ239+AR239+AS239+AT239+AU239+AV239+AW239+AX239+AY239+AZ239+BA239+BB239+BC239+BD239+BE239+BF239+BG239+BH239+BI239+BJ239+BK239+BL239+BM239+BN239+BO239)</f>
        <v>30</v>
      </c>
      <c r="F239" s="59"/>
      <c r="G239" s="33"/>
      <c r="H239" s="59"/>
      <c r="I239" s="33"/>
      <c r="J239" s="59">
        <v>7.0</v>
      </c>
      <c r="K239" s="33"/>
      <c r="L239" s="60"/>
      <c r="M239" s="33"/>
      <c r="N239" s="59">
        <v>3.0</v>
      </c>
      <c r="O239" s="33"/>
      <c r="P239" s="59">
        <v>3.0</v>
      </c>
      <c r="Q239" s="33"/>
      <c r="R239" s="60"/>
      <c r="S239" s="33"/>
      <c r="T239" s="59">
        <v>1.0</v>
      </c>
      <c r="U239" s="33"/>
      <c r="V239" s="60"/>
      <c r="W239" s="33"/>
      <c r="X239" s="59">
        <v>3.0</v>
      </c>
      <c r="Y239" s="33"/>
      <c r="Z239" s="60"/>
      <c r="AA239" s="33"/>
      <c r="AB239" s="60"/>
      <c r="AC239" s="33"/>
      <c r="AD239" s="60"/>
      <c r="AE239" s="33"/>
      <c r="AF239" s="60"/>
      <c r="AG239" s="33"/>
      <c r="AH239" s="60"/>
      <c r="AI239" s="33"/>
      <c r="AJ239" s="60"/>
      <c r="AK239" s="33"/>
      <c r="AL239" s="59">
        <v>5.0</v>
      </c>
      <c r="AM239" s="33"/>
      <c r="AN239" s="59">
        <v>3.0</v>
      </c>
      <c r="AO239" s="33"/>
      <c r="AP239" s="59">
        <v>2.0</v>
      </c>
      <c r="AQ239" s="33"/>
      <c r="AR239" s="60"/>
      <c r="AS239" s="33"/>
      <c r="AT239" s="59">
        <v>3.0</v>
      </c>
      <c r="AU239" s="33"/>
      <c r="AV239" s="60"/>
      <c r="AW239" s="33"/>
      <c r="AX239" s="60"/>
      <c r="AY239" s="33"/>
      <c r="AZ239" s="60"/>
      <c r="BA239" s="33"/>
      <c r="BB239" s="60"/>
      <c r="BC239" s="33"/>
      <c r="BD239" s="60"/>
      <c r="BE239" s="33"/>
      <c r="BF239" s="60"/>
      <c r="BG239" s="33"/>
      <c r="BH239" s="60"/>
      <c r="BI239" s="33"/>
      <c r="BJ239" s="60"/>
      <c r="BK239" s="33"/>
      <c r="BL239" s="60"/>
      <c r="BM239" s="33"/>
      <c r="BN239" s="60"/>
      <c r="BO239" s="33"/>
    </row>
    <row r="240" hidden="1" outlineLevel="1">
      <c r="A240" s="66" t="str">
        <f>B240&amp;D240</f>
        <v>NovemberLEELA</v>
      </c>
      <c r="B240" s="67" t="s">
        <v>36</v>
      </c>
      <c r="C240" s="68" t="s">
        <v>67</v>
      </c>
      <c r="D240" s="69" t="str">
        <f>IFERROR(VLOOKUP(C240,'Employees List'!$B$2:$C$28,2,0),"")</f>
        <v>LEELA</v>
      </c>
      <c r="E240" s="70">
        <f>(F240+G240+H240+I240+J240+K240+L240+M240+N240+O240+P240+Q240+R240+S240+T240+U240+V240+W240+X240+Y240+Z240+AA240+AB240+AC240+AD240+AE240+AF240+AG240+AH240+AI240+AJ240+AK240+AL240+AM240+AN240+AO240+AP240+AQ240+AR240+AS240+AT240+AU240+AV240+AW240+AX240+AY240+AZ240+BA240+BB240+BC240+BD240+BE240+BF240+BG240+BH240+BI240+BJ240+BK240+BL240+BM240+BN240+BO240)/2</f>
        <v>28</v>
      </c>
      <c r="F240" s="54" t="b">
        <v>0</v>
      </c>
      <c r="G240" s="54" t="b">
        <v>0</v>
      </c>
      <c r="H240" s="54" t="b">
        <v>1</v>
      </c>
      <c r="I240" s="54" t="b">
        <v>1</v>
      </c>
      <c r="J240" s="54" t="b">
        <v>1</v>
      </c>
      <c r="K240" s="54" t="b">
        <v>1</v>
      </c>
      <c r="L240" s="54" t="b">
        <v>1</v>
      </c>
      <c r="M240" s="54" t="b">
        <v>1</v>
      </c>
      <c r="N240" s="54" t="b">
        <v>1</v>
      </c>
      <c r="O240" s="54" t="b">
        <v>1</v>
      </c>
      <c r="P240" s="54" t="b">
        <v>1</v>
      </c>
      <c r="Q240" s="54" t="b">
        <v>1</v>
      </c>
      <c r="R240" s="54" t="b">
        <v>1</v>
      </c>
      <c r="S240" s="54" t="b">
        <v>1</v>
      </c>
      <c r="T240" s="54" t="b">
        <v>1</v>
      </c>
      <c r="U240" s="54" t="b">
        <v>1</v>
      </c>
      <c r="V240" s="54" t="b">
        <v>1</v>
      </c>
      <c r="W240" s="54" t="b">
        <v>1</v>
      </c>
      <c r="X240" s="54" t="b">
        <v>1</v>
      </c>
      <c r="Y240" s="54" t="b">
        <v>1</v>
      </c>
      <c r="Z240" s="54" t="b">
        <v>1</v>
      </c>
      <c r="AA240" s="54" t="b">
        <v>1</v>
      </c>
      <c r="AB240" s="54" t="b">
        <v>1</v>
      </c>
      <c r="AC240" s="54" t="b">
        <v>1</v>
      </c>
      <c r="AD240" s="54" t="b">
        <v>1</v>
      </c>
      <c r="AE240" s="54" t="b">
        <v>1</v>
      </c>
      <c r="AF240" s="54" t="b">
        <v>1</v>
      </c>
      <c r="AG240" s="54" t="b">
        <v>1</v>
      </c>
      <c r="AH240" s="54" t="b">
        <v>1</v>
      </c>
      <c r="AI240" s="54" t="b">
        <v>1</v>
      </c>
      <c r="AJ240" s="54" t="b">
        <v>1</v>
      </c>
      <c r="AK240" s="54" t="b">
        <v>1</v>
      </c>
      <c r="AL240" s="54" t="b">
        <v>1</v>
      </c>
      <c r="AM240" s="54" t="b">
        <v>1</v>
      </c>
      <c r="AN240" s="54" t="b">
        <v>1</v>
      </c>
      <c r="AO240" s="54" t="b">
        <v>1</v>
      </c>
      <c r="AP240" s="54" t="b">
        <v>1</v>
      </c>
      <c r="AQ240" s="54" t="b">
        <v>1</v>
      </c>
      <c r="AR240" s="54" t="b">
        <v>1</v>
      </c>
      <c r="AS240" s="54" t="b">
        <v>1</v>
      </c>
      <c r="AT240" s="54" t="b">
        <v>1</v>
      </c>
      <c r="AU240" s="54" t="b">
        <v>1</v>
      </c>
      <c r="AV240" s="54" t="b">
        <v>1</v>
      </c>
      <c r="AW240" s="54" t="b">
        <v>1</v>
      </c>
      <c r="AX240" s="54" t="b">
        <v>1</v>
      </c>
      <c r="AY240" s="54" t="b">
        <v>1</v>
      </c>
      <c r="AZ240" s="54" t="b">
        <v>1</v>
      </c>
      <c r="BA240" s="54" t="b">
        <v>1</v>
      </c>
      <c r="BB240" s="54" t="b">
        <v>1</v>
      </c>
      <c r="BC240" s="54" t="b">
        <v>1</v>
      </c>
      <c r="BD240" s="54" t="b">
        <v>1</v>
      </c>
      <c r="BE240" s="54" t="b">
        <v>1</v>
      </c>
      <c r="BF240" s="54" t="b">
        <v>1</v>
      </c>
      <c r="BG240" s="54" t="b">
        <v>1</v>
      </c>
      <c r="BH240" s="54" t="b">
        <v>1</v>
      </c>
      <c r="BI240" s="54" t="b">
        <v>1</v>
      </c>
      <c r="BJ240" s="54" t="b">
        <v>1</v>
      </c>
      <c r="BK240" s="54" t="b">
        <v>1</v>
      </c>
      <c r="BL240" s="54" t="b">
        <v>0</v>
      </c>
      <c r="BM240" s="54" t="b">
        <v>0</v>
      </c>
      <c r="BN240" s="54" t="b">
        <v>0</v>
      </c>
      <c r="BO240" s="54" t="b">
        <v>0</v>
      </c>
    </row>
    <row r="241" hidden="1" outlineLevel="1">
      <c r="A241" s="71" t="str">
        <f>A240&amp;C241</f>
        <v>NovemberLEELAOT HOURS</v>
      </c>
      <c r="B241" s="72"/>
      <c r="C241" s="73" t="s">
        <v>120</v>
      </c>
      <c r="D241" s="33"/>
      <c r="E241" s="70">
        <f>(F241+G241+H241+I241+J241+K241+L241+M241+N241+O241+P241+Q241+R241+S241+T241+U241+V241+W241+X241+Y241+Z241+AA241+AB241+AC241+AD241+AE241+AF241+AG241+AH241+AI241+AJ241+AK241+AL241+AM241+AN241+AO241+AP241+AQ241+AR241+AS241+AT241+AU241+AV241+AW241+AX241+AY241+AZ241+BA241+BB241+BC241+BD241+BE241+BF241+BG241+BH241+BI241+BJ241+BK241+BL241+BM241+BN241+BO241)</f>
        <v>0</v>
      </c>
      <c r="F241" s="59"/>
      <c r="G241" s="33"/>
      <c r="H241" s="59"/>
      <c r="I241" s="33"/>
      <c r="J241" s="59"/>
      <c r="K241" s="33"/>
      <c r="L241" s="60"/>
      <c r="M241" s="33"/>
      <c r="N241" s="60"/>
      <c r="O241" s="33"/>
      <c r="P241" s="60"/>
      <c r="Q241" s="33"/>
      <c r="R241" s="60"/>
      <c r="S241" s="33"/>
      <c r="T241" s="60"/>
      <c r="U241" s="33"/>
      <c r="V241" s="60"/>
      <c r="W241" s="33"/>
      <c r="X241" s="60"/>
      <c r="Y241" s="33"/>
      <c r="Z241" s="60"/>
      <c r="AA241" s="33"/>
      <c r="AB241" s="60"/>
      <c r="AC241" s="33"/>
      <c r="AD241" s="60"/>
      <c r="AE241" s="33"/>
      <c r="AF241" s="60"/>
      <c r="AG241" s="33"/>
      <c r="AH241" s="60"/>
      <c r="AI241" s="33"/>
      <c r="AJ241" s="60"/>
      <c r="AK241" s="33"/>
      <c r="AL241" s="60"/>
      <c r="AM241" s="33"/>
      <c r="AN241" s="60"/>
      <c r="AO241" s="33"/>
      <c r="AP241" s="60"/>
      <c r="AQ241" s="33"/>
      <c r="AR241" s="60"/>
      <c r="AS241" s="33"/>
      <c r="AT241" s="60"/>
      <c r="AU241" s="33"/>
      <c r="AV241" s="60"/>
      <c r="AW241" s="33"/>
      <c r="AX241" s="60"/>
      <c r="AY241" s="33"/>
      <c r="AZ241" s="60"/>
      <c r="BA241" s="33"/>
      <c r="BB241" s="60"/>
      <c r="BC241" s="33"/>
      <c r="BD241" s="60"/>
      <c r="BE241" s="33"/>
      <c r="BF241" s="60"/>
      <c r="BG241" s="33"/>
      <c r="BH241" s="60"/>
      <c r="BI241" s="33"/>
      <c r="BJ241" s="60"/>
      <c r="BK241" s="33"/>
      <c r="BL241" s="60"/>
      <c r="BM241" s="33"/>
      <c r="BN241" s="60"/>
      <c r="BO241" s="33"/>
    </row>
    <row r="242" hidden="1" outlineLevel="1">
      <c r="A242" s="66" t="str">
        <f>B242&amp;D242</f>
        <v>NovemberPARSHU BAGH</v>
      </c>
      <c r="B242" s="67" t="s">
        <v>36</v>
      </c>
      <c r="C242" s="68" t="s">
        <v>97</v>
      </c>
      <c r="D242" s="69" t="str">
        <f>IFERROR(VLOOKUP(C242,'Employees List'!$B$2:$C$999,2,0),"")</f>
        <v>PARSHU BAGH</v>
      </c>
      <c r="E242" s="70">
        <f>(F242+G242+H242+I242+J242+K242+L242+M242+N242+O242+P242+Q242+R242+S242+T242+U242+V242+W242+X242+Y242+Z242+AA242+AB242+AC242+AD242+AE242+AF242+AG242+AH242+AI242+AJ242+AK242+AL242+AM242+AN242+AO242+AP242+AQ242+AR242+AS242+AT242+AU242+AV242+AW242+AX242+AY242+AZ242+BA242+BB242+BC242+BD242+BE242+BF242+BG242+BH242+BI242+BJ242+BK242+BL242+BM242+BN242+BO242)/2</f>
        <v>30</v>
      </c>
      <c r="F242" s="54" t="b">
        <v>1</v>
      </c>
      <c r="G242" s="54" t="b">
        <v>1</v>
      </c>
      <c r="H242" s="54" t="b">
        <v>1</v>
      </c>
      <c r="I242" s="54" t="b">
        <v>1</v>
      </c>
      <c r="J242" s="54" t="b">
        <v>1</v>
      </c>
      <c r="K242" s="54" t="b">
        <v>1</v>
      </c>
      <c r="L242" s="54" t="b">
        <v>1</v>
      </c>
      <c r="M242" s="54" t="b">
        <v>1</v>
      </c>
      <c r="N242" s="54" t="b">
        <v>1</v>
      </c>
      <c r="O242" s="54" t="b">
        <v>1</v>
      </c>
      <c r="P242" s="54" t="b">
        <v>1</v>
      </c>
      <c r="Q242" s="54" t="b">
        <v>1</v>
      </c>
      <c r="R242" s="54" t="b">
        <v>1</v>
      </c>
      <c r="S242" s="54" t="b">
        <v>1</v>
      </c>
      <c r="T242" s="54" t="b">
        <v>1</v>
      </c>
      <c r="U242" s="54" t="b">
        <v>1</v>
      </c>
      <c r="V242" s="54" t="b">
        <v>1</v>
      </c>
      <c r="W242" s="54" t="b">
        <v>1</v>
      </c>
      <c r="X242" s="54" t="b">
        <v>1</v>
      </c>
      <c r="Y242" s="54" t="b">
        <v>1</v>
      </c>
      <c r="Z242" s="54" t="b">
        <v>1</v>
      </c>
      <c r="AA242" s="54" t="b">
        <v>1</v>
      </c>
      <c r="AB242" s="54" t="b">
        <v>1</v>
      </c>
      <c r="AC242" s="54" t="b">
        <v>1</v>
      </c>
      <c r="AD242" s="54" t="b">
        <v>1</v>
      </c>
      <c r="AE242" s="54" t="b">
        <v>1</v>
      </c>
      <c r="AF242" s="54" t="b">
        <v>1</v>
      </c>
      <c r="AG242" s="54" t="b">
        <v>1</v>
      </c>
      <c r="AH242" s="54" t="b">
        <v>1</v>
      </c>
      <c r="AI242" s="54" t="b">
        <v>1</v>
      </c>
      <c r="AJ242" s="54" t="b">
        <v>1</v>
      </c>
      <c r="AK242" s="54" t="b">
        <v>1</v>
      </c>
      <c r="AL242" s="54" t="b">
        <v>1</v>
      </c>
      <c r="AM242" s="54" t="b">
        <v>1</v>
      </c>
      <c r="AN242" s="54" t="b">
        <v>1</v>
      </c>
      <c r="AO242" s="54" t="b">
        <v>1</v>
      </c>
      <c r="AP242" s="54" t="b">
        <v>1</v>
      </c>
      <c r="AQ242" s="54" t="b">
        <v>1</v>
      </c>
      <c r="AR242" s="54" t="b">
        <v>1</v>
      </c>
      <c r="AS242" s="54" t="b">
        <v>1</v>
      </c>
      <c r="AT242" s="54" t="b">
        <v>1</v>
      </c>
      <c r="AU242" s="54" t="b">
        <v>1</v>
      </c>
      <c r="AV242" s="54" t="b">
        <v>1</v>
      </c>
      <c r="AW242" s="54" t="b">
        <v>1</v>
      </c>
      <c r="AX242" s="54" t="b">
        <v>1</v>
      </c>
      <c r="AY242" s="54" t="b">
        <v>1</v>
      </c>
      <c r="AZ242" s="54" t="b">
        <v>1</v>
      </c>
      <c r="BA242" s="54" t="b">
        <v>1</v>
      </c>
      <c r="BB242" s="54" t="b">
        <v>1</v>
      </c>
      <c r="BC242" s="54" t="b">
        <v>1</v>
      </c>
      <c r="BD242" s="54" t="b">
        <v>1</v>
      </c>
      <c r="BE242" s="54" t="b">
        <v>1</v>
      </c>
      <c r="BF242" s="54" t="b">
        <v>1</v>
      </c>
      <c r="BG242" s="54" t="b">
        <v>1</v>
      </c>
      <c r="BH242" s="54" t="b">
        <v>1</v>
      </c>
      <c r="BI242" s="54" t="b">
        <v>1</v>
      </c>
      <c r="BJ242" s="54" t="b">
        <v>1</v>
      </c>
      <c r="BK242" s="54" t="b">
        <v>1</v>
      </c>
      <c r="BL242" s="54" t="b">
        <v>1</v>
      </c>
      <c r="BM242" s="54" t="b">
        <v>1</v>
      </c>
      <c r="BN242" s="54" t="b">
        <v>0</v>
      </c>
      <c r="BO242" s="54" t="b">
        <v>0</v>
      </c>
    </row>
    <row r="243" hidden="1" outlineLevel="1">
      <c r="A243" s="71" t="str">
        <f>A242&amp;C243</f>
        <v>NovemberPARSHU BAGHOT HOURS</v>
      </c>
      <c r="B243" s="72"/>
      <c r="C243" s="73" t="s">
        <v>120</v>
      </c>
      <c r="D243" s="33"/>
      <c r="E243" s="70">
        <f>(F243+G243+H243+I243+J243+K243+L243+M243+N243+O243+P243+Q243+R243+S243+T243+U243+V243+W243+X243+Y243+Z243+AA243+AB243+AC243+AD243+AE243+AF243+AG243+AH243+AI243+AJ243+AK243+AL243+AM243+AN243+AO243+AP243+AQ243+AR243+AS243+AT243+AU243+AV243+AW243+AX243+AY243+AZ243+BA243+BB243+BC243+BD243+BE243+BF243+BG243+BH243+BI243+BJ243+BK243+BL243+BM243+BN243+BO243)</f>
        <v>28</v>
      </c>
      <c r="F243" s="59"/>
      <c r="G243" s="33"/>
      <c r="H243" s="59">
        <v>3.0</v>
      </c>
      <c r="I243" s="33"/>
      <c r="J243" s="59">
        <v>7.0</v>
      </c>
      <c r="K243" s="33"/>
      <c r="L243" s="60"/>
      <c r="M243" s="33"/>
      <c r="N243" s="60"/>
      <c r="O243" s="33"/>
      <c r="P243" s="59">
        <v>3.0</v>
      </c>
      <c r="Q243" s="33"/>
      <c r="R243" s="60"/>
      <c r="S243" s="33"/>
      <c r="T243" s="59">
        <v>1.0</v>
      </c>
      <c r="U243" s="33"/>
      <c r="V243" s="60"/>
      <c r="W243" s="33"/>
      <c r="X243" s="59">
        <v>3.0</v>
      </c>
      <c r="Y243" s="33"/>
      <c r="Z243" s="60"/>
      <c r="AA243" s="33"/>
      <c r="AB243" s="60"/>
      <c r="AC243" s="33"/>
      <c r="AD243" s="60"/>
      <c r="AE243" s="33"/>
      <c r="AF243" s="60"/>
      <c r="AG243" s="33"/>
      <c r="AH243" s="60"/>
      <c r="AI243" s="33"/>
      <c r="AJ243" s="60"/>
      <c r="AK243" s="33"/>
      <c r="AL243" s="59">
        <v>5.0</v>
      </c>
      <c r="AM243" s="33"/>
      <c r="AN243" s="60"/>
      <c r="AO243" s="33"/>
      <c r="AP243" s="59">
        <v>2.0</v>
      </c>
      <c r="AQ243" s="33"/>
      <c r="AR243" s="60"/>
      <c r="AS243" s="33"/>
      <c r="AT243" s="60"/>
      <c r="AU243" s="33"/>
      <c r="AV243" s="60"/>
      <c r="AW243" s="33"/>
      <c r="AX243" s="60"/>
      <c r="AY243" s="33"/>
      <c r="AZ243" s="59">
        <v>4.0</v>
      </c>
      <c r="BA243" s="33"/>
      <c r="BB243" s="60"/>
      <c r="BC243" s="33"/>
      <c r="BD243" s="60"/>
      <c r="BE243" s="33"/>
      <c r="BF243" s="60"/>
      <c r="BG243" s="33"/>
      <c r="BH243" s="60"/>
      <c r="BI243" s="33"/>
      <c r="BJ243" s="60"/>
      <c r="BK243" s="33"/>
      <c r="BL243" s="60"/>
      <c r="BM243" s="33"/>
      <c r="BN243" s="60"/>
      <c r="BO243" s="33"/>
    </row>
    <row r="244" collapsed="1">
      <c r="A244" s="30"/>
      <c r="B244" s="31"/>
      <c r="C244" s="36">
        <v>45628.0</v>
      </c>
      <c r="D244" s="33"/>
      <c r="E244" s="34"/>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row>
    <row r="245" hidden="1" outlineLevel="1">
      <c r="A245" s="38"/>
      <c r="B245" s="39"/>
      <c r="C245" s="40" t="s">
        <v>1</v>
      </c>
      <c r="D245" s="40" t="s">
        <v>2</v>
      </c>
      <c r="E245" s="41" t="s">
        <v>117</v>
      </c>
      <c r="F245" s="40" t="s">
        <v>118</v>
      </c>
      <c r="G245" s="40" t="s">
        <v>119</v>
      </c>
      <c r="H245" s="40" t="s">
        <v>118</v>
      </c>
      <c r="I245" s="40" t="s">
        <v>119</v>
      </c>
      <c r="J245" s="40" t="s">
        <v>118</v>
      </c>
      <c r="K245" s="40" t="s">
        <v>119</v>
      </c>
      <c r="L245" s="40" t="s">
        <v>118</v>
      </c>
      <c r="M245" s="40" t="s">
        <v>119</v>
      </c>
      <c r="N245" s="40" t="s">
        <v>118</v>
      </c>
      <c r="O245" s="40" t="s">
        <v>119</v>
      </c>
      <c r="P245" s="40" t="s">
        <v>118</v>
      </c>
      <c r="Q245" s="40" t="s">
        <v>119</v>
      </c>
      <c r="R245" s="40" t="s">
        <v>118</v>
      </c>
      <c r="S245" s="40" t="s">
        <v>119</v>
      </c>
      <c r="T245" s="40" t="s">
        <v>118</v>
      </c>
      <c r="U245" s="40" t="s">
        <v>119</v>
      </c>
      <c r="V245" s="40" t="s">
        <v>118</v>
      </c>
      <c r="W245" s="40" t="s">
        <v>119</v>
      </c>
      <c r="X245" s="40" t="s">
        <v>118</v>
      </c>
      <c r="Y245" s="40" t="s">
        <v>119</v>
      </c>
      <c r="Z245" s="40" t="s">
        <v>118</v>
      </c>
      <c r="AA245" s="40" t="s">
        <v>119</v>
      </c>
      <c r="AB245" s="40" t="s">
        <v>118</v>
      </c>
      <c r="AC245" s="40" t="s">
        <v>119</v>
      </c>
      <c r="AD245" s="40" t="s">
        <v>118</v>
      </c>
      <c r="AE245" s="40" t="s">
        <v>119</v>
      </c>
      <c r="AF245" s="40" t="s">
        <v>118</v>
      </c>
      <c r="AG245" s="40" t="s">
        <v>119</v>
      </c>
      <c r="AH245" s="40" t="s">
        <v>118</v>
      </c>
      <c r="AI245" s="40" t="s">
        <v>119</v>
      </c>
      <c r="AJ245" s="40" t="s">
        <v>118</v>
      </c>
      <c r="AK245" s="40" t="s">
        <v>119</v>
      </c>
      <c r="AL245" s="40" t="s">
        <v>118</v>
      </c>
      <c r="AM245" s="40" t="s">
        <v>119</v>
      </c>
      <c r="AN245" s="40" t="s">
        <v>118</v>
      </c>
      <c r="AO245" s="40" t="s">
        <v>119</v>
      </c>
      <c r="AP245" s="40" t="s">
        <v>118</v>
      </c>
      <c r="AQ245" s="40" t="s">
        <v>119</v>
      </c>
      <c r="AR245" s="40" t="s">
        <v>118</v>
      </c>
      <c r="AS245" s="40" t="s">
        <v>119</v>
      </c>
      <c r="AT245" s="40" t="s">
        <v>118</v>
      </c>
      <c r="AU245" s="40" t="s">
        <v>119</v>
      </c>
      <c r="AV245" s="40" t="s">
        <v>118</v>
      </c>
      <c r="AW245" s="40" t="s">
        <v>119</v>
      </c>
      <c r="AX245" s="40" t="s">
        <v>118</v>
      </c>
      <c r="AY245" s="40" t="s">
        <v>119</v>
      </c>
      <c r="AZ245" s="40" t="s">
        <v>118</v>
      </c>
      <c r="BA245" s="40" t="s">
        <v>119</v>
      </c>
      <c r="BB245" s="40" t="s">
        <v>118</v>
      </c>
      <c r="BC245" s="40" t="s">
        <v>119</v>
      </c>
      <c r="BD245" s="40" t="s">
        <v>118</v>
      </c>
      <c r="BE245" s="40" t="s">
        <v>119</v>
      </c>
      <c r="BF245" s="40" t="s">
        <v>118</v>
      </c>
      <c r="BG245" s="40" t="s">
        <v>119</v>
      </c>
      <c r="BH245" s="40" t="s">
        <v>118</v>
      </c>
      <c r="BI245" s="40" t="s">
        <v>119</v>
      </c>
      <c r="BJ245" s="40" t="s">
        <v>118</v>
      </c>
      <c r="BK245" s="40" t="s">
        <v>119</v>
      </c>
      <c r="BL245" s="40" t="s">
        <v>118</v>
      </c>
      <c r="BM245" s="40" t="s">
        <v>119</v>
      </c>
      <c r="BN245" s="40" t="s">
        <v>118</v>
      </c>
      <c r="BO245" s="40" t="s">
        <v>119</v>
      </c>
    </row>
    <row r="246" hidden="1" outlineLevel="1">
      <c r="A246" s="42" t="str">
        <f>B246&amp;D246</f>
        <v>DecemberBHUVANESWARAN</v>
      </c>
      <c r="B246" s="43" t="s">
        <v>40</v>
      </c>
      <c r="C246" s="43" t="s">
        <v>9</v>
      </c>
      <c r="D246" s="44" t="str">
        <f>IFERROR(VLOOKUP(C246,'Employees List'!$B$2:$C$28,2,0),"")</f>
        <v>BHUVANESWARAN</v>
      </c>
      <c r="E246" s="70">
        <f>(F246+G246+H246+I246+J246+K246+L246+M246+N246+O246+P246+Q246+R246+S246+T246+U246+V246+W246+X246+Y246+Z246+AA246+AB246+AC246+AD246+AE246+AF246+AG246+AH246+AI246+AJ246+AK246+AL246+AM246+AN246+AO246+AP246+AQ246+AR246+AS246+AT246+AU246+AV246+AW246+AX246+AY246+AZ246+BA246+BB246+BC246+BD246+BE246+BF246+BG246+BH246+BI246+BJ246+BK246+BL246+BM246+BN246+BO246)/2</f>
        <v>31</v>
      </c>
      <c r="F246" s="54" t="b">
        <v>1</v>
      </c>
      <c r="G246" s="54" t="b">
        <v>1</v>
      </c>
      <c r="H246" s="54" t="b">
        <v>1</v>
      </c>
      <c r="I246" s="54" t="b">
        <v>1</v>
      </c>
      <c r="J246" s="54" t="b">
        <v>1</v>
      </c>
      <c r="K246" s="54" t="b">
        <v>1</v>
      </c>
      <c r="L246" s="54" t="b">
        <v>1</v>
      </c>
      <c r="M246" s="54" t="b">
        <v>1</v>
      </c>
      <c r="N246" s="54" t="b">
        <v>1</v>
      </c>
      <c r="O246" s="54" t="b">
        <v>1</v>
      </c>
      <c r="P246" s="54" t="b">
        <v>1</v>
      </c>
      <c r="Q246" s="54" t="b">
        <v>1</v>
      </c>
      <c r="R246" s="54" t="b">
        <v>1</v>
      </c>
      <c r="S246" s="54" t="b">
        <v>1</v>
      </c>
      <c r="T246" s="54" t="b">
        <v>1</v>
      </c>
      <c r="U246" s="54" t="b">
        <v>1</v>
      </c>
      <c r="V246" s="54" t="b">
        <v>1</v>
      </c>
      <c r="W246" s="54" t="b">
        <v>1</v>
      </c>
      <c r="X246" s="54" t="b">
        <v>1</v>
      </c>
      <c r="Y246" s="54" t="b">
        <v>1</v>
      </c>
      <c r="Z246" s="54" t="b">
        <v>1</v>
      </c>
      <c r="AA246" s="54" t="b">
        <v>1</v>
      </c>
      <c r="AB246" s="54" t="b">
        <v>1</v>
      </c>
      <c r="AC246" s="54" t="b">
        <v>1</v>
      </c>
      <c r="AD246" s="54" t="b">
        <v>1</v>
      </c>
      <c r="AE246" s="54" t="b">
        <v>1</v>
      </c>
      <c r="AF246" s="54" t="b">
        <v>1</v>
      </c>
      <c r="AG246" s="54" t="b">
        <v>1</v>
      </c>
      <c r="AH246" s="54" t="b">
        <v>1</v>
      </c>
      <c r="AI246" s="54" t="b">
        <v>1</v>
      </c>
      <c r="AJ246" s="54" t="b">
        <v>1</v>
      </c>
      <c r="AK246" s="54" t="b">
        <v>1</v>
      </c>
      <c r="AL246" s="54" t="b">
        <v>1</v>
      </c>
      <c r="AM246" s="54" t="b">
        <v>1</v>
      </c>
      <c r="AN246" s="54" t="b">
        <v>1</v>
      </c>
      <c r="AO246" s="54" t="b">
        <v>1</v>
      </c>
      <c r="AP246" s="54" t="b">
        <v>1</v>
      </c>
      <c r="AQ246" s="54" t="b">
        <v>1</v>
      </c>
      <c r="AR246" s="54" t="b">
        <v>1</v>
      </c>
      <c r="AS246" s="54" t="b">
        <v>1</v>
      </c>
      <c r="AT246" s="54" t="b">
        <v>1</v>
      </c>
      <c r="AU246" s="54" t="b">
        <v>1</v>
      </c>
      <c r="AV246" s="54" t="b">
        <v>1</v>
      </c>
      <c r="AW246" s="54" t="b">
        <v>1</v>
      </c>
      <c r="AX246" s="54" t="b">
        <v>1</v>
      </c>
      <c r="AY246" s="54" t="b">
        <v>1</v>
      </c>
      <c r="AZ246" s="54" t="b">
        <v>1</v>
      </c>
      <c r="BA246" s="54" t="b">
        <v>1</v>
      </c>
      <c r="BB246" s="54" t="b">
        <v>1</v>
      </c>
      <c r="BC246" s="54" t="b">
        <v>1</v>
      </c>
      <c r="BD246" s="54" t="b">
        <v>1</v>
      </c>
      <c r="BE246" s="54" t="b">
        <v>1</v>
      </c>
      <c r="BF246" s="54" t="b">
        <v>1</v>
      </c>
      <c r="BG246" s="54" t="b">
        <v>1</v>
      </c>
      <c r="BH246" s="54" t="b">
        <v>1</v>
      </c>
      <c r="BI246" s="54" t="b">
        <v>1</v>
      </c>
      <c r="BJ246" s="54" t="b">
        <v>1</v>
      </c>
      <c r="BK246" s="54" t="b">
        <v>1</v>
      </c>
      <c r="BL246" s="54" t="b">
        <v>1</v>
      </c>
      <c r="BM246" s="54" t="b">
        <v>1</v>
      </c>
      <c r="BN246" s="54" t="b">
        <v>1</v>
      </c>
      <c r="BO246" s="54" t="b">
        <v>1</v>
      </c>
    </row>
    <row r="247" hidden="1" outlineLevel="1">
      <c r="A247" s="47" t="str">
        <f>A246&amp;C247</f>
        <v>DecemberBHUVANESWARANOT HOURS</v>
      </c>
      <c r="B247" s="48"/>
      <c r="C247" s="49" t="s">
        <v>120</v>
      </c>
      <c r="D247" s="33"/>
      <c r="E247" s="70">
        <f>(F247+G247+H247+I247+J247+K247+L247+M247+N247+O247+P247+Q247+R247+S247+T247+U247+V247+W247+X247+Y247+Z247+AA247+AB247+AC247+AD247+AE247+AF247+AG247+AH247+AI247+AJ247+AK247+AL247+AM247+AN247+AO247+AP247+AQ247+AR247+AS247+AT247+AU247+AV247+AW247+AX247+AY247+AZ247+BA247+BB247+BC247+BD247+BE247+BF247+BG247+BH247+BI247+BJ247+BK247+BL247+BM247+BN247+BO247)</f>
        <v>0</v>
      </c>
      <c r="F247" s="59"/>
      <c r="G247" s="33"/>
      <c r="H247" s="59"/>
      <c r="I247" s="33"/>
      <c r="J247" s="59"/>
      <c r="K247" s="33"/>
      <c r="L247" s="60"/>
      <c r="M247" s="33"/>
      <c r="N247" s="60"/>
      <c r="O247" s="33"/>
      <c r="P247" s="60"/>
      <c r="Q247" s="33"/>
      <c r="R247" s="60"/>
      <c r="S247" s="33"/>
      <c r="T247" s="60"/>
      <c r="U247" s="33"/>
      <c r="V247" s="60"/>
      <c r="W247" s="33"/>
      <c r="X247" s="60"/>
      <c r="Y247" s="33"/>
      <c r="Z247" s="60"/>
      <c r="AA247" s="33"/>
      <c r="AB247" s="60"/>
      <c r="AC247" s="33"/>
      <c r="AD247" s="60"/>
      <c r="AE247" s="33"/>
      <c r="AF247" s="60"/>
      <c r="AG247" s="33"/>
      <c r="AH247" s="60"/>
      <c r="AI247" s="33"/>
      <c r="AJ247" s="60"/>
      <c r="AK247" s="33"/>
      <c r="AL247" s="60"/>
      <c r="AM247" s="33"/>
      <c r="AN247" s="60"/>
      <c r="AO247" s="33"/>
      <c r="AP247" s="60"/>
      <c r="AQ247" s="33"/>
      <c r="AR247" s="60"/>
      <c r="AS247" s="33"/>
      <c r="AT247" s="60"/>
      <c r="AU247" s="33"/>
      <c r="AV247" s="60"/>
      <c r="AW247" s="33"/>
      <c r="AX247" s="60"/>
      <c r="AY247" s="33"/>
      <c r="AZ247" s="60"/>
      <c r="BA247" s="33"/>
      <c r="BB247" s="60"/>
      <c r="BC247" s="33"/>
      <c r="BD247" s="60"/>
      <c r="BE247" s="33"/>
      <c r="BF247" s="60"/>
      <c r="BG247" s="33"/>
      <c r="BH247" s="60"/>
      <c r="BI247" s="33"/>
      <c r="BJ247" s="60"/>
      <c r="BK247" s="33"/>
      <c r="BL247" s="60"/>
      <c r="BM247" s="33"/>
      <c r="BN247" s="60"/>
      <c r="BO247" s="33"/>
    </row>
    <row r="248" hidden="1" outlineLevel="1">
      <c r="A248" s="42" t="str">
        <f>B248&amp;D248</f>
        <v>DecemberSUNDARI</v>
      </c>
      <c r="B248" s="43" t="s">
        <v>40</v>
      </c>
      <c r="C248" s="43" t="s">
        <v>64</v>
      </c>
      <c r="D248" s="44" t="str">
        <f>IFERROR(VLOOKUP(C248,'Employees List'!$B$2:$C$28,2,0),"")</f>
        <v>SUNDARI</v>
      </c>
      <c r="E248" s="70">
        <f>(F248+G248+H248+I248+J248+K248+L248+M248+N248+O248+P248+Q248+R248+S248+T248+U248+V248+W248+X248+Y248+Z248+AA248+AB248+AC248+AD248+AE248+AF248+AG248+AH248+AI248+AJ248+AK248+AL248+AM248+AN248+AO248+AP248+AQ248+AR248+AS248+AT248+AU248+AV248+AW248+AX248+AY248+AZ248+BA248+BB248+BC248+BD248+BE248+BF248+BG248+BH248+BI248+BJ248+BK248+BL248+BM248+BN248+BO248)/2</f>
        <v>31</v>
      </c>
      <c r="F248" s="54" t="b">
        <v>1</v>
      </c>
      <c r="G248" s="54" t="b">
        <v>1</v>
      </c>
      <c r="H248" s="54" t="b">
        <v>1</v>
      </c>
      <c r="I248" s="54" t="b">
        <v>1</v>
      </c>
      <c r="J248" s="54" t="b">
        <v>1</v>
      </c>
      <c r="K248" s="54" t="b">
        <v>1</v>
      </c>
      <c r="L248" s="54" t="b">
        <v>1</v>
      </c>
      <c r="M248" s="54" t="b">
        <v>1</v>
      </c>
      <c r="N248" s="54" t="b">
        <v>1</v>
      </c>
      <c r="O248" s="54" t="b">
        <v>1</v>
      </c>
      <c r="P248" s="54" t="b">
        <v>1</v>
      </c>
      <c r="Q248" s="54" t="b">
        <v>1</v>
      </c>
      <c r="R248" s="54" t="b">
        <v>1</v>
      </c>
      <c r="S248" s="54" t="b">
        <v>1</v>
      </c>
      <c r="T248" s="54" t="b">
        <v>1</v>
      </c>
      <c r="U248" s="54" t="b">
        <v>1</v>
      </c>
      <c r="V248" s="54" t="b">
        <v>1</v>
      </c>
      <c r="W248" s="54" t="b">
        <v>1</v>
      </c>
      <c r="X248" s="54" t="b">
        <v>1</v>
      </c>
      <c r="Y248" s="54" t="b">
        <v>1</v>
      </c>
      <c r="Z248" s="54" t="b">
        <v>1</v>
      </c>
      <c r="AA248" s="54" t="b">
        <v>1</v>
      </c>
      <c r="AB248" s="54" t="b">
        <v>1</v>
      </c>
      <c r="AC248" s="54" t="b">
        <v>1</v>
      </c>
      <c r="AD248" s="54" t="b">
        <v>1</v>
      </c>
      <c r="AE248" s="54" t="b">
        <v>1</v>
      </c>
      <c r="AF248" s="54" t="b">
        <v>1</v>
      </c>
      <c r="AG248" s="54" t="b">
        <v>1</v>
      </c>
      <c r="AH248" s="54" t="b">
        <v>1</v>
      </c>
      <c r="AI248" s="54" t="b">
        <v>1</v>
      </c>
      <c r="AJ248" s="54" t="b">
        <v>1</v>
      </c>
      <c r="AK248" s="54" t="b">
        <v>1</v>
      </c>
      <c r="AL248" s="54" t="b">
        <v>1</v>
      </c>
      <c r="AM248" s="54" t="b">
        <v>1</v>
      </c>
      <c r="AN248" s="54" t="b">
        <v>1</v>
      </c>
      <c r="AO248" s="54" t="b">
        <v>1</v>
      </c>
      <c r="AP248" s="54" t="b">
        <v>1</v>
      </c>
      <c r="AQ248" s="54" t="b">
        <v>1</v>
      </c>
      <c r="AR248" s="54" t="b">
        <v>1</v>
      </c>
      <c r="AS248" s="54" t="b">
        <v>1</v>
      </c>
      <c r="AT248" s="54" t="b">
        <v>1</v>
      </c>
      <c r="AU248" s="54" t="b">
        <v>1</v>
      </c>
      <c r="AV248" s="54" t="b">
        <v>1</v>
      </c>
      <c r="AW248" s="54" t="b">
        <v>1</v>
      </c>
      <c r="AX248" s="54" t="b">
        <v>1</v>
      </c>
      <c r="AY248" s="54" t="b">
        <v>1</v>
      </c>
      <c r="AZ248" s="54" t="b">
        <v>1</v>
      </c>
      <c r="BA248" s="54" t="b">
        <v>1</v>
      </c>
      <c r="BB248" s="54" t="b">
        <v>1</v>
      </c>
      <c r="BC248" s="54" t="b">
        <v>1</v>
      </c>
      <c r="BD248" s="54" t="b">
        <v>1</v>
      </c>
      <c r="BE248" s="54" t="b">
        <v>1</v>
      </c>
      <c r="BF248" s="54" t="b">
        <v>1</v>
      </c>
      <c r="BG248" s="54" t="b">
        <v>1</v>
      </c>
      <c r="BH248" s="54" t="b">
        <v>1</v>
      </c>
      <c r="BI248" s="54" t="b">
        <v>1</v>
      </c>
      <c r="BJ248" s="54" t="b">
        <v>1</v>
      </c>
      <c r="BK248" s="54" t="b">
        <v>1</v>
      </c>
      <c r="BL248" s="54" t="b">
        <v>1</v>
      </c>
      <c r="BM248" s="54" t="b">
        <v>1</v>
      </c>
      <c r="BN248" s="54" t="b">
        <v>1</v>
      </c>
      <c r="BO248" s="54" t="b">
        <v>1</v>
      </c>
    </row>
    <row r="249" hidden="1" outlineLevel="1">
      <c r="A249" s="47" t="str">
        <f>A248&amp;C249</f>
        <v>DecemberSUNDARIOT HOURS</v>
      </c>
      <c r="B249" s="48"/>
      <c r="C249" s="49" t="s">
        <v>120</v>
      </c>
      <c r="D249" s="33"/>
      <c r="E249" s="70">
        <f>(F249+G249+H249+I249+J249+K249+L249+M249+N249+O249+P249+Q249+R249+S249+T249+U249+V249+W249+X249+Y249+Z249+AA249+AB249+AC249+AD249+AE249+AF249+AG249+AH249+AI249+AJ249+AK249+AL249+AM249+AN249+AO249+AP249+AQ249+AR249+AS249+AT249+AU249+AV249+AW249+AX249+AY249+AZ249+BA249+BB249+BC249+BD249+BE249+BF249+BG249+BH249+BI249+BJ249+BK249+BL249+BM249+BN249+BO249)</f>
        <v>3</v>
      </c>
      <c r="F249" s="59"/>
      <c r="G249" s="33"/>
      <c r="H249" s="59"/>
      <c r="I249" s="33"/>
      <c r="J249" s="59"/>
      <c r="K249" s="33"/>
      <c r="L249" s="60"/>
      <c r="M249" s="33"/>
      <c r="N249" s="60"/>
      <c r="O249" s="33"/>
      <c r="P249" s="60"/>
      <c r="Q249" s="33"/>
      <c r="R249" s="60"/>
      <c r="S249" s="33"/>
      <c r="T249" s="60"/>
      <c r="U249" s="33"/>
      <c r="V249" s="60"/>
      <c r="W249" s="33"/>
      <c r="X249" s="60"/>
      <c r="Y249" s="33"/>
      <c r="Z249" s="60"/>
      <c r="AA249" s="33"/>
      <c r="AB249" s="60"/>
      <c r="AC249" s="33"/>
      <c r="AD249" s="60"/>
      <c r="AE249" s="33"/>
      <c r="AF249" s="60"/>
      <c r="AG249" s="33"/>
      <c r="AH249" s="60"/>
      <c r="AI249" s="33"/>
      <c r="AJ249" s="60"/>
      <c r="AK249" s="33"/>
      <c r="AL249" s="60"/>
      <c r="AM249" s="33"/>
      <c r="AN249" s="60"/>
      <c r="AO249" s="33"/>
      <c r="AP249" s="60"/>
      <c r="AQ249" s="33"/>
      <c r="AR249" s="60"/>
      <c r="AS249" s="33"/>
      <c r="AT249" s="59">
        <v>1.0</v>
      </c>
      <c r="AU249" s="33"/>
      <c r="AV249" s="60"/>
      <c r="AW249" s="33"/>
      <c r="AX249" s="59">
        <v>1.0</v>
      </c>
      <c r="AY249" s="33"/>
      <c r="AZ249" s="60"/>
      <c r="BA249" s="33"/>
      <c r="BB249" s="60"/>
      <c r="BC249" s="33"/>
      <c r="BD249" s="59">
        <v>1.0</v>
      </c>
      <c r="BE249" s="33"/>
      <c r="BF249" s="60"/>
      <c r="BG249" s="33"/>
      <c r="BH249" s="60"/>
      <c r="BI249" s="33"/>
      <c r="BJ249" s="60"/>
      <c r="BK249" s="33"/>
      <c r="BL249" s="60"/>
      <c r="BM249" s="33"/>
      <c r="BN249" s="60"/>
      <c r="BO249" s="33"/>
    </row>
    <row r="250" hidden="1" outlineLevel="1">
      <c r="A250" s="42" t="str">
        <f>B250&amp;D250</f>
        <v>DecemberGANESH</v>
      </c>
      <c r="B250" s="43" t="s">
        <v>40</v>
      </c>
      <c r="C250" s="43" t="s">
        <v>18</v>
      </c>
      <c r="D250" s="44" t="str">
        <f>IFERROR(VLOOKUP(C250,'Employees List'!$B$2:$C$28,2,0),"")</f>
        <v>GANESH</v>
      </c>
      <c r="E250" s="70">
        <f>(F250+G250+H250+I250+J250+K250+L250+M250+N250+O250+P250+Q250+R250+S250+T250+U250+V250+W250+X250+Y250+Z250+AA250+AB250+AC250+AD250+AE250+AF250+AG250+AH250+AI250+AJ250+AK250+AL250+AM250+AN250+AO250+AP250+AQ250+AR250+AS250+AT250+AU250+AV250+AW250+AX250+AY250+AZ250+BA250+BB250+BC250+BD250+BE250+BF250+BG250+BH250+BI250+BJ250+BK250+BL250+BM250+BN250+BO250)/2</f>
        <v>31</v>
      </c>
      <c r="F250" s="54" t="b">
        <v>1</v>
      </c>
      <c r="G250" s="54" t="b">
        <v>1</v>
      </c>
      <c r="H250" s="54" t="b">
        <v>1</v>
      </c>
      <c r="I250" s="54" t="b">
        <v>1</v>
      </c>
      <c r="J250" s="54" t="b">
        <v>1</v>
      </c>
      <c r="K250" s="54" t="b">
        <v>1</v>
      </c>
      <c r="L250" s="54" t="b">
        <v>1</v>
      </c>
      <c r="M250" s="54" t="b">
        <v>1</v>
      </c>
      <c r="N250" s="54" t="b">
        <v>1</v>
      </c>
      <c r="O250" s="54" t="b">
        <v>1</v>
      </c>
      <c r="P250" s="54" t="b">
        <v>1</v>
      </c>
      <c r="Q250" s="54" t="b">
        <v>1</v>
      </c>
      <c r="R250" s="54" t="b">
        <v>1</v>
      </c>
      <c r="S250" s="54" t="b">
        <v>1</v>
      </c>
      <c r="T250" s="54" t="b">
        <v>1</v>
      </c>
      <c r="U250" s="54" t="b">
        <v>1</v>
      </c>
      <c r="V250" s="54" t="b">
        <v>1</v>
      </c>
      <c r="W250" s="54" t="b">
        <v>1</v>
      </c>
      <c r="X250" s="54" t="b">
        <v>1</v>
      </c>
      <c r="Y250" s="54" t="b">
        <v>1</v>
      </c>
      <c r="Z250" s="54" t="b">
        <v>1</v>
      </c>
      <c r="AA250" s="54" t="b">
        <v>1</v>
      </c>
      <c r="AB250" s="54" t="b">
        <v>1</v>
      </c>
      <c r="AC250" s="54" t="b">
        <v>1</v>
      </c>
      <c r="AD250" s="54" t="b">
        <v>1</v>
      </c>
      <c r="AE250" s="54" t="b">
        <v>1</v>
      </c>
      <c r="AF250" s="54" t="b">
        <v>1</v>
      </c>
      <c r="AG250" s="54" t="b">
        <v>1</v>
      </c>
      <c r="AH250" s="54" t="b">
        <v>1</v>
      </c>
      <c r="AI250" s="54" t="b">
        <v>1</v>
      </c>
      <c r="AJ250" s="54" t="b">
        <v>1</v>
      </c>
      <c r="AK250" s="54" t="b">
        <v>1</v>
      </c>
      <c r="AL250" s="54" t="b">
        <v>1</v>
      </c>
      <c r="AM250" s="54" t="b">
        <v>1</v>
      </c>
      <c r="AN250" s="54" t="b">
        <v>1</v>
      </c>
      <c r="AO250" s="54" t="b">
        <v>1</v>
      </c>
      <c r="AP250" s="54" t="b">
        <v>1</v>
      </c>
      <c r="AQ250" s="54" t="b">
        <v>1</v>
      </c>
      <c r="AR250" s="54" t="b">
        <v>1</v>
      </c>
      <c r="AS250" s="54" t="b">
        <v>1</v>
      </c>
      <c r="AT250" s="54" t="b">
        <v>1</v>
      </c>
      <c r="AU250" s="54" t="b">
        <v>1</v>
      </c>
      <c r="AV250" s="54" t="b">
        <v>1</v>
      </c>
      <c r="AW250" s="54" t="b">
        <v>1</v>
      </c>
      <c r="AX250" s="54" t="b">
        <v>1</v>
      </c>
      <c r="AY250" s="54" t="b">
        <v>1</v>
      </c>
      <c r="AZ250" s="54" t="b">
        <v>1</v>
      </c>
      <c r="BA250" s="54" t="b">
        <v>1</v>
      </c>
      <c r="BB250" s="54" t="b">
        <v>1</v>
      </c>
      <c r="BC250" s="54" t="b">
        <v>1</v>
      </c>
      <c r="BD250" s="54" t="b">
        <v>1</v>
      </c>
      <c r="BE250" s="54" t="b">
        <v>1</v>
      </c>
      <c r="BF250" s="54" t="b">
        <v>1</v>
      </c>
      <c r="BG250" s="54" t="b">
        <v>1</v>
      </c>
      <c r="BH250" s="54" t="b">
        <v>1</v>
      </c>
      <c r="BI250" s="54" t="b">
        <v>1</v>
      </c>
      <c r="BJ250" s="54" t="b">
        <v>1</v>
      </c>
      <c r="BK250" s="54" t="b">
        <v>1</v>
      </c>
      <c r="BL250" s="54" t="b">
        <v>1</v>
      </c>
      <c r="BM250" s="54" t="b">
        <v>1</v>
      </c>
      <c r="BN250" s="54" t="b">
        <v>1</v>
      </c>
      <c r="BO250" s="54" t="b">
        <v>1</v>
      </c>
    </row>
    <row r="251" hidden="1" outlineLevel="1">
      <c r="A251" s="47" t="str">
        <f>A250&amp;C251</f>
        <v>DecemberGANESHOT HOURS</v>
      </c>
      <c r="B251" s="48"/>
      <c r="C251" s="49" t="s">
        <v>120</v>
      </c>
      <c r="D251" s="33"/>
      <c r="E251" s="70">
        <f>(F251+G251+H251+I251+J251+K251+L251+M251+N251+O251+P251+Q251+R251+S251+T251+U251+V251+W251+X251+Y251+Z251+AA251+AB251+AC251+AD251+AE251+AF251+AG251+AH251+AI251+AJ251+AK251+AL251+AM251+AN251+AO251+AP251+AQ251+AR251+AS251+AT251+AU251+AV251+AW251+AX251+AY251+AZ251+BA251+BB251+BC251+BD251+BE251+BF251+BG251+BH251+BI251+BJ251+BK251+BL251+BM251+BN251+BO251)</f>
        <v>14</v>
      </c>
      <c r="F251" s="59"/>
      <c r="G251" s="33"/>
      <c r="H251" s="59"/>
      <c r="I251" s="33"/>
      <c r="J251" s="59"/>
      <c r="K251" s="33"/>
      <c r="L251" s="60"/>
      <c r="M251" s="33"/>
      <c r="N251" s="60"/>
      <c r="O251" s="33"/>
      <c r="P251" s="60"/>
      <c r="Q251" s="33"/>
      <c r="R251" s="60"/>
      <c r="S251" s="33"/>
      <c r="T251" s="59"/>
      <c r="U251" s="33"/>
      <c r="V251" s="60"/>
      <c r="W251" s="33"/>
      <c r="X251" s="60"/>
      <c r="Y251" s="33"/>
      <c r="Z251" s="60"/>
      <c r="AA251" s="33"/>
      <c r="AB251" s="60"/>
      <c r="AC251" s="33"/>
      <c r="AD251" s="60"/>
      <c r="AE251" s="33"/>
      <c r="AF251" s="60"/>
      <c r="AG251" s="33"/>
      <c r="AH251" s="60"/>
      <c r="AI251" s="33"/>
      <c r="AJ251" s="60"/>
      <c r="AK251" s="33"/>
      <c r="AL251" s="60"/>
      <c r="AM251" s="33"/>
      <c r="AN251" s="60"/>
      <c r="AO251" s="33"/>
      <c r="AP251" s="60"/>
      <c r="AQ251" s="33"/>
      <c r="AR251" s="59">
        <v>1.0</v>
      </c>
      <c r="AS251" s="33"/>
      <c r="AT251" s="59">
        <v>2.0</v>
      </c>
      <c r="AU251" s="33"/>
      <c r="AV251" s="60"/>
      <c r="AW251" s="33"/>
      <c r="AX251" s="59">
        <v>2.0</v>
      </c>
      <c r="AY251" s="33"/>
      <c r="AZ251" s="60"/>
      <c r="BA251" s="33"/>
      <c r="BB251" s="60"/>
      <c r="BC251" s="33"/>
      <c r="BD251" s="60"/>
      <c r="BE251" s="33"/>
      <c r="BF251" s="59">
        <v>2.0</v>
      </c>
      <c r="BG251" s="33"/>
      <c r="BH251" s="59">
        <v>3.0</v>
      </c>
      <c r="BI251" s="33"/>
      <c r="BJ251" s="60"/>
      <c r="BK251" s="33"/>
      <c r="BL251" s="59">
        <v>2.0</v>
      </c>
      <c r="BM251" s="33"/>
      <c r="BN251" s="59">
        <v>2.0</v>
      </c>
      <c r="BO251" s="33"/>
    </row>
    <row r="252" hidden="1" outlineLevel="1">
      <c r="A252" s="66" t="str">
        <f>B252&amp;D252</f>
        <v>DecemberADHIKARI BALIA</v>
      </c>
      <c r="B252" s="67" t="s">
        <v>40</v>
      </c>
      <c r="C252" s="77" t="s">
        <v>22</v>
      </c>
      <c r="D252" s="69" t="str">
        <f>IFERROR(VLOOKUP(C252,'Employees List'!$B$2:$C$28,2,0),"")</f>
        <v>ADHIKARI BALIA</v>
      </c>
      <c r="E252" s="70">
        <f>(F252+G252+H252+I252+J252+K252+L252+M252+N252+O252+P252+Q252+R252+S252+T252+U252+V252+W252+X252+Y252+Z252+AA252+AB252+AC252+AD252+AE252+AF252+AG252+AH252+AI252+AJ252+AK252+AL252+AM252+AN252+AO252+AP252+AQ252+AR252+AS252+AT252+AU252+AV252+AW252+AX252+AY252+AZ252+BA252+BB252+BC252+BD252+BE252+BF252+BG252+BH252+BI252+BJ252+BK252+BL252+BM252+BN252+BO252)/2</f>
        <v>24.5</v>
      </c>
      <c r="F252" s="54" t="b">
        <v>1</v>
      </c>
      <c r="G252" s="54" t="b">
        <v>1</v>
      </c>
      <c r="H252" s="54" t="b">
        <v>1</v>
      </c>
      <c r="I252" s="54" t="b">
        <v>1</v>
      </c>
      <c r="J252" s="54" t="b">
        <v>1</v>
      </c>
      <c r="K252" s="54" t="b">
        <v>1</v>
      </c>
      <c r="L252" s="54" t="b">
        <v>1</v>
      </c>
      <c r="M252" s="54" t="b">
        <v>1</v>
      </c>
      <c r="N252" s="54" t="b">
        <v>1</v>
      </c>
      <c r="O252" s="54" t="b">
        <v>1</v>
      </c>
      <c r="P252" s="54" t="b">
        <v>1</v>
      </c>
      <c r="Q252" s="54" t="b">
        <v>1</v>
      </c>
      <c r="R252" s="54" t="b">
        <v>1</v>
      </c>
      <c r="S252" s="54" t="b">
        <v>1</v>
      </c>
      <c r="T252" s="54" t="b">
        <v>1</v>
      </c>
      <c r="U252" s="54" t="b">
        <v>1</v>
      </c>
      <c r="V252" s="54" t="b">
        <v>1</v>
      </c>
      <c r="W252" s="54" t="b">
        <v>1</v>
      </c>
      <c r="X252" s="54" t="b">
        <v>1</v>
      </c>
      <c r="Y252" s="54" t="b">
        <v>1</v>
      </c>
      <c r="Z252" s="54" t="b">
        <v>1</v>
      </c>
      <c r="AA252" s="54" t="b">
        <v>1</v>
      </c>
      <c r="AB252" s="54" t="b">
        <v>1</v>
      </c>
      <c r="AC252" s="54" t="b">
        <v>1</v>
      </c>
      <c r="AD252" s="54" t="b">
        <v>1</v>
      </c>
      <c r="AE252" s="54" t="b">
        <v>1</v>
      </c>
      <c r="AF252" s="54" t="b">
        <v>1</v>
      </c>
      <c r="AG252" s="54" t="b">
        <v>1</v>
      </c>
      <c r="AH252" s="54" t="b">
        <v>1</v>
      </c>
      <c r="AI252" s="54" t="b">
        <v>1</v>
      </c>
      <c r="AJ252" s="54" t="b">
        <v>1</v>
      </c>
      <c r="AK252" s="54" t="b">
        <v>1</v>
      </c>
      <c r="AL252" s="54" t="b">
        <v>1</v>
      </c>
      <c r="AM252" s="54" t="b">
        <v>1</v>
      </c>
      <c r="AN252" s="54" t="b">
        <v>1</v>
      </c>
      <c r="AO252" s="54" t="b">
        <v>1</v>
      </c>
      <c r="AP252" s="54" t="b">
        <v>1</v>
      </c>
      <c r="AQ252" s="54" t="b">
        <v>1</v>
      </c>
      <c r="AR252" s="54" t="b">
        <v>1</v>
      </c>
      <c r="AS252" s="54" t="b">
        <v>1</v>
      </c>
      <c r="AT252" s="54" t="b">
        <v>1</v>
      </c>
      <c r="AU252" s="54" t="b">
        <v>1</v>
      </c>
      <c r="AV252" s="54" t="b">
        <v>1</v>
      </c>
      <c r="AW252" s="54" t="b">
        <v>1</v>
      </c>
      <c r="AX252" s="54" t="b">
        <v>1</v>
      </c>
      <c r="AY252" s="54" t="b">
        <v>1</v>
      </c>
      <c r="AZ252" s="54" t="b">
        <v>1</v>
      </c>
      <c r="BA252" s="54" t="b">
        <v>1</v>
      </c>
      <c r="BB252" s="54" t="b">
        <v>1</v>
      </c>
      <c r="BC252" s="54" t="b">
        <v>0</v>
      </c>
      <c r="BD252" s="54" t="b">
        <v>0</v>
      </c>
      <c r="BE252" s="54" t="b">
        <v>0</v>
      </c>
      <c r="BF252" s="54" t="b">
        <v>0</v>
      </c>
      <c r="BG252" s="54" t="b">
        <v>0</v>
      </c>
      <c r="BH252" s="54" t="b">
        <v>0</v>
      </c>
      <c r="BI252" s="54" t="b">
        <v>0</v>
      </c>
      <c r="BJ252" s="54" t="b">
        <v>0</v>
      </c>
      <c r="BK252" s="54" t="b">
        <v>0</v>
      </c>
      <c r="BL252" s="54" t="b">
        <v>0</v>
      </c>
      <c r="BM252" s="54" t="b">
        <v>0</v>
      </c>
      <c r="BN252" s="54" t="b">
        <v>0</v>
      </c>
      <c r="BO252" s="54" t="b">
        <v>0</v>
      </c>
    </row>
    <row r="253" hidden="1" outlineLevel="1">
      <c r="A253" s="71" t="str">
        <f>A252&amp;C253</f>
        <v>DecemberADHIKARI BALIAOT HOURS</v>
      </c>
      <c r="B253" s="72"/>
      <c r="C253" s="73" t="s">
        <v>120</v>
      </c>
      <c r="D253" s="33"/>
      <c r="E253" s="70">
        <f>(F253+G253+H253+I253+J253+K253+L253+M253+N253+O253+P253+Q253+R253+S253+T253+U253+V253+W253+X253+Y253+Z253+AA253+AB253+AC253+AD253+AE253+AF253+AG253+AH253+AI253+AJ253+AK253+AL253+AM253+AN253+AO253+AP253+AQ253+AR253+AS253+AT253+AU253+AV253+AW253+AX253+AY253+AZ253+BA253+BB253+BC253+BD253+BE253+BF253+BG253+BH253+BI253+BJ253+BK253+BL253+BM253+BN253+BO253)</f>
        <v>20</v>
      </c>
      <c r="F253" s="59"/>
      <c r="G253" s="33"/>
      <c r="H253" s="59"/>
      <c r="I253" s="33"/>
      <c r="J253" s="59">
        <v>1.0</v>
      </c>
      <c r="K253" s="33"/>
      <c r="L253" s="59">
        <v>3.0</v>
      </c>
      <c r="M253" s="33"/>
      <c r="N253" s="59"/>
      <c r="O253" s="33"/>
      <c r="P253" s="59"/>
      <c r="Q253" s="33"/>
      <c r="R253" s="60"/>
      <c r="S253" s="33"/>
      <c r="T253" s="59"/>
      <c r="U253" s="33"/>
      <c r="V253" s="60"/>
      <c r="W253" s="33"/>
      <c r="X253" s="59"/>
      <c r="Y253" s="33"/>
      <c r="Z253" s="60"/>
      <c r="AA253" s="33"/>
      <c r="AB253" s="60"/>
      <c r="AC253" s="33"/>
      <c r="AD253" s="60"/>
      <c r="AE253" s="33"/>
      <c r="AF253" s="60"/>
      <c r="AG253" s="33"/>
      <c r="AH253" s="59">
        <v>1.0</v>
      </c>
      <c r="AI253" s="33"/>
      <c r="AJ253" s="60"/>
      <c r="AK253" s="33"/>
      <c r="AL253" s="59"/>
      <c r="AM253" s="33"/>
      <c r="AN253" s="60"/>
      <c r="AO253" s="33"/>
      <c r="AP253" s="59"/>
      <c r="AQ253" s="33"/>
      <c r="AR253" s="59">
        <v>3.0</v>
      </c>
      <c r="AS253" s="33"/>
      <c r="AT253" s="59">
        <v>2.0</v>
      </c>
      <c r="AU253" s="33"/>
      <c r="AV253" s="60"/>
      <c r="AW253" s="33"/>
      <c r="AX253" s="59">
        <v>4.0</v>
      </c>
      <c r="AY253" s="33"/>
      <c r="AZ253" s="59">
        <v>4.0</v>
      </c>
      <c r="BA253" s="33"/>
      <c r="BB253" s="59">
        <v>2.0</v>
      </c>
      <c r="BC253" s="33"/>
      <c r="BD253" s="60"/>
      <c r="BE253" s="33"/>
      <c r="BF253" s="60"/>
      <c r="BG253" s="33"/>
      <c r="BH253" s="60"/>
      <c r="BI253" s="33"/>
      <c r="BJ253" s="60"/>
      <c r="BK253" s="33"/>
      <c r="BL253" s="60"/>
      <c r="BM253" s="33"/>
      <c r="BN253" s="60"/>
      <c r="BO253" s="33"/>
    </row>
    <row r="254" hidden="1" outlineLevel="1">
      <c r="A254" s="66" t="str">
        <f>B254&amp;D254</f>
        <v>DecemberRUPESH</v>
      </c>
      <c r="B254" s="67" t="s">
        <v>40</v>
      </c>
      <c r="C254" s="77" t="s">
        <v>26</v>
      </c>
      <c r="D254" s="69" t="str">
        <f>IFERROR(VLOOKUP(C254,'Employees List'!$B$2:$C$28,2,0),"")</f>
        <v>RUPESH</v>
      </c>
      <c r="E254" s="70">
        <f>(F254+G254+H254+I254+J254+K254+L254+M254+N254+O254+P254+Q254+R254+S254+T254+U254+V254+W254+X254+Y254+Z254+AA254+AB254+AC254+AD254+AE254+AF254+AG254+AH254+AI254+AJ254+AK254+AL254+AM254+AN254+AO254+AP254+AQ254+AR254+AS254+AT254+AU254+AV254+AW254+AX254+AY254+AZ254+BA254+BB254+BC254+BD254+BE254+BF254+BG254+BH254+BI254+BJ254+BK254+BL254+BM254+BN254+BO254)/2</f>
        <v>24.5</v>
      </c>
      <c r="F254" s="54" t="b">
        <v>1</v>
      </c>
      <c r="G254" s="54" t="b">
        <v>1</v>
      </c>
      <c r="H254" s="54" t="b">
        <v>1</v>
      </c>
      <c r="I254" s="54" t="b">
        <v>1</v>
      </c>
      <c r="J254" s="54" t="b">
        <v>1</v>
      </c>
      <c r="K254" s="54" t="b">
        <v>1</v>
      </c>
      <c r="L254" s="54" t="b">
        <v>1</v>
      </c>
      <c r="M254" s="54" t="b">
        <v>1</v>
      </c>
      <c r="N254" s="54" t="b">
        <v>1</v>
      </c>
      <c r="O254" s="54" t="b">
        <v>1</v>
      </c>
      <c r="P254" s="54" t="b">
        <v>1</v>
      </c>
      <c r="Q254" s="54" t="b">
        <v>1</v>
      </c>
      <c r="R254" s="54" t="b">
        <v>1</v>
      </c>
      <c r="S254" s="54" t="b">
        <v>1</v>
      </c>
      <c r="T254" s="54" t="b">
        <v>1</v>
      </c>
      <c r="U254" s="54" t="b">
        <v>1</v>
      </c>
      <c r="V254" s="54" t="b">
        <v>1</v>
      </c>
      <c r="W254" s="54" t="b">
        <v>1</v>
      </c>
      <c r="X254" s="54" t="b">
        <v>1</v>
      </c>
      <c r="Y254" s="54" t="b">
        <v>1</v>
      </c>
      <c r="Z254" s="54" t="b">
        <v>1</v>
      </c>
      <c r="AA254" s="54" t="b">
        <v>1</v>
      </c>
      <c r="AB254" s="54" t="b">
        <v>1</v>
      </c>
      <c r="AC254" s="54" t="b">
        <v>1</v>
      </c>
      <c r="AD254" s="54" t="b">
        <v>1</v>
      </c>
      <c r="AE254" s="54" t="b">
        <v>1</v>
      </c>
      <c r="AF254" s="54" t="b">
        <v>1</v>
      </c>
      <c r="AG254" s="54" t="b">
        <v>1</v>
      </c>
      <c r="AH254" s="54" t="b">
        <v>1</v>
      </c>
      <c r="AI254" s="54" t="b">
        <v>1</v>
      </c>
      <c r="AJ254" s="54" t="b">
        <v>1</v>
      </c>
      <c r="AK254" s="54" t="b">
        <v>1</v>
      </c>
      <c r="AL254" s="54" t="b">
        <v>1</v>
      </c>
      <c r="AM254" s="54" t="b">
        <v>1</v>
      </c>
      <c r="AN254" s="54" t="b">
        <v>1</v>
      </c>
      <c r="AO254" s="54" t="b">
        <v>1</v>
      </c>
      <c r="AP254" s="54" t="b">
        <v>1</v>
      </c>
      <c r="AQ254" s="54" t="b">
        <v>1</v>
      </c>
      <c r="AR254" s="54" t="b">
        <v>1</v>
      </c>
      <c r="AS254" s="54" t="b">
        <v>1</v>
      </c>
      <c r="AT254" s="54" t="b">
        <v>1</v>
      </c>
      <c r="AU254" s="54" t="b">
        <v>1</v>
      </c>
      <c r="AV254" s="54" t="b">
        <v>1</v>
      </c>
      <c r="AW254" s="54" t="b">
        <v>1</v>
      </c>
      <c r="AX254" s="54" t="b">
        <v>1</v>
      </c>
      <c r="AY254" s="54" t="b">
        <v>1</v>
      </c>
      <c r="AZ254" s="54" t="b">
        <v>1</v>
      </c>
      <c r="BA254" s="54" t="b">
        <v>1</v>
      </c>
      <c r="BB254" s="54" t="b">
        <v>1</v>
      </c>
      <c r="BC254" s="54" t="b">
        <v>0</v>
      </c>
      <c r="BD254" s="54" t="b">
        <v>0</v>
      </c>
      <c r="BE254" s="54" t="b">
        <v>0</v>
      </c>
      <c r="BF254" s="54" t="b">
        <v>0</v>
      </c>
      <c r="BG254" s="54" t="b">
        <v>0</v>
      </c>
      <c r="BH254" s="54" t="b">
        <v>0</v>
      </c>
      <c r="BI254" s="54" t="b">
        <v>0</v>
      </c>
      <c r="BJ254" s="54" t="b">
        <v>0</v>
      </c>
      <c r="BK254" s="54" t="b">
        <v>0</v>
      </c>
      <c r="BL254" s="54" t="b">
        <v>0</v>
      </c>
      <c r="BM254" s="54" t="b">
        <v>0</v>
      </c>
      <c r="BN254" s="54" t="b">
        <v>0</v>
      </c>
      <c r="BO254" s="54" t="b">
        <v>0</v>
      </c>
    </row>
    <row r="255" hidden="1" outlineLevel="1">
      <c r="A255" s="71" t="str">
        <f>A254&amp;C255</f>
        <v>DecemberRUPESHOT HOURS</v>
      </c>
      <c r="B255" s="72"/>
      <c r="C255" s="73" t="s">
        <v>120</v>
      </c>
      <c r="D255" s="33"/>
      <c r="E255" s="70">
        <f>(F255+G255+H255+I255+J255+K255+L255+M255+N255+O255+P255+Q255+R255+S255+T255+U255+V255+W255+X255+Y255+Z255+AA255+AB255+AC255+AD255+AE255+AF255+AG255+AH255+AI255+AJ255+AK255+AL255+AM255+AN255+AO255+AP255+AQ255+AR255+AS255+AT255+AU255+AV255+AW255+AX255+AY255+AZ255+BA255+BB255+BC255+BD255+BE255+BF255+BG255+BH255+BI255+BJ255+BK255+BL255+BM255+BN255+BO255)</f>
        <v>35</v>
      </c>
      <c r="F255" s="59">
        <v>3.0</v>
      </c>
      <c r="G255" s="33"/>
      <c r="H255" s="59">
        <v>4.0</v>
      </c>
      <c r="I255" s="33"/>
      <c r="J255" s="59">
        <v>3.0</v>
      </c>
      <c r="K255" s="33"/>
      <c r="L255" s="60"/>
      <c r="M255" s="33"/>
      <c r="N255" s="59"/>
      <c r="O255" s="33"/>
      <c r="P255" s="59"/>
      <c r="Q255" s="33"/>
      <c r="R255" s="60"/>
      <c r="S255" s="33"/>
      <c r="T255" s="59"/>
      <c r="U255" s="33"/>
      <c r="V255" s="60"/>
      <c r="W255" s="33"/>
      <c r="X255" s="59"/>
      <c r="Y255" s="33"/>
      <c r="Z255" s="59"/>
      <c r="AA255" s="33"/>
      <c r="AB255" s="59">
        <v>3.0</v>
      </c>
      <c r="AC255" s="33"/>
      <c r="AD255" s="59">
        <v>1.0</v>
      </c>
      <c r="AE255" s="33"/>
      <c r="AF255" s="60"/>
      <c r="AG255" s="33"/>
      <c r="AH255" s="59">
        <v>3.0</v>
      </c>
      <c r="AI255" s="33"/>
      <c r="AJ255" s="60"/>
      <c r="AK255" s="33"/>
      <c r="AL255" s="59">
        <v>2.0</v>
      </c>
      <c r="AM255" s="33"/>
      <c r="AN255" s="60"/>
      <c r="AO255" s="33"/>
      <c r="AP255" s="59"/>
      <c r="AQ255" s="33"/>
      <c r="AR255" s="59">
        <v>3.0</v>
      </c>
      <c r="AS255" s="33"/>
      <c r="AT255" s="59">
        <v>3.0</v>
      </c>
      <c r="AU255" s="33"/>
      <c r="AV255" s="60"/>
      <c r="AW255" s="33"/>
      <c r="AX255" s="59">
        <v>4.0</v>
      </c>
      <c r="AY255" s="33"/>
      <c r="AZ255" s="59">
        <v>4.0</v>
      </c>
      <c r="BA255" s="33"/>
      <c r="BB255" s="59">
        <v>2.0</v>
      </c>
      <c r="BC255" s="33"/>
      <c r="BD255" s="60"/>
      <c r="BE255" s="33"/>
      <c r="BF255" s="60"/>
      <c r="BG255" s="33"/>
      <c r="BH255" s="60"/>
      <c r="BI255" s="33"/>
      <c r="BJ255" s="60"/>
      <c r="BK255" s="33"/>
      <c r="BL255" s="60"/>
      <c r="BM255" s="33"/>
      <c r="BN255" s="60"/>
      <c r="BO255" s="33"/>
    </row>
    <row r="256" hidden="1" outlineLevel="1">
      <c r="A256" s="66" t="str">
        <f>B256&amp;D256</f>
        <v>DecemberSANJAI BHAGAT</v>
      </c>
      <c r="B256" s="67" t="s">
        <v>40</v>
      </c>
      <c r="C256" s="77" t="s">
        <v>30</v>
      </c>
      <c r="D256" s="69" t="str">
        <f>IFERROR(VLOOKUP(C256,'Employees List'!$B$2:$C$28,2,0),"")</f>
        <v>SANJAI BHAGAT</v>
      </c>
      <c r="E256" s="70">
        <f>(F256+G256+H256+I256+J256+K256+L256+M256+N256+O256+P256+Q256+R256+S256+T256+U256+V256+W256+X256+Y256+Z256+AA256+AB256+AC256+AD256+AE256+AF256+AG256+AH256+AI256+AJ256+AK256+AL256+AM256+AN256+AO256+AP256+AQ256+AR256+AS256+AT256+AU256+AV256+AW256+AX256+AY256+AZ256+BA256+BB256+BC256+BD256+BE256+BF256+BG256+BH256+BI256+BJ256+BK256+BL256+BM256+BN256+BO256)/2</f>
        <v>24.5</v>
      </c>
      <c r="F256" s="54" t="b">
        <v>1</v>
      </c>
      <c r="G256" s="54" t="b">
        <v>1</v>
      </c>
      <c r="H256" s="54" t="b">
        <v>1</v>
      </c>
      <c r="I256" s="54" t="b">
        <v>1</v>
      </c>
      <c r="J256" s="54" t="b">
        <v>1</v>
      </c>
      <c r="K256" s="54" t="b">
        <v>1</v>
      </c>
      <c r="L256" s="54" t="b">
        <v>1</v>
      </c>
      <c r="M256" s="54" t="b">
        <v>1</v>
      </c>
      <c r="N256" s="54" t="b">
        <v>1</v>
      </c>
      <c r="O256" s="54" t="b">
        <v>1</v>
      </c>
      <c r="P256" s="54" t="b">
        <v>1</v>
      </c>
      <c r="Q256" s="54" t="b">
        <v>1</v>
      </c>
      <c r="R256" s="54" t="b">
        <v>1</v>
      </c>
      <c r="S256" s="54" t="b">
        <v>1</v>
      </c>
      <c r="T256" s="54" t="b">
        <v>1</v>
      </c>
      <c r="U256" s="54" t="b">
        <v>1</v>
      </c>
      <c r="V256" s="54" t="b">
        <v>1</v>
      </c>
      <c r="W256" s="54" t="b">
        <v>1</v>
      </c>
      <c r="X256" s="54" t="b">
        <v>1</v>
      </c>
      <c r="Y256" s="54" t="b">
        <v>1</v>
      </c>
      <c r="Z256" s="54" t="b">
        <v>1</v>
      </c>
      <c r="AA256" s="54" t="b">
        <v>1</v>
      </c>
      <c r="AB256" s="54" t="b">
        <v>1</v>
      </c>
      <c r="AC256" s="54" t="b">
        <v>1</v>
      </c>
      <c r="AD256" s="54" t="b">
        <v>1</v>
      </c>
      <c r="AE256" s="54" t="b">
        <v>1</v>
      </c>
      <c r="AF256" s="54" t="b">
        <v>1</v>
      </c>
      <c r="AG256" s="54" t="b">
        <v>1</v>
      </c>
      <c r="AH256" s="54" t="b">
        <v>1</v>
      </c>
      <c r="AI256" s="54" t="b">
        <v>1</v>
      </c>
      <c r="AJ256" s="54" t="b">
        <v>1</v>
      </c>
      <c r="AK256" s="54" t="b">
        <v>1</v>
      </c>
      <c r="AL256" s="54" t="b">
        <v>1</v>
      </c>
      <c r="AM256" s="54" t="b">
        <v>1</v>
      </c>
      <c r="AN256" s="54" t="b">
        <v>1</v>
      </c>
      <c r="AO256" s="54" t="b">
        <v>1</v>
      </c>
      <c r="AP256" s="54" t="b">
        <v>1</v>
      </c>
      <c r="AQ256" s="54" t="b">
        <v>1</v>
      </c>
      <c r="AR256" s="54" t="b">
        <v>1</v>
      </c>
      <c r="AS256" s="54" t="b">
        <v>1</v>
      </c>
      <c r="AT256" s="54" t="b">
        <v>1</v>
      </c>
      <c r="AU256" s="54" t="b">
        <v>1</v>
      </c>
      <c r="AV256" s="54" t="b">
        <v>1</v>
      </c>
      <c r="AW256" s="54" t="b">
        <v>1</v>
      </c>
      <c r="AX256" s="54" t="b">
        <v>1</v>
      </c>
      <c r="AY256" s="54" t="b">
        <v>1</v>
      </c>
      <c r="AZ256" s="54" t="b">
        <v>1</v>
      </c>
      <c r="BA256" s="54" t="b">
        <v>1</v>
      </c>
      <c r="BB256" s="54" t="b">
        <v>1</v>
      </c>
      <c r="BC256" s="54" t="b">
        <v>0</v>
      </c>
      <c r="BD256" s="54" t="b">
        <v>0</v>
      </c>
      <c r="BE256" s="54" t="b">
        <v>0</v>
      </c>
      <c r="BF256" s="54" t="b">
        <v>0</v>
      </c>
      <c r="BG256" s="54" t="b">
        <v>0</v>
      </c>
      <c r="BH256" s="54" t="b">
        <v>0</v>
      </c>
      <c r="BI256" s="54" t="b">
        <v>0</v>
      </c>
      <c r="BJ256" s="54" t="b">
        <v>0</v>
      </c>
      <c r="BK256" s="54" t="b">
        <v>0</v>
      </c>
      <c r="BL256" s="54" t="b">
        <v>0</v>
      </c>
      <c r="BM256" s="54" t="b">
        <v>0</v>
      </c>
      <c r="BN256" s="54" t="b">
        <v>0</v>
      </c>
      <c r="BO256" s="54" t="b">
        <v>0</v>
      </c>
    </row>
    <row r="257" hidden="1" outlineLevel="1">
      <c r="A257" s="71" t="str">
        <f>A256&amp;C257</f>
        <v>DecemberSANJAI BHAGATOT HOURS</v>
      </c>
      <c r="B257" s="72"/>
      <c r="C257" s="73" t="s">
        <v>120</v>
      </c>
      <c r="D257" s="33"/>
      <c r="E257" s="70">
        <f>(F257+G257+H257+I257+J257+K257+L257+M257+N257+O257+P257+Q257+R257+S257+T257+U257+V257+W257+X257+Y257+Z257+AA257+AB257+AC257+AD257+AE257+AF257+AG257+AH257+AI257+AJ257+AK257+AL257+AM257+AN257+AO257+AP257+AQ257+AR257+AS257+AT257+AU257+AV257+AW257+AX257+AY257+AZ257+BA257+BB257+BC257+BD257+BE257+BF257+BG257+BH257+BI257+BJ257+BK257+BL257+BM257+BN257+BO257)</f>
        <v>36</v>
      </c>
      <c r="F257" s="59"/>
      <c r="G257" s="33"/>
      <c r="H257" s="59">
        <v>1.0</v>
      </c>
      <c r="I257" s="33"/>
      <c r="J257" s="59">
        <v>1.0</v>
      </c>
      <c r="K257" s="33"/>
      <c r="L257" s="59">
        <v>3.0</v>
      </c>
      <c r="M257" s="33"/>
      <c r="N257" s="60"/>
      <c r="O257" s="33"/>
      <c r="P257" s="60"/>
      <c r="Q257" s="33"/>
      <c r="R257" s="59">
        <v>3.0</v>
      </c>
      <c r="S257" s="33"/>
      <c r="T257" s="60"/>
      <c r="U257" s="33"/>
      <c r="V257" s="59">
        <v>1.0</v>
      </c>
      <c r="W257" s="33"/>
      <c r="X257" s="60"/>
      <c r="Y257" s="33"/>
      <c r="Z257" s="59">
        <v>2.0</v>
      </c>
      <c r="AA257" s="33"/>
      <c r="AB257" s="59">
        <v>3.0</v>
      </c>
      <c r="AC257" s="33"/>
      <c r="AD257" s="60"/>
      <c r="AE257" s="33"/>
      <c r="AF257" s="60"/>
      <c r="AG257" s="33"/>
      <c r="AH257" s="59">
        <v>3.0</v>
      </c>
      <c r="AI257" s="33"/>
      <c r="AJ257" s="60"/>
      <c r="AK257" s="33"/>
      <c r="AL257" s="60"/>
      <c r="AM257" s="33"/>
      <c r="AN257" s="59">
        <v>4.0</v>
      </c>
      <c r="AO257" s="33"/>
      <c r="AP257" s="60"/>
      <c r="AQ257" s="33"/>
      <c r="AR257" s="59">
        <v>3.0</v>
      </c>
      <c r="AS257" s="33"/>
      <c r="AT257" s="59">
        <v>2.0</v>
      </c>
      <c r="AU257" s="33"/>
      <c r="AV257" s="60"/>
      <c r="AW257" s="33"/>
      <c r="AX257" s="59">
        <v>4.0</v>
      </c>
      <c r="AY257" s="33"/>
      <c r="AZ257" s="59">
        <v>4.0</v>
      </c>
      <c r="BA257" s="33"/>
      <c r="BB257" s="59">
        <v>2.0</v>
      </c>
      <c r="BC257" s="33"/>
      <c r="BD257" s="60"/>
      <c r="BE257" s="33"/>
      <c r="BF257" s="60"/>
      <c r="BG257" s="33"/>
      <c r="BH257" s="60"/>
      <c r="BI257" s="33"/>
      <c r="BJ257" s="60"/>
      <c r="BK257" s="33"/>
      <c r="BL257" s="60"/>
      <c r="BM257" s="33"/>
      <c r="BN257" s="60"/>
      <c r="BO257" s="33"/>
    </row>
    <row r="258" hidden="1" outlineLevel="1">
      <c r="A258" s="66" t="str">
        <f>B258&amp;D258</f>
        <v>DecemberMathi</v>
      </c>
      <c r="B258" s="67" t="s">
        <v>40</v>
      </c>
      <c r="C258" s="68" t="s">
        <v>70</v>
      </c>
      <c r="D258" s="69" t="str">
        <f>IFERROR(VLOOKUP(C258,'Employees List'!$B$2:$C$28,2,0),"")</f>
        <v>Mathi</v>
      </c>
      <c r="E258" s="70">
        <f>(F258+G258+H258+I258+J258+K258+L258+M258+N258+O258+P258+Q258+R258+S258+T258+U258+V258+W258+X258+Y258+Z258+AA258+AB258+AC258+AD258+AE258+AF258+AG258+AH258+AI258+AJ258+AK258+AL258+AM258+AN258+AO258+AP258+AQ258+AR258+AS258+AT258+AU258+AV258+AW258+AX258+AY258+AZ258+BA258+BB258+BC258+BD258+BE258+BF258+BG258+BH258+BI258+BJ258+BK258+BL258+BM258+BN258+BO258)/2</f>
        <v>29.5</v>
      </c>
      <c r="F258" s="54" t="b">
        <v>1</v>
      </c>
      <c r="G258" s="54" t="b">
        <v>1</v>
      </c>
      <c r="H258" s="54" t="b">
        <v>1</v>
      </c>
      <c r="I258" s="54" t="b">
        <v>1</v>
      </c>
      <c r="J258" s="54" t="b">
        <v>1</v>
      </c>
      <c r="K258" s="54" t="b">
        <v>1</v>
      </c>
      <c r="L258" s="54" t="b">
        <v>1</v>
      </c>
      <c r="M258" s="54" t="b">
        <v>1</v>
      </c>
      <c r="N258" s="54" t="b">
        <v>1</v>
      </c>
      <c r="O258" s="54" t="b">
        <v>1</v>
      </c>
      <c r="P258" s="54" t="b">
        <v>1</v>
      </c>
      <c r="Q258" s="54" t="b">
        <v>1</v>
      </c>
      <c r="R258" s="54" t="b">
        <v>1</v>
      </c>
      <c r="S258" s="54" t="b">
        <v>1</v>
      </c>
      <c r="T258" s="54" t="b">
        <v>1</v>
      </c>
      <c r="U258" s="54" t="b">
        <v>1</v>
      </c>
      <c r="V258" s="54" t="b">
        <v>0</v>
      </c>
      <c r="W258" s="54" t="b">
        <v>0</v>
      </c>
      <c r="X258" s="54" t="b">
        <v>1</v>
      </c>
      <c r="Y258" s="54" t="b">
        <v>1</v>
      </c>
      <c r="Z258" s="54" t="b">
        <v>1</v>
      </c>
      <c r="AA258" s="54" t="b">
        <v>1</v>
      </c>
      <c r="AB258" s="54" t="b">
        <v>1</v>
      </c>
      <c r="AC258" s="54" t="b">
        <v>1</v>
      </c>
      <c r="AD258" s="54" t="b">
        <v>1</v>
      </c>
      <c r="AE258" s="54" t="b">
        <v>1</v>
      </c>
      <c r="AF258" s="54" t="b">
        <v>1</v>
      </c>
      <c r="AG258" s="54" t="b">
        <v>1</v>
      </c>
      <c r="AH258" s="54" t="b">
        <v>1</v>
      </c>
      <c r="AI258" s="54" t="b">
        <v>1</v>
      </c>
      <c r="AJ258" s="54" t="b">
        <v>1</v>
      </c>
      <c r="AK258" s="54" t="b">
        <v>0</v>
      </c>
      <c r="AL258" s="54" t="b">
        <v>1</v>
      </c>
      <c r="AM258" s="54" t="b">
        <v>1</v>
      </c>
      <c r="AN258" s="54" t="b">
        <v>1</v>
      </c>
      <c r="AO258" s="54" t="b">
        <v>1</v>
      </c>
      <c r="AP258" s="54" t="b">
        <v>1</v>
      </c>
      <c r="AQ258" s="54" t="b">
        <v>1</v>
      </c>
      <c r="AR258" s="54" t="b">
        <v>1</v>
      </c>
      <c r="AS258" s="54" t="b">
        <v>1</v>
      </c>
      <c r="AT258" s="54" t="b">
        <v>1</v>
      </c>
      <c r="AU258" s="54" t="b">
        <v>1</v>
      </c>
      <c r="AV258" s="54" t="b">
        <v>1</v>
      </c>
      <c r="AW258" s="54" t="b">
        <v>1</v>
      </c>
      <c r="AX258" s="54" t="b">
        <v>1</v>
      </c>
      <c r="AY258" s="54" t="b">
        <v>1</v>
      </c>
      <c r="AZ258" s="54" t="b">
        <v>1</v>
      </c>
      <c r="BA258" s="54" t="b">
        <v>1</v>
      </c>
      <c r="BB258" s="54" t="b">
        <v>1</v>
      </c>
      <c r="BC258" s="54" t="b">
        <v>1</v>
      </c>
      <c r="BD258" s="54" t="b">
        <v>1</v>
      </c>
      <c r="BE258" s="54" t="b">
        <v>1</v>
      </c>
      <c r="BF258" s="54" t="b">
        <v>1</v>
      </c>
      <c r="BG258" s="54" t="b">
        <v>1</v>
      </c>
      <c r="BH258" s="54" t="b">
        <v>1</v>
      </c>
      <c r="BI258" s="54" t="b">
        <v>1</v>
      </c>
      <c r="BJ258" s="54" t="b">
        <v>1</v>
      </c>
      <c r="BK258" s="54" t="b">
        <v>1</v>
      </c>
      <c r="BL258" s="54" t="b">
        <v>1</v>
      </c>
      <c r="BM258" s="54" t="b">
        <v>1</v>
      </c>
      <c r="BN258" s="54" t="b">
        <v>1</v>
      </c>
      <c r="BO258" s="54" t="b">
        <v>1</v>
      </c>
    </row>
    <row r="259" hidden="1" outlineLevel="1">
      <c r="A259" s="71" t="str">
        <f>A258&amp;C259</f>
        <v>DecemberMathiOT HOURS</v>
      </c>
      <c r="B259" s="72"/>
      <c r="C259" s="73" t="s">
        <v>120</v>
      </c>
      <c r="D259" s="33"/>
      <c r="E259" s="70">
        <f>(F259+G259+H259+I259+J259+K259+L259+M259+N259+O259+P259+Q259+R259+S259+T259+U259+V259+W259+X259+Y259+Z259+AA259+AB259+AC259+AD259+AE259+AF259+AG259+AH259+AI259+AJ259+AK259+AL259+AM259+AN259+AO259+AP259+AQ259+AR259+AS259+AT259+AU259+AV259+AW259+AX259+AY259+AZ259+BA259+BB259+BC259+BD259+BE259+BF259+BG259+BH259+BI259+BJ259+BK259+BL259+BM259+BN259+BO259)</f>
        <v>39</v>
      </c>
      <c r="F259" s="59"/>
      <c r="G259" s="33"/>
      <c r="H259" s="59">
        <v>3.0</v>
      </c>
      <c r="I259" s="33"/>
      <c r="J259" s="59">
        <v>2.0</v>
      </c>
      <c r="K259" s="33"/>
      <c r="L259" s="59">
        <v>3.0</v>
      </c>
      <c r="M259" s="33"/>
      <c r="N259" s="59"/>
      <c r="O259" s="33"/>
      <c r="P259" s="60"/>
      <c r="Q259" s="33"/>
      <c r="R259" s="59">
        <v>2.0</v>
      </c>
      <c r="S259" s="33"/>
      <c r="T259" s="59"/>
      <c r="U259" s="33"/>
      <c r="V259" s="59"/>
      <c r="W259" s="33"/>
      <c r="X259" s="59">
        <v>1.0</v>
      </c>
      <c r="Y259" s="33"/>
      <c r="Z259" s="60"/>
      <c r="AA259" s="33"/>
      <c r="AB259" s="60"/>
      <c r="AC259" s="33"/>
      <c r="AD259" s="60"/>
      <c r="AE259" s="33"/>
      <c r="AF259" s="59">
        <v>2.0</v>
      </c>
      <c r="AG259" s="33"/>
      <c r="AH259" s="59"/>
      <c r="AI259" s="33"/>
      <c r="AJ259" s="59"/>
      <c r="AK259" s="33"/>
      <c r="AL259" s="59">
        <v>1.0</v>
      </c>
      <c r="AM259" s="33"/>
      <c r="AN259" s="59">
        <v>3.0</v>
      </c>
      <c r="AO259" s="33"/>
      <c r="AP259" s="59">
        <v>2.0</v>
      </c>
      <c r="AQ259" s="33"/>
      <c r="AR259" s="59">
        <v>2.0</v>
      </c>
      <c r="AS259" s="33"/>
      <c r="AT259" s="59">
        <v>2.0</v>
      </c>
      <c r="AU259" s="33"/>
      <c r="AV259" s="60"/>
      <c r="AW259" s="33"/>
      <c r="AX259" s="59">
        <v>2.0</v>
      </c>
      <c r="AY259" s="33"/>
      <c r="AZ259" s="59">
        <v>3.0</v>
      </c>
      <c r="BA259" s="33"/>
      <c r="BB259" s="59">
        <v>2.0</v>
      </c>
      <c r="BC259" s="33"/>
      <c r="BD259" s="59">
        <v>2.0</v>
      </c>
      <c r="BE259" s="33"/>
      <c r="BF259" s="59">
        <v>2.0</v>
      </c>
      <c r="BG259" s="33"/>
      <c r="BH259" s="59">
        <v>2.0</v>
      </c>
      <c r="BI259" s="33"/>
      <c r="BJ259" s="60"/>
      <c r="BK259" s="33"/>
      <c r="BL259" s="59">
        <v>2.0</v>
      </c>
      <c r="BM259" s="33"/>
      <c r="BN259" s="59">
        <v>1.0</v>
      </c>
      <c r="BO259" s="33"/>
    </row>
    <row r="260" hidden="1" outlineLevel="1">
      <c r="A260" s="66" t="str">
        <f>B260&amp;D260</f>
        <v>DecemberSIDHESHWAR</v>
      </c>
      <c r="B260" s="67" t="s">
        <v>40</v>
      </c>
      <c r="C260" s="68" t="s">
        <v>77</v>
      </c>
      <c r="D260" s="69" t="str">
        <f>IFERROR(VLOOKUP(C260,'Employees List'!$B$2:$C$28,2,0),"")</f>
        <v>SIDHESHWAR</v>
      </c>
      <c r="E260" s="70">
        <f>(F260+G260+H260+I260+J260+K260+L260+M260+N260+O260+P260+Q260+R260+S260+T260+U260+V260+W260+X260+Y260+Z260+AA260+AB260+AC260+AD260+AE260+AF260+AG260+AH260+AI260+AJ260+AK260+AL260+AM260+AN260+AO260+AP260+AQ260+AR260+AS260+AT260+AU260+AV260+AW260+AX260+AY260+AZ260+BA260+BB260+BC260+BD260+BE260+BF260+BG260+BH260+BI260+BJ260+BK260+BL260+BM260+BN260+BO260)/2</f>
        <v>17</v>
      </c>
      <c r="F260" s="54" t="b">
        <v>1</v>
      </c>
      <c r="G260" s="54" t="b">
        <v>1</v>
      </c>
      <c r="H260" s="54" t="b">
        <v>1</v>
      </c>
      <c r="I260" s="54" t="b">
        <v>1</v>
      </c>
      <c r="J260" s="54" t="b">
        <v>1</v>
      </c>
      <c r="K260" s="54" t="b">
        <v>1</v>
      </c>
      <c r="L260" s="54" t="b">
        <v>1</v>
      </c>
      <c r="M260" s="54" t="b">
        <v>1</v>
      </c>
      <c r="N260" s="54" t="b">
        <v>1</v>
      </c>
      <c r="O260" s="54" t="b">
        <v>1</v>
      </c>
      <c r="P260" s="54" t="b">
        <v>1</v>
      </c>
      <c r="Q260" s="54" t="b">
        <v>1</v>
      </c>
      <c r="R260" s="54" t="b">
        <v>1</v>
      </c>
      <c r="S260" s="54" t="b">
        <v>1</v>
      </c>
      <c r="T260" s="54" t="b">
        <v>1</v>
      </c>
      <c r="U260" s="54" t="b">
        <v>1</v>
      </c>
      <c r="V260" s="54" t="b">
        <v>1</v>
      </c>
      <c r="W260" s="54" t="b">
        <v>1</v>
      </c>
      <c r="X260" s="54" t="b">
        <v>1</v>
      </c>
      <c r="Y260" s="54" t="b">
        <v>1</v>
      </c>
      <c r="Z260" s="54" t="b">
        <v>1</v>
      </c>
      <c r="AA260" s="54" t="b">
        <v>1</v>
      </c>
      <c r="AB260" s="54" t="b">
        <v>1</v>
      </c>
      <c r="AC260" s="54" t="b">
        <v>1</v>
      </c>
      <c r="AD260" s="54" t="b">
        <v>1</v>
      </c>
      <c r="AE260" s="54" t="b">
        <v>1</v>
      </c>
      <c r="AF260" s="54" t="b">
        <v>1</v>
      </c>
      <c r="AG260" s="54" t="b">
        <v>1</v>
      </c>
      <c r="AH260" s="54" t="b">
        <v>1</v>
      </c>
      <c r="AI260" s="54" t="b">
        <v>1</v>
      </c>
      <c r="AJ260" s="54" t="b">
        <v>1</v>
      </c>
      <c r="AK260" s="54" t="b">
        <v>1</v>
      </c>
      <c r="AL260" s="54" t="b">
        <v>1</v>
      </c>
      <c r="AM260" s="54" t="b">
        <v>1</v>
      </c>
      <c r="AN260" s="54" t="b">
        <v>0</v>
      </c>
      <c r="AO260" s="54" t="b">
        <v>0</v>
      </c>
      <c r="AP260" s="54" t="b">
        <v>0</v>
      </c>
      <c r="AQ260" s="54" t="b">
        <v>0</v>
      </c>
      <c r="AR260" s="54" t="b">
        <v>0</v>
      </c>
      <c r="AS260" s="54" t="b">
        <v>0</v>
      </c>
      <c r="AT260" s="54" t="b">
        <v>0</v>
      </c>
      <c r="AU260" s="54" t="b">
        <v>0</v>
      </c>
      <c r="AV260" s="54" t="b">
        <v>0</v>
      </c>
      <c r="AW260" s="54" t="b">
        <v>0</v>
      </c>
      <c r="AX260" s="54" t="b">
        <v>0</v>
      </c>
      <c r="AY260" s="54" t="b">
        <v>0</v>
      </c>
      <c r="AZ260" s="54" t="b">
        <v>0</v>
      </c>
      <c r="BA260" s="54" t="b">
        <v>0</v>
      </c>
      <c r="BB260" s="54" t="b">
        <v>0</v>
      </c>
      <c r="BC260" s="54" t="b">
        <v>0</v>
      </c>
      <c r="BD260" s="54" t="b">
        <v>0</v>
      </c>
      <c r="BE260" s="54" t="b">
        <v>0</v>
      </c>
      <c r="BF260" s="54" t="b">
        <v>0</v>
      </c>
      <c r="BG260" s="54" t="b">
        <v>0</v>
      </c>
      <c r="BH260" s="54" t="b">
        <v>0</v>
      </c>
      <c r="BI260" s="54" t="b">
        <v>0</v>
      </c>
      <c r="BJ260" s="54" t="b">
        <v>0</v>
      </c>
      <c r="BK260" s="54" t="b">
        <v>0</v>
      </c>
      <c r="BL260" s="54" t="b">
        <v>0</v>
      </c>
      <c r="BM260" s="54" t="b">
        <v>0</v>
      </c>
      <c r="BN260" s="54" t="b">
        <v>0</v>
      </c>
      <c r="BO260" s="54" t="b">
        <v>0</v>
      </c>
    </row>
    <row r="261" hidden="1" outlineLevel="1">
      <c r="A261" s="71" t="str">
        <f>A260&amp;C261</f>
        <v>DecemberSIDHESHWAROT HOURS</v>
      </c>
      <c r="B261" s="72"/>
      <c r="C261" s="73" t="s">
        <v>120</v>
      </c>
      <c r="D261" s="33"/>
      <c r="E261" s="70">
        <f>(F261+G261+H261+I261+J261+K261+L261+M261+N261+O261+P261+Q261+R261+S261+T261+U261+V261+W261+X261+Y261+Z261+AA261+AB261+AC261+AD261+AE261+AF261+AG261+AH261+AI261+AJ261+AK261+AL261+AM261+AN261+AO261+AP261+AQ261+AR261+AS261+AT261+AU261+AV261+AW261+AX261+AY261+AZ261+BA261+BB261+BC261+BD261+BE261+BF261+BG261+BH261+BI261+BJ261+BK261+BL261+BM261+BN261+BO261)</f>
        <v>6</v>
      </c>
      <c r="F261" s="59"/>
      <c r="G261" s="33"/>
      <c r="H261" s="59">
        <v>1.0</v>
      </c>
      <c r="I261" s="33"/>
      <c r="J261" s="59"/>
      <c r="K261" s="33"/>
      <c r="L261" s="59">
        <v>1.0</v>
      </c>
      <c r="M261" s="33"/>
      <c r="N261" s="59"/>
      <c r="O261" s="33"/>
      <c r="P261" s="59"/>
      <c r="Q261" s="33"/>
      <c r="R261" s="59"/>
      <c r="S261" s="33"/>
      <c r="T261" s="59"/>
      <c r="U261" s="33"/>
      <c r="V261" s="59">
        <v>1.0</v>
      </c>
      <c r="W261" s="33"/>
      <c r="X261" s="59"/>
      <c r="Y261" s="33"/>
      <c r="Z261" s="59">
        <v>2.0</v>
      </c>
      <c r="AA261" s="33"/>
      <c r="AB261" s="60"/>
      <c r="AC261" s="33"/>
      <c r="AD261" s="60"/>
      <c r="AE261" s="33"/>
      <c r="AF261" s="60"/>
      <c r="AG261" s="33"/>
      <c r="AH261" s="59">
        <v>1.0</v>
      </c>
      <c r="AI261" s="33"/>
      <c r="AJ261" s="60"/>
      <c r="AK261" s="33"/>
      <c r="AL261" s="59"/>
      <c r="AM261" s="33"/>
      <c r="AN261" s="60"/>
      <c r="AO261" s="33"/>
      <c r="AP261" s="59"/>
      <c r="AQ261" s="33"/>
      <c r="AR261" s="60"/>
      <c r="AS261" s="33"/>
      <c r="AT261" s="59"/>
      <c r="AU261" s="33"/>
      <c r="AV261" s="60"/>
      <c r="AW261" s="33"/>
      <c r="AX261" s="60"/>
      <c r="AY261" s="33"/>
      <c r="AZ261" s="59"/>
      <c r="BA261" s="33"/>
      <c r="BB261" s="60"/>
      <c r="BC261" s="33"/>
      <c r="BD261" s="60"/>
      <c r="BE261" s="33"/>
      <c r="BF261" s="60"/>
      <c r="BG261" s="33"/>
      <c r="BH261" s="60"/>
      <c r="BI261" s="33"/>
      <c r="BJ261" s="60"/>
      <c r="BK261" s="33"/>
      <c r="BL261" s="60"/>
      <c r="BM261" s="33"/>
      <c r="BN261" s="60"/>
      <c r="BO261" s="33"/>
    </row>
    <row r="262" hidden="1" outlineLevel="1">
      <c r="A262" s="66" t="str">
        <f>B262&amp;D262</f>
        <v>DecemberAMMU</v>
      </c>
      <c r="B262" s="67" t="s">
        <v>40</v>
      </c>
      <c r="C262" s="68" t="s">
        <v>37</v>
      </c>
      <c r="D262" s="69" t="str">
        <f>IFERROR(VLOOKUP(C262,'Employees List'!$B$2:$C$28,2,0),"")</f>
        <v>AMMU</v>
      </c>
      <c r="E262" s="70">
        <f>(F262+G262+H262+I262+J262+K262+L262+M262+N262+O262+P262+Q262+R262+S262+T262+U262+V262+W262+X262+Y262+Z262+AA262+AB262+AC262+AD262+AE262+AF262+AG262+AH262+AI262+AJ262+AK262+AL262+AM262+AN262+AO262+AP262+AQ262+AR262+AS262+AT262+AU262+AV262+AW262+AX262+AY262+AZ262+BA262+BB262+BC262+BD262+BE262+BF262+BG262+BH262+BI262+BJ262+BK262+BL262+BM262+BN262+BO262)/2</f>
        <v>31</v>
      </c>
      <c r="F262" s="54" t="b">
        <v>1</v>
      </c>
      <c r="G262" s="54" t="b">
        <v>1</v>
      </c>
      <c r="H262" s="54" t="b">
        <v>1</v>
      </c>
      <c r="I262" s="54" t="b">
        <v>1</v>
      </c>
      <c r="J262" s="54" t="b">
        <v>1</v>
      </c>
      <c r="K262" s="54" t="b">
        <v>1</v>
      </c>
      <c r="L262" s="54" t="b">
        <v>1</v>
      </c>
      <c r="M262" s="54" t="b">
        <v>1</v>
      </c>
      <c r="N262" s="54" t="b">
        <v>1</v>
      </c>
      <c r="O262" s="54" t="b">
        <v>1</v>
      </c>
      <c r="P262" s="54" t="b">
        <v>1</v>
      </c>
      <c r="Q262" s="54" t="b">
        <v>1</v>
      </c>
      <c r="R262" s="54" t="b">
        <v>1</v>
      </c>
      <c r="S262" s="54" t="b">
        <v>1</v>
      </c>
      <c r="T262" s="54" t="b">
        <v>1</v>
      </c>
      <c r="U262" s="54" t="b">
        <v>1</v>
      </c>
      <c r="V262" s="54" t="b">
        <v>1</v>
      </c>
      <c r="W262" s="54" t="b">
        <v>1</v>
      </c>
      <c r="X262" s="54" t="b">
        <v>1</v>
      </c>
      <c r="Y262" s="54" t="b">
        <v>1</v>
      </c>
      <c r="Z262" s="54" t="b">
        <v>1</v>
      </c>
      <c r="AA262" s="54" t="b">
        <v>1</v>
      </c>
      <c r="AB262" s="54" t="b">
        <v>1</v>
      </c>
      <c r="AC262" s="54" t="b">
        <v>1</v>
      </c>
      <c r="AD262" s="54" t="b">
        <v>1</v>
      </c>
      <c r="AE262" s="54" t="b">
        <v>1</v>
      </c>
      <c r="AF262" s="54" t="b">
        <v>1</v>
      </c>
      <c r="AG262" s="54" t="b">
        <v>1</v>
      </c>
      <c r="AH262" s="54" t="b">
        <v>1</v>
      </c>
      <c r="AI262" s="54" t="b">
        <v>1</v>
      </c>
      <c r="AJ262" s="54" t="b">
        <v>1</v>
      </c>
      <c r="AK262" s="54" t="b">
        <v>1</v>
      </c>
      <c r="AL262" s="54" t="b">
        <v>1</v>
      </c>
      <c r="AM262" s="54" t="b">
        <v>1</v>
      </c>
      <c r="AN262" s="54" t="b">
        <v>1</v>
      </c>
      <c r="AO262" s="54" t="b">
        <v>1</v>
      </c>
      <c r="AP262" s="54" t="b">
        <v>1</v>
      </c>
      <c r="AQ262" s="54" t="b">
        <v>1</v>
      </c>
      <c r="AR262" s="54" t="b">
        <v>1</v>
      </c>
      <c r="AS262" s="54" t="b">
        <v>1</v>
      </c>
      <c r="AT262" s="54" t="b">
        <v>1</v>
      </c>
      <c r="AU262" s="54" t="b">
        <v>1</v>
      </c>
      <c r="AV262" s="54" t="b">
        <v>1</v>
      </c>
      <c r="AW262" s="54" t="b">
        <v>1</v>
      </c>
      <c r="AX262" s="54" t="b">
        <v>1</v>
      </c>
      <c r="AY262" s="54" t="b">
        <v>1</v>
      </c>
      <c r="AZ262" s="54" t="b">
        <v>1</v>
      </c>
      <c r="BA262" s="54" t="b">
        <v>1</v>
      </c>
      <c r="BB262" s="54" t="b">
        <v>1</v>
      </c>
      <c r="BC262" s="54" t="b">
        <v>1</v>
      </c>
      <c r="BD262" s="54" t="b">
        <v>1</v>
      </c>
      <c r="BE262" s="54" t="b">
        <v>1</v>
      </c>
      <c r="BF262" s="54" t="b">
        <v>1</v>
      </c>
      <c r="BG262" s="54" t="b">
        <v>1</v>
      </c>
      <c r="BH262" s="54" t="b">
        <v>1</v>
      </c>
      <c r="BI262" s="54" t="b">
        <v>1</v>
      </c>
      <c r="BJ262" s="54" t="b">
        <v>1</v>
      </c>
      <c r="BK262" s="54" t="b">
        <v>1</v>
      </c>
      <c r="BL262" s="54" t="b">
        <v>1</v>
      </c>
      <c r="BM262" s="54" t="b">
        <v>1</v>
      </c>
      <c r="BN262" s="54" t="b">
        <v>1</v>
      </c>
      <c r="BO262" s="54" t="b">
        <v>1</v>
      </c>
    </row>
    <row r="263" hidden="1" outlineLevel="1">
      <c r="A263" s="71" t="str">
        <f>A262&amp;C263</f>
        <v>DecemberAMMUOT HOURS</v>
      </c>
      <c r="B263" s="72"/>
      <c r="C263" s="73" t="s">
        <v>120</v>
      </c>
      <c r="D263" s="33"/>
      <c r="E263" s="70">
        <f>(F263+G263+H263+I263+J263+K263+L263+M263+N263+O263+P263+Q263+R263+S263+T263+U263+V263+W263+X263+Y263+Z263+AA263+AB263+AC263+AD263+AE263+AF263+AG263+AH263+AI263+AJ263+AK263+AL263+AM263+AN263+AO263+AP263+AQ263+AR263+AS263+AT263+AU263+AV263+AW263+AX263+AY263+AZ263+BA263+BB263+BC263+BD263+BE263+BF263+BG263+BH263+BI263+BJ263+BK263+BL263+BM263+BN263+BO263)</f>
        <v>10</v>
      </c>
      <c r="F263" s="59"/>
      <c r="G263" s="33"/>
      <c r="H263" s="59"/>
      <c r="I263" s="33"/>
      <c r="J263" s="59"/>
      <c r="K263" s="33"/>
      <c r="L263" s="60"/>
      <c r="M263" s="33"/>
      <c r="N263" s="60"/>
      <c r="O263" s="33"/>
      <c r="P263" s="60"/>
      <c r="Q263" s="33"/>
      <c r="R263" s="60"/>
      <c r="S263" s="33"/>
      <c r="T263" s="60"/>
      <c r="U263" s="33"/>
      <c r="V263" s="60"/>
      <c r="W263" s="33"/>
      <c r="X263" s="60"/>
      <c r="Y263" s="33"/>
      <c r="Z263" s="60"/>
      <c r="AA263" s="33"/>
      <c r="AB263" s="60"/>
      <c r="AC263" s="33"/>
      <c r="AD263" s="60"/>
      <c r="AE263" s="33"/>
      <c r="AF263" s="60"/>
      <c r="AG263" s="33"/>
      <c r="AH263" s="60"/>
      <c r="AI263" s="33"/>
      <c r="AJ263" s="60"/>
      <c r="AK263" s="33"/>
      <c r="AL263" s="60"/>
      <c r="AM263" s="33"/>
      <c r="AN263" s="60"/>
      <c r="AO263" s="33"/>
      <c r="AP263" s="59"/>
      <c r="AQ263" s="33"/>
      <c r="AR263" s="60"/>
      <c r="AS263" s="33"/>
      <c r="AT263" s="60"/>
      <c r="AU263" s="33"/>
      <c r="AV263" s="60"/>
      <c r="AW263" s="33"/>
      <c r="AX263" s="59">
        <v>2.0</v>
      </c>
      <c r="AY263" s="33"/>
      <c r="AZ263" s="60"/>
      <c r="BA263" s="33"/>
      <c r="BB263" s="60"/>
      <c r="BC263" s="33"/>
      <c r="BD263" s="60"/>
      <c r="BE263" s="33"/>
      <c r="BF263" s="59">
        <v>2.0</v>
      </c>
      <c r="BG263" s="33"/>
      <c r="BH263" s="59">
        <v>2.0</v>
      </c>
      <c r="BI263" s="33"/>
      <c r="BJ263" s="60"/>
      <c r="BK263" s="33"/>
      <c r="BL263" s="59">
        <v>2.0</v>
      </c>
      <c r="BM263" s="33"/>
      <c r="BN263" s="59">
        <v>2.0</v>
      </c>
      <c r="BO263" s="33"/>
    </row>
    <row r="264" hidden="1" outlineLevel="1">
      <c r="A264" s="66" t="str">
        <f>B264&amp;D264</f>
        <v>DecemberREVATHI S</v>
      </c>
      <c r="B264" s="67" t="s">
        <v>40</v>
      </c>
      <c r="C264" s="68" t="s">
        <v>41</v>
      </c>
      <c r="D264" s="69" t="str">
        <f>IFERROR(VLOOKUP(C264,'Employees List'!$B$2:$C$28,2,0),"")</f>
        <v>REVATHI S</v>
      </c>
      <c r="E264" s="70">
        <f>(F264+G264+H264+I264+J264+K264+L264+M264+N264+O264+P264+Q264+R264+S264+T264+U264+V264+W264+X264+Y264+Z264+AA264+AB264+AC264+AD264+AE264+AF264+AG264+AH264+AI264+AJ264+AK264+AL264+AM264+AN264+AO264+AP264+AQ264+AR264+AS264+AT264+AU264+AV264+AW264+AX264+AY264+AZ264+BA264+BB264+BC264+BD264+BE264+BF264+BG264+BH264+BI264+BJ264+BK264+BL264+BM264+BN264+BO264)/2</f>
        <v>27.5</v>
      </c>
      <c r="F264" s="54" t="b">
        <v>1</v>
      </c>
      <c r="G264" s="54" t="b">
        <v>1</v>
      </c>
      <c r="H264" s="54" t="b">
        <v>1</v>
      </c>
      <c r="I264" s="54" t="b">
        <v>1</v>
      </c>
      <c r="J264" s="54" t="b">
        <v>1</v>
      </c>
      <c r="K264" s="54" t="b">
        <v>1</v>
      </c>
      <c r="L264" s="54" t="b">
        <v>1</v>
      </c>
      <c r="M264" s="54" t="b">
        <v>1</v>
      </c>
      <c r="N264" s="54" t="b">
        <v>1</v>
      </c>
      <c r="O264" s="54" t="b">
        <v>1</v>
      </c>
      <c r="P264" s="54" t="b">
        <v>1</v>
      </c>
      <c r="Q264" s="54" t="b">
        <v>1</v>
      </c>
      <c r="R264" s="54" t="b">
        <v>1</v>
      </c>
      <c r="S264" s="54" t="b">
        <v>1</v>
      </c>
      <c r="T264" s="54" t="b">
        <v>1</v>
      </c>
      <c r="U264" s="54" t="b">
        <v>1</v>
      </c>
      <c r="V264" s="54" t="b">
        <v>1</v>
      </c>
      <c r="W264" s="54" t="b">
        <v>1</v>
      </c>
      <c r="X264" s="54" t="b">
        <v>1</v>
      </c>
      <c r="Y264" s="54" t="b">
        <v>1</v>
      </c>
      <c r="Z264" s="54" t="b">
        <v>1</v>
      </c>
      <c r="AA264" s="54" t="b">
        <v>1</v>
      </c>
      <c r="AB264" s="54" t="b">
        <v>1</v>
      </c>
      <c r="AC264" s="54" t="b">
        <v>1</v>
      </c>
      <c r="AD264" s="54" t="b">
        <v>0</v>
      </c>
      <c r="AE264" s="54" t="b">
        <v>0</v>
      </c>
      <c r="AF264" s="54" t="b">
        <v>1</v>
      </c>
      <c r="AG264" s="54" t="b">
        <v>1</v>
      </c>
      <c r="AH264" s="54" t="b">
        <v>1</v>
      </c>
      <c r="AI264" s="54" t="b">
        <v>1</v>
      </c>
      <c r="AJ264" s="54" t="b">
        <v>1</v>
      </c>
      <c r="AK264" s="54" t="b">
        <v>1</v>
      </c>
      <c r="AL264" s="54" t="b">
        <v>1</v>
      </c>
      <c r="AM264" s="54" t="b">
        <v>0</v>
      </c>
      <c r="AN264" s="54" t="b">
        <v>1</v>
      </c>
      <c r="AO264" s="54" t="b">
        <v>1</v>
      </c>
      <c r="AP264" s="54" t="b">
        <v>1</v>
      </c>
      <c r="AQ264" s="54" t="b">
        <v>1</v>
      </c>
      <c r="AR264" s="54" t="b">
        <v>1</v>
      </c>
      <c r="AS264" s="54" t="b">
        <v>1</v>
      </c>
      <c r="AT264" s="54" t="b">
        <v>1</v>
      </c>
      <c r="AU264" s="54" t="b">
        <v>1</v>
      </c>
      <c r="AV264" s="54" t="b">
        <v>1</v>
      </c>
      <c r="AW264" s="54" t="b">
        <v>1</v>
      </c>
      <c r="AX264" s="54" t="b">
        <v>1</v>
      </c>
      <c r="AY264" s="54" t="b">
        <v>1</v>
      </c>
      <c r="AZ264" s="54" t="b">
        <v>0</v>
      </c>
      <c r="BA264" s="54" t="b">
        <v>0</v>
      </c>
      <c r="BB264" s="54" t="b">
        <v>0</v>
      </c>
      <c r="BC264" s="54" t="b">
        <v>0</v>
      </c>
      <c r="BD264" s="54" t="b">
        <v>1</v>
      </c>
      <c r="BE264" s="54" t="b">
        <v>1</v>
      </c>
      <c r="BF264" s="54" t="b">
        <v>1</v>
      </c>
      <c r="BG264" s="54" t="b">
        <v>1</v>
      </c>
      <c r="BH264" s="54" t="b">
        <v>1</v>
      </c>
      <c r="BI264" s="54" t="b">
        <v>1</v>
      </c>
      <c r="BJ264" s="54" t="b">
        <v>1</v>
      </c>
      <c r="BK264" s="54" t="b">
        <v>1</v>
      </c>
      <c r="BL264" s="54" t="b">
        <v>1</v>
      </c>
      <c r="BM264" s="54" t="b">
        <v>1</v>
      </c>
      <c r="BN264" s="54" t="b">
        <v>1</v>
      </c>
      <c r="BO264" s="54" t="b">
        <v>1</v>
      </c>
    </row>
    <row r="265" hidden="1" outlineLevel="1">
      <c r="A265" s="71" t="str">
        <f>A264&amp;C265</f>
        <v>DecemberREVATHI SOT HOURS</v>
      </c>
      <c r="B265" s="72"/>
      <c r="C265" s="73" t="s">
        <v>120</v>
      </c>
      <c r="D265" s="33"/>
      <c r="E265" s="70">
        <f>(F265+G265+H265+I265+J265+K265+L265+M265+N265+O265+P265+Q265+R265+S265+T265+U265+V265+W265+X265+Y265+Z265+AA265+AB265+AC265+AD265+AE265+AF265+AG265+AH265+AI265+AJ265+AK265+AL265+AM265+AN265+AO265+AP265+AQ265+AR265+AS265+AT265+AU265+AV265+AW265+AX265+AY265+AZ265+BA265+BB265+BC265+BD265+BE265+BF265+BG265+BH265+BI265+BJ265+BK265+BL265+BM265+BN265+BO265)</f>
        <v>6</v>
      </c>
      <c r="F265" s="59"/>
      <c r="G265" s="33"/>
      <c r="H265" s="59"/>
      <c r="I265" s="33"/>
      <c r="J265" s="59"/>
      <c r="K265" s="33"/>
      <c r="L265" s="60"/>
      <c r="M265" s="33"/>
      <c r="N265" s="60"/>
      <c r="O265" s="33"/>
      <c r="P265" s="60"/>
      <c r="Q265" s="33"/>
      <c r="R265" s="60"/>
      <c r="S265" s="33"/>
      <c r="T265" s="60"/>
      <c r="U265" s="33"/>
      <c r="V265" s="60"/>
      <c r="W265" s="33"/>
      <c r="X265" s="60"/>
      <c r="Y265" s="33"/>
      <c r="Z265" s="60"/>
      <c r="AA265" s="33"/>
      <c r="AB265" s="60"/>
      <c r="AC265" s="33"/>
      <c r="AD265" s="60"/>
      <c r="AE265" s="33"/>
      <c r="AF265" s="60"/>
      <c r="AG265" s="33"/>
      <c r="AH265" s="60"/>
      <c r="AI265" s="33"/>
      <c r="AJ265" s="60"/>
      <c r="AK265" s="33"/>
      <c r="AL265" s="60"/>
      <c r="AM265" s="33"/>
      <c r="AN265" s="60"/>
      <c r="AO265" s="33"/>
      <c r="AP265" s="59"/>
      <c r="AQ265" s="33"/>
      <c r="AR265" s="60"/>
      <c r="AS265" s="33"/>
      <c r="AT265" s="60"/>
      <c r="AU265" s="33"/>
      <c r="AV265" s="60"/>
      <c r="AW265" s="33"/>
      <c r="AX265" s="59">
        <v>2.0</v>
      </c>
      <c r="AY265" s="33"/>
      <c r="AZ265" s="60"/>
      <c r="BA265" s="33"/>
      <c r="BB265" s="60"/>
      <c r="BC265" s="33"/>
      <c r="BD265" s="60"/>
      <c r="BE265" s="33"/>
      <c r="BF265" s="59">
        <v>2.0</v>
      </c>
      <c r="BG265" s="33"/>
      <c r="BH265" s="59"/>
      <c r="BI265" s="33"/>
      <c r="BJ265" s="60"/>
      <c r="BK265" s="33"/>
      <c r="BL265" s="60"/>
      <c r="BM265" s="33"/>
      <c r="BN265" s="59">
        <v>2.0</v>
      </c>
      <c r="BO265" s="33"/>
    </row>
    <row r="266" hidden="1" outlineLevel="1">
      <c r="A266" s="66" t="str">
        <f>B266&amp;D266</f>
        <v>DecemberPINU BAGH</v>
      </c>
      <c r="B266" s="67" t="s">
        <v>40</v>
      </c>
      <c r="C266" s="68" t="s">
        <v>53</v>
      </c>
      <c r="D266" s="69" t="str">
        <f>IFERROR(VLOOKUP(C266,'Employees List'!$B$2:$C$28,2,0),"")</f>
        <v>PINU BAGH</v>
      </c>
      <c r="E266" s="70">
        <f>(F266+G266+H266+I266+J266+K266+L266+M266+N266+O266+P266+Q266+R266+S266+T266+U266+V266+W266+X266+Y266+Z266+AA266+AB266+AC266+AD266+AE266+AF266+AG266+AH266+AI266+AJ266+AK266+AL266+AM266+AN266+AO266+AP266+AQ266+AR266+AS266+AT266+AU266+AV266+AW266+AX266+AY266+AZ266+BA266+BB266+BC266+BD266+BE266+BF266+BG266+BH266+BI266+BJ266+BK266+BL266+BM266+BN266+BO266)/2</f>
        <v>24.5</v>
      </c>
      <c r="F266" s="54" t="b">
        <v>1</v>
      </c>
      <c r="G266" s="54" t="b">
        <v>1</v>
      </c>
      <c r="H266" s="54" t="b">
        <v>1</v>
      </c>
      <c r="I266" s="54" t="b">
        <v>1</v>
      </c>
      <c r="J266" s="54" t="b">
        <v>1</v>
      </c>
      <c r="K266" s="54" t="b">
        <v>1</v>
      </c>
      <c r="L266" s="54" t="b">
        <v>1</v>
      </c>
      <c r="M266" s="54" t="b">
        <v>1</v>
      </c>
      <c r="N266" s="54" t="b">
        <v>1</v>
      </c>
      <c r="O266" s="54" t="b">
        <v>1</v>
      </c>
      <c r="P266" s="54" t="b">
        <v>1</v>
      </c>
      <c r="Q266" s="54" t="b">
        <v>1</v>
      </c>
      <c r="R266" s="54" t="b">
        <v>1</v>
      </c>
      <c r="S266" s="54" t="b">
        <v>1</v>
      </c>
      <c r="T266" s="54" t="b">
        <v>1</v>
      </c>
      <c r="U266" s="54" t="b">
        <v>1</v>
      </c>
      <c r="V266" s="54" t="b">
        <v>1</v>
      </c>
      <c r="W266" s="54" t="b">
        <v>1</v>
      </c>
      <c r="X266" s="54" t="b">
        <v>1</v>
      </c>
      <c r="Y266" s="54" t="b">
        <v>1</v>
      </c>
      <c r="Z266" s="54" t="b">
        <v>1</v>
      </c>
      <c r="AA266" s="54" t="b">
        <v>1</v>
      </c>
      <c r="AB266" s="54" t="b">
        <v>1</v>
      </c>
      <c r="AC266" s="54" t="b">
        <v>1</v>
      </c>
      <c r="AD266" s="54" t="b">
        <v>1</v>
      </c>
      <c r="AE266" s="54" t="b">
        <v>1</v>
      </c>
      <c r="AF266" s="54" t="b">
        <v>1</v>
      </c>
      <c r="AG266" s="54" t="b">
        <v>1</v>
      </c>
      <c r="AH266" s="54" t="b">
        <v>1</v>
      </c>
      <c r="AI266" s="54" t="b">
        <v>1</v>
      </c>
      <c r="AJ266" s="54" t="b">
        <v>1</v>
      </c>
      <c r="AK266" s="54" t="b">
        <v>1</v>
      </c>
      <c r="AL266" s="54" t="b">
        <v>1</v>
      </c>
      <c r="AM266" s="54" t="b">
        <v>1</v>
      </c>
      <c r="AN266" s="54" t="b">
        <v>1</v>
      </c>
      <c r="AO266" s="54" t="b">
        <v>1</v>
      </c>
      <c r="AP266" s="54" t="b">
        <v>1</v>
      </c>
      <c r="AQ266" s="54" t="b">
        <v>1</v>
      </c>
      <c r="AR266" s="54" t="b">
        <v>1</v>
      </c>
      <c r="AS266" s="54" t="b">
        <v>1</v>
      </c>
      <c r="AT266" s="54" t="b">
        <v>1</v>
      </c>
      <c r="AU266" s="54" t="b">
        <v>1</v>
      </c>
      <c r="AV266" s="54" t="b">
        <v>1</v>
      </c>
      <c r="AW266" s="54" t="b">
        <v>1</v>
      </c>
      <c r="AX266" s="54" t="b">
        <v>1</v>
      </c>
      <c r="AY266" s="54" t="b">
        <v>1</v>
      </c>
      <c r="AZ266" s="54" t="b">
        <v>1</v>
      </c>
      <c r="BA266" s="54" t="b">
        <v>1</v>
      </c>
      <c r="BB266" s="54" t="b">
        <v>1</v>
      </c>
      <c r="BC266" s="54" t="b">
        <v>0</v>
      </c>
      <c r="BD266" s="54" t="b">
        <v>0</v>
      </c>
      <c r="BE266" s="54" t="b">
        <v>0</v>
      </c>
      <c r="BF266" s="54" t="b">
        <v>0</v>
      </c>
      <c r="BG266" s="54" t="b">
        <v>0</v>
      </c>
      <c r="BH266" s="54" t="b">
        <v>0</v>
      </c>
      <c r="BI266" s="54" t="b">
        <v>0</v>
      </c>
      <c r="BJ266" s="54" t="b">
        <v>0</v>
      </c>
      <c r="BK266" s="54" t="b">
        <v>0</v>
      </c>
      <c r="BL266" s="54" t="b">
        <v>0</v>
      </c>
      <c r="BM266" s="54" t="b">
        <v>0</v>
      </c>
      <c r="BN266" s="54" t="b">
        <v>0</v>
      </c>
      <c r="BO266" s="54" t="b">
        <v>0</v>
      </c>
    </row>
    <row r="267" hidden="1" outlineLevel="1">
      <c r="A267" s="71" t="str">
        <f>A266&amp;C267</f>
        <v>DecemberPINU BAGHOT HOURS</v>
      </c>
      <c r="B267" s="72"/>
      <c r="C267" s="73" t="s">
        <v>120</v>
      </c>
      <c r="D267" s="33"/>
      <c r="E267" s="70">
        <f>(F267+G267+H267+I267+J267+K267+L267+M267+N267+O267+P267+Q267+R267+S267+T267+U267+V267+W267+X267+Y267+Z267+AA267+AB267+AC267+AD267+AE267+AF267+AG267+AH267+AI267+AJ267+AK267+AL267+AM267+AN267+AO267+AP267+AQ267+AR267+AS267+AT267+AU267+AV267+AW267+AX267+AY267+AZ267+BA267+BB267+BC267+BD267+BE267+BF267+BG267+BH267+BI267+BJ267+BK267+BL267+BM267+BN267+BO267)</f>
        <v>27</v>
      </c>
      <c r="F267" s="59">
        <v>3.0</v>
      </c>
      <c r="G267" s="33"/>
      <c r="H267" s="59"/>
      <c r="I267" s="33"/>
      <c r="J267" s="59"/>
      <c r="K267" s="33"/>
      <c r="L267" s="59"/>
      <c r="M267" s="33"/>
      <c r="N267" s="59"/>
      <c r="O267" s="33"/>
      <c r="P267" s="59"/>
      <c r="Q267" s="33"/>
      <c r="R267" s="59"/>
      <c r="S267" s="33"/>
      <c r="T267" s="59"/>
      <c r="U267" s="33"/>
      <c r="V267" s="59"/>
      <c r="W267" s="33"/>
      <c r="X267" s="59"/>
      <c r="Y267" s="33"/>
      <c r="Z267" s="59"/>
      <c r="AA267" s="33"/>
      <c r="AB267" s="59"/>
      <c r="AC267" s="33"/>
      <c r="AD267" s="59"/>
      <c r="AE267" s="33"/>
      <c r="AF267" s="59">
        <v>3.0</v>
      </c>
      <c r="AG267" s="33"/>
      <c r="AH267" s="59">
        <v>1.0</v>
      </c>
      <c r="AI267" s="33"/>
      <c r="AJ267" s="59"/>
      <c r="AK267" s="33"/>
      <c r="AL267" s="59"/>
      <c r="AM267" s="33"/>
      <c r="AN267" s="59"/>
      <c r="AO267" s="33"/>
      <c r="AP267" s="59">
        <v>3.0</v>
      </c>
      <c r="AQ267" s="33"/>
      <c r="AR267" s="59">
        <v>3.0</v>
      </c>
      <c r="AS267" s="33"/>
      <c r="AT267" s="59">
        <v>2.0</v>
      </c>
      <c r="AU267" s="33"/>
      <c r="AV267" s="59"/>
      <c r="AW267" s="33"/>
      <c r="AX267" s="59">
        <v>4.0</v>
      </c>
      <c r="AY267" s="33"/>
      <c r="AZ267" s="59">
        <v>6.0</v>
      </c>
      <c r="BA267" s="33"/>
      <c r="BB267" s="59">
        <v>2.0</v>
      </c>
      <c r="BC267" s="33"/>
      <c r="BD267" s="59"/>
      <c r="BE267" s="33"/>
      <c r="BF267" s="59"/>
      <c r="BG267" s="33"/>
      <c r="BH267" s="59"/>
      <c r="BI267" s="33"/>
      <c r="BJ267" s="59"/>
      <c r="BK267" s="33"/>
      <c r="BL267" s="59"/>
      <c r="BM267" s="33"/>
      <c r="BN267" s="59"/>
      <c r="BO267" s="33"/>
    </row>
    <row r="268" hidden="1" outlineLevel="1">
      <c r="A268" s="66" t="str">
        <f>B268&amp;D268</f>
        <v>DecemberLEELA</v>
      </c>
      <c r="B268" s="67" t="s">
        <v>40</v>
      </c>
      <c r="C268" s="68" t="s">
        <v>67</v>
      </c>
      <c r="D268" s="69" t="str">
        <f>IFERROR(VLOOKUP(C268,'Employees List'!$B$2:$C$28,2,0),"")</f>
        <v>LEELA</v>
      </c>
      <c r="E268" s="70">
        <f>(F268+G268+H268+I268+J268+K268+L268+M268+N268+O268+P268+Q268+R268+S268+T268+U268+V268+W268+X268+Y268+Z268+AA268+AB268+AC268+AD268+AE268+AF268+AG268+AH268+AI268+AJ268+AK268+AL268+AM268+AN268+AO268+AP268+AQ268+AR268+AS268+AT268+AU268+AV268+AW268+AX268+AY268+AZ268+BA268+BB268+BC268+BD268+BE268+BF268+BG268+BH268+BI268+BJ268+BK268+BL268+BM268+BN268+BO268)/2</f>
        <v>30</v>
      </c>
      <c r="F268" s="54" t="b">
        <v>1</v>
      </c>
      <c r="G268" s="54" t="b">
        <v>1</v>
      </c>
      <c r="H268" s="54" t="b">
        <v>1</v>
      </c>
      <c r="I268" s="54" t="b">
        <v>1</v>
      </c>
      <c r="J268" s="54" t="b">
        <v>0</v>
      </c>
      <c r="K268" s="54" t="b">
        <v>0</v>
      </c>
      <c r="L268" s="54" t="b">
        <v>1</v>
      </c>
      <c r="M268" s="54" t="b">
        <v>1</v>
      </c>
      <c r="N268" s="54" t="b">
        <v>1</v>
      </c>
      <c r="O268" s="54" t="b">
        <v>1</v>
      </c>
      <c r="P268" s="54" t="b">
        <v>1</v>
      </c>
      <c r="Q268" s="54" t="b">
        <v>1</v>
      </c>
      <c r="R268" s="54" t="b">
        <v>1</v>
      </c>
      <c r="S268" s="54" t="b">
        <v>1</v>
      </c>
      <c r="T268" s="54" t="b">
        <v>1</v>
      </c>
      <c r="U268" s="54" t="b">
        <v>1</v>
      </c>
      <c r="V268" s="54" t="b">
        <v>1</v>
      </c>
      <c r="W268" s="54" t="b">
        <v>1</v>
      </c>
      <c r="X268" s="54" t="b">
        <v>1</v>
      </c>
      <c r="Y268" s="54" t="b">
        <v>1</v>
      </c>
      <c r="Z268" s="54" t="b">
        <v>1</v>
      </c>
      <c r="AA268" s="54" t="b">
        <v>1</v>
      </c>
      <c r="AB268" s="54" t="b">
        <v>1</v>
      </c>
      <c r="AC268" s="54" t="b">
        <v>1</v>
      </c>
      <c r="AD268" s="54" t="b">
        <v>1</v>
      </c>
      <c r="AE268" s="54" t="b">
        <v>1</v>
      </c>
      <c r="AF268" s="54" t="b">
        <v>1</v>
      </c>
      <c r="AG268" s="54" t="b">
        <v>1</v>
      </c>
      <c r="AH268" s="54" t="b">
        <v>1</v>
      </c>
      <c r="AI268" s="54" t="b">
        <v>1</v>
      </c>
      <c r="AJ268" s="54" t="b">
        <v>1</v>
      </c>
      <c r="AK268" s="54" t="b">
        <v>1</v>
      </c>
      <c r="AL268" s="54" t="b">
        <v>1</v>
      </c>
      <c r="AM268" s="54" t="b">
        <v>1</v>
      </c>
      <c r="AN268" s="54" t="b">
        <v>1</v>
      </c>
      <c r="AO268" s="54" t="b">
        <v>1</v>
      </c>
      <c r="AP268" s="54" t="b">
        <v>1</v>
      </c>
      <c r="AQ268" s="54" t="b">
        <v>1</v>
      </c>
      <c r="AR268" s="54" t="b">
        <v>1</v>
      </c>
      <c r="AS268" s="54" t="b">
        <v>1</v>
      </c>
      <c r="AT268" s="54" t="b">
        <v>1</v>
      </c>
      <c r="AU268" s="54" t="b">
        <v>1</v>
      </c>
      <c r="AV268" s="54" t="b">
        <v>1</v>
      </c>
      <c r="AW268" s="54" t="b">
        <v>1</v>
      </c>
      <c r="AX268" s="54" t="b">
        <v>1</v>
      </c>
      <c r="AY268" s="54" t="b">
        <v>1</v>
      </c>
      <c r="AZ268" s="54" t="b">
        <v>1</v>
      </c>
      <c r="BA268" s="54" t="b">
        <v>1</v>
      </c>
      <c r="BB268" s="54" t="b">
        <v>1</v>
      </c>
      <c r="BC268" s="54" t="b">
        <v>1</v>
      </c>
      <c r="BD268" s="54" t="b">
        <v>1</v>
      </c>
      <c r="BE268" s="54" t="b">
        <v>1</v>
      </c>
      <c r="BF268" s="54" t="b">
        <v>1</v>
      </c>
      <c r="BG268" s="54" t="b">
        <v>1</v>
      </c>
      <c r="BH268" s="54" t="b">
        <v>1</v>
      </c>
      <c r="BI268" s="54" t="b">
        <v>1</v>
      </c>
      <c r="BJ268" s="54" t="b">
        <v>1</v>
      </c>
      <c r="BK268" s="54" t="b">
        <v>1</v>
      </c>
      <c r="BL268" s="54" t="b">
        <v>1</v>
      </c>
      <c r="BM268" s="54" t="b">
        <v>1</v>
      </c>
      <c r="BN268" s="54" t="b">
        <v>1</v>
      </c>
      <c r="BO268" s="54" t="b">
        <v>1</v>
      </c>
    </row>
    <row r="269" hidden="1" outlineLevel="1">
      <c r="A269" s="71" t="str">
        <f>A268&amp;C269</f>
        <v>DecemberLEELAOT HOURS</v>
      </c>
      <c r="B269" s="72"/>
      <c r="C269" s="73" t="s">
        <v>120</v>
      </c>
      <c r="D269" s="33"/>
      <c r="E269" s="70">
        <f>(F269+G269+H269+I269+J269+K269+L269+M269+N269+O269+P269+Q269+R269+S269+T269+U269+V269+W269+X269+Y269+Z269+AA269+AB269+AC269+AD269+AE269+AF269+AG269+AH269+AI269+AJ269+AK269+AL269+AM269+AN269+AO269+AP269+AQ269+AR269+AS269+AT269+AU269+AV269+AW269+AX269+AY269+AZ269+BA269+BB269+BC269+BD269+BE269+BF269+BG269+BH269+BI269+BJ269+BK269+BL269+BM269+BN269+BO269)</f>
        <v>0</v>
      </c>
      <c r="F269" s="59"/>
      <c r="G269" s="33"/>
      <c r="H269" s="59"/>
      <c r="I269" s="33"/>
      <c r="J269" s="59"/>
      <c r="K269" s="33"/>
      <c r="L269" s="60"/>
      <c r="M269" s="33"/>
      <c r="N269" s="60"/>
      <c r="O269" s="33"/>
      <c r="P269" s="60"/>
      <c r="Q269" s="33"/>
      <c r="R269" s="60"/>
      <c r="S269" s="33"/>
      <c r="T269" s="60"/>
      <c r="U269" s="33"/>
      <c r="V269" s="60"/>
      <c r="W269" s="33"/>
      <c r="X269" s="60"/>
      <c r="Y269" s="33"/>
      <c r="Z269" s="60"/>
      <c r="AA269" s="33"/>
      <c r="AB269" s="60"/>
      <c r="AC269" s="33"/>
      <c r="AD269" s="60"/>
      <c r="AE269" s="33"/>
      <c r="AF269" s="60"/>
      <c r="AG269" s="33"/>
      <c r="AH269" s="60"/>
      <c r="AI269" s="33"/>
      <c r="AJ269" s="60"/>
      <c r="AK269" s="33"/>
      <c r="AL269" s="60"/>
      <c r="AM269" s="33"/>
      <c r="AN269" s="60"/>
      <c r="AO269" s="33"/>
      <c r="AP269" s="60"/>
      <c r="AQ269" s="33"/>
      <c r="AR269" s="60"/>
      <c r="AS269" s="33"/>
      <c r="AT269" s="60"/>
      <c r="AU269" s="33"/>
      <c r="AV269" s="60"/>
      <c r="AW269" s="33"/>
      <c r="AX269" s="60"/>
      <c r="AY269" s="33"/>
      <c r="AZ269" s="60"/>
      <c r="BA269" s="33"/>
      <c r="BB269" s="60"/>
      <c r="BC269" s="33"/>
      <c r="BD269" s="60"/>
      <c r="BE269" s="33"/>
      <c r="BF269" s="60"/>
      <c r="BG269" s="33"/>
      <c r="BH269" s="60"/>
      <c r="BI269" s="33"/>
      <c r="BJ269" s="60"/>
      <c r="BK269" s="33"/>
      <c r="BL269" s="60"/>
      <c r="BM269" s="33"/>
      <c r="BN269" s="60"/>
      <c r="BO269" s="33"/>
    </row>
    <row r="270" hidden="1" outlineLevel="1">
      <c r="A270" s="66" t="str">
        <f>B270&amp;D270</f>
        <v>DecemberPARSHU BAGH</v>
      </c>
      <c r="B270" s="67" t="s">
        <v>40</v>
      </c>
      <c r="C270" s="68" t="s">
        <v>97</v>
      </c>
      <c r="D270" s="69" t="str">
        <f>IFERROR(VLOOKUP(C270,'Employees List'!$B$2:$C$999,2,0),"")</f>
        <v>PARSHU BAGH</v>
      </c>
      <c r="E270" s="70">
        <f>(F270+G270+H270+I270+J270+K270+L270+M270+N270+O270+P270+Q270+R270+S270+T270+U270+V270+W270+X270+Y270+Z270+AA270+AB270+AC270+AD270+AE270+AF270+AG270+AH270+AI270+AJ270+AK270+AL270+AM270+AN270+AO270+AP270+AQ270+AR270+AS270+AT270+AU270+AV270+AW270+AX270+AY270+AZ270+BA270+BB270+BC270+BD270+BE270+BF270+BG270+BH270+BI270+BJ270+BK270+BL270+BM270+BN270+BO270)/2</f>
        <v>31</v>
      </c>
      <c r="F270" s="54" t="b">
        <v>1</v>
      </c>
      <c r="G270" s="54" t="b">
        <v>1</v>
      </c>
      <c r="H270" s="54" t="b">
        <v>1</v>
      </c>
      <c r="I270" s="54" t="b">
        <v>1</v>
      </c>
      <c r="J270" s="54" t="b">
        <v>1</v>
      </c>
      <c r="K270" s="54" t="b">
        <v>1</v>
      </c>
      <c r="L270" s="54" t="b">
        <v>1</v>
      </c>
      <c r="M270" s="54" t="b">
        <v>1</v>
      </c>
      <c r="N270" s="54" t="b">
        <v>1</v>
      </c>
      <c r="O270" s="54" t="b">
        <v>1</v>
      </c>
      <c r="P270" s="54" t="b">
        <v>1</v>
      </c>
      <c r="Q270" s="54" t="b">
        <v>1</v>
      </c>
      <c r="R270" s="54" t="b">
        <v>1</v>
      </c>
      <c r="S270" s="54" t="b">
        <v>1</v>
      </c>
      <c r="T270" s="54" t="b">
        <v>1</v>
      </c>
      <c r="U270" s="54" t="b">
        <v>1</v>
      </c>
      <c r="V270" s="54" t="b">
        <v>1</v>
      </c>
      <c r="W270" s="54" t="b">
        <v>1</v>
      </c>
      <c r="X270" s="54" t="b">
        <v>1</v>
      </c>
      <c r="Y270" s="54" t="b">
        <v>1</v>
      </c>
      <c r="Z270" s="54" t="b">
        <v>1</v>
      </c>
      <c r="AA270" s="54" t="b">
        <v>1</v>
      </c>
      <c r="AB270" s="54" t="b">
        <v>1</v>
      </c>
      <c r="AC270" s="54" t="b">
        <v>1</v>
      </c>
      <c r="AD270" s="54" t="b">
        <v>1</v>
      </c>
      <c r="AE270" s="54" t="b">
        <v>1</v>
      </c>
      <c r="AF270" s="54" t="b">
        <v>1</v>
      </c>
      <c r="AG270" s="54" t="b">
        <v>1</v>
      </c>
      <c r="AH270" s="54" t="b">
        <v>1</v>
      </c>
      <c r="AI270" s="54" t="b">
        <v>1</v>
      </c>
      <c r="AJ270" s="54" t="b">
        <v>1</v>
      </c>
      <c r="AK270" s="54" t="b">
        <v>1</v>
      </c>
      <c r="AL270" s="54" t="b">
        <v>1</v>
      </c>
      <c r="AM270" s="54" t="b">
        <v>1</v>
      </c>
      <c r="AN270" s="54" t="b">
        <v>1</v>
      </c>
      <c r="AO270" s="54" t="b">
        <v>1</v>
      </c>
      <c r="AP270" s="54" t="b">
        <v>1</v>
      </c>
      <c r="AQ270" s="54" t="b">
        <v>1</v>
      </c>
      <c r="AR270" s="54" t="b">
        <v>1</v>
      </c>
      <c r="AS270" s="54" t="b">
        <v>1</v>
      </c>
      <c r="AT270" s="54" t="b">
        <v>1</v>
      </c>
      <c r="AU270" s="54" t="b">
        <v>1</v>
      </c>
      <c r="AV270" s="54" t="b">
        <v>1</v>
      </c>
      <c r="AW270" s="54" t="b">
        <v>1</v>
      </c>
      <c r="AX270" s="54" t="b">
        <v>1</v>
      </c>
      <c r="AY270" s="54" t="b">
        <v>1</v>
      </c>
      <c r="AZ270" s="54" t="b">
        <v>1</v>
      </c>
      <c r="BA270" s="54" t="b">
        <v>1</v>
      </c>
      <c r="BB270" s="54" t="b">
        <v>1</v>
      </c>
      <c r="BC270" s="54" t="b">
        <v>1</v>
      </c>
      <c r="BD270" s="54" t="b">
        <v>1</v>
      </c>
      <c r="BE270" s="54" t="b">
        <v>1</v>
      </c>
      <c r="BF270" s="54" t="b">
        <v>1</v>
      </c>
      <c r="BG270" s="54" t="b">
        <v>1</v>
      </c>
      <c r="BH270" s="54" t="b">
        <v>1</v>
      </c>
      <c r="BI270" s="54" t="b">
        <v>1</v>
      </c>
      <c r="BJ270" s="54" t="b">
        <v>1</v>
      </c>
      <c r="BK270" s="54" t="b">
        <v>1</v>
      </c>
      <c r="BL270" s="54" t="b">
        <v>1</v>
      </c>
      <c r="BM270" s="54" t="b">
        <v>1</v>
      </c>
      <c r="BN270" s="54" t="b">
        <v>1</v>
      </c>
      <c r="BO270" s="54" t="b">
        <v>1</v>
      </c>
    </row>
    <row r="271" hidden="1" outlineLevel="1">
      <c r="A271" s="71" t="str">
        <f>A270&amp;C271</f>
        <v>DecemberPARSHU BAGHOT HOURS</v>
      </c>
      <c r="B271" s="72"/>
      <c r="C271" s="73" t="s">
        <v>120</v>
      </c>
      <c r="D271" s="33"/>
      <c r="E271" s="70">
        <f>(F271+G271+H271+I271+J271+K271+L271+M271+N271+O271+P271+Q271+R271+S271+T271+U271+V271+W271+X271+Y271+Z271+AA271+AB271+AC271+AD271+AE271+AF271+AG271+AH271+AI271+AJ271+AK271+AL271+AM271+AN271+AO271+AP271+AQ271+AR271+AS271+AT271+AU271+AV271+AW271+AX271+AY271+AZ271+BA271+BB271+BC271+BD271+BE271+BF271+BG271+BH271+BI271+BJ271+BK271+BL271+BM271+BN271+BO271)</f>
        <v>32</v>
      </c>
      <c r="F271" s="59"/>
      <c r="G271" s="33"/>
      <c r="H271" s="59"/>
      <c r="I271" s="33"/>
      <c r="J271" s="59">
        <v>1.0</v>
      </c>
      <c r="K271" s="33"/>
      <c r="L271" s="60"/>
      <c r="M271" s="33"/>
      <c r="N271" s="60"/>
      <c r="O271" s="33"/>
      <c r="P271" s="59"/>
      <c r="Q271" s="33"/>
      <c r="R271" s="60"/>
      <c r="S271" s="33"/>
      <c r="T271" s="59"/>
      <c r="U271" s="33"/>
      <c r="V271" s="60"/>
      <c r="W271" s="33"/>
      <c r="X271" s="59"/>
      <c r="Y271" s="33"/>
      <c r="Z271" s="60"/>
      <c r="AA271" s="33"/>
      <c r="AB271" s="60"/>
      <c r="AC271" s="33"/>
      <c r="AD271" s="60"/>
      <c r="AE271" s="33"/>
      <c r="AF271" s="60"/>
      <c r="AG271" s="33"/>
      <c r="AH271" s="59">
        <v>1.0</v>
      </c>
      <c r="AI271" s="33"/>
      <c r="AJ271" s="60"/>
      <c r="AK271" s="33"/>
      <c r="AL271" s="59"/>
      <c r="AM271" s="33"/>
      <c r="AN271" s="60"/>
      <c r="AO271" s="33"/>
      <c r="AP271" s="59"/>
      <c r="AQ271" s="33"/>
      <c r="AR271" s="59">
        <v>3.0</v>
      </c>
      <c r="AS271" s="33"/>
      <c r="AT271" s="59">
        <v>2.0</v>
      </c>
      <c r="AU271" s="33"/>
      <c r="AV271" s="60"/>
      <c r="AW271" s="33"/>
      <c r="AX271" s="59">
        <v>4.0</v>
      </c>
      <c r="AY271" s="33"/>
      <c r="AZ271" s="59">
        <v>4.0</v>
      </c>
      <c r="BA271" s="33"/>
      <c r="BB271" s="59">
        <v>2.0</v>
      </c>
      <c r="BC271" s="33"/>
      <c r="BD271" s="60"/>
      <c r="BE271" s="33"/>
      <c r="BF271" s="59">
        <v>3.0</v>
      </c>
      <c r="BG271" s="33"/>
      <c r="BH271" s="59">
        <v>4.0</v>
      </c>
      <c r="BI271" s="33"/>
      <c r="BJ271" s="60"/>
      <c r="BK271" s="33"/>
      <c r="BL271" s="59">
        <v>4.0</v>
      </c>
      <c r="BM271" s="33"/>
      <c r="BN271" s="59">
        <v>4.0</v>
      </c>
      <c r="BO271" s="33"/>
    </row>
    <row r="272" hidden="1" outlineLevel="1">
      <c r="A272" s="47"/>
      <c r="B272" s="48"/>
      <c r="C272" s="79"/>
      <c r="D272" s="80"/>
      <c r="E272" s="81"/>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c r="AK272" s="80"/>
      <c r="AL272" s="80"/>
      <c r="AM272" s="80"/>
      <c r="AN272" s="80"/>
      <c r="AO272" s="80"/>
      <c r="AP272" s="80"/>
      <c r="AQ272" s="80"/>
      <c r="AR272" s="80"/>
      <c r="AS272" s="80"/>
      <c r="AT272" s="80"/>
      <c r="AU272" s="80"/>
      <c r="AV272" s="80"/>
      <c r="AW272" s="80"/>
      <c r="AX272" s="80"/>
      <c r="AY272" s="80"/>
      <c r="AZ272" s="80"/>
      <c r="BA272" s="80"/>
      <c r="BB272" s="80"/>
      <c r="BC272" s="80"/>
      <c r="BD272" s="80"/>
      <c r="BE272" s="80"/>
      <c r="BF272" s="80"/>
      <c r="BG272" s="80"/>
      <c r="BH272" s="80"/>
      <c r="BI272" s="80"/>
      <c r="BJ272" s="80"/>
      <c r="BK272" s="80"/>
      <c r="BL272" s="80"/>
      <c r="BM272" s="80"/>
      <c r="BN272" s="80"/>
      <c r="BO272" s="80"/>
    </row>
    <row r="273" collapsed="1">
      <c r="A273" s="30"/>
      <c r="B273" s="31"/>
      <c r="C273" s="36">
        <v>45658.0</v>
      </c>
      <c r="D273" s="33"/>
      <c r="E273" s="34"/>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row>
    <row r="274" hidden="1" outlineLevel="1">
      <c r="A274" s="38"/>
      <c r="B274" s="39"/>
      <c r="C274" s="40" t="s">
        <v>1</v>
      </c>
      <c r="D274" s="40" t="s">
        <v>2</v>
      </c>
      <c r="E274" s="41" t="s">
        <v>117</v>
      </c>
      <c r="F274" s="40" t="s">
        <v>118</v>
      </c>
      <c r="G274" s="40" t="s">
        <v>119</v>
      </c>
      <c r="H274" s="40" t="s">
        <v>118</v>
      </c>
      <c r="I274" s="40" t="s">
        <v>119</v>
      </c>
      <c r="J274" s="40" t="s">
        <v>118</v>
      </c>
      <c r="K274" s="40" t="s">
        <v>119</v>
      </c>
      <c r="L274" s="40" t="s">
        <v>118</v>
      </c>
      <c r="M274" s="40" t="s">
        <v>119</v>
      </c>
      <c r="N274" s="40" t="s">
        <v>118</v>
      </c>
      <c r="O274" s="40" t="s">
        <v>119</v>
      </c>
      <c r="P274" s="40" t="s">
        <v>118</v>
      </c>
      <c r="Q274" s="40" t="s">
        <v>119</v>
      </c>
      <c r="R274" s="40" t="s">
        <v>118</v>
      </c>
      <c r="S274" s="40" t="s">
        <v>119</v>
      </c>
      <c r="T274" s="40" t="s">
        <v>118</v>
      </c>
      <c r="U274" s="40" t="s">
        <v>119</v>
      </c>
      <c r="V274" s="40" t="s">
        <v>118</v>
      </c>
      <c r="W274" s="40" t="s">
        <v>119</v>
      </c>
      <c r="X274" s="40" t="s">
        <v>118</v>
      </c>
      <c r="Y274" s="40" t="s">
        <v>119</v>
      </c>
      <c r="Z274" s="40" t="s">
        <v>118</v>
      </c>
      <c r="AA274" s="40" t="s">
        <v>119</v>
      </c>
      <c r="AB274" s="40" t="s">
        <v>118</v>
      </c>
      <c r="AC274" s="40" t="s">
        <v>119</v>
      </c>
      <c r="AD274" s="40" t="s">
        <v>118</v>
      </c>
      <c r="AE274" s="40" t="s">
        <v>119</v>
      </c>
      <c r="AF274" s="40" t="s">
        <v>118</v>
      </c>
      <c r="AG274" s="40" t="s">
        <v>119</v>
      </c>
      <c r="AH274" s="40" t="s">
        <v>118</v>
      </c>
      <c r="AI274" s="40" t="s">
        <v>119</v>
      </c>
      <c r="AJ274" s="40" t="s">
        <v>118</v>
      </c>
      <c r="AK274" s="40" t="s">
        <v>119</v>
      </c>
      <c r="AL274" s="40" t="s">
        <v>118</v>
      </c>
      <c r="AM274" s="40" t="s">
        <v>119</v>
      </c>
      <c r="AN274" s="40" t="s">
        <v>118</v>
      </c>
      <c r="AO274" s="40" t="s">
        <v>119</v>
      </c>
      <c r="AP274" s="40" t="s">
        <v>118</v>
      </c>
      <c r="AQ274" s="40" t="s">
        <v>119</v>
      </c>
      <c r="AR274" s="40" t="s">
        <v>118</v>
      </c>
      <c r="AS274" s="40" t="s">
        <v>119</v>
      </c>
      <c r="AT274" s="40" t="s">
        <v>118</v>
      </c>
      <c r="AU274" s="40" t="s">
        <v>119</v>
      </c>
      <c r="AV274" s="40" t="s">
        <v>118</v>
      </c>
      <c r="AW274" s="40" t="s">
        <v>119</v>
      </c>
      <c r="AX274" s="40" t="s">
        <v>118</v>
      </c>
      <c r="AY274" s="40" t="s">
        <v>119</v>
      </c>
      <c r="AZ274" s="40" t="s">
        <v>118</v>
      </c>
      <c r="BA274" s="40" t="s">
        <v>119</v>
      </c>
      <c r="BB274" s="40" t="s">
        <v>118</v>
      </c>
      <c r="BC274" s="40" t="s">
        <v>119</v>
      </c>
      <c r="BD274" s="40" t="s">
        <v>118</v>
      </c>
      <c r="BE274" s="40" t="s">
        <v>119</v>
      </c>
      <c r="BF274" s="40" t="s">
        <v>118</v>
      </c>
      <c r="BG274" s="40" t="s">
        <v>119</v>
      </c>
      <c r="BH274" s="40" t="s">
        <v>118</v>
      </c>
      <c r="BI274" s="40" t="s">
        <v>119</v>
      </c>
      <c r="BJ274" s="40" t="s">
        <v>118</v>
      </c>
      <c r="BK274" s="40" t="s">
        <v>119</v>
      </c>
      <c r="BL274" s="40" t="s">
        <v>118</v>
      </c>
      <c r="BM274" s="40" t="s">
        <v>119</v>
      </c>
      <c r="BN274" s="40" t="s">
        <v>118</v>
      </c>
      <c r="BO274" s="40" t="s">
        <v>119</v>
      </c>
    </row>
    <row r="275" hidden="1" outlineLevel="1">
      <c r="A275" s="42" t="str">
        <f>B275&amp;D275</f>
        <v>JanuaryBHUVANESWARAN</v>
      </c>
      <c r="B275" s="43" t="s">
        <v>44</v>
      </c>
      <c r="C275" s="43" t="s">
        <v>9</v>
      </c>
      <c r="D275" s="44" t="str">
        <f>IFERROR(VLOOKUP(C275,'Employees List'!$B$2:$C$28,2,0),"")</f>
        <v>BHUVANESWARAN</v>
      </c>
      <c r="E275" s="70">
        <f>(F275+G275+H275+I275+J275+K275+L275+M275+N275+O275+P275+Q275+R275+S275+T275+U275+V275+W275+X275+Y275+Z275+AA275+AB275+AC275+AD275+AE275+AF275+AG275+AH275+AI275+AJ275+AK275+AL275+AM275+AN275+AO275+AP275+AQ275+AR275+AS275+AT275+AU275+AV275+AW275+AX275+AY275+AZ275+BA275+BB275+BC275+BD275+BE275+BF275+BG275+BH275+BI275+BJ275+BK275+BL275+BM275+BN275+BO275)/2</f>
        <v>31</v>
      </c>
      <c r="F275" s="54" t="b">
        <v>1</v>
      </c>
      <c r="G275" s="54" t="b">
        <v>1</v>
      </c>
      <c r="H275" s="54" t="b">
        <v>1</v>
      </c>
      <c r="I275" s="54" t="b">
        <v>1</v>
      </c>
      <c r="J275" s="54" t="b">
        <v>1</v>
      </c>
      <c r="K275" s="54" t="b">
        <v>1</v>
      </c>
      <c r="L275" s="54" t="b">
        <v>1</v>
      </c>
      <c r="M275" s="54" t="b">
        <v>1</v>
      </c>
      <c r="N275" s="54" t="b">
        <v>1</v>
      </c>
      <c r="O275" s="54" t="b">
        <v>1</v>
      </c>
      <c r="P275" s="54" t="b">
        <v>1</v>
      </c>
      <c r="Q275" s="54" t="b">
        <v>1</v>
      </c>
      <c r="R275" s="54" t="b">
        <v>1</v>
      </c>
      <c r="S275" s="54" t="b">
        <v>1</v>
      </c>
      <c r="T275" s="54" t="b">
        <v>1</v>
      </c>
      <c r="U275" s="54" t="b">
        <v>1</v>
      </c>
      <c r="V275" s="54" t="b">
        <v>1</v>
      </c>
      <c r="W275" s="54" t="b">
        <v>1</v>
      </c>
      <c r="X275" s="54" t="b">
        <v>1</v>
      </c>
      <c r="Y275" s="54" t="b">
        <v>1</v>
      </c>
      <c r="Z275" s="54" t="b">
        <v>1</v>
      </c>
      <c r="AA275" s="54" t="b">
        <v>1</v>
      </c>
      <c r="AB275" s="54" t="b">
        <v>1</v>
      </c>
      <c r="AC275" s="54" t="b">
        <v>1</v>
      </c>
      <c r="AD275" s="54" t="b">
        <v>1</v>
      </c>
      <c r="AE275" s="54" t="b">
        <v>1</v>
      </c>
      <c r="AF275" s="54" t="b">
        <v>1</v>
      </c>
      <c r="AG275" s="54" t="b">
        <v>1</v>
      </c>
      <c r="AH275" s="54" t="b">
        <v>1</v>
      </c>
      <c r="AI275" s="54" t="b">
        <v>1</v>
      </c>
      <c r="AJ275" s="54" t="b">
        <v>1</v>
      </c>
      <c r="AK275" s="54" t="b">
        <v>1</v>
      </c>
      <c r="AL275" s="54" t="b">
        <v>1</v>
      </c>
      <c r="AM275" s="54" t="b">
        <v>1</v>
      </c>
      <c r="AN275" s="54" t="b">
        <v>1</v>
      </c>
      <c r="AO275" s="54" t="b">
        <v>1</v>
      </c>
      <c r="AP275" s="54" t="b">
        <v>1</v>
      </c>
      <c r="AQ275" s="54" t="b">
        <v>1</v>
      </c>
      <c r="AR275" s="54" t="b">
        <v>1</v>
      </c>
      <c r="AS275" s="54" t="b">
        <v>1</v>
      </c>
      <c r="AT275" s="54" t="b">
        <v>1</v>
      </c>
      <c r="AU275" s="54" t="b">
        <v>1</v>
      </c>
      <c r="AV275" s="54" t="b">
        <v>1</v>
      </c>
      <c r="AW275" s="54" t="b">
        <v>1</v>
      </c>
      <c r="AX275" s="54" t="b">
        <v>1</v>
      </c>
      <c r="AY275" s="54" t="b">
        <v>1</v>
      </c>
      <c r="AZ275" s="54" t="b">
        <v>1</v>
      </c>
      <c r="BA275" s="54" t="b">
        <v>1</v>
      </c>
      <c r="BB275" s="54" t="b">
        <v>1</v>
      </c>
      <c r="BC275" s="54" t="b">
        <v>1</v>
      </c>
      <c r="BD275" s="54" t="b">
        <v>1</v>
      </c>
      <c r="BE275" s="54" t="b">
        <v>1</v>
      </c>
      <c r="BF275" s="54" t="b">
        <v>1</v>
      </c>
      <c r="BG275" s="54" t="b">
        <v>1</v>
      </c>
      <c r="BH275" s="54" t="b">
        <v>1</v>
      </c>
      <c r="BI275" s="54" t="b">
        <v>1</v>
      </c>
      <c r="BJ275" s="54" t="b">
        <v>1</v>
      </c>
      <c r="BK275" s="54" t="b">
        <v>1</v>
      </c>
      <c r="BL275" s="54" t="b">
        <v>1</v>
      </c>
      <c r="BM275" s="54" t="b">
        <v>1</v>
      </c>
      <c r="BN275" s="54" t="b">
        <v>1</v>
      </c>
      <c r="BO275" s="54" t="b">
        <v>1</v>
      </c>
    </row>
    <row r="276" hidden="1" outlineLevel="1">
      <c r="A276" s="47" t="str">
        <f>A275&amp;C276</f>
        <v>JanuaryBHUVANESWARANOT HOURS</v>
      </c>
      <c r="B276" s="48"/>
      <c r="C276" s="49" t="s">
        <v>120</v>
      </c>
      <c r="D276" s="33"/>
      <c r="E276" s="70">
        <f>(F276+G276+H276+I276+J276+K276+L276+M276+N276+O276+P276+Q276+R276+S276+T276+U276+V276+W276+X276+Y276+Z276+AA276+AB276+AC276+AD276+AE276+AF276+AG276+AH276+AI276+AJ276+AK276+AL276+AM276+AN276+AO276+AP276+AQ276+AR276+AS276+AT276+AU276+AV276+AW276+AX276+AY276+AZ276+BA276+BB276+BC276+BD276+BE276+BF276+BG276+BH276+BI276+BJ276+BK276+BL276+BM276+BN276+BO276)</f>
        <v>0</v>
      </c>
      <c r="F276" s="59"/>
      <c r="G276" s="33"/>
      <c r="H276" s="59"/>
      <c r="I276" s="33"/>
      <c r="J276" s="59"/>
      <c r="K276" s="33"/>
      <c r="L276" s="60"/>
      <c r="M276" s="33"/>
      <c r="N276" s="60"/>
      <c r="O276" s="33"/>
      <c r="P276" s="60"/>
      <c r="Q276" s="33"/>
      <c r="R276" s="60"/>
      <c r="S276" s="33"/>
      <c r="T276" s="60"/>
      <c r="U276" s="33"/>
      <c r="V276" s="60"/>
      <c r="W276" s="33"/>
      <c r="X276" s="60"/>
      <c r="Y276" s="33"/>
      <c r="Z276" s="60"/>
      <c r="AA276" s="33"/>
      <c r="AB276" s="60"/>
      <c r="AC276" s="33"/>
      <c r="AD276" s="60"/>
      <c r="AE276" s="33"/>
      <c r="AF276" s="60"/>
      <c r="AG276" s="33"/>
      <c r="AH276" s="60"/>
      <c r="AI276" s="33"/>
      <c r="AJ276" s="60"/>
      <c r="AK276" s="33"/>
      <c r="AL276" s="60"/>
      <c r="AM276" s="33"/>
      <c r="AN276" s="60"/>
      <c r="AO276" s="33"/>
      <c r="AP276" s="60"/>
      <c r="AQ276" s="33"/>
      <c r="AR276" s="60"/>
      <c r="AS276" s="33"/>
      <c r="AT276" s="60"/>
      <c r="AU276" s="33"/>
      <c r="AV276" s="60"/>
      <c r="AW276" s="33"/>
      <c r="AX276" s="60"/>
      <c r="AY276" s="33"/>
      <c r="AZ276" s="60"/>
      <c r="BA276" s="33"/>
      <c r="BB276" s="60"/>
      <c r="BC276" s="33"/>
      <c r="BD276" s="60"/>
      <c r="BE276" s="33"/>
      <c r="BF276" s="60"/>
      <c r="BG276" s="33"/>
      <c r="BH276" s="60"/>
      <c r="BI276" s="33"/>
      <c r="BJ276" s="60"/>
      <c r="BK276" s="33"/>
      <c r="BL276" s="60"/>
      <c r="BM276" s="33"/>
      <c r="BN276" s="60"/>
      <c r="BO276" s="33"/>
    </row>
    <row r="277" hidden="1" outlineLevel="1">
      <c r="A277" s="42" t="str">
        <f>B277&amp;D277</f>
        <v>JanuarySUNDARI</v>
      </c>
      <c r="B277" s="43" t="s">
        <v>44</v>
      </c>
      <c r="C277" s="43" t="s">
        <v>64</v>
      </c>
      <c r="D277" s="44" t="str">
        <f>IFERROR(VLOOKUP(C277,'Employees List'!$B$2:$C$28,2,0),"")</f>
        <v>SUNDARI</v>
      </c>
      <c r="E277" s="70">
        <f>(F277+G277+H277+I277+J277+K277+L277+M277+N277+O277+P277+Q277+R277+S277+T277+U277+V277+W277+X277+Y277+Z277+AA277+AB277+AC277+AD277+AE277+AF277+AG277+AH277+AI277+AJ277+AK277+AL277+AM277+AN277+AO277+AP277+AQ277+AR277+AS277+AT277+AU277+AV277+AW277+AX277+AY277+AZ277+BA277+BB277+BC277+BD277+BE277+BF277+BG277+BH277+BI277+BJ277+BK277+BL277+BM277+BN277+BO277)/2</f>
        <v>31</v>
      </c>
      <c r="F277" s="54" t="b">
        <v>1</v>
      </c>
      <c r="G277" s="54" t="b">
        <v>1</v>
      </c>
      <c r="H277" s="54" t="b">
        <v>1</v>
      </c>
      <c r="I277" s="54" t="b">
        <v>1</v>
      </c>
      <c r="J277" s="54" t="b">
        <v>1</v>
      </c>
      <c r="K277" s="54" t="b">
        <v>1</v>
      </c>
      <c r="L277" s="54" t="b">
        <v>1</v>
      </c>
      <c r="M277" s="54" t="b">
        <v>1</v>
      </c>
      <c r="N277" s="54" t="b">
        <v>1</v>
      </c>
      <c r="O277" s="54" t="b">
        <v>1</v>
      </c>
      <c r="P277" s="54" t="b">
        <v>1</v>
      </c>
      <c r="Q277" s="54" t="b">
        <v>1</v>
      </c>
      <c r="R277" s="54" t="b">
        <v>1</v>
      </c>
      <c r="S277" s="54" t="b">
        <v>1</v>
      </c>
      <c r="T277" s="54" t="b">
        <v>1</v>
      </c>
      <c r="U277" s="54" t="b">
        <v>1</v>
      </c>
      <c r="V277" s="54" t="b">
        <v>1</v>
      </c>
      <c r="W277" s="54" t="b">
        <v>1</v>
      </c>
      <c r="X277" s="54" t="b">
        <v>1</v>
      </c>
      <c r="Y277" s="54" t="b">
        <v>1</v>
      </c>
      <c r="Z277" s="54" t="b">
        <v>1</v>
      </c>
      <c r="AA277" s="54" t="b">
        <v>1</v>
      </c>
      <c r="AB277" s="54" t="b">
        <v>1</v>
      </c>
      <c r="AC277" s="54" t="b">
        <v>1</v>
      </c>
      <c r="AD277" s="54" t="b">
        <v>1</v>
      </c>
      <c r="AE277" s="54" t="b">
        <v>1</v>
      </c>
      <c r="AF277" s="54" t="b">
        <v>1</v>
      </c>
      <c r="AG277" s="54" t="b">
        <v>1</v>
      </c>
      <c r="AH277" s="54" t="b">
        <v>1</v>
      </c>
      <c r="AI277" s="54" t="b">
        <v>1</v>
      </c>
      <c r="AJ277" s="54" t="b">
        <v>1</v>
      </c>
      <c r="AK277" s="54" t="b">
        <v>1</v>
      </c>
      <c r="AL277" s="54" t="b">
        <v>1</v>
      </c>
      <c r="AM277" s="54" t="b">
        <v>1</v>
      </c>
      <c r="AN277" s="54" t="b">
        <v>1</v>
      </c>
      <c r="AO277" s="54" t="b">
        <v>1</v>
      </c>
      <c r="AP277" s="54" t="b">
        <v>1</v>
      </c>
      <c r="AQ277" s="54" t="b">
        <v>1</v>
      </c>
      <c r="AR277" s="54" t="b">
        <v>1</v>
      </c>
      <c r="AS277" s="54" t="b">
        <v>1</v>
      </c>
      <c r="AT277" s="54" t="b">
        <v>1</v>
      </c>
      <c r="AU277" s="54" t="b">
        <v>1</v>
      </c>
      <c r="AV277" s="54" t="b">
        <v>1</v>
      </c>
      <c r="AW277" s="54" t="b">
        <v>1</v>
      </c>
      <c r="AX277" s="54" t="b">
        <v>1</v>
      </c>
      <c r="AY277" s="54" t="b">
        <v>1</v>
      </c>
      <c r="AZ277" s="54" t="b">
        <v>1</v>
      </c>
      <c r="BA277" s="54" t="b">
        <v>1</v>
      </c>
      <c r="BB277" s="54" t="b">
        <v>1</v>
      </c>
      <c r="BC277" s="54" t="b">
        <v>1</v>
      </c>
      <c r="BD277" s="54" t="b">
        <v>1</v>
      </c>
      <c r="BE277" s="54" t="b">
        <v>1</v>
      </c>
      <c r="BF277" s="54" t="b">
        <v>1</v>
      </c>
      <c r="BG277" s="54" t="b">
        <v>1</v>
      </c>
      <c r="BH277" s="54" t="b">
        <v>1</v>
      </c>
      <c r="BI277" s="54" t="b">
        <v>1</v>
      </c>
      <c r="BJ277" s="54" t="b">
        <v>1</v>
      </c>
      <c r="BK277" s="54" t="b">
        <v>1</v>
      </c>
      <c r="BL277" s="54" t="b">
        <v>1</v>
      </c>
      <c r="BM277" s="54" t="b">
        <v>1</v>
      </c>
      <c r="BN277" s="54" t="b">
        <v>1</v>
      </c>
      <c r="BO277" s="54" t="b">
        <v>1</v>
      </c>
    </row>
    <row r="278" hidden="1" outlineLevel="1">
      <c r="A278" s="47" t="str">
        <f>A277&amp;C278</f>
        <v>JanuarySUNDARIOT HOURS</v>
      </c>
      <c r="B278" s="48"/>
      <c r="C278" s="49" t="s">
        <v>120</v>
      </c>
      <c r="D278" s="33"/>
      <c r="E278" s="70">
        <f>(F278+G278+H278+I278+J278+K278+L278+M278+N278+O278+P278+Q278+R278+S278+T278+U278+V278+W278+X278+Y278+Z278+AA278+AB278+AC278+AD278+AE278+AF278+AG278+AH278+AI278+AJ278+AK278+AL278+AM278+AN278+AO278+AP278+AQ278+AR278+AS278+AT278+AU278+AV278+AW278+AX278+AY278+AZ278+BA278+BB278+BC278+BD278+BE278+BF278+BG278+BH278+BI278+BJ278+BK278+BL278+BM278+BN278+BO278)</f>
        <v>3</v>
      </c>
      <c r="F278" s="59"/>
      <c r="G278" s="33"/>
      <c r="H278" s="59"/>
      <c r="I278" s="33"/>
      <c r="J278" s="59"/>
      <c r="K278" s="33"/>
      <c r="L278" s="60"/>
      <c r="M278" s="33"/>
      <c r="N278" s="60"/>
      <c r="O278" s="33"/>
      <c r="P278" s="60"/>
      <c r="Q278" s="33"/>
      <c r="R278" s="60"/>
      <c r="S278" s="33"/>
      <c r="T278" s="60"/>
      <c r="U278" s="33"/>
      <c r="V278" s="59"/>
      <c r="W278" s="33"/>
      <c r="X278" s="59">
        <v>1.0</v>
      </c>
      <c r="Y278" s="33"/>
      <c r="Z278" s="60"/>
      <c r="AA278" s="33"/>
      <c r="AB278" s="60"/>
      <c r="AC278" s="33"/>
      <c r="AD278" s="60"/>
      <c r="AE278" s="33"/>
      <c r="AF278" s="60"/>
      <c r="AG278" s="33"/>
      <c r="AH278" s="60"/>
      <c r="AI278" s="33"/>
      <c r="AJ278" s="60"/>
      <c r="AK278" s="33"/>
      <c r="AL278" s="60"/>
      <c r="AM278" s="33"/>
      <c r="AN278" s="60"/>
      <c r="AO278" s="33"/>
      <c r="AP278" s="60"/>
      <c r="AQ278" s="33"/>
      <c r="AR278" s="60"/>
      <c r="AS278" s="33"/>
      <c r="AT278" s="59"/>
      <c r="AU278" s="33"/>
      <c r="AV278" s="60"/>
      <c r="AW278" s="33"/>
      <c r="AX278" s="59"/>
      <c r="AY278" s="33"/>
      <c r="AZ278" s="59">
        <v>1.0</v>
      </c>
      <c r="BA278" s="33"/>
      <c r="BB278" s="60"/>
      <c r="BC278" s="33"/>
      <c r="BD278" s="59"/>
      <c r="BE278" s="33"/>
      <c r="BF278" s="60"/>
      <c r="BG278" s="33"/>
      <c r="BH278" s="60"/>
      <c r="BI278" s="33"/>
      <c r="BJ278" s="59">
        <v>1.0</v>
      </c>
      <c r="BK278" s="33"/>
      <c r="BL278" s="60"/>
      <c r="BM278" s="33"/>
      <c r="BN278" s="60"/>
      <c r="BO278" s="33"/>
    </row>
    <row r="279" hidden="1" outlineLevel="1">
      <c r="A279" s="42" t="str">
        <f>B279&amp;D279</f>
        <v>JanuaryGANESH</v>
      </c>
      <c r="B279" s="43" t="s">
        <v>44</v>
      </c>
      <c r="C279" s="43" t="s">
        <v>18</v>
      </c>
      <c r="D279" s="44" t="str">
        <f>IFERROR(VLOOKUP(C279,'Employees List'!$B$2:$C$28,2,0),"")</f>
        <v>GANESH</v>
      </c>
      <c r="E279" s="70">
        <f>(F279+G279+H279+I279+J279+K279+L279+M279+N279+O279+P279+Q279+R279+S279+T279+U279+V279+W279+X279+Y279+Z279+AA279+AB279+AC279+AD279+AE279+AF279+AG279+AH279+AI279+AJ279+AK279+AL279+AM279+AN279+AO279+AP279+AQ279+AR279+AS279+AT279+AU279+AV279+AW279+AX279+AY279+AZ279+BA279+BB279+BC279+BD279+BE279+BF279+BG279+BH279+BI279+BJ279+BK279+BL279+BM279+BN279+BO279)/2</f>
        <v>31</v>
      </c>
      <c r="F279" s="54" t="b">
        <v>1</v>
      </c>
      <c r="G279" s="54" t="b">
        <v>1</v>
      </c>
      <c r="H279" s="54" t="b">
        <v>1</v>
      </c>
      <c r="I279" s="54" t="b">
        <v>1</v>
      </c>
      <c r="J279" s="54" t="b">
        <v>1</v>
      </c>
      <c r="K279" s="54" t="b">
        <v>1</v>
      </c>
      <c r="L279" s="54" t="b">
        <v>1</v>
      </c>
      <c r="M279" s="54" t="b">
        <v>1</v>
      </c>
      <c r="N279" s="54" t="b">
        <v>1</v>
      </c>
      <c r="O279" s="54" t="b">
        <v>1</v>
      </c>
      <c r="P279" s="54" t="b">
        <v>1</v>
      </c>
      <c r="Q279" s="54" t="b">
        <v>1</v>
      </c>
      <c r="R279" s="54" t="b">
        <v>1</v>
      </c>
      <c r="S279" s="54" t="b">
        <v>1</v>
      </c>
      <c r="T279" s="54" t="b">
        <v>1</v>
      </c>
      <c r="U279" s="54" t="b">
        <v>1</v>
      </c>
      <c r="V279" s="54" t="b">
        <v>1</v>
      </c>
      <c r="W279" s="54" t="b">
        <v>1</v>
      </c>
      <c r="X279" s="54" t="b">
        <v>1</v>
      </c>
      <c r="Y279" s="54" t="b">
        <v>1</v>
      </c>
      <c r="Z279" s="54" t="b">
        <v>1</v>
      </c>
      <c r="AA279" s="54" t="b">
        <v>1</v>
      </c>
      <c r="AB279" s="54" t="b">
        <v>1</v>
      </c>
      <c r="AC279" s="54" t="b">
        <v>1</v>
      </c>
      <c r="AD279" s="54" t="b">
        <v>1</v>
      </c>
      <c r="AE279" s="54" t="b">
        <v>1</v>
      </c>
      <c r="AF279" s="54" t="b">
        <v>1</v>
      </c>
      <c r="AG279" s="54" t="b">
        <v>1</v>
      </c>
      <c r="AH279" s="54" t="b">
        <v>1</v>
      </c>
      <c r="AI279" s="54" t="b">
        <v>1</v>
      </c>
      <c r="AJ279" s="54" t="b">
        <v>1</v>
      </c>
      <c r="AK279" s="54" t="b">
        <v>1</v>
      </c>
      <c r="AL279" s="54" t="b">
        <v>1</v>
      </c>
      <c r="AM279" s="54" t="b">
        <v>1</v>
      </c>
      <c r="AN279" s="54" t="b">
        <v>1</v>
      </c>
      <c r="AO279" s="54" t="b">
        <v>1</v>
      </c>
      <c r="AP279" s="54" t="b">
        <v>1</v>
      </c>
      <c r="AQ279" s="54" t="b">
        <v>1</v>
      </c>
      <c r="AR279" s="54" t="b">
        <v>1</v>
      </c>
      <c r="AS279" s="54" t="b">
        <v>1</v>
      </c>
      <c r="AT279" s="54" t="b">
        <v>1</v>
      </c>
      <c r="AU279" s="54" t="b">
        <v>1</v>
      </c>
      <c r="AV279" s="54" t="b">
        <v>1</v>
      </c>
      <c r="AW279" s="54" t="b">
        <v>1</v>
      </c>
      <c r="AX279" s="54" t="b">
        <v>1</v>
      </c>
      <c r="AY279" s="54" t="b">
        <v>1</v>
      </c>
      <c r="AZ279" s="54" t="b">
        <v>1</v>
      </c>
      <c r="BA279" s="54" t="b">
        <v>1</v>
      </c>
      <c r="BB279" s="54" t="b">
        <v>1</v>
      </c>
      <c r="BC279" s="54" t="b">
        <v>1</v>
      </c>
      <c r="BD279" s="54" t="b">
        <v>1</v>
      </c>
      <c r="BE279" s="54" t="b">
        <v>1</v>
      </c>
      <c r="BF279" s="54" t="b">
        <v>1</v>
      </c>
      <c r="BG279" s="54" t="b">
        <v>1</v>
      </c>
      <c r="BH279" s="54" t="b">
        <v>1</v>
      </c>
      <c r="BI279" s="54" t="b">
        <v>1</v>
      </c>
      <c r="BJ279" s="54" t="b">
        <v>1</v>
      </c>
      <c r="BK279" s="54" t="b">
        <v>1</v>
      </c>
      <c r="BL279" s="54" t="b">
        <v>1</v>
      </c>
      <c r="BM279" s="54" t="b">
        <v>1</v>
      </c>
      <c r="BN279" s="54" t="b">
        <v>1</v>
      </c>
      <c r="BO279" s="54" t="b">
        <v>1</v>
      </c>
    </row>
    <row r="280" hidden="1" outlineLevel="1">
      <c r="A280" s="47" t="str">
        <f>A279&amp;C280</f>
        <v>JanuaryGANESHOT HOURS</v>
      </c>
      <c r="B280" s="48"/>
      <c r="C280" s="49" t="s">
        <v>120</v>
      </c>
      <c r="D280" s="33"/>
      <c r="E280" s="70">
        <f>(F280+G280+H280+I280+J280+K280+L280+M280+N280+O280+P280+Q280+R280+S280+T280+U280+V280+W280+X280+Y280+Z280+AA280+AB280+AC280+AD280+AE280+AF280+AG280+AH280+AI280+AJ280+AK280+AL280+AM280+AN280+AO280+AP280+AQ280+AR280+AS280+AT280+AU280+AV280+AW280+AX280+AY280+AZ280+BA280+BB280+BC280+BD280+BE280+BF280+BG280+BH280+BI280+BJ280+BK280+BL280+BM280+BN280+BO280)</f>
        <v>33</v>
      </c>
      <c r="F280" s="59"/>
      <c r="G280" s="33"/>
      <c r="H280" s="59"/>
      <c r="I280" s="33"/>
      <c r="J280" s="59">
        <v>4.0</v>
      </c>
      <c r="K280" s="33"/>
      <c r="L280" s="60"/>
      <c r="M280" s="33"/>
      <c r="N280" s="60"/>
      <c r="O280" s="33"/>
      <c r="P280" s="60"/>
      <c r="Q280" s="33"/>
      <c r="R280" s="60"/>
      <c r="S280" s="33"/>
      <c r="T280" s="59"/>
      <c r="U280" s="33"/>
      <c r="V280" s="59">
        <v>2.0</v>
      </c>
      <c r="W280" s="33"/>
      <c r="X280" s="60"/>
      <c r="Y280" s="33"/>
      <c r="Z280" s="59">
        <v>2.0</v>
      </c>
      <c r="AA280" s="33"/>
      <c r="AB280" s="60"/>
      <c r="AC280" s="33"/>
      <c r="AD280" s="60"/>
      <c r="AE280" s="33"/>
      <c r="AF280" s="60"/>
      <c r="AG280" s="33"/>
      <c r="AH280" s="60"/>
      <c r="AI280" s="33"/>
      <c r="AJ280" s="60"/>
      <c r="AK280" s="33"/>
      <c r="AL280" s="59">
        <v>2.0</v>
      </c>
      <c r="AM280" s="33"/>
      <c r="AN280" s="59">
        <v>2.0</v>
      </c>
      <c r="AO280" s="33"/>
      <c r="AP280" s="59">
        <v>8.0</v>
      </c>
      <c r="AQ280" s="33"/>
      <c r="AR280" s="59">
        <v>2.0</v>
      </c>
      <c r="AS280" s="33"/>
      <c r="AT280" s="59">
        <v>3.0</v>
      </c>
      <c r="AU280" s="33"/>
      <c r="AV280" s="59">
        <v>2.0</v>
      </c>
      <c r="AW280" s="33"/>
      <c r="AX280" s="59"/>
      <c r="AY280" s="33"/>
      <c r="AZ280" s="59">
        <v>2.0</v>
      </c>
      <c r="BA280" s="33"/>
      <c r="BB280" s="59">
        <v>2.0</v>
      </c>
      <c r="BC280" s="33"/>
      <c r="BD280" s="60"/>
      <c r="BE280" s="33"/>
      <c r="BF280" s="59"/>
      <c r="BG280" s="33"/>
      <c r="BH280" s="59"/>
      <c r="BI280" s="33"/>
      <c r="BJ280" s="60"/>
      <c r="BK280" s="33"/>
      <c r="BL280" s="59"/>
      <c r="BM280" s="33"/>
      <c r="BN280" s="59">
        <v>2.0</v>
      </c>
      <c r="BO280" s="33"/>
    </row>
    <row r="281" hidden="1" outlineLevel="1">
      <c r="A281" s="66" t="str">
        <f>B281&amp;D281</f>
        <v>JanuaryMathi</v>
      </c>
      <c r="B281" s="67" t="s">
        <v>44</v>
      </c>
      <c r="C281" s="68" t="s">
        <v>70</v>
      </c>
      <c r="D281" s="69" t="str">
        <f>IFERROR(VLOOKUP(C281,'Employees List'!$B$2:$C$28,2,0),"")</f>
        <v>Mathi</v>
      </c>
      <c r="E281" s="70">
        <f>(F281+G281+H281+I281+J281+K281+L281+M281+N281+O281+P281+Q281+R281+S281+T281+U281+V281+W281+X281+Y281+Z281+AA281+AB281+AC281+AD281+AE281+AF281+AG281+AH281+AI281+AJ281+AK281+AL281+AM281+AN281+AO281+AP281+AQ281+AR281+AS281+AT281+AU281+AV281+AW281+AX281+AY281+AZ281+BA281+BB281+BC281+BD281+BE281+BF281+BG281+BH281+BI281+BJ281+BK281+BL281+BM281+BN281+BO281)/2</f>
        <v>19.5</v>
      </c>
      <c r="F281" s="54" t="b">
        <v>1</v>
      </c>
      <c r="G281" s="54" t="b">
        <v>1</v>
      </c>
      <c r="H281" s="54" t="b">
        <v>1</v>
      </c>
      <c r="I281" s="54" t="b">
        <v>1</v>
      </c>
      <c r="J281" s="54" t="b">
        <v>1</v>
      </c>
      <c r="K281" s="54" t="b">
        <v>1</v>
      </c>
      <c r="L281" s="54" t="b">
        <v>1</v>
      </c>
      <c r="M281" s="54" t="b">
        <v>1</v>
      </c>
      <c r="N281" s="54" t="b">
        <v>1</v>
      </c>
      <c r="O281" s="54" t="b">
        <v>1</v>
      </c>
      <c r="P281" s="54" t="b">
        <v>1</v>
      </c>
      <c r="Q281" s="54" t="b">
        <v>1</v>
      </c>
      <c r="R281" s="54" t="b">
        <v>1</v>
      </c>
      <c r="S281" s="54" t="b">
        <v>1</v>
      </c>
      <c r="T281" s="54" t="b">
        <v>1</v>
      </c>
      <c r="U281" s="54" t="b">
        <v>1</v>
      </c>
      <c r="V281" s="54" t="b">
        <v>1</v>
      </c>
      <c r="W281" s="54" t="b">
        <v>1</v>
      </c>
      <c r="X281" s="54" t="b">
        <v>0</v>
      </c>
      <c r="Y281" s="54" t="b">
        <v>0</v>
      </c>
      <c r="Z281" s="54" t="b">
        <v>1</v>
      </c>
      <c r="AA281" s="54" t="b">
        <v>1</v>
      </c>
      <c r="AB281" s="54" t="b">
        <v>1</v>
      </c>
      <c r="AC281" s="54" t="b">
        <v>1</v>
      </c>
      <c r="AD281" s="54" t="b">
        <v>0</v>
      </c>
      <c r="AE281" s="54" t="b">
        <v>0</v>
      </c>
      <c r="AF281" s="54" t="b">
        <v>0</v>
      </c>
      <c r="AG281" s="54" t="b">
        <v>0</v>
      </c>
      <c r="AH281" s="54" t="b">
        <v>0</v>
      </c>
      <c r="AI281" s="54" t="b">
        <v>0</v>
      </c>
      <c r="AJ281" s="54" t="b">
        <v>0</v>
      </c>
      <c r="AK281" s="54" t="b">
        <v>0</v>
      </c>
      <c r="AL281" s="54" t="b">
        <v>0</v>
      </c>
      <c r="AM281" s="54" t="b">
        <v>0</v>
      </c>
      <c r="AN281" s="54" t="b">
        <v>0</v>
      </c>
      <c r="AO281" s="54" t="b">
        <v>0</v>
      </c>
      <c r="AP281" s="54" t="b">
        <v>0</v>
      </c>
      <c r="AQ281" s="54" t="b">
        <v>0</v>
      </c>
      <c r="AR281" s="54" t="b">
        <v>0</v>
      </c>
      <c r="AS281" s="54" t="b">
        <v>0</v>
      </c>
      <c r="AT281" s="54" t="b">
        <v>0</v>
      </c>
      <c r="AU281" s="54" t="b">
        <v>0</v>
      </c>
      <c r="AV281" s="54" t="b">
        <v>0</v>
      </c>
      <c r="AW281" s="54" t="b">
        <v>0</v>
      </c>
      <c r="AX281" s="54" t="b">
        <v>1</v>
      </c>
      <c r="AY281" s="54" t="b">
        <v>1</v>
      </c>
      <c r="AZ281" s="54" t="b">
        <v>1</v>
      </c>
      <c r="BA281" s="54" t="b">
        <v>1</v>
      </c>
      <c r="BB281" s="54" t="b">
        <v>1</v>
      </c>
      <c r="BC281" s="54" t="b">
        <v>0</v>
      </c>
      <c r="BD281" s="54" t="b">
        <v>1</v>
      </c>
      <c r="BE281" s="54" t="b">
        <v>1</v>
      </c>
      <c r="BF281" s="54" t="b">
        <v>1</v>
      </c>
      <c r="BG281" s="54" t="b">
        <v>1</v>
      </c>
      <c r="BH281" s="54" t="b">
        <v>1</v>
      </c>
      <c r="BI281" s="54" t="b">
        <v>1</v>
      </c>
      <c r="BJ281" s="54" t="b">
        <v>1</v>
      </c>
      <c r="BK281" s="54" t="b">
        <v>1</v>
      </c>
      <c r="BL281" s="54" t="b">
        <v>1</v>
      </c>
      <c r="BM281" s="54" t="b">
        <v>1</v>
      </c>
      <c r="BN281" s="54" t="b">
        <v>1</v>
      </c>
      <c r="BO281" s="54" t="b">
        <v>1</v>
      </c>
    </row>
    <row r="282" hidden="1" outlineLevel="1">
      <c r="A282" s="71" t="str">
        <f>A281&amp;C282</f>
        <v>JanuaryMathiOT HOURS</v>
      </c>
      <c r="B282" s="72"/>
      <c r="C282" s="73" t="s">
        <v>120</v>
      </c>
      <c r="D282" s="33"/>
      <c r="E282" s="70">
        <f>(F282+G282+H282+I282+J282+K282+L282+M282+N282+O282+P282+Q282+R282+S282+T282+U282+V282+W282+X282+Y282+Z282+AA282+AB282+AC282+AD282+AE282+AF282+AG282+AH282+AI282+AJ282+AK282+AL282+AM282+AN282+AO282+AP282+AQ282+AR282+AS282+AT282+AU282+AV282+AW282+AX282+AY282+AZ282+BA282+BB282+BC282+BD282+BE282+BF282+BG282+BH282+BI282+BJ282+BK282+BL282+BM282+BN282+BO282)</f>
        <v>25</v>
      </c>
      <c r="F282" s="59"/>
      <c r="G282" s="33"/>
      <c r="H282" s="59">
        <v>2.0</v>
      </c>
      <c r="I282" s="33"/>
      <c r="J282" s="59">
        <v>2.0</v>
      </c>
      <c r="K282" s="33"/>
      <c r="L282" s="59">
        <v>2.0</v>
      </c>
      <c r="M282" s="33"/>
      <c r="N282" s="59"/>
      <c r="O282" s="33"/>
      <c r="P282" s="59">
        <v>4.0</v>
      </c>
      <c r="Q282" s="33"/>
      <c r="R282" s="59"/>
      <c r="S282" s="33"/>
      <c r="T282" s="59">
        <v>3.0</v>
      </c>
      <c r="U282" s="33"/>
      <c r="V282" s="59">
        <v>2.0</v>
      </c>
      <c r="W282" s="33"/>
      <c r="X282" s="60"/>
      <c r="Y282" s="33"/>
      <c r="Z282" s="60"/>
      <c r="AA282" s="33"/>
      <c r="AB282" s="60"/>
      <c r="AC282" s="33"/>
      <c r="AD282" s="60"/>
      <c r="AE282" s="33"/>
      <c r="AF282" s="60"/>
      <c r="AG282" s="33"/>
      <c r="AH282" s="60"/>
      <c r="AI282" s="33"/>
      <c r="AJ282" s="60"/>
      <c r="AK282" s="33"/>
      <c r="AL282" s="60"/>
      <c r="AM282" s="33"/>
      <c r="AN282" s="59"/>
      <c r="AO282" s="33"/>
      <c r="AP282" s="59"/>
      <c r="AQ282" s="33"/>
      <c r="AR282" s="59"/>
      <c r="AS282" s="33"/>
      <c r="AT282" s="59"/>
      <c r="AU282" s="33"/>
      <c r="AV282" s="60"/>
      <c r="AW282" s="33"/>
      <c r="AX282" s="59"/>
      <c r="AY282" s="33"/>
      <c r="AZ282" s="59">
        <v>4.0</v>
      </c>
      <c r="BA282" s="33"/>
      <c r="BB282" s="59"/>
      <c r="BC282" s="33"/>
      <c r="BD282" s="59"/>
      <c r="BE282" s="33"/>
      <c r="BF282" s="59">
        <v>1.0</v>
      </c>
      <c r="BG282" s="33"/>
      <c r="BH282" s="59"/>
      <c r="BI282" s="33"/>
      <c r="BJ282" s="60"/>
      <c r="BK282" s="33"/>
      <c r="BL282" s="59">
        <v>3.0</v>
      </c>
      <c r="BM282" s="33"/>
      <c r="BN282" s="59">
        <v>2.0</v>
      </c>
      <c r="BO282" s="33"/>
    </row>
    <row r="283" hidden="1" outlineLevel="1">
      <c r="A283" s="66" t="str">
        <f>B283&amp;D283</f>
        <v>JanuaryAMMU</v>
      </c>
      <c r="B283" s="67" t="s">
        <v>44</v>
      </c>
      <c r="C283" s="68" t="s">
        <v>37</v>
      </c>
      <c r="D283" s="69" t="str">
        <f>IFERROR(VLOOKUP(C283,'Employees List'!$B$2:$C$28,2,0),"")</f>
        <v>AMMU</v>
      </c>
      <c r="E283" s="70">
        <f>(F283+G283+H283+I283+J283+K283+L283+M283+N283+O283+P283+Q283+R283+S283+T283+U283+V283+W283+X283+Y283+Z283+AA283+AB283+AC283+AD283+AE283+AF283+AG283+AH283+AI283+AJ283+AK283+AL283+AM283+AN283+AO283+AP283+AQ283+AR283+AS283+AT283+AU283+AV283+AW283+AX283+AY283+AZ283+BA283+BB283+BC283+BD283+BE283+BF283+BG283+BH283+BI283+BJ283+BK283+BL283+BM283+BN283+BO283)/2</f>
        <v>29</v>
      </c>
      <c r="F283" s="54" t="b">
        <v>1</v>
      </c>
      <c r="G283" s="54" t="b">
        <v>1</v>
      </c>
      <c r="H283" s="54" t="b">
        <v>1</v>
      </c>
      <c r="I283" s="54" t="b">
        <v>1</v>
      </c>
      <c r="J283" s="54" t="b">
        <v>1</v>
      </c>
      <c r="K283" s="54" t="b">
        <v>1</v>
      </c>
      <c r="L283" s="54" t="b">
        <v>1</v>
      </c>
      <c r="M283" s="54" t="b">
        <v>1</v>
      </c>
      <c r="N283" s="54" t="b">
        <v>1</v>
      </c>
      <c r="O283" s="54" t="b">
        <v>1</v>
      </c>
      <c r="P283" s="54" t="b">
        <v>1</v>
      </c>
      <c r="Q283" s="54" t="b">
        <v>1</v>
      </c>
      <c r="R283" s="54" t="b">
        <v>1</v>
      </c>
      <c r="S283" s="54" t="b">
        <v>1</v>
      </c>
      <c r="T283" s="54" t="b">
        <v>1</v>
      </c>
      <c r="U283" s="54" t="b">
        <v>1</v>
      </c>
      <c r="V283" s="54" t="b">
        <v>1</v>
      </c>
      <c r="W283" s="54" t="b">
        <v>1</v>
      </c>
      <c r="X283" s="54" t="b">
        <v>1</v>
      </c>
      <c r="Y283" s="54" t="b">
        <v>1</v>
      </c>
      <c r="Z283" s="54" t="b">
        <v>1</v>
      </c>
      <c r="AA283" s="54" t="b">
        <v>1</v>
      </c>
      <c r="AB283" s="54" t="b">
        <v>1</v>
      </c>
      <c r="AC283" s="54" t="b">
        <v>1</v>
      </c>
      <c r="AD283" s="54" t="b">
        <v>1</v>
      </c>
      <c r="AE283" s="54" t="b">
        <v>1</v>
      </c>
      <c r="AF283" s="54" t="b">
        <v>1</v>
      </c>
      <c r="AG283" s="54" t="b">
        <v>1</v>
      </c>
      <c r="AH283" s="54" t="b">
        <v>1</v>
      </c>
      <c r="AI283" s="54" t="b">
        <v>1</v>
      </c>
      <c r="AJ283" s="54" t="b">
        <v>1</v>
      </c>
      <c r="AK283" s="54" t="b">
        <v>1</v>
      </c>
      <c r="AL283" s="54" t="b">
        <v>1</v>
      </c>
      <c r="AM283" s="54" t="b">
        <v>1</v>
      </c>
      <c r="AN283" s="54" t="b">
        <v>1</v>
      </c>
      <c r="AO283" s="54" t="b">
        <v>1</v>
      </c>
      <c r="AP283" s="54" t="b">
        <v>1</v>
      </c>
      <c r="AQ283" s="54" t="b">
        <v>1</v>
      </c>
      <c r="AR283" s="54" t="b">
        <v>1</v>
      </c>
      <c r="AS283" s="54" t="b">
        <v>1</v>
      </c>
      <c r="AT283" s="54" t="b">
        <v>1</v>
      </c>
      <c r="AU283" s="54" t="b">
        <v>1</v>
      </c>
      <c r="AV283" s="54" t="b">
        <v>1</v>
      </c>
      <c r="AW283" s="54" t="b">
        <v>1</v>
      </c>
      <c r="AX283" s="54" t="b">
        <v>1</v>
      </c>
      <c r="AY283" s="54" t="b">
        <v>1</v>
      </c>
      <c r="AZ283" s="54" t="b">
        <v>1</v>
      </c>
      <c r="BA283" s="54" t="b">
        <v>1</v>
      </c>
      <c r="BB283" s="54" t="b">
        <v>0</v>
      </c>
      <c r="BC283" s="54" t="b">
        <v>0</v>
      </c>
      <c r="BD283" s="54" t="b">
        <v>1</v>
      </c>
      <c r="BE283" s="54" t="b">
        <v>1</v>
      </c>
      <c r="BF283" s="54" t="b">
        <v>0</v>
      </c>
      <c r="BG283" s="54" t="b">
        <v>0</v>
      </c>
      <c r="BH283" s="54" t="b">
        <v>1</v>
      </c>
      <c r="BI283" s="54" t="b">
        <v>1</v>
      </c>
      <c r="BJ283" s="54" t="b">
        <v>1</v>
      </c>
      <c r="BK283" s="54" t="b">
        <v>1</v>
      </c>
      <c r="BL283" s="54" t="b">
        <v>1</v>
      </c>
      <c r="BM283" s="54" t="b">
        <v>1</v>
      </c>
      <c r="BN283" s="54" t="b">
        <v>1</v>
      </c>
      <c r="BO283" s="54" t="b">
        <v>1</v>
      </c>
    </row>
    <row r="284" hidden="1" outlineLevel="1">
      <c r="A284" s="71" t="str">
        <f>A283&amp;C284</f>
        <v>JanuaryAMMUOT HOURS</v>
      </c>
      <c r="B284" s="72"/>
      <c r="C284" s="73" t="s">
        <v>120</v>
      </c>
      <c r="D284" s="33"/>
      <c r="E284" s="70">
        <f>(F284+G284+H284+I284+J284+K284+L284+M284+N284+O284+P284+Q284+R284+S284+T284+U284+V284+W284+X284+Y284+Z284+AA284+AB284+AC284+AD284+AE284+AF284+AG284+AH284+AI284+AJ284+AK284+AL284+AM284+AN284+AO284+AP284+AQ284+AR284+AS284+AT284+AU284+AV284+AW284+AX284+AY284+AZ284+BA284+BB284+BC284+BD284+BE284+BF284+BG284+BH284+BI284+BJ284+BK284+BL284+BM284+BN284+BO284)</f>
        <v>26</v>
      </c>
      <c r="F284" s="59"/>
      <c r="G284" s="33"/>
      <c r="H284" s="59"/>
      <c r="I284" s="33"/>
      <c r="J284" s="59">
        <v>2.0</v>
      </c>
      <c r="K284" s="33"/>
      <c r="L284" s="59">
        <v>2.0</v>
      </c>
      <c r="M284" s="33"/>
      <c r="N284" s="60"/>
      <c r="O284" s="33"/>
      <c r="P284" s="59">
        <v>2.0</v>
      </c>
      <c r="Q284" s="33"/>
      <c r="R284" s="59">
        <v>2.0</v>
      </c>
      <c r="S284" s="33"/>
      <c r="T284" s="60"/>
      <c r="U284" s="33"/>
      <c r="V284" s="60"/>
      <c r="W284" s="33"/>
      <c r="X284" s="60"/>
      <c r="Y284" s="33"/>
      <c r="Z284" s="59">
        <v>2.0</v>
      </c>
      <c r="AA284" s="33"/>
      <c r="AB284" s="60"/>
      <c r="AC284" s="33"/>
      <c r="AD284" s="60"/>
      <c r="AE284" s="33"/>
      <c r="AF284" s="60"/>
      <c r="AG284" s="33"/>
      <c r="AH284" s="60"/>
      <c r="AI284" s="33"/>
      <c r="AJ284" s="60"/>
      <c r="AK284" s="33"/>
      <c r="AL284" s="60"/>
      <c r="AM284" s="33"/>
      <c r="AN284" s="59">
        <v>2.0</v>
      </c>
      <c r="AO284" s="33"/>
      <c r="AP284" s="59">
        <v>6.0</v>
      </c>
      <c r="AQ284" s="33"/>
      <c r="AR284" s="60"/>
      <c r="AS284" s="33"/>
      <c r="AT284" s="59">
        <v>2.0</v>
      </c>
      <c r="AU284" s="33"/>
      <c r="AV284" s="59">
        <v>2.0</v>
      </c>
      <c r="AW284" s="33"/>
      <c r="AX284" s="59"/>
      <c r="AY284" s="33"/>
      <c r="AZ284" s="60"/>
      <c r="BA284" s="33"/>
      <c r="BB284" s="60"/>
      <c r="BC284" s="33"/>
      <c r="BD284" s="60"/>
      <c r="BE284" s="33"/>
      <c r="BF284" s="59"/>
      <c r="BG284" s="33"/>
      <c r="BH284" s="59"/>
      <c r="BI284" s="33"/>
      <c r="BJ284" s="60"/>
      <c r="BK284" s="33"/>
      <c r="BL284" s="59">
        <v>2.0</v>
      </c>
      <c r="BM284" s="33"/>
      <c r="BN284" s="59">
        <v>2.0</v>
      </c>
      <c r="BO284" s="33"/>
    </row>
    <row r="285" hidden="1" outlineLevel="1">
      <c r="A285" s="66" t="str">
        <f>B285&amp;D285</f>
        <v>JanuaryREVATHI S</v>
      </c>
      <c r="B285" s="67" t="s">
        <v>44</v>
      </c>
      <c r="C285" s="68" t="s">
        <v>41</v>
      </c>
      <c r="D285" s="69" t="str">
        <f>IFERROR(VLOOKUP(C285,'Employees List'!$B$2:$C$28,2,0),"")</f>
        <v>REVATHI S</v>
      </c>
      <c r="E285" s="70">
        <f>(F285+G285+H285+I285+J285+K285+L285+M285+N285+O285+P285+Q285+R285+S285+T285+U285+V285+W285+X285+Y285+Z285+AA285+AB285+AC285+AD285+AE285+AF285+AG285+AH285+AI285+AJ285+AK285+AL285+AM285+AN285+AO285+AP285+AQ285+AR285+AS285+AT285+AU285+AV285+AW285+AX285+AY285+AZ285+BA285+BB285+BC285+BD285+BE285+BF285+BG285+BH285+BI285+BJ285+BK285+BL285+BM285+BN285+BO285)/2</f>
        <v>28</v>
      </c>
      <c r="F285" s="54" t="b">
        <v>1</v>
      </c>
      <c r="G285" s="54" t="b">
        <v>1</v>
      </c>
      <c r="H285" s="54" t="b">
        <v>1</v>
      </c>
      <c r="I285" s="54" t="b">
        <v>1</v>
      </c>
      <c r="J285" s="54" t="b">
        <v>0</v>
      </c>
      <c r="K285" s="54" t="b">
        <v>0</v>
      </c>
      <c r="L285" s="54" t="b">
        <v>0</v>
      </c>
      <c r="M285" s="54" t="b">
        <v>0</v>
      </c>
      <c r="N285" s="54" t="b">
        <v>1</v>
      </c>
      <c r="O285" s="54" t="b">
        <v>1</v>
      </c>
      <c r="P285" s="54" t="b">
        <v>1</v>
      </c>
      <c r="Q285" s="54" t="b">
        <v>1</v>
      </c>
      <c r="R285" s="54" t="b">
        <v>1</v>
      </c>
      <c r="S285" s="54" t="b">
        <v>1</v>
      </c>
      <c r="T285" s="54" t="b">
        <v>1</v>
      </c>
      <c r="U285" s="54" t="b">
        <v>1</v>
      </c>
      <c r="V285" s="54" t="b">
        <v>1</v>
      </c>
      <c r="W285" s="54" t="b">
        <v>1</v>
      </c>
      <c r="X285" s="54" t="b">
        <v>0</v>
      </c>
      <c r="Y285" s="54" t="b">
        <v>0</v>
      </c>
      <c r="Z285" s="54" t="b">
        <v>1</v>
      </c>
      <c r="AA285" s="54" t="b">
        <v>1</v>
      </c>
      <c r="AB285" s="54" t="b">
        <v>1</v>
      </c>
      <c r="AC285" s="54" t="b">
        <v>1</v>
      </c>
      <c r="AD285" s="54" t="b">
        <v>1</v>
      </c>
      <c r="AE285" s="54" t="b">
        <v>1</v>
      </c>
      <c r="AF285" s="54" t="b">
        <v>1</v>
      </c>
      <c r="AG285" s="54" t="b">
        <v>1</v>
      </c>
      <c r="AH285" s="54" t="b">
        <v>1</v>
      </c>
      <c r="AI285" s="54" t="b">
        <v>1</v>
      </c>
      <c r="AJ285" s="54" t="b">
        <v>1</v>
      </c>
      <c r="AK285" s="54" t="b">
        <v>1</v>
      </c>
      <c r="AL285" s="54" t="b">
        <v>1</v>
      </c>
      <c r="AM285" s="54" t="b">
        <v>1</v>
      </c>
      <c r="AN285" s="54" t="b">
        <v>1</v>
      </c>
      <c r="AO285" s="54" t="b">
        <v>1</v>
      </c>
      <c r="AP285" s="54" t="b">
        <v>1</v>
      </c>
      <c r="AQ285" s="54" t="b">
        <v>1</v>
      </c>
      <c r="AR285" s="54" t="b">
        <v>1</v>
      </c>
      <c r="AS285" s="54" t="b">
        <v>1</v>
      </c>
      <c r="AT285" s="54" t="b">
        <v>1</v>
      </c>
      <c r="AU285" s="54" t="b">
        <v>1</v>
      </c>
      <c r="AV285" s="54" t="b">
        <v>1</v>
      </c>
      <c r="AW285" s="54" t="b">
        <v>1</v>
      </c>
      <c r="AX285" s="54" t="b">
        <v>1</v>
      </c>
      <c r="AY285" s="54" t="b">
        <v>1</v>
      </c>
      <c r="AZ285" s="54" t="b">
        <v>1</v>
      </c>
      <c r="BA285" s="54" t="b">
        <v>1</v>
      </c>
      <c r="BB285" s="54" t="b">
        <v>1</v>
      </c>
      <c r="BC285" s="54" t="b">
        <v>1</v>
      </c>
      <c r="BD285" s="54" t="b">
        <v>1</v>
      </c>
      <c r="BE285" s="54" t="b">
        <v>1</v>
      </c>
      <c r="BF285" s="54" t="b">
        <v>1</v>
      </c>
      <c r="BG285" s="54" t="b">
        <v>1</v>
      </c>
      <c r="BH285" s="54" t="b">
        <v>1</v>
      </c>
      <c r="BI285" s="54" t="b">
        <v>1</v>
      </c>
      <c r="BJ285" s="54" t="b">
        <v>1</v>
      </c>
      <c r="BK285" s="54" t="b">
        <v>1</v>
      </c>
      <c r="BL285" s="54" t="b">
        <v>1</v>
      </c>
      <c r="BM285" s="54" t="b">
        <v>1</v>
      </c>
      <c r="BN285" s="54" t="b">
        <v>1</v>
      </c>
      <c r="BO285" s="54" t="b">
        <v>1</v>
      </c>
    </row>
    <row r="286" hidden="1" outlineLevel="1">
      <c r="A286" s="71" t="str">
        <f>A285&amp;C286</f>
        <v>JanuaryREVATHI SOT HOURS</v>
      </c>
      <c r="B286" s="72"/>
      <c r="C286" s="73" t="s">
        <v>120</v>
      </c>
      <c r="D286" s="33"/>
      <c r="E286" s="70">
        <f>(F286+G286+H286+I286+J286+K286+L286+M286+N286+O286+P286+Q286+R286+S286+T286+U286+V286+W286+X286+Y286+Z286+AA286+AB286+AC286+AD286+AE286+AF286+AG286+AH286+AI286+AJ286+AK286+AL286+AM286+AN286+AO286+AP286+AQ286+AR286+AS286+AT286+AU286+AV286+AW286+AX286+AY286+AZ286+BA286+BB286+BC286+BD286+BE286+BF286+BG286+BH286+BI286+BJ286+BK286+BL286+BM286+BN286+BO286)</f>
        <v>28</v>
      </c>
      <c r="F286" s="59"/>
      <c r="G286" s="33"/>
      <c r="H286" s="59"/>
      <c r="I286" s="33"/>
      <c r="J286" s="59"/>
      <c r="K286" s="33"/>
      <c r="L286" s="60"/>
      <c r="M286" s="33"/>
      <c r="N286" s="60"/>
      <c r="O286" s="33"/>
      <c r="P286" s="59">
        <v>2.0</v>
      </c>
      <c r="Q286" s="33"/>
      <c r="R286" s="59">
        <v>2.0</v>
      </c>
      <c r="S286" s="33"/>
      <c r="T286" s="60"/>
      <c r="U286" s="33"/>
      <c r="V286" s="59">
        <v>2.0</v>
      </c>
      <c r="W286" s="33"/>
      <c r="X286" s="60"/>
      <c r="Y286" s="33"/>
      <c r="Z286" s="59">
        <v>2.0</v>
      </c>
      <c r="AA286" s="33"/>
      <c r="AB286" s="60"/>
      <c r="AC286" s="33"/>
      <c r="AD286" s="60"/>
      <c r="AE286" s="33"/>
      <c r="AF286" s="60"/>
      <c r="AG286" s="33"/>
      <c r="AH286" s="60"/>
      <c r="AI286" s="33"/>
      <c r="AJ286" s="60"/>
      <c r="AK286" s="33"/>
      <c r="AL286" s="60"/>
      <c r="AM286" s="33"/>
      <c r="AN286" s="59">
        <v>2.0</v>
      </c>
      <c r="AO286" s="33"/>
      <c r="AP286" s="59">
        <v>6.0</v>
      </c>
      <c r="AQ286" s="33"/>
      <c r="AR286" s="60"/>
      <c r="AS286" s="33"/>
      <c r="AT286" s="59">
        <v>2.0</v>
      </c>
      <c r="AU286" s="33"/>
      <c r="AV286" s="59">
        <v>2.0</v>
      </c>
      <c r="AW286" s="33"/>
      <c r="AX286" s="59"/>
      <c r="AY286" s="33"/>
      <c r="AZ286" s="59">
        <v>2.0</v>
      </c>
      <c r="BA286" s="33"/>
      <c r="BB286" s="59">
        <v>2.0</v>
      </c>
      <c r="BC286" s="33"/>
      <c r="BD286" s="60"/>
      <c r="BE286" s="33"/>
      <c r="BF286" s="59"/>
      <c r="BG286" s="33"/>
      <c r="BH286" s="59"/>
      <c r="BI286" s="33"/>
      <c r="BJ286" s="60"/>
      <c r="BK286" s="33"/>
      <c r="BL286" s="59">
        <v>2.0</v>
      </c>
      <c r="BM286" s="33"/>
      <c r="BN286" s="59">
        <v>2.0</v>
      </c>
      <c r="BO286" s="33"/>
    </row>
    <row r="287" hidden="1" outlineLevel="1">
      <c r="A287" s="66" t="str">
        <f>B287&amp;D287</f>
        <v>JanuaryLEELA</v>
      </c>
      <c r="B287" s="67" t="s">
        <v>44</v>
      </c>
      <c r="C287" s="68" t="s">
        <v>67</v>
      </c>
      <c r="D287" s="69" t="str">
        <f>IFERROR(VLOOKUP(C287,'Employees List'!$B$2:$C$28,2,0),"")</f>
        <v>LEELA</v>
      </c>
      <c r="E287" s="70">
        <f>(F287+G287+H287+I287+J287+K287+L287+M287+N287+O287+P287+Q287+R287+S287+T287+U287+V287+W287+X287+Y287+Z287+AA287+AB287+AC287+AD287+AE287+AF287+AG287+AH287+AI287+AJ287+AK287+AL287+AM287+AN287+AO287+AP287+AQ287+AR287+AS287+AT287+AU287+AV287+AW287+AX287+AY287+AZ287+BA287+BB287+BC287+BD287+BE287+BF287+BG287+BH287+BI287+BJ287+BK287+BL287+BM287+BN287+BO287)/2</f>
        <v>31</v>
      </c>
      <c r="F287" s="54" t="b">
        <v>1</v>
      </c>
      <c r="G287" s="54" t="b">
        <v>1</v>
      </c>
      <c r="H287" s="54" t="b">
        <v>1</v>
      </c>
      <c r="I287" s="54" t="b">
        <v>1</v>
      </c>
      <c r="J287" s="54" t="b">
        <v>1</v>
      </c>
      <c r="K287" s="54" t="b">
        <v>1</v>
      </c>
      <c r="L287" s="54" t="b">
        <v>1</v>
      </c>
      <c r="M287" s="54" t="b">
        <v>1</v>
      </c>
      <c r="N287" s="54" t="b">
        <v>1</v>
      </c>
      <c r="O287" s="54" t="b">
        <v>1</v>
      </c>
      <c r="P287" s="54" t="b">
        <v>1</v>
      </c>
      <c r="Q287" s="54" t="b">
        <v>1</v>
      </c>
      <c r="R287" s="54" t="b">
        <v>1</v>
      </c>
      <c r="S287" s="54" t="b">
        <v>1</v>
      </c>
      <c r="T287" s="54" t="b">
        <v>1</v>
      </c>
      <c r="U287" s="54" t="b">
        <v>1</v>
      </c>
      <c r="V287" s="54" t="b">
        <v>1</v>
      </c>
      <c r="W287" s="54" t="b">
        <v>1</v>
      </c>
      <c r="X287" s="54" t="b">
        <v>1</v>
      </c>
      <c r="Y287" s="54" t="b">
        <v>1</v>
      </c>
      <c r="Z287" s="54" t="b">
        <v>1</v>
      </c>
      <c r="AA287" s="54" t="b">
        <v>1</v>
      </c>
      <c r="AB287" s="54" t="b">
        <v>1</v>
      </c>
      <c r="AC287" s="54" t="b">
        <v>1</v>
      </c>
      <c r="AD287" s="54" t="b">
        <v>1</v>
      </c>
      <c r="AE287" s="54" t="b">
        <v>1</v>
      </c>
      <c r="AF287" s="54" t="b">
        <v>1</v>
      </c>
      <c r="AG287" s="54" t="b">
        <v>1</v>
      </c>
      <c r="AH287" s="54" t="b">
        <v>1</v>
      </c>
      <c r="AI287" s="54" t="b">
        <v>1</v>
      </c>
      <c r="AJ287" s="54" t="b">
        <v>1</v>
      </c>
      <c r="AK287" s="54" t="b">
        <v>1</v>
      </c>
      <c r="AL287" s="54" t="b">
        <v>1</v>
      </c>
      <c r="AM287" s="54" t="b">
        <v>1</v>
      </c>
      <c r="AN287" s="54" t="b">
        <v>1</v>
      </c>
      <c r="AO287" s="54" t="b">
        <v>1</v>
      </c>
      <c r="AP287" s="54" t="b">
        <v>1</v>
      </c>
      <c r="AQ287" s="54" t="b">
        <v>1</v>
      </c>
      <c r="AR287" s="54" t="b">
        <v>1</v>
      </c>
      <c r="AS287" s="54" t="b">
        <v>1</v>
      </c>
      <c r="AT287" s="54" t="b">
        <v>1</v>
      </c>
      <c r="AU287" s="54" t="b">
        <v>1</v>
      </c>
      <c r="AV287" s="54" t="b">
        <v>1</v>
      </c>
      <c r="AW287" s="54" t="b">
        <v>1</v>
      </c>
      <c r="AX287" s="54" t="b">
        <v>1</v>
      </c>
      <c r="AY287" s="54" t="b">
        <v>1</v>
      </c>
      <c r="AZ287" s="54" t="b">
        <v>1</v>
      </c>
      <c r="BA287" s="54" t="b">
        <v>1</v>
      </c>
      <c r="BB287" s="54" t="b">
        <v>1</v>
      </c>
      <c r="BC287" s="54" t="b">
        <v>1</v>
      </c>
      <c r="BD287" s="54" t="b">
        <v>1</v>
      </c>
      <c r="BE287" s="54" t="b">
        <v>1</v>
      </c>
      <c r="BF287" s="54" t="b">
        <v>1</v>
      </c>
      <c r="BG287" s="54" t="b">
        <v>1</v>
      </c>
      <c r="BH287" s="54" t="b">
        <v>1</v>
      </c>
      <c r="BI287" s="54" t="b">
        <v>1</v>
      </c>
      <c r="BJ287" s="54" t="b">
        <v>1</v>
      </c>
      <c r="BK287" s="54" t="b">
        <v>1</v>
      </c>
      <c r="BL287" s="54" t="b">
        <v>1</v>
      </c>
      <c r="BM287" s="54" t="b">
        <v>1</v>
      </c>
      <c r="BN287" s="54" t="b">
        <v>1</v>
      </c>
      <c r="BO287" s="54" t="b">
        <v>1</v>
      </c>
    </row>
    <row r="288" hidden="1" outlineLevel="1">
      <c r="A288" s="71" t="str">
        <f>A287&amp;C288</f>
        <v>JanuaryLEELAOT HOURS</v>
      </c>
      <c r="B288" s="72"/>
      <c r="C288" s="73" t="s">
        <v>120</v>
      </c>
      <c r="D288" s="33"/>
      <c r="E288" s="70">
        <f>(F288+G288+H288+I288+J288+K288+L288+M288+N288+O288+P288+Q288+R288+S288+T288+U288+V288+W288+X288+Y288+Z288+AA288+AB288+AC288+AD288+AE288+AF288+AG288+AH288+AI288+AJ288+AK288+AL288+AM288+AN288+AO288+AP288+AQ288+AR288+AS288+AT288+AU288+AV288+AW288+AX288+AY288+AZ288+BA288+BB288+BC288+BD288+BE288+BF288+BG288+BH288+BI288+BJ288+BK288+BL288+BM288+BN288+BO288)</f>
        <v>2</v>
      </c>
      <c r="F288" s="59"/>
      <c r="G288" s="33"/>
      <c r="H288" s="59"/>
      <c r="I288" s="33"/>
      <c r="J288" s="59"/>
      <c r="K288" s="33"/>
      <c r="L288" s="60"/>
      <c r="M288" s="33"/>
      <c r="N288" s="60"/>
      <c r="O288" s="33"/>
      <c r="P288" s="59">
        <v>1.0</v>
      </c>
      <c r="Q288" s="33"/>
      <c r="R288" s="60"/>
      <c r="S288" s="33"/>
      <c r="T288" s="60"/>
      <c r="U288" s="33"/>
      <c r="V288" s="60"/>
      <c r="W288" s="33"/>
      <c r="X288" s="60"/>
      <c r="Y288" s="33"/>
      <c r="Z288" s="60"/>
      <c r="AA288" s="33"/>
      <c r="AB288" s="60"/>
      <c r="AC288" s="33"/>
      <c r="AD288" s="60"/>
      <c r="AE288" s="33"/>
      <c r="AF288" s="60"/>
      <c r="AG288" s="33"/>
      <c r="AH288" s="60"/>
      <c r="AI288" s="33"/>
      <c r="AJ288" s="60"/>
      <c r="AK288" s="33"/>
      <c r="AL288" s="60"/>
      <c r="AM288" s="33"/>
      <c r="AN288" s="60"/>
      <c r="AO288" s="33"/>
      <c r="AP288" s="60"/>
      <c r="AQ288" s="33"/>
      <c r="AR288" s="60"/>
      <c r="AS288" s="33"/>
      <c r="AT288" s="60"/>
      <c r="AU288" s="33"/>
      <c r="AV288" s="60"/>
      <c r="AW288" s="33"/>
      <c r="AX288" s="60"/>
      <c r="AY288" s="33"/>
      <c r="AZ288" s="60"/>
      <c r="BA288" s="33"/>
      <c r="BB288" s="59">
        <v>1.0</v>
      </c>
      <c r="BC288" s="33"/>
      <c r="BD288" s="60"/>
      <c r="BE288" s="33"/>
      <c r="BF288" s="60"/>
      <c r="BG288" s="33"/>
      <c r="BH288" s="60"/>
      <c r="BI288" s="33"/>
      <c r="BJ288" s="60"/>
      <c r="BK288" s="33"/>
      <c r="BL288" s="60"/>
      <c r="BM288" s="33"/>
      <c r="BN288" s="60"/>
      <c r="BO288" s="33"/>
    </row>
    <row r="289" hidden="1" outlineLevel="1">
      <c r="A289" s="66" t="str">
        <f>B289&amp;D289</f>
        <v>JanuaryPARSHU BAGH</v>
      </c>
      <c r="B289" s="67" t="s">
        <v>44</v>
      </c>
      <c r="C289" s="68" t="s">
        <v>97</v>
      </c>
      <c r="D289" s="69" t="str">
        <f>IFERROR(VLOOKUP(C289,'Employees List'!$B$2:$C$999,2,0),"")</f>
        <v>PARSHU BAGH</v>
      </c>
      <c r="E289" s="70">
        <f>(F289+G289+H289+I289+J289+K289+L289+M289+N289+O289+P289+Q289+R289+S289+T289+U289+V289+W289+X289+Y289+Z289+AA289+AB289+AC289+AD289+AE289+AF289+AG289+AH289+AI289+AJ289+AK289+AL289+AM289+AN289+AO289+AP289+AQ289+AR289+AS289+AT289+AU289+AV289+AW289+AX289+AY289+AZ289+BA289+BB289+BC289+BD289+BE289+BF289+BG289+BH289+BI289+BJ289+BK289+BL289+BM289+BN289+BO289)/2</f>
        <v>31</v>
      </c>
      <c r="F289" s="54" t="b">
        <v>1</v>
      </c>
      <c r="G289" s="54" t="b">
        <v>1</v>
      </c>
      <c r="H289" s="54" t="b">
        <v>1</v>
      </c>
      <c r="I289" s="54" t="b">
        <v>1</v>
      </c>
      <c r="J289" s="54" t="b">
        <v>1</v>
      </c>
      <c r="K289" s="54" t="b">
        <v>1</v>
      </c>
      <c r="L289" s="54" t="b">
        <v>1</v>
      </c>
      <c r="M289" s="54" t="b">
        <v>1</v>
      </c>
      <c r="N289" s="54" t="b">
        <v>1</v>
      </c>
      <c r="O289" s="54" t="b">
        <v>1</v>
      </c>
      <c r="P289" s="54" t="b">
        <v>1</v>
      </c>
      <c r="Q289" s="54" t="b">
        <v>1</v>
      </c>
      <c r="R289" s="54" t="b">
        <v>1</v>
      </c>
      <c r="S289" s="54" t="b">
        <v>1</v>
      </c>
      <c r="T289" s="54" t="b">
        <v>1</v>
      </c>
      <c r="U289" s="54" t="b">
        <v>1</v>
      </c>
      <c r="V289" s="54" t="b">
        <v>1</v>
      </c>
      <c r="W289" s="54" t="b">
        <v>1</v>
      </c>
      <c r="X289" s="54" t="b">
        <v>1</v>
      </c>
      <c r="Y289" s="54" t="b">
        <v>1</v>
      </c>
      <c r="Z289" s="54" t="b">
        <v>1</v>
      </c>
      <c r="AA289" s="54" t="b">
        <v>1</v>
      </c>
      <c r="AB289" s="54" t="b">
        <v>1</v>
      </c>
      <c r="AC289" s="54" t="b">
        <v>1</v>
      </c>
      <c r="AD289" s="54" t="b">
        <v>1</v>
      </c>
      <c r="AE289" s="54" t="b">
        <v>1</v>
      </c>
      <c r="AF289" s="54" t="b">
        <v>1</v>
      </c>
      <c r="AG289" s="54" t="b">
        <v>1</v>
      </c>
      <c r="AH289" s="54" t="b">
        <v>1</v>
      </c>
      <c r="AI289" s="54" t="b">
        <v>1</v>
      </c>
      <c r="AJ289" s="54" t="b">
        <v>1</v>
      </c>
      <c r="AK289" s="54" t="b">
        <v>1</v>
      </c>
      <c r="AL289" s="54" t="b">
        <v>1</v>
      </c>
      <c r="AM289" s="54" t="b">
        <v>1</v>
      </c>
      <c r="AN289" s="54" t="b">
        <v>1</v>
      </c>
      <c r="AO289" s="54" t="b">
        <v>1</v>
      </c>
      <c r="AP289" s="54" t="b">
        <v>1</v>
      </c>
      <c r="AQ289" s="54" t="b">
        <v>1</v>
      </c>
      <c r="AR289" s="54" t="b">
        <v>1</v>
      </c>
      <c r="AS289" s="54" t="b">
        <v>1</v>
      </c>
      <c r="AT289" s="54" t="b">
        <v>1</v>
      </c>
      <c r="AU289" s="54" t="b">
        <v>1</v>
      </c>
      <c r="AV289" s="54" t="b">
        <v>1</v>
      </c>
      <c r="AW289" s="54" t="b">
        <v>1</v>
      </c>
      <c r="AX289" s="54" t="b">
        <v>1</v>
      </c>
      <c r="AY289" s="54" t="b">
        <v>1</v>
      </c>
      <c r="AZ289" s="54" t="b">
        <v>1</v>
      </c>
      <c r="BA289" s="54" t="b">
        <v>1</v>
      </c>
      <c r="BB289" s="54" t="b">
        <v>1</v>
      </c>
      <c r="BC289" s="54" t="b">
        <v>1</v>
      </c>
      <c r="BD289" s="54" t="b">
        <v>1</v>
      </c>
      <c r="BE289" s="54" t="b">
        <v>1</v>
      </c>
      <c r="BF289" s="54" t="b">
        <v>1</v>
      </c>
      <c r="BG289" s="54" t="b">
        <v>1</v>
      </c>
      <c r="BH289" s="54" t="b">
        <v>1</v>
      </c>
      <c r="BI289" s="54" t="b">
        <v>1</v>
      </c>
      <c r="BJ289" s="54" t="b">
        <v>1</v>
      </c>
      <c r="BK289" s="54" t="b">
        <v>1</v>
      </c>
      <c r="BL289" s="54" t="b">
        <v>1</v>
      </c>
      <c r="BM289" s="54" t="b">
        <v>1</v>
      </c>
      <c r="BN289" s="54" t="b">
        <v>1</v>
      </c>
      <c r="BO289" s="54" t="b">
        <v>1</v>
      </c>
    </row>
    <row r="290" hidden="1" outlineLevel="1">
      <c r="A290" s="71" t="str">
        <f>A289&amp;C290</f>
        <v>JanuaryPARSHU BAGHOT HOURS</v>
      </c>
      <c r="B290" s="72"/>
      <c r="C290" s="73" t="s">
        <v>120</v>
      </c>
      <c r="D290" s="33"/>
      <c r="E290" s="70">
        <f>(F290+G290+H290+I290+J290+K290+L290+M290+N290+O290+P290+Q290+R290+S290+T290+U290+V290+W290+X290+Y290+Z290+AA290+AB290+AC290+AD290+AE290+AF290+AG290+AH290+AI290+AJ290+AK290+AL290+AM290+AN290+AO290+AP290+AQ290+AR290+AS290+AT290+AU290+AV290+AW290+AX290+AY290+AZ290+BA290+BB290+BC290+BD290+BE290+BF290+BG290+BH290+BI290+BJ290+BK290+BL290+BM290+BN290+BO290)</f>
        <v>98</v>
      </c>
      <c r="F290" s="59"/>
      <c r="G290" s="33"/>
      <c r="H290" s="59">
        <v>5.0</v>
      </c>
      <c r="I290" s="33"/>
      <c r="J290" s="59">
        <v>4.0</v>
      </c>
      <c r="K290" s="33"/>
      <c r="L290" s="59">
        <v>5.0</v>
      </c>
      <c r="M290" s="33"/>
      <c r="N290" s="60"/>
      <c r="O290" s="33"/>
      <c r="P290" s="59">
        <v>3.0</v>
      </c>
      <c r="Q290" s="33"/>
      <c r="R290" s="59">
        <v>4.0</v>
      </c>
      <c r="S290" s="33"/>
      <c r="T290" s="59">
        <v>5.0</v>
      </c>
      <c r="U290" s="33"/>
      <c r="V290" s="59">
        <v>4.0</v>
      </c>
      <c r="W290" s="33"/>
      <c r="X290" s="59">
        <v>6.0</v>
      </c>
      <c r="Y290" s="33"/>
      <c r="Z290" s="59">
        <v>4.0</v>
      </c>
      <c r="AA290" s="33"/>
      <c r="AB290" s="60"/>
      <c r="AC290" s="33"/>
      <c r="AD290" s="59">
        <v>1.0</v>
      </c>
      <c r="AE290" s="33"/>
      <c r="AF290" s="60"/>
      <c r="AG290" s="33"/>
      <c r="AH290" s="59"/>
      <c r="AI290" s="33"/>
      <c r="AJ290" s="59">
        <v>5.0</v>
      </c>
      <c r="AK290" s="33"/>
      <c r="AL290" s="59">
        <v>5.0</v>
      </c>
      <c r="AM290" s="33"/>
      <c r="AN290" s="59">
        <v>5.0</v>
      </c>
      <c r="AO290" s="33"/>
      <c r="AP290" s="59">
        <v>8.0</v>
      </c>
      <c r="AQ290" s="33"/>
      <c r="AR290" s="59">
        <v>3.0</v>
      </c>
      <c r="AS290" s="33"/>
      <c r="AT290" s="59">
        <v>4.0</v>
      </c>
      <c r="AU290" s="33"/>
      <c r="AV290" s="59">
        <v>3.0</v>
      </c>
      <c r="AW290" s="33"/>
      <c r="AX290" s="59">
        <v>4.0</v>
      </c>
      <c r="AY290" s="33"/>
      <c r="AZ290" s="59">
        <v>2.0</v>
      </c>
      <c r="BA290" s="33"/>
      <c r="BB290" s="59">
        <v>4.0</v>
      </c>
      <c r="BC290" s="33"/>
      <c r="BD290" s="59">
        <v>1.0</v>
      </c>
      <c r="BE290" s="33"/>
      <c r="BF290" s="59"/>
      <c r="BG290" s="33"/>
      <c r="BH290" s="59">
        <v>5.0</v>
      </c>
      <c r="BI290" s="33"/>
      <c r="BJ290" s="59">
        <v>4.0</v>
      </c>
      <c r="BK290" s="33"/>
      <c r="BL290" s="59">
        <v>2.0</v>
      </c>
      <c r="BM290" s="33"/>
      <c r="BN290" s="59">
        <v>2.0</v>
      </c>
      <c r="BO290" s="33"/>
    </row>
    <row r="291" hidden="1" outlineLevel="1">
      <c r="A291" s="66" t="str">
        <f>B291&amp;D291</f>
        <v>JanuaryPINU BAGH</v>
      </c>
      <c r="B291" s="67" t="s">
        <v>44</v>
      </c>
      <c r="C291" s="68" t="s">
        <v>53</v>
      </c>
      <c r="D291" s="69" t="str">
        <f>IFERROR(VLOOKUP(C291,'Employees List'!$B$2:$C$999,2,0),"")</f>
        <v>PINU BAGH</v>
      </c>
      <c r="E291" s="70">
        <f>(F291+G291+H291+I291+J291+K291+L291+M291+N291+O291+P291+Q291+R291+S291+T291+U291+V291+W291+X291+Y291+Z291+AA291+AB291+AC291+AD291+AE291+AF291+AG291+AH291+AI291+AJ291+AK291+AL291+AM291+AN291+AO291+AP291+AQ291+AR291+AS291+AT291+AU291+AV291+AW291+AX291+AY291+AZ291+BA291+BB291+BC291+BD291+BE291+BF291+BG291+BH291+BI291+BJ291+BK291+BL291+BM291+BN291+BO291)/2</f>
        <v>22</v>
      </c>
      <c r="F291" s="54" t="b">
        <v>0</v>
      </c>
      <c r="G291" s="54" t="b">
        <v>0</v>
      </c>
      <c r="H291" s="54" t="b">
        <v>0</v>
      </c>
      <c r="I291" s="54" t="b">
        <v>0</v>
      </c>
      <c r="J291" s="54" t="b">
        <v>0</v>
      </c>
      <c r="K291" s="54" t="b">
        <v>0</v>
      </c>
      <c r="L291" s="54" t="b">
        <v>0</v>
      </c>
      <c r="M291" s="54" t="b">
        <v>0</v>
      </c>
      <c r="N291" s="54" t="b">
        <v>0</v>
      </c>
      <c r="O291" s="54" t="b">
        <v>0</v>
      </c>
      <c r="P291" s="54" t="b">
        <v>0</v>
      </c>
      <c r="Q291" s="54" t="b">
        <v>0</v>
      </c>
      <c r="R291" s="54" t="b">
        <v>0</v>
      </c>
      <c r="S291" s="54" t="b">
        <v>0</v>
      </c>
      <c r="T291" s="54" t="b">
        <v>0</v>
      </c>
      <c r="U291" s="54" t="b">
        <v>0</v>
      </c>
      <c r="V291" s="54" t="b">
        <v>0</v>
      </c>
      <c r="W291" s="54" t="b">
        <v>0</v>
      </c>
      <c r="X291" s="54" t="b">
        <v>1</v>
      </c>
      <c r="Y291" s="54" t="b">
        <v>1</v>
      </c>
      <c r="Z291" s="54" t="b">
        <v>1</v>
      </c>
      <c r="AA291" s="54" t="b">
        <v>1</v>
      </c>
      <c r="AB291" s="54" t="b">
        <v>1</v>
      </c>
      <c r="AC291" s="54" t="b">
        <v>1</v>
      </c>
      <c r="AD291" s="54" t="b">
        <v>1</v>
      </c>
      <c r="AE291" s="54" t="b">
        <v>1</v>
      </c>
      <c r="AF291" s="54" t="b">
        <v>1</v>
      </c>
      <c r="AG291" s="54" t="b">
        <v>1</v>
      </c>
      <c r="AH291" s="54" t="b">
        <v>1</v>
      </c>
      <c r="AI291" s="54" t="b">
        <v>1</v>
      </c>
      <c r="AJ291" s="54" t="b">
        <v>1</v>
      </c>
      <c r="AK291" s="54" t="b">
        <v>1</v>
      </c>
      <c r="AL291" s="54" t="b">
        <v>1</v>
      </c>
      <c r="AM291" s="54" t="b">
        <v>1</v>
      </c>
      <c r="AN291" s="54" t="b">
        <v>1</v>
      </c>
      <c r="AO291" s="54" t="b">
        <v>1</v>
      </c>
      <c r="AP291" s="54" t="b">
        <v>1</v>
      </c>
      <c r="AQ291" s="54" t="b">
        <v>1</v>
      </c>
      <c r="AR291" s="54" t="b">
        <v>1</v>
      </c>
      <c r="AS291" s="54" t="b">
        <v>1</v>
      </c>
      <c r="AT291" s="54" t="b">
        <v>1</v>
      </c>
      <c r="AU291" s="54" t="b">
        <v>1</v>
      </c>
      <c r="AV291" s="54" t="b">
        <v>1</v>
      </c>
      <c r="AW291" s="54" t="b">
        <v>1</v>
      </c>
      <c r="AX291" s="54" t="b">
        <v>1</v>
      </c>
      <c r="AY291" s="54" t="b">
        <v>1</v>
      </c>
      <c r="AZ291" s="54" t="b">
        <v>1</v>
      </c>
      <c r="BA291" s="54" t="b">
        <v>1</v>
      </c>
      <c r="BB291" s="54" t="b">
        <v>1</v>
      </c>
      <c r="BC291" s="54" t="b">
        <v>1</v>
      </c>
      <c r="BD291" s="54" t="b">
        <v>1</v>
      </c>
      <c r="BE291" s="54" t="b">
        <v>1</v>
      </c>
      <c r="BF291" s="54" t="b">
        <v>1</v>
      </c>
      <c r="BG291" s="54" t="b">
        <v>1</v>
      </c>
      <c r="BH291" s="54" t="b">
        <v>1</v>
      </c>
      <c r="BI291" s="54" t="b">
        <v>1</v>
      </c>
      <c r="BJ291" s="54" t="b">
        <v>1</v>
      </c>
      <c r="BK291" s="54" t="b">
        <v>1</v>
      </c>
      <c r="BL291" s="54" t="b">
        <v>1</v>
      </c>
      <c r="BM291" s="54" t="b">
        <v>1</v>
      </c>
      <c r="BN291" s="54" t="b">
        <v>1</v>
      </c>
      <c r="BO291" s="54" t="b">
        <v>1</v>
      </c>
    </row>
    <row r="292" hidden="1" outlineLevel="1">
      <c r="A292" s="71" t="str">
        <f>A291&amp;C292</f>
        <v>JanuaryPINU BAGHOT HOURS</v>
      </c>
      <c r="B292" s="72"/>
      <c r="C292" s="73" t="s">
        <v>120</v>
      </c>
      <c r="D292" s="33"/>
      <c r="E292" s="70">
        <f>(F292+G292+H292+I292+J292+K292+L292+M292+N292+O292+P292+Q292+R292+S292+T292+U292+V292+W292+X292+Y292+Z292+AA292+AB292+AC292+AD292+AE292+AF292+AG292+AH292+AI292+AJ292+AK292+AL292+AM292+AN292+AO292+AP292+AQ292+AR292+AS292+AT292+AU292+AV292+AW292+AX292+AY292+AZ292+BA292+BB292+BC292+BD292+BE292+BF292+BG292+BH292+BI292+BJ292+BK292+BL292+BM292+BN292+BO292)</f>
        <v>50</v>
      </c>
      <c r="F292" s="59"/>
      <c r="G292" s="33"/>
      <c r="H292" s="59"/>
      <c r="I292" s="33"/>
      <c r="J292" s="59"/>
      <c r="K292" s="33"/>
      <c r="L292" s="59"/>
      <c r="M292" s="33"/>
      <c r="N292" s="60"/>
      <c r="O292" s="33"/>
      <c r="P292" s="59"/>
      <c r="Q292" s="33"/>
      <c r="R292" s="59"/>
      <c r="S292" s="33"/>
      <c r="T292" s="59"/>
      <c r="U292" s="33"/>
      <c r="V292" s="59"/>
      <c r="W292" s="33"/>
      <c r="X292" s="59">
        <v>4.0</v>
      </c>
      <c r="Y292" s="33"/>
      <c r="Z292" s="59">
        <v>3.0</v>
      </c>
      <c r="AA292" s="33"/>
      <c r="AB292" s="60"/>
      <c r="AC292" s="33"/>
      <c r="AD292" s="59">
        <v>1.0</v>
      </c>
      <c r="AE292" s="33"/>
      <c r="AF292" s="60"/>
      <c r="AG292" s="33"/>
      <c r="AH292" s="59"/>
      <c r="AI292" s="33"/>
      <c r="AJ292" s="59">
        <v>2.0</v>
      </c>
      <c r="AK292" s="33"/>
      <c r="AL292" s="59">
        <v>2.0</v>
      </c>
      <c r="AM292" s="33"/>
      <c r="AN292" s="59">
        <v>2.0</v>
      </c>
      <c r="AO292" s="33"/>
      <c r="AP292" s="59">
        <v>8.0</v>
      </c>
      <c r="AQ292" s="33"/>
      <c r="AR292" s="59">
        <v>2.0</v>
      </c>
      <c r="AS292" s="33"/>
      <c r="AT292" s="59">
        <v>4.0</v>
      </c>
      <c r="AU292" s="33"/>
      <c r="AV292" s="59">
        <v>2.0</v>
      </c>
      <c r="AW292" s="33"/>
      <c r="AX292" s="59">
        <v>4.0</v>
      </c>
      <c r="AY292" s="33"/>
      <c r="AZ292" s="59">
        <v>2.0</v>
      </c>
      <c r="BA292" s="33"/>
      <c r="BB292" s="59">
        <v>5.0</v>
      </c>
      <c r="BC292" s="33"/>
      <c r="BD292" s="59">
        <v>3.0</v>
      </c>
      <c r="BE292" s="33"/>
      <c r="BF292" s="59"/>
      <c r="BG292" s="33"/>
      <c r="BH292" s="59"/>
      <c r="BI292" s="33"/>
      <c r="BJ292" s="59">
        <v>4.0</v>
      </c>
      <c r="BK292" s="33"/>
      <c r="BL292" s="59"/>
      <c r="BM292" s="33"/>
      <c r="BN292" s="59">
        <v>2.0</v>
      </c>
      <c r="BO292" s="33"/>
    </row>
    <row r="293" hidden="1" outlineLevel="1">
      <c r="A293" s="47"/>
      <c r="B293" s="48"/>
      <c r="C293" s="79"/>
      <c r="D293" s="80"/>
      <c r="E293" s="81"/>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c r="AK293" s="80"/>
      <c r="AL293" s="80"/>
      <c r="AM293" s="80"/>
      <c r="AN293" s="80"/>
      <c r="AO293" s="80"/>
      <c r="AP293" s="80"/>
      <c r="AQ293" s="80"/>
      <c r="AR293" s="80"/>
      <c r="AS293" s="80"/>
      <c r="AT293" s="80"/>
      <c r="AU293" s="80"/>
      <c r="AV293" s="80"/>
      <c r="AW293" s="80"/>
      <c r="AX293" s="80"/>
      <c r="AY293" s="80"/>
      <c r="AZ293" s="80"/>
      <c r="BA293" s="80"/>
      <c r="BB293" s="80"/>
      <c r="BC293" s="80"/>
      <c r="BD293" s="80"/>
      <c r="BE293" s="80"/>
      <c r="BF293" s="80"/>
      <c r="BG293" s="80"/>
      <c r="BH293" s="80"/>
      <c r="BI293" s="80"/>
      <c r="BJ293" s="80"/>
      <c r="BK293" s="80"/>
      <c r="BL293" s="80"/>
      <c r="BM293" s="80"/>
      <c r="BN293" s="80"/>
      <c r="BO293" s="80"/>
    </row>
    <row r="294" collapsed="1">
      <c r="A294" s="30"/>
      <c r="B294" s="31"/>
      <c r="C294" s="36">
        <v>45689.0</v>
      </c>
      <c r="D294" s="33"/>
      <c r="E294" s="34"/>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row>
    <row r="295" hidden="1" outlineLevel="1">
      <c r="A295" s="38"/>
      <c r="B295" s="39"/>
      <c r="C295" s="40" t="s">
        <v>1</v>
      </c>
      <c r="D295" s="40" t="s">
        <v>2</v>
      </c>
      <c r="E295" s="41" t="s">
        <v>117</v>
      </c>
      <c r="F295" s="40" t="s">
        <v>118</v>
      </c>
      <c r="G295" s="40" t="s">
        <v>119</v>
      </c>
      <c r="H295" s="40" t="s">
        <v>118</v>
      </c>
      <c r="I295" s="40" t="s">
        <v>119</v>
      </c>
      <c r="J295" s="40" t="s">
        <v>118</v>
      </c>
      <c r="K295" s="40" t="s">
        <v>119</v>
      </c>
      <c r="L295" s="40" t="s">
        <v>118</v>
      </c>
      <c r="M295" s="40" t="s">
        <v>119</v>
      </c>
      <c r="N295" s="40" t="s">
        <v>118</v>
      </c>
      <c r="O295" s="40" t="s">
        <v>119</v>
      </c>
      <c r="P295" s="40" t="s">
        <v>118</v>
      </c>
      <c r="Q295" s="40" t="s">
        <v>119</v>
      </c>
      <c r="R295" s="40" t="s">
        <v>118</v>
      </c>
      <c r="S295" s="40" t="s">
        <v>119</v>
      </c>
      <c r="T295" s="40" t="s">
        <v>118</v>
      </c>
      <c r="U295" s="40" t="s">
        <v>119</v>
      </c>
      <c r="V295" s="40" t="s">
        <v>118</v>
      </c>
      <c r="W295" s="40" t="s">
        <v>119</v>
      </c>
      <c r="X295" s="40" t="s">
        <v>118</v>
      </c>
      <c r="Y295" s="40" t="s">
        <v>119</v>
      </c>
      <c r="Z295" s="40" t="s">
        <v>118</v>
      </c>
      <c r="AA295" s="40" t="s">
        <v>119</v>
      </c>
      <c r="AB295" s="40" t="s">
        <v>118</v>
      </c>
      <c r="AC295" s="40" t="s">
        <v>119</v>
      </c>
      <c r="AD295" s="40" t="s">
        <v>118</v>
      </c>
      <c r="AE295" s="40" t="s">
        <v>119</v>
      </c>
      <c r="AF295" s="40" t="s">
        <v>118</v>
      </c>
      <c r="AG295" s="40" t="s">
        <v>119</v>
      </c>
      <c r="AH295" s="40" t="s">
        <v>118</v>
      </c>
      <c r="AI295" s="40" t="s">
        <v>119</v>
      </c>
      <c r="AJ295" s="40" t="s">
        <v>118</v>
      </c>
      <c r="AK295" s="40" t="s">
        <v>119</v>
      </c>
      <c r="AL295" s="40" t="s">
        <v>118</v>
      </c>
      <c r="AM295" s="40" t="s">
        <v>119</v>
      </c>
      <c r="AN295" s="40" t="s">
        <v>118</v>
      </c>
      <c r="AO295" s="40" t="s">
        <v>119</v>
      </c>
      <c r="AP295" s="40" t="s">
        <v>118</v>
      </c>
      <c r="AQ295" s="40" t="s">
        <v>119</v>
      </c>
      <c r="AR295" s="40" t="s">
        <v>118</v>
      </c>
      <c r="AS295" s="40" t="s">
        <v>119</v>
      </c>
      <c r="AT295" s="40" t="s">
        <v>118</v>
      </c>
      <c r="AU295" s="40" t="s">
        <v>119</v>
      </c>
      <c r="AV295" s="40" t="s">
        <v>118</v>
      </c>
      <c r="AW295" s="40" t="s">
        <v>119</v>
      </c>
      <c r="AX295" s="40" t="s">
        <v>118</v>
      </c>
      <c r="AY295" s="40" t="s">
        <v>119</v>
      </c>
      <c r="AZ295" s="40" t="s">
        <v>118</v>
      </c>
      <c r="BA295" s="40" t="s">
        <v>119</v>
      </c>
      <c r="BB295" s="40" t="s">
        <v>118</v>
      </c>
      <c r="BC295" s="40" t="s">
        <v>119</v>
      </c>
      <c r="BD295" s="40" t="s">
        <v>118</v>
      </c>
      <c r="BE295" s="40" t="s">
        <v>119</v>
      </c>
      <c r="BF295" s="40" t="s">
        <v>118</v>
      </c>
      <c r="BG295" s="40" t="s">
        <v>119</v>
      </c>
      <c r="BH295" s="40" t="s">
        <v>118</v>
      </c>
      <c r="BI295" s="40" t="s">
        <v>119</v>
      </c>
      <c r="BJ295" s="40" t="s">
        <v>118</v>
      </c>
      <c r="BK295" s="40" t="s">
        <v>119</v>
      </c>
      <c r="BL295" s="40" t="s">
        <v>118</v>
      </c>
      <c r="BM295" s="40" t="s">
        <v>119</v>
      </c>
      <c r="BN295" s="40" t="s">
        <v>118</v>
      </c>
      <c r="BO295" s="40" t="s">
        <v>119</v>
      </c>
    </row>
    <row r="296" hidden="1" outlineLevel="1">
      <c r="A296" s="42" t="str">
        <f>B296&amp;D296</f>
        <v>FebruaryBHUVANESWARAN</v>
      </c>
      <c r="B296" s="43" t="s">
        <v>47</v>
      </c>
      <c r="C296" s="43" t="s">
        <v>9</v>
      </c>
      <c r="D296" s="44" t="str">
        <f>IFERROR(VLOOKUP(C296,'Employees List'!$B$2:$C$28,2,0),"")</f>
        <v>BHUVANESWARAN</v>
      </c>
      <c r="E296" s="70">
        <f>(F296+G296+H296+I296+J296+K296+L296+M296+N296+O296+P296+Q296+R296+S296+T296+U296+V296+W296+X296+Y296+Z296+AA296+AB296+AC296+AD296+AE296+AF296+AG296+AH296+AI296+AJ296+AK296+AL296+AM296+AN296+AO296+AP296+AQ296+AR296+AS296+AT296+AU296+AV296+AW296+AX296+AY296+AZ296+BA296+BB296+BC296+BD296+BE296+BF296+BG296+BH296+BI296+BJ296+BK296+BL296+BM296+BN296+BO296)/2</f>
        <v>28</v>
      </c>
      <c r="F296" s="54" t="b">
        <v>1</v>
      </c>
      <c r="G296" s="54" t="b">
        <v>1</v>
      </c>
      <c r="H296" s="54" t="b">
        <v>1</v>
      </c>
      <c r="I296" s="54" t="b">
        <v>1</v>
      </c>
      <c r="J296" s="54" t="b">
        <v>1</v>
      </c>
      <c r="K296" s="54" t="b">
        <v>1</v>
      </c>
      <c r="L296" s="54" t="b">
        <v>1</v>
      </c>
      <c r="M296" s="54" t="b">
        <v>1</v>
      </c>
      <c r="N296" s="54" t="b">
        <v>1</v>
      </c>
      <c r="O296" s="54" t="b">
        <v>1</v>
      </c>
      <c r="P296" s="54" t="b">
        <v>1</v>
      </c>
      <c r="Q296" s="54" t="b">
        <v>1</v>
      </c>
      <c r="R296" s="54" t="b">
        <v>1</v>
      </c>
      <c r="S296" s="54" t="b">
        <v>1</v>
      </c>
      <c r="T296" s="54" t="b">
        <v>1</v>
      </c>
      <c r="U296" s="54" t="b">
        <v>1</v>
      </c>
      <c r="V296" s="54" t="b">
        <v>1</v>
      </c>
      <c r="W296" s="54" t="b">
        <v>1</v>
      </c>
      <c r="X296" s="54" t="b">
        <v>1</v>
      </c>
      <c r="Y296" s="54" t="b">
        <v>1</v>
      </c>
      <c r="Z296" s="54" t="b">
        <v>1</v>
      </c>
      <c r="AA296" s="54" t="b">
        <v>1</v>
      </c>
      <c r="AB296" s="54" t="b">
        <v>1</v>
      </c>
      <c r="AC296" s="54" t="b">
        <v>1</v>
      </c>
      <c r="AD296" s="54" t="b">
        <v>1</v>
      </c>
      <c r="AE296" s="54" t="b">
        <v>1</v>
      </c>
      <c r="AF296" s="54" t="b">
        <v>1</v>
      </c>
      <c r="AG296" s="54" t="b">
        <v>1</v>
      </c>
      <c r="AH296" s="54" t="b">
        <v>1</v>
      </c>
      <c r="AI296" s="54" t="b">
        <v>1</v>
      </c>
      <c r="AJ296" s="54" t="b">
        <v>1</v>
      </c>
      <c r="AK296" s="54" t="b">
        <v>1</v>
      </c>
      <c r="AL296" s="54" t="b">
        <v>1</v>
      </c>
      <c r="AM296" s="54" t="b">
        <v>1</v>
      </c>
      <c r="AN296" s="54" t="b">
        <v>1</v>
      </c>
      <c r="AO296" s="54" t="b">
        <v>1</v>
      </c>
      <c r="AP296" s="54" t="b">
        <v>1</v>
      </c>
      <c r="AQ296" s="54" t="b">
        <v>1</v>
      </c>
      <c r="AR296" s="54" t="b">
        <v>1</v>
      </c>
      <c r="AS296" s="54" t="b">
        <v>1</v>
      </c>
      <c r="AT296" s="54" t="b">
        <v>1</v>
      </c>
      <c r="AU296" s="54" t="b">
        <v>1</v>
      </c>
      <c r="AV296" s="54" t="b">
        <v>1</v>
      </c>
      <c r="AW296" s="54" t="b">
        <v>1</v>
      </c>
      <c r="AX296" s="54" t="b">
        <v>1</v>
      </c>
      <c r="AY296" s="54" t="b">
        <v>1</v>
      </c>
      <c r="AZ296" s="54" t="b">
        <v>1</v>
      </c>
      <c r="BA296" s="54" t="b">
        <v>1</v>
      </c>
      <c r="BB296" s="54" t="b">
        <v>1</v>
      </c>
      <c r="BC296" s="54" t="b">
        <v>1</v>
      </c>
      <c r="BD296" s="54" t="b">
        <v>1</v>
      </c>
      <c r="BE296" s="54" t="b">
        <v>1</v>
      </c>
      <c r="BF296" s="54" t="b">
        <v>1</v>
      </c>
      <c r="BG296" s="54" t="b">
        <v>1</v>
      </c>
      <c r="BH296" s="54" t="b">
        <v>1</v>
      </c>
      <c r="BI296" s="54" t="b">
        <v>1</v>
      </c>
      <c r="BJ296" s="54" t="b">
        <v>0</v>
      </c>
      <c r="BK296" s="54" t="b">
        <v>0</v>
      </c>
      <c r="BL296" s="54" t="b">
        <v>0</v>
      </c>
      <c r="BM296" s="54" t="b">
        <v>0</v>
      </c>
      <c r="BN296" s="54" t="b">
        <v>0</v>
      </c>
      <c r="BO296" s="54" t="b">
        <v>0</v>
      </c>
    </row>
    <row r="297" hidden="1" outlineLevel="1">
      <c r="A297" s="47" t="str">
        <f>A296&amp;C297</f>
        <v>FebruaryBHUVANESWARANOT HOURS</v>
      </c>
      <c r="B297" s="48"/>
      <c r="C297" s="49" t="s">
        <v>120</v>
      </c>
      <c r="D297" s="33"/>
      <c r="E297" s="70">
        <f>(F297+G297+H297+I297+J297+K297+L297+M297+N297+O297+P297+Q297+R297+S297+T297+U297+V297+W297+X297+Y297+Z297+AA297+AB297+AC297+AD297+AE297+AF297+AG297+AH297+AI297+AJ297+AK297+AL297+AM297+AN297+AO297+AP297+AQ297+AR297+AS297+AT297+AU297+AV297+AW297+AX297+AY297+AZ297+BA297+BB297+BC297+BD297+BE297+BF297+BG297+BH297+BI297+BJ297+BK297+BL297+BM297+BN297+BO297)</f>
        <v>0</v>
      </c>
      <c r="F297" s="59"/>
      <c r="G297" s="33"/>
      <c r="H297" s="59"/>
      <c r="I297" s="33"/>
      <c r="J297" s="59"/>
      <c r="K297" s="33"/>
      <c r="L297" s="60"/>
      <c r="M297" s="33"/>
      <c r="N297" s="60"/>
      <c r="O297" s="33"/>
      <c r="P297" s="60"/>
      <c r="Q297" s="33"/>
      <c r="R297" s="60"/>
      <c r="S297" s="33"/>
      <c r="T297" s="60"/>
      <c r="U297" s="33"/>
      <c r="V297" s="60"/>
      <c r="W297" s="33"/>
      <c r="X297" s="60"/>
      <c r="Y297" s="33"/>
      <c r="Z297" s="60"/>
      <c r="AA297" s="33"/>
      <c r="AB297" s="60"/>
      <c r="AC297" s="33"/>
      <c r="AD297" s="60"/>
      <c r="AE297" s="33"/>
      <c r="AF297" s="60"/>
      <c r="AG297" s="33"/>
      <c r="AH297" s="60"/>
      <c r="AI297" s="33"/>
      <c r="AJ297" s="60"/>
      <c r="AK297" s="33"/>
      <c r="AL297" s="60"/>
      <c r="AM297" s="33"/>
      <c r="AN297" s="60"/>
      <c r="AO297" s="33"/>
      <c r="AP297" s="60"/>
      <c r="AQ297" s="33"/>
      <c r="AR297" s="60"/>
      <c r="AS297" s="33"/>
      <c r="AT297" s="60"/>
      <c r="AU297" s="33"/>
      <c r="AV297" s="60"/>
      <c r="AW297" s="33"/>
      <c r="AX297" s="60"/>
      <c r="AY297" s="33"/>
      <c r="AZ297" s="60"/>
      <c r="BA297" s="33"/>
      <c r="BB297" s="60"/>
      <c r="BC297" s="33"/>
      <c r="BD297" s="60"/>
      <c r="BE297" s="33"/>
      <c r="BF297" s="60"/>
      <c r="BG297" s="33"/>
      <c r="BH297" s="60"/>
      <c r="BI297" s="33"/>
      <c r="BJ297" s="60"/>
      <c r="BK297" s="33"/>
      <c r="BL297" s="60"/>
      <c r="BM297" s="33"/>
      <c r="BN297" s="60"/>
      <c r="BO297" s="33"/>
    </row>
    <row r="298" hidden="1" outlineLevel="1">
      <c r="A298" s="42" t="str">
        <f>B298&amp;D298</f>
        <v>FebruarySUNDARI</v>
      </c>
      <c r="B298" s="43" t="s">
        <v>47</v>
      </c>
      <c r="C298" s="43" t="s">
        <v>64</v>
      </c>
      <c r="D298" s="44" t="str">
        <f>IFERROR(VLOOKUP(C298,'Employees List'!$B$2:$C$28,2,0),"")</f>
        <v>SUNDARI</v>
      </c>
      <c r="E298" s="70">
        <f>(F298+G298+H298+I298+J298+K298+L298+M298+N298+O298+P298+Q298+R298+S298+T298+U298+V298+W298+X298+Y298+Z298+AA298+AB298+AC298+AD298+AE298+AF298+AG298+AH298+AI298+AJ298+AK298+AL298+AM298+AN298+AO298+AP298+AQ298+AR298+AS298+AT298+AU298+AV298+AW298+AX298+AY298+AZ298+BA298+BB298+BC298+BD298+BE298+BF298+BG298+BH298+BI298+BJ298+BK298+BL298+BM298+BN298+BO298)/2</f>
        <v>28</v>
      </c>
      <c r="F298" s="54" t="b">
        <v>1</v>
      </c>
      <c r="G298" s="54" t="b">
        <v>1</v>
      </c>
      <c r="H298" s="54" t="b">
        <v>1</v>
      </c>
      <c r="I298" s="54" t="b">
        <v>1</v>
      </c>
      <c r="J298" s="54" t="b">
        <v>1</v>
      </c>
      <c r="K298" s="54" t="b">
        <v>1</v>
      </c>
      <c r="L298" s="54" t="b">
        <v>1</v>
      </c>
      <c r="M298" s="54" t="b">
        <v>1</v>
      </c>
      <c r="N298" s="54" t="b">
        <v>1</v>
      </c>
      <c r="O298" s="54" t="b">
        <v>1</v>
      </c>
      <c r="P298" s="54" t="b">
        <v>1</v>
      </c>
      <c r="Q298" s="54" t="b">
        <v>1</v>
      </c>
      <c r="R298" s="54" t="b">
        <v>1</v>
      </c>
      <c r="S298" s="54" t="b">
        <v>1</v>
      </c>
      <c r="T298" s="54" t="b">
        <v>1</v>
      </c>
      <c r="U298" s="54" t="b">
        <v>1</v>
      </c>
      <c r="V298" s="54" t="b">
        <v>1</v>
      </c>
      <c r="W298" s="54" t="b">
        <v>1</v>
      </c>
      <c r="X298" s="54" t="b">
        <v>1</v>
      </c>
      <c r="Y298" s="54" t="b">
        <v>1</v>
      </c>
      <c r="Z298" s="54" t="b">
        <v>1</v>
      </c>
      <c r="AA298" s="54" t="b">
        <v>1</v>
      </c>
      <c r="AB298" s="54" t="b">
        <v>1</v>
      </c>
      <c r="AC298" s="54" t="b">
        <v>1</v>
      </c>
      <c r="AD298" s="54" t="b">
        <v>1</v>
      </c>
      <c r="AE298" s="54" t="b">
        <v>1</v>
      </c>
      <c r="AF298" s="54" t="b">
        <v>1</v>
      </c>
      <c r="AG298" s="54" t="b">
        <v>1</v>
      </c>
      <c r="AH298" s="54" t="b">
        <v>1</v>
      </c>
      <c r="AI298" s="54" t="b">
        <v>1</v>
      </c>
      <c r="AJ298" s="54" t="b">
        <v>1</v>
      </c>
      <c r="AK298" s="54" t="b">
        <v>1</v>
      </c>
      <c r="AL298" s="54" t="b">
        <v>1</v>
      </c>
      <c r="AM298" s="54" t="b">
        <v>1</v>
      </c>
      <c r="AN298" s="54" t="b">
        <v>1</v>
      </c>
      <c r="AO298" s="54" t="b">
        <v>1</v>
      </c>
      <c r="AP298" s="54" t="b">
        <v>1</v>
      </c>
      <c r="AQ298" s="54" t="b">
        <v>1</v>
      </c>
      <c r="AR298" s="54" t="b">
        <v>1</v>
      </c>
      <c r="AS298" s="54" t="b">
        <v>1</v>
      </c>
      <c r="AT298" s="54" t="b">
        <v>1</v>
      </c>
      <c r="AU298" s="54" t="b">
        <v>1</v>
      </c>
      <c r="AV298" s="54" t="b">
        <v>1</v>
      </c>
      <c r="AW298" s="54" t="b">
        <v>1</v>
      </c>
      <c r="AX298" s="54" t="b">
        <v>1</v>
      </c>
      <c r="AY298" s="54" t="b">
        <v>1</v>
      </c>
      <c r="AZ298" s="54" t="b">
        <v>1</v>
      </c>
      <c r="BA298" s="54" t="b">
        <v>1</v>
      </c>
      <c r="BB298" s="54" t="b">
        <v>1</v>
      </c>
      <c r="BC298" s="54" t="b">
        <v>1</v>
      </c>
      <c r="BD298" s="54" t="b">
        <v>1</v>
      </c>
      <c r="BE298" s="54" t="b">
        <v>1</v>
      </c>
      <c r="BF298" s="54" t="b">
        <v>1</v>
      </c>
      <c r="BG298" s="54" t="b">
        <v>1</v>
      </c>
      <c r="BH298" s="54" t="b">
        <v>1</v>
      </c>
      <c r="BI298" s="54" t="b">
        <v>1</v>
      </c>
      <c r="BJ298" s="54" t="b">
        <v>0</v>
      </c>
      <c r="BK298" s="54" t="b">
        <v>0</v>
      </c>
      <c r="BL298" s="54" t="b">
        <v>0</v>
      </c>
      <c r="BM298" s="54" t="b">
        <v>0</v>
      </c>
      <c r="BN298" s="54" t="b">
        <v>0</v>
      </c>
      <c r="BO298" s="54" t="b">
        <v>0</v>
      </c>
    </row>
    <row r="299" hidden="1" outlineLevel="1">
      <c r="A299" s="47" t="str">
        <f>A298&amp;C299</f>
        <v>FebruarySUNDARIOT HOURS</v>
      </c>
      <c r="B299" s="48"/>
      <c r="C299" s="49" t="s">
        <v>120</v>
      </c>
      <c r="D299" s="33"/>
      <c r="E299" s="70">
        <f>(F299+G299+H299+I299+J299+K299+L299+M299+N299+O299+P299+Q299+R299+S299+T299+U299+V299+W299+X299+Y299+Z299+AA299+AB299+AC299+AD299+AE299+AF299+AG299+AH299+AI299+AJ299+AK299+AL299+AM299+AN299+AO299+AP299+AQ299+AR299+AS299+AT299+AU299+AV299+AW299+AX299+AY299+AZ299+BA299+BB299+BC299+BD299+BE299+BF299+BG299+BH299+BI299+BJ299+BK299+BL299+BM299+BN299+BO299)</f>
        <v>3</v>
      </c>
      <c r="F299" s="82"/>
      <c r="G299" s="33"/>
      <c r="H299" s="82"/>
      <c r="I299" s="33"/>
      <c r="J299" s="82"/>
      <c r="K299" s="33"/>
      <c r="L299" s="82"/>
      <c r="M299" s="33"/>
      <c r="N299" s="82"/>
      <c r="O299" s="33"/>
      <c r="P299" s="82"/>
      <c r="Q299" s="33"/>
      <c r="R299" s="82"/>
      <c r="S299" s="33"/>
      <c r="T299" s="82"/>
      <c r="U299" s="33"/>
      <c r="V299" s="82"/>
      <c r="W299" s="33"/>
      <c r="X299" s="83">
        <v>1.0</v>
      </c>
      <c r="Y299" s="33"/>
      <c r="Z299" s="82"/>
      <c r="AA299" s="33"/>
      <c r="AB299" s="82"/>
      <c r="AC299" s="33"/>
      <c r="AD299" s="82"/>
      <c r="AE299" s="33"/>
      <c r="AF299" s="82"/>
      <c r="AG299" s="33"/>
      <c r="AH299" s="83">
        <v>1.0</v>
      </c>
      <c r="AI299" s="33"/>
      <c r="AJ299" s="82"/>
      <c r="AK299" s="33"/>
      <c r="AL299" s="82"/>
      <c r="AM299" s="33"/>
      <c r="AN299" s="82"/>
      <c r="AO299" s="33"/>
      <c r="AP299" s="82"/>
      <c r="AQ299" s="33"/>
      <c r="AR299" s="82"/>
      <c r="AS299" s="33"/>
      <c r="AT299" s="82"/>
      <c r="AU299" s="33"/>
      <c r="AV299" s="82"/>
      <c r="AW299" s="33"/>
      <c r="AX299" s="84">
        <v>1.0</v>
      </c>
      <c r="AY299" s="33"/>
      <c r="AZ299" s="82"/>
      <c r="BA299" s="33"/>
      <c r="BB299" s="82"/>
      <c r="BC299" s="33"/>
      <c r="BD299" s="82"/>
      <c r="BE299" s="33"/>
      <c r="BF299" s="82"/>
      <c r="BG299" s="33"/>
      <c r="BH299" s="82"/>
      <c r="BI299" s="33"/>
      <c r="BJ299" s="82"/>
      <c r="BK299" s="33"/>
      <c r="BL299" s="82"/>
      <c r="BM299" s="33"/>
      <c r="BN299" s="82"/>
      <c r="BO299" s="33"/>
    </row>
    <row r="300" hidden="1" outlineLevel="1">
      <c r="A300" s="42" t="str">
        <f>B300&amp;D300</f>
        <v>FebruaryGANESH</v>
      </c>
      <c r="B300" s="43" t="s">
        <v>47</v>
      </c>
      <c r="C300" s="43" t="s">
        <v>18</v>
      </c>
      <c r="D300" s="44" t="str">
        <f>IFERROR(VLOOKUP(C300,'Employees List'!$B$2:$C$28,2,0),"")</f>
        <v>GANESH</v>
      </c>
      <c r="E300" s="70">
        <f>(F300+G300+H300+I300+J300+K300+L300+M300+N300+O300+P300+Q300+R300+S300+T300+U300+V300+W300+X300+Y300+Z300+AA300+AB300+AC300+AD300+AE300+AF300+AG300+AH300+AI300+AJ300+AK300+AL300+AM300+AN300+AO300+AP300+AQ300+AR300+AS300+AT300+AU300+AV300+AW300+AX300+AY300+AZ300+BA300+BB300+BC300+BD300+BE300+BF300+BG300+BH300+BI300+BJ300+BK300+BL300+BM300+BN300+BO300)/2</f>
        <v>24.5</v>
      </c>
      <c r="F300" s="54" t="b">
        <v>1</v>
      </c>
      <c r="G300" s="54" t="b">
        <v>1</v>
      </c>
      <c r="H300" s="54" t="b">
        <v>1</v>
      </c>
      <c r="I300" s="54" t="b">
        <v>1</v>
      </c>
      <c r="J300" s="54" t="b">
        <v>1</v>
      </c>
      <c r="K300" s="54" t="b">
        <v>1</v>
      </c>
      <c r="L300" s="54" t="b">
        <v>1</v>
      </c>
      <c r="M300" s="54" t="b">
        <v>1</v>
      </c>
      <c r="N300" s="54" t="b">
        <v>1</v>
      </c>
      <c r="O300" s="54" t="b">
        <v>1</v>
      </c>
      <c r="P300" s="54" t="b">
        <v>0</v>
      </c>
      <c r="Q300" s="54" t="b">
        <v>0</v>
      </c>
      <c r="R300" s="54" t="b">
        <v>0</v>
      </c>
      <c r="S300" s="54" t="b">
        <v>0</v>
      </c>
      <c r="T300" s="54" t="b">
        <v>1</v>
      </c>
      <c r="U300" s="54" t="b">
        <v>1</v>
      </c>
      <c r="V300" s="54" t="b">
        <v>1</v>
      </c>
      <c r="W300" s="54" t="b">
        <v>1</v>
      </c>
      <c r="X300" s="54" t="b">
        <v>1</v>
      </c>
      <c r="Y300" s="54" t="b">
        <v>1</v>
      </c>
      <c r="Z300" s="54" t="b">
        <v>1</v>
      </c>
      <c r="AA300" s="54" t="b">
        <v>1</v>
      </c>
      <c r="AB300" s="54" t="b">
        <v>1</v>
      </c>
      <c r="AC300" s="54" t="b">
        <v>1</v>
      </c>
      <c r="AD300" s="54" t="b">
        <v>0</v>
      </c>
      <c r="AE300" s="54" t="b">
        <v>0</v>
      </c>
      <c r="AF300" s="54" t="b">
        <v>1</v>
      </c>
      <c r="AG300" s="54" t="b">
        <v>1</v>
      </c>
      <c r="AH300" s="54" t="b">
        <v>1</v>
      </c>
      <c r="AI300" s="54" t="b">
        <v>1</v>
      </c>
      <c r="AJ300" s="54" t="b">
        <v>1</v>
      </c>
      <c r="AK300" s="54" t="b">
        <v>1</v>
      </c>
      <c r="AL300" s="54" t="b">
        <v>1</v>
      </c>
      <c r="AM300" s="54" t="b">
        <v>1</v>
      </c>
      <c r="AN300" s="54" t="b">
        <v>1</v>
      </c>
      <c r="AO300" s="54" t="b">
        <v>1</v>
      </c>
      <c r="AP300" s="54" t="b">
        <v>1</v>
      </c>
      <c r="AQ300" s="54" t="b">
        <v>1</v>
      </c>
      <c r="AR300" s="54" t="b">
        <v>1</v>
      </c>
      <c r="AS300" s="54" t="b">
        <v>1</v>
      </c>
      <c r="AT300" s="54" t="b">
        <v>1</v>
      </c>
      <c r="AU300" s="54" t="b">
        <v>1</v>
      </c>
      <c r="AV300" s="54" t="b">
        <v>1</v>
      </c>
      <c r="AW300" s="54" t="b">
        <v>1</v>
      </c>
      <c r="AX300" s="54" t="b">
        <v>1</v>
      </c>
      <c r="AY300" s="54" t="b">
        <v>1</v>
      </c>
      <c r="AZ300" s="54" t="b">
        <v>1</v>
      </c>
      <c r="BA300" s="54" t="b">
        <v>0</v>
      </c>
      <c r="BB300" s="54" t="b">
        <v>1</v>
      </c>
      <c r="BC300" s="54" t="b">
        <v>1</v>
      </c>
      <c r="BD300" s="54" t="b">
        <v>1</v>
      </c>
      <c r="BE300" s="54" t="b">
        <v>1</v>
      </c>
      <c r="BF300" s="54" t="b">
        <v>1</v>
      </c>
      <c r="BG300" s="54" t="b">
        <v>1</v>
      </c>
      <c r="BH300" s="54" t="b">
        <v>1</v>
      </c>
      <c r="BI300" s="54" t="b">
        <v>1</v>
      </c>
      <c r="BJ300" s="54" t="b">
        <v>0</v>
      </c>
      <c r="BK300" s="54" t="b">
        <v>0</v>
      </c>
      <c r="BL300" s="54" t="b">
        <v>0</v>
      </c>
      <c r="BM300" s="54" t="b">
        <v>0</v>
      </c>
      <c r="BN300" s="54" t="b">
        <v>0</v>
      </c>
      <c r="BO300" s="54" t="b">
        <v>0</v>
      </c>
    </row>
    <row r="301" hidden="1" outlineLevel="1">
      <c r="A301" s="47" t="str">
        <f>A300&amp;C301</f>
        <v>FebruaryGANESHOT HOURS</v>
      </c>
      <c r="B301" s="48"/>
      <c r="C301" s="49" t="s">
        <v>120</v>
      </c>
      <c r="D301" s="33"/>
      <c r="E301" s="70">
        <f>(F301+G301+H301+I301+J301+K301+L301+M301+N301+O301+P301+Q301+R301+S301+T301+U301+V301+W301+X301+Y301+Z301+AA301+AB301+AC301+AD301+AE301+AF301+AG301+AH301+AI301+AJ301+AK301+AL301+AM301+AN301+AO301+AP301+AQ301+AR301+AS301+AT301+AU301+AV301+AW301+AX301+AY301+AZ301+BA301+BB301+BC301+BD301+BE301+BF301+BG301+BH301+BI301+BJ301+BK301+BL301+BM301+BN301+BO301)</f>
        <v>27</v>
      </c>
      <c r="F301" s="59">
        <v>1.0</v>
      </c>
      <c r="G301" s="33"/>
      <c r="H301" s="59"/>
      <c r="I301" s="33"/>
      <c r="J301" s="59">
        <v>1.0</v>
      </c>
      <c r="K301" s="33"/>
      <c r="L301" s="59"/>
      <c r="M301" s="33"/>
      <c r="N301" s="59">
        <v>2.0</v>
      </c>
      <c r="O301" s="33"/>
      <c r="P301" s="59"/>
      <c r="Q301" s="33"/>
      <c r="R301" s="59"/>
      <c r="S301" s="33"/>
      <c r="T301" s="59">
        <v>1.0</v>
      </c>
      <c r="U301" s="33"/>
      <c r="V301" s="59"/>
      <c r="W301" s="33"/>
      <c r="X301" s="59"/>
      <c r="Y301" s="33"/>
      <c r="Z301" s="59">
        <v>2.0</v>
      </c>
      <c r="AA301" s="33"/>
      <c r="AB301" s="59"/>
      <c r="AC301" s="33"/>
      <c r="AD301" s="59"/>
      <c r="AE301" s="33"/>
      <c r="AF301" s="59">
        <v>2.0</v>
      </c>
      <c r="AG301" s="33"/>
      <c r="AH301" s="59">
        <v>2.0</v>
      </c>
      <c r="AI301" s="33"/>
      <c r="AJ301" s="59"/>
      <c r="AK301" s="33"/>
      <c r="AL301" s="59"/>
      <c r="AM301" s="33"/>
      <c r="AN301" s="59">
        <v>2.0</v>
      </c>
      <c r="AO301" s="33"/>
      <c r="AP301" s="59">
        <v>2.0</v>
      </c>
      <c r="AQ301" s="33"/>
      <c r="AR301" s="59">
        <v>2.0</v>
      </c>
      <c r="AS301" s="33"/>
      <c r="AT301" s="59">
        <v>2.0</v>
      </c>
      <c r="AU301" s="33"/>
      <c r="AV301" s="59"/>
      <c r="AW301" s="33"/>
      <c r="AX301" s="59"/>
      <c r="AY301" s="33"/>
      <c r="AZ301" s="59"/>
      <c r="BA301" s="33"/>
      <c r="BB301" s="59">
        <v>2.0</v>
      </c>
      <c r="BC301" s="33"/>
      <c r="BD301" s="59">
        <v>2.0</v>
      </c>
      <c r="BE301" s="33"/>
      <c r="BF301" s="59">
        <v>2.0</v>
      </c>
      <c r="BG301" s="33"/>
      <c r="BH301" s="59">
        <v>2.0</v>
      </c>
      <c r="BI301" s="33"/>
      <c r="BJ301" s="59"/>
      <c r="BK301" s="33"/>
      <c r="BL301" s="59"/>
      <c r="BM301" s="33"/>
      <c r="BN301" s="59"/>
      <c r="BO301" s="33"/>
    </row>
    <row r="302" hidden="1" outlineLevel="1">
      <c r="A302" s="66" t="str">
        <f>B302&amp;D302</f>
        <v>FebruaryMathi</v>
      </c>
      <c r="B302" s="67" t="s">
        <v>47</v>
      </c>
      <c r="C302" s="68" t="s">
        <v>70</v>
      </c>
      <c r="D302" s="69" t="str">
        <f>IFERROR(VLOOKUP(C302,'Employees List'!$B$2:$C$28,2,0),"")</f>
        <v>Mathi</v>
      </c>
      <c r="E302" s="70">
        <f>(F302+G302+H302+I302+J302+K302+L302+M302+N302+O302+P302+Q302+R302+S302+T302+U302+V302+W302+X302+Y302+Z302+AA302+AB302+AC302+AD302+AE302+AF302+AG302+AH302+AI302+AJ302+AK302+AL302+AM302+AN302+AO302+AP302+AQ302+AR302+AS302+AT302+AU302+AV302+AW302+AX302+AY302+AZ302+BA302+BB302+BC302+BD302+BE302+BF302+BG302+BH302+BI302+BJ302+BK302+BL302+BM302+BN302+BO302)/2</f>
        <v>25</v>
      </c>
      <c r="F302" s="54" t="b">
        <v>1</v>
      </c>
      <c r="G302" s="54" t="b">
        <v>1</v>
      </c>
      <c r="H302" s="54" t="b">
        <v>1</v>
      </c>
      <c r="I302" s="54" t="b">
        <v>1</v>
      </c>
      <c r="J302" s="54" t="b">
        <v>1</v>
      </c>
      <c r="K302" s="54" t="b">
        <v>1</v>
      </c>
      <c r="L302" s="54" t="b">
        <v>1</v>
      </c>
      <c r="M302" s="54" t="b">
        <v>1</v>
      </c>
      <c r="N302" s="54" t="b">
        <v>1</v>
      </c>
      <c r="O302" s="54" t="b">
        <v>1</v>
      </c>
      <c r="P302" s="54" t="b">
        <v>1</v>
      </c>
      <c r="Q302" s="54" t="b">
        <v>1</v>
      </c>
      <c r="R302" s="54" t="b">
        <v>1</v>
      </c>
      <c r="S302" s="54" t="b">
        <v>1</v>
      </c>
      <c r="T302" s="54" t="b">
        <v>1</v>
      </c>
      <c r="U302" s="54" t="b">
        <v>1</v>
      </c>
      <c r="V302" s="54" t="b">
        <v>1</v>
      </c>
      <c r="W302" s="54" t="b">
        <v>1</v>
      </c>
      <c r="X302" s="54" t="b">
        <v>1</v>
      </c>
      <c r="Y302" s="54" t="b">
        <v>1</v>
      </c>
      <c r="Z302" s="54" t="b">
        <v>1</v>
      </c>
      <c r="AA302" s="54" t="b">
        <v>1</v>
      </c>
      <c r="AB302" s="54" t="b">
        <v>1</v>
      </c>
      <c r="AC302" s="54" t="b">
        <v>1</v>
      </c>
      <c r="AD302" s="54" t="b">
        <v>1</v>
      </c>
      <c r="AE302" s="54" t="b">
        <v>1</v>
      </c>
      <c r="AF302" s="54" t="b">
        <v>1</v>
      </c>
      <c r="AG302" s="54" t="b">
        <v>1</v>
      </c>
      <c r="AH302" s="54" t="b">
        <v>1</v>
      </c>
      <c r="AI302" s="54" t="b">
        <v>1</v>
      </c>
      <c r="AJ302" s="54" t="b">
        <v>1</v>
      </c>
      <c r="AK302" s="54" t="b">
        <v>1</v>
      </c>
      <c r="AL302" s="54" t="b">
        <v>1</v>
      </c>
      <c r="AM302" s="54" t="b">
        <v>1</v>
      </c>
      <c r="AN302" s="54" t="b">
        <v>0</v>
      </c>
      <c r="AO302" s="54" t="b">
        <v>0</v>
      </c>
      <c r="AP302" s="54" t="b">
        <v>1</v>
      </c>
      <c r="AQ302" s="54" t="b">
        <v>1</v>
      </c>
      <c r="AR302" s="54" t="b">
        <v>1</v>
      </c>
      <c r="AS302" s="54" t="b">
        <v>1</v>
      </c>
      <c r="AT302" s="54" t="b">
        <v>1</v>
      </c>
      <c r="AU302" s="54" t="b">
        <v>1</v>
      </c>
      <c r="AV302" s="54" t="b">
        <v>1</v>
      </c>
      <c r="AW302" s="54" t="b">
        <v>1</v>
      </c>
      <c r="AX302" s="54" t="b">
        <v>1</v>
      </c>
      <c r="AY302" s="54" t="b">
        <v>1</v>
      </c>
      <c r="AZ302" s="54" t="b">
        <v>1</v>
      </c>
      <c r="BA302" s="54" t="b">
        <v>1</v>
      </c>
      <c r="BB302" s="54" t="b">
        <v>1</v>
      </c>
      <c r="BC302" s="54" t="b">
        <v>1</v>
      </c>
      <c r="BD302" s="54" t="b">
        <v>0</v>
      </c>
      <c r="BE302" s="54" t="b">
        <v>1</v>
      </c>
      <c r="BF302" s="54" t="b">
        <v>1</v>
      </c>
      <c r="BG302" s="54" t="b">
        <v>0</v>
      </c>
      <c r="BH302" s="54" t="b">
        <v>0</v>
      </c>
      <c r="BI302" s="54" t="b">
        <v>0</v>
      </c>
      <c r="BJ302" s="54" t="b">
        <v>0</v>
      </c>
      <c r="BK302" s="54" t="b">
        <v>0</v>
      </c>
      <c r="BL302" s="54" t="b">
        <v>0</v>
      </c>
      <c r="BM302" s="54" t="b">
        <v>0</v>
      </c>
      <c r="BN302" s="54" t="b">
        <v>0</v>
      </c>
      <c r="BO302" s="54" t="b">
        <v>0</v>
      </c>
    </row>
    <row r="303" hidden="1" outlineLevel="1">
      <c r="A303" s="71" t="str">
        <f>A302&amp;C303</f>
        <v>FebruaryMathiOT HOURS</v>
      </c>
      <c r="B303" s="72"/>
      <c r="C303" s="73" t="s">
        <v>120</v>
      </c>
      <c r="D303" s="33"/>
      <c r="E303" s="70">
        <f>(F303+G303+H303+I303+J303+K303+L303+M303+N303+O303+P303+Q303+R303+S303+T303+U303+V303+W303+X303+Y303+Z303+AA303+AB303+AC303+AD303+AE303+AF303+AG303+AH303+AI303+AJ303+AK303+AL303+AM303+AN303+AO303+AP303+AQ303+AR303+AS303+AT303+AU303+AV303+AW303+AX303+AY303+AZ303+BA303+BB303+BC303+BD303+BE303+BF303+BG303+BH303+BI303+BJ303+BK303+BL303+BM303+BN303+BO303)</f>
        <v>51</v>
      </c>
      <c r="F303" s="59">
        <v>3.0</v>
      </c>
      <c r="G303" s="33"/>
      <c r="H303" s="59"/>
      <c r="I303" s="33"/>
      <c r="J303" s="59">
        <v>4.0</v>
      </c>
      <c r="K303" s="33"/>
      <c r="L303" s="59">
        <v>4.0</v>
      </c>
      <c r="M303" s="33"/>
      <c r="N303" s="59">
        <v>3.0</v>
      </c>
      <c r="O303" s="33"/>
      <c r="P303" s="59">
        <v>3.0</v>
      </c>
      <c r="Q303" s="33"/>
      <c r="R303" s="59">
        <v>3.0</v>
      </c>
      <c r="S303" s="33"/>
      <c r="T303" s="59">
        <v>2.0</v>
      </c>
      <c r="U303" s="33"/>
      <c r="V303" s="59"/>
      <c r="W303" s="33"/>
      <c r="X303" s="59">
        <v>4.0</v>
      </c>
      <c r="Y303" s="33"/>
      <c r="Z303" s="59">
        <v>4.0</v>
      </c>
      <c r="AA303" s="33"/>
      <c r="AB303" s="59"/>
      <c r="AC303" s="33"/>
      <c r="AD303" s="59">
        <v>2.0</v>
      </c>
      <c r="AE303" s="33"/>
      <c r="AF303" s="59"/>
      <c r="AG303" s="33"/>
      <c r="AH303" s="59">
        <v>2.0</v>
      </c>
      <c r="AI303" s="33"/>
      <c r="AJ303" s="59"/>
      <c r="AK303" s="33"/>
      <c r="AL303" s="59"/>
      <c r="AM303" s="33"/>
      <c r="AN303" s="59"/>
      <c r="AO303" s="33"/>
      <c r="AP303" s="59">
        <v>3.0</v>
      </c>
      <c r="AQ303" s="33"/>
      <c r="AR303" s="59">
        <v>3.0</v>
      </c>
      <c r="AS303" s="33"/>
      <c r="AT303" s="59">
        <v>1.0</v>
      </c>
      <c r="AU303" s="33"/>
      <c r="AV303" s="59"/>
      <c r="AW303" s="33"/>
      <c r="AX303" s="59"/>
      <c r="AY303" s="33"/>
      <c r="AZ303" s="59">
        <v>4.0</v>
      </c>
      <c r="BA303" s="33"/>
      <c r="BB303" s="59">
        <v>4.0</v>
      </c>
      <c r="BC303" s="33"/>
      <c r="BD303" s="59">
        <v>2.0</v>
      </c>
      <c r="BE303" s="33"/>
      <c r="BF303" s="59"/>
      <c r="BG303" s="33"/>
      <c r="BH303" s="59"/>
      <c r="BI303" s="33"/>
      <c r="BJ303" s="59"/>
      <c r="BK303" s="33"/>
      <c r="BL303" s="59"/>
      <c r="BM303" s="33"/>
      <c r="BN303" s="59"/>
      <c r="BO303" s="33"/>
    </row>
    <row r="304" ht="18.0" hidden="1" customHeight="1" outlineLevel="1">
      <c r="A304" s="66" t="str">
        <f>B304&amp;D304</f>
        <v>FebruaryAMMU</v>
      </c>
      <c r="B304" s="67" t="s">
        <v>47</v>
      </c>
      <c r="C304" s="68" t="s">
        <v>37</v>
      </c>
      <c r="D304" s="69" t="str">
        <f>IFERROR(VLOOKUP(C304,'Employees List'!$B$2:$C$28,2,0),"")</f>
        <v>AMMU</v>
      </c>
      <c r="E304" s="70">
        <f>(F304+G304+H304+I304+J304+K304+L304+M304+N304+O304+P304+Q304+R304+S304+T304+U304+V304+W304+X304+Y304+Z304+AA304+AB304+AC304+AD304+AE304+AF304+AG304+AH304+AI304+AJ304+AK304+AL304+AM304+AN304+AO304+AP304+AQ304+AR304+AS304+AT304+AU304+AV304+AW304+AX304+AY304+AZ304+BA304+BB304+BC304+BD304+BE304+BF304+BG304+BH304+BI304+BJ304+BK304+BL304+BM304+BN304+BO304)/2</f>
        <v>27</v>
      </c>
      <c r="F304" s="54" t="b">
        <v>1</v>
      </c>
      <c r="G304" s="54" t="b">
        <v>1</v>
      </c>
      <c r="H304" s="54" t="b">
        <v>1</v>
      </c>
      <c r="I304" s="54" t="b">
        <v>1</v>
      </c>
      <c r="J304" s="54" t="b">
        <v>1</v>
      </c>
      <c r="K304" s="54" t="b">
        <v>1</v>
      </c>
      <c r="L304" s="54" t="b">
        <v>1</v>
      </c>
      <c r="M304" s="54" t="b">
        <v>1</v>
      </c>
      <c r="N304" s="54" t="b">
        <v>1</v>
      </c>
      <c r="O304" s="54" t="b">
        <v>1</v>
      </c>
      <c r="P304" s="54" t="b">
        <v>1</v>
      </c>
      <c r="Q304" s="54" t="b">
        <v>1</v>
      </c>
      <c r="R304" s="54" t="b">
        <v>1</v>
      </c>
      <c r="S304" s="54" t="b">
        <v>1</v>
      </c>
      <c r="T304" s="54" t="b">
        <v>1</v>
      </c>
      <c r="U304" s="54" t="b">
        <v>1</v>
      </c>
      <c r="V304" s="54" t="b">
        <v>1</v>
      </c>
      <c r="W304" s="54" t="b">
        <v>1</v>
      </c>
      <c r="X304" s="54" t="b">
        <v>1</v>
      </c>
      <c r="Y304" s="54" t="b">
        <v>1</v>
      </c>
      <c r="Z304" s="54" t="b">
        <v>1</v>
      </c>
      <c r="AA304" s="54" t="b">
        <v>1</v>
      </c>
      <c r="AB304" s="54" t="b">
        <v>1</v>
      </c>
      <c r="AC304" s="54" t="b">
        <v>1</v>
      </c>
      <c r="AD304" s="54" t="b">
        <v>1</v>
      </c>
      <c r="AE304" s="54" t="b">
        <v>1</v>
      </c>
      <c r="AF304" s="54" t="b">
        <v>1</v>
      </c>
      <c r="AG304" s="54" t="b">
        <v>1</v>
      </c>
      <c r="AH304" s="54" t="b">
        <v>1</v>
      </c>
      <c r="AI304" s="54" t="b">
        <v>1</v>
      </c>
      <c r="AJ304" s="54" t="b">
        <v>1</v>
      </c>
      <c r="AK304" s="54" t="b">
        <v>1</v>
      </c>
      <c r="AL304" s="54" t="b">
        <v>0</v>
      </c>
      <c r="AM304" s="54" t="b">
        <v>0</v>
      </c>
      <c r="AN304" s="54" t="b">
        <v>1</v>
      </c>
      <c r="AO304" s="54" t="b">
        <v>1</v>
      </c>
      <c r="AP304" s="54" t="b">
        <v>1</v>
      </c>
      <c r="AQ304" s="54" t="b">
        <v>1</v>
      </c>
      <c r="AR304" s="54" t="b">
        <v>1</v>
      </c>
      <c r="AS304" s="54" t="b">
        <v>1</v>
      </c>
      <c r="AT304" s="54" t="b">
        <v>1</v>
      </c>
      <c r="AU304" s="54" t="b">
        <v>1</v>
      </c>
      <c r="AV304" s="54" t="b">
        <v>1</v>
      </c>
      <c r="AW304" s="54" t="b">
        <v>1</v>
      </c>
      <c r="AX304" s="54" t="b">
        <v>1</v>
      </c>
      <c r="AY304" s="54" t="b">
        <v>1</v>
      </c>
      <c r="AZ304" s="54" t="b">
        <v>1</v>
      </c>
      <c r="BA304" s="54" t="b">
        <v>1</v>
      </c>
      <c r="BB304" s="54" t="b">
        <v>1</v>
      </c>
      <c r="BC304" s="54" t="b">
        <v>1</v>
      </c>
      <c r="BD304" s="54" t="b">
        <v>1</v>
      </c>
      <c r="BE304" s="54" t="b">
        <v>1</v>
      </c>
      <c r="BF304" s="54" t="b">
        <v>1</v>
      </c>
      <c r="BG304" s="54" t="b">
        <v>1</v>
      </c>
      <c r="BH304" s="54" t="b">
        <v>1</v>
      </c>
      <c r="BI304" s="54" t="b">
        <v>1</v>
      </c>
      <c r="BJ304" s="54" t="b">
        <v>0</v>
      </c>
      <c r="BK304" s="54" t="b">
        <v>0</v>
      </c>
      <c r="BL304" s="54" t="b">
        <v>0</v>
      </c>
      <c r="BM304" s="54" t="b">
        <v>0</v>
      </c>
      <c r="BN304" s="54" t="b">
        <v>0</v>
      </c>
      <c r="BO304" s="54" t="b">
        <v>0</v>
      </c>
    </row>
    <row r="305" hidden="1" outlineLevel="1">
      <c r="A305" s="71" t="str">
        <f>A304&amp;C305</f>
        <v>FebruaryAMMUOT HOURS</v>
      </c>
      <c r="B305" s="72"/>
      <c r="C305" s="73" t="s">
        <v>120</v>
      </c>
      <c r="D305" s="33"/>
      <c r="E305" s="70">
        <f>(F305+G305+H305+I305+J305+K305+L305+M305+N305+O305+P305+Q305+R305+S305+T305+U305+V305+W305+X305+Y305+Z305+AA305+AB305+AC305+AD305+AE305+AF305+AG305+AH305+AI305+AJ305+AK305+AL305+AM305+AN305+AO305+AP305+AQ305+AR305+AS305+AT305+AU305+AV305+AW305+AX305+AY305+AZ305+BA305+BB305+BC305+BD305+BE305+BF305+BG305+BH305+BI305+BJ305+BK305+BL305+BM305+BN305+BO305)</f>
        <v>28</v>
      </c>
      <c r="F305" s="59"/>
      <c r="G305" s="33"/>
      <c r="H305" s="59"/>
      <c r="I305" s="33"/>
      <c r="J305" s="59"/>
      <c r="K305" s="33"/>
      <c r="L305" s="59"/>
      <c r="M305" s="33"/>
      <c r="N305" s="59"/>
      <c r="O305" s="33"/>
      <c r="P305" s="59"/>
      <c r="Q305" s="33"/>
      <c r="R305" s="59">
        <v>2.0</v>
      </c>
      <c r="S305" s="33"/>
      <c r="T305" s="59">
        <v>2.0</v>
      </c>
      <c r="U305" s="33"/>
      <c r="V305" s="59"/>
      <c r="W305" s="33"/>
      <c r="X305" s="59">
        <v>2.0</v>
      </c>
      <c r="Y305" s="33"/>
      <c r="Z305" s="59">
        <v>2.0</v>
      </c>
      <c r="AA305" s="33"/>
      <c r="AB305" s="59"/>
      <c r="AC305" s="33"/>
      <c r="AD305" s="59">
        <v>2.0</v>
      </c>
      <c r="AE305" s="33"/>
      <c r="AF305" s="59">
        <v>2.0</v>
      </c>
      <c r="AG305" s="33"/>
      <c r="AH305" s="59">
        <v>2.0</v>
      </c>
      <c r="AI305" s="33"/>
      <c r="AJ305" s="59"/>
      <c r="AK305" s="33"/>
      <c r="AL305" s="59"/>
      <c r="AM305" s="33"/>
      <c r="AN305" s="59"/>
      <c r="AO305" s="33"/>
      <c r="AP305" s="59">
        <v>2.0</v>
      </c>
      <c r="AQ305" s="33"/>
      <c r="AR305" s="59">
        <v>2.0</v>
      </c>
      <c r="AS305" s="33"/>
      <c r="AT305" s="59">
        <v>2.0</v>
      </c>
      <c r="AU305" s="33"/>
      <c r="AV305" s="59"/>
      <c r="AW305" s="33"/>
      <c r="AX305" s="59"/>
      <c r="AY305" s="33"/>
      <c r="AZ305" s="59">
        <v>2.0</v>
      </c>
      <c r="BA305" s="33"/>
      <c r="BB305" s="59">
        <v>2.0</v>
      </c>
      <c r="BC305" s="33"/>
      <c r="BD305" s="59"/>
      <c r="BE305" s="33"/>
      <c r="BF305" s="59">
        <v>2.0</v>
      </c>
      <c r="BG305" s="33"/>
      <c r="BH305" s="59">
        <v>2.0</v>
      </c>
      <c r="BI305" s="33"/>
      <c r="BJ305" s="59"/>
      <c r="BK305" s="33"/>
      <c r="BL305" s="59"/>
      <c r="BM305" s="33"/>
      <c r="BN305" s="59"/>
      <c r="BO305" s="33"/>
    </row>
    <row r="306" hidden="1" outlineLevel="1">
      <c r="A306" s="66" t="str">
        <f>B306&amp;D306</f>
        <v>FebruaryREVATHI S</v>
      </c>
      <c r="B306" s="67" t="s">
        <v>47</v>
      </c>
      <c r="C306" s="68" t="s">
        <v>41</v>
      </c>
      <c r="D306" s="69" t="str">
        <f>IFERROR(VLOOKUP(C306,'Employees List'!$B$2:$C$28,2,0),"")</f>
        <v>REVATHI S</v>
      </c>
      <c r="E306" s="70">
        <f>(F306+G306+H306+I306+J306+K306+L306+M306+N306+O306+P306+Q306+R306+S306+T306+U306+V306+W306+X306+Y306+Z306+AA306+AB306+AC306+AD306+AE306+AF306+AG306+AH306+AI306+AJ306+AK306+AL306+AM306+AN306+AO306+AP306+AQ306+AR306+AS306+AT306+AU306+AV306+AW306+AX306+AY306+AZ306+BA306+BB306+BC306+BD306+BE306+BF306+BG306+BH306+BI306+BJ306+BK306+BL306+BM306+BN306+BO306)/2</f>
        <v>25.5</v>
      </c>
      <c r="F306" s="54" t="b">
        <v>1</v>
      </c>
      <c r="G306" s="54" t="b">
        <v>0</v>
      </c>
      <c r="H306" s="54" t="b">
        <v>1</v>
      </c>
      <c r="I306" s="54" t="b">
        <v>1</v>
      </c>
      <c r="J306" s="54" t="b">
        <v>1</v>
      </c>
      <c r="K306" s="54" t="b">
        <v>1</v>
      </c>
      <c r="L306" s="54" t="b">
        <v>1</v>
      </c>
      <c r="M306" s="54" t="b">
        <v>1</v>
      </c>
      <c r="N306" s="54" t="b">
        <v>1</v>
      </c>
      <c r="O306" s="54" t="b">
        <v>1</v>
      </c>
      <c r="P306" s="54" t="b">
        <v>1</v>
      </c>
      <c r="Q306" s="54" t="b">
        <v>1</v>
      </c>
      <c r="R306" s="54" t="b">
        <v>0</v>
      </c>
      <c r="S306" s="54" t="b">
        <v>0</v>
      </c>
      <c r="T306" s="54" t="b">
        <v>1</v>
      </c>
      <c r="U306" s="54" t="b">
        <v>1</v>
      </c>
      <c r="V306" s="54" t="b">
        <v>1</v>
      </c>
      <c r="W306" s="54" t="b">
        <v>1</v>
      </c>
      <c r="X306" s="54" t="b">
        <v>1</v>
      </c>
      <c r="Y306" s="54" t="b">
        <v>1</v>
      </c>
      <c r="Z306" s="54" t="b">
        <v>1</v>
      </c>
      <c r="AA306" s="54" t="b">
        <v>1</v>
      </c>
      <c r="AB306" s="54" t="b">
        <v>1</v>
      </c>
      <c r="AC306" s="54" t="b">
        <v>1</v>
      </c>
      <c r="AD306" s="54" t="b">
        <v>1</v>
      </c>
      <c r="AE306" s="54" t="b">
        <v>1</v>
      </c>
      <c r="AF306" s="54" t="b">
        <v>1</v>
      </c>
      <c r="AG306" s="54" t="b">
        <v>1</v>
      </c>
      <c r="AH306" s="54" t="b">
        <v>1</v>
      </c>
      <c r="AI306" s="54" t="b">
        <v>1</v>
      </c>
      <c r="AJ306" s="54" t="b">
        <v>1</v>
      </c>
      <c r="AK306" s="54" t="b">
        <v>1</v>
      </c>
      <c r="AL306" s="54" t="b">
        <v>1</v>
      </c>
      <c r="AM306" s="54" t="b">
        <v>1</v>
      </c>
      <c r="AN306" s="54" t="b">
        <v>0</v>
      </c>
      <c r="AO306" s="54" t="b">
        <v>0</v>
      </c>
      <c r="AP306" s="54" t="b">
        <v>1</v>
      </c>
      <c r="AQ306" s="54" t="b">
        <v>1</v>
      </c>
      <c r="AR306" s="54" t="b">
        <v>1</v>
      </c>
      <c r="AS306" s="54" t="b">
        <v>1</v>
      </c>
      <c r="AT306" s="54" t="b">
        <v>1</v>
      </c>
      <c r="AU306" s="54" t="b">
        <v>1</v>
      </c>
      <c r="AV306" s="54" t="b">
        <v>1</v>
      </c>
      <c r="AW306" s="54" t="b">
        <v>1</v>
      </c>
      <c r="AX306" s="54" t="b">
        <v>1</v>
      </c>
      <c r="AY306" s="54" t="b">
        <v>1</v>
      </c>
      <c r="AZ306" s="54" t="b">
        <v>1</v>
      </c>
      <c r="BA306" s="54" t="b">
        <v>1</v>
      </c>
      <c r="BB306" s="54" t="b">
        <v>1</v>
      </c>
      <c r="BC306" s="54" t="b">
        <v>1</v>
      </c>
      <c r="BD306" s="54" t="b">
        <v>1</v>
      </c>
      <c r="BE306" s="54" t="b">
        <v>1</v>
      </c>
      <c r="BF306" s="54" t="b">
        <v>1</v>
      </c>
      <c r="BG306" s="54" t="b">
        <v>1</v>
      </c>
      <c r="BH306" s="54" t="b">
        <v>1</v>
      </c>
      <c r="BI306" s="54" t="b">
        <v>1</v>
      </c>
      <c r="BJ306" s="54" t="b">
        <v>0</v>
      </c>
      <c r="BK306" s="54" t="b">
        <v>0</v>
      </c>
      <c r="BL306" s="54" t="b">
        <v>0</v>
      </c>
      <c r="BM306" s="54" t="b">
        <v>0</v>
      </c>
      <c r="BN306" s="54" t="b">
        <v>0</v>
      </c>
      <c r="BO306" s="54" t="b">
        <v>0</v>
      </c>
    </row>
    <row r="307" hidden="1" outlineLevel="1">
      <c r="A307" s="71" t="str">
        <f>A306&amp;C307</f>
        <v>FebruaryREVATHI SOT HOURS</v>
      </c>
      <c r="B307" s="72"/>
      <c r="C307" s="73" t="s">
        <v>120</v>
      </c>
      <c r="D307" s="33"/>
      <c r="E307" s="70">
        <f>(F307+G307+H307+I307+J307+K307+L307+M307+N307+O307+P307+Q307+R307+S307+T307+U307+V307+W307+X307+Y307+Z307+AA307+AB307+AC307+AD307+AE307+AF307+AG307+AH307+AI307+AJ307+AK307+AL307+AM307+AN307+AO307+AP307+AQ307+AR307+AS307+AT307+AU307+AV307+AW307+AX307+AY307+AZ307+BA307+BB307+BC307+BD307+BE307+BF307+BG307+BH307+BI307+BJ307+BK307+BL307+BM307+BN307+BO307)</f>
        <v>24</v>
      </c>
      <c r="F307" s="59"/>
      <c r="G307" s="33"/>
      <c r="H307" s="59"/>
      <c r="I307" s="33"/>
      <c r="J307" s="59"/>
      <c r="K307" s="33"/>
      <c r="L307" s="59"/>
      <c r="M307" s="33"/>
      <c r="N307" s="59"/>
      <c r="O307" s="33"/>
      <c r="P307" s="59"/>
      <c r="Q307" s="33"/>
      <c r="R307" s="59"/>
      <c r="S307" s="33"/>
      <c r="T307" s="59">
        <v>2.0</v>
      </c>
      <c r="U307" s="33"/>
      <c r="V307" s="59"/>
      <c r="W307" s="33"/>
      <c r="X307" s="59">
        <v>2.0</v>
      </c>
      <c r="Y307" s="33"/>
      <c r="Z307" s="59"/>
      <c r="AA307" s="33"/>
      <c r="AB307" s="59"/>
      <c r="AC307" s="33"/>
      <c r="AD307" s="59">
        <v>2.0</v>
      </c>
      <c r="AE307" s="33"/>
      <c r="AF307" s="59">
        <v>2.0</v>
      </c>
      <c r="AG307" s="33"/>
      <c r="AH307" s="59">
        <v>2.0</v>
      </c>
      <c r="AI307" s="33"/>
      <c r="AJ307" s="59"/>
      <c r="AK307" s="33"/>
      <c r="AL307" s="59"/>
      <c r="AM307" s="33"/>
      <c r="AN307" s="59"/>
      <c r="AO307" s="33"/>
      <c r="AP307" s="59">
        <v>2.0</v>
      </c>
      <c r="AQ307" s="33"/>
      <c r="AR307" s="59">
        <v>2.0</v>
      </c>
      <c r="AS307" s="33"/>
      <c r="AT307" s="59">
        <v>2.0</v>
      </c>
      <c r="AU307" s="33"/>
      <c r="AV307" s="59"/>
      <c r="AW307" s="33"/>
      <c r="AX307" s="59"/>
      <c r="AY307" s="33"/>
      <c r="AZ307" s="59">
        <v>2.0</v>
      </c>
      <c r="BA307" s="33"/>
      <c r="BB307" s="59">
        <v>2.0</v>
      </c>
      <c r="BC307" s="33"/>
      <c r="BD307" s="59"/>
      <c r="BE307" s="33"/>
      <c r="BF307" s="59">
        <v>2.0</v>
      </c>
      <c r="BG307" s="33"/>
      <c r="BH307" s="59">
        <v>2.0</v>
      </c>
      <c r="BI307" s="33"/>
      <c r="BJ307" s="59"/>
      <c r="BK307" s="33"/>
      <c r="BL307" s="59"/>
      <c r="BM307" s="33"/>
      <c r="BN307" s="59"/>
      <c r="BO307" s="33"/>
    </row>
    <row r="308" hidden="1" outlineLevel="1">
      <c r="A308" s="66" t="str">
        <f>B308&amp;D308</f>
        <v>FebruaryLEELA</v>
      </c>
      <c r="B308" s="67" t="s">
        <v>47</v>
      </c>
      <c r="C308" s="68" t="s">
        <v>67</v>
      </c>
      <c r="D308" s="69" t="str">
        <f>IFERROR(VLOOKUP(C308,'Employees List'!$B$2:$C$28,2,0),"")</f>
        <v>LEELA</v>
      </c>
      <c r="E308" s="70">
        <f>(F308+G308+H308+I308+J308+K308+L308+M308+N308+O308+P308+Q308+R308+S308+T308+U308+V308+W308+X308+Y308+Z308+AA308+AB308+AC308+AD308+AE308+AF308+AG308+AH308+AI308+AJ308+AK308+AL308+AM308+AN308+AO308+AP308+AQ308+AR308+AS308+AT308+AU308+AV308+AW308+AX308+AY308+AZ308+BA308+BB308+BC308+BD308+BE308+BF308+BG308+BH308+BI308+BJ308+BK308+BL308+BM308+BN308+BO308)/2</f>
        <v>28</v>
      </c>
      <c r="F308" s="54" t="b">
        <v>1</v>
      </c>
      <c r="G308" s="54" t="b">
        <v>1</v>
      </c>
      <c r="H308" s="54" t="b">
        <v>1</v>
      </c>
      <c r="I308" s="54" t="b">
        <v>1</v>
      </c>
      <c r="J308" s="54" t="b">
        <v>1</v>
      </c>
      <c r="K308" s="54" t="b">
        <v>1</v>
      </c>
      <c r="L308" s="54" t="b">
        <v>1</v>
      </c>
      <c r="M308" s="54" t="b">
        <v>1</v>
      </c>
      <c r="N308" s="54" t="b">
        <v>1</v>
      </c>
      <c r="O308" s="54" t="b">
        <v>1</v>
      </c>
      <c r="P308" s="54" t="b">
        <v>1</v>
      </c>
      <c r="Q308" s="54" t="b">
        <v>1</v>
      </c>
      <c r="R308" s="54" t="b">
        <v>1</v>
      </c>
      <c r="S308" s="54" t="b">
        <v>1</v>
      </c>
      <c r="T308" s="54" t="b">
        <v>1</v>
      </c>
      <c r="U308" s="54" t="b">
        <v>1</v>
      </c>
      <c r="V308" s="54" t="b">
        <v>1</v>
      </c>
      <c r="W308" s="54" t="b">
        <v>1</v>
      </c>
      <c r="X308" s="54" t="b">
        <v>1</v>
      </c>
      <c r="Y308" s="54" t="b">
        <v>1</v>
      </c>
      <c r="Z308" s="54" t="b">
        <v>1</v>
      </c>
      <c r="AA308" s="54" t="b">
        <v>1</v>
      </c>
      <c r="AB308" s="54" t="b">
        <v>1</v>
      </c>
      <c r="AC308" s="54" t="b">
        <v>1</v>
      </c>
      <c r="AD308" s="54" t="b">
        <v>1</v>
      </c>
      <c r="AE308" s="54" t="b">
        <v>1</v>
      </c>
      <c r="AF308" s="54" t="b">
        <v>1</v>
      </c>
      <c r="AG308" s="54" t="b">
        <v>1</v>
      </c>
      <c r="AH308" s="54" t="b">
        <v>1</v>
      </c>
      <c r="AI308" s="54" t="b">
        <v>1</v>
      </c>
      <c r="AJ308" s="54" t="b">
        <v>1</v>
      </c>
      <c r="AK308" s="54" t="b">
        <v>1</v>
      </c>
      <c r="AL308" s="54" t="b">
        <v>1</v>
      </c>
      <c r="AM308" s="54" t="b">
        <v>1</v>
      </c>
      <c r="AN308" s="54" t="b">
        <v>1</v>
      </c>
      <c r="AO308" s="54" t="b">
        <v>1</v>
      </c>
      <c r="AP308" s="54" t="b">
        <v>1</v>
      </c>
      <c r="AQ308" s="54" t="b">
        <v>1</v>
      </c>
      <c r="AR308" s="54" t="b">
        <v>1</v>
      </c>
      <c r="AS308" s="54" t="b">
        <v>1</v>
      </c>
      <c r="AT308" s="54" t="b">
        <v>1</v>
      </c>
      <c r="AU308" s="54" t="b">
        <v>1</v>
      </c>
      <c r="AV308" s="54" t="b">
        <v>1</v>
      </c>
      <c r="AW308" s="54" t="b">
        <v>1</v>
      </c>
      <c r="AX308" s="54" t="b">
        <v>1</v>
      </c>
      <c r="AY308" s="54" t="b">
        <v>1</v>
      </c>
      <c r="AZ308" s="54" t="b">
        <v>1</v>
      </c>
      <c r="BA308" s="54" t="b">
        <v>1</v>
      </c>
      <c r="BB308" s="54" t="b">
        <v>1</v>
      </c>
      <c r="BC308" s="54" t="b">
        <v>1</v>
      </c>
      <c r="BD308" s="54" t="b">
        <v>1</v>
      </c>
      <c r="BE308" s="54" t="b">
        <v>1</v>
      </c>
      <c r="BF308" s="54" t="b">
        <v>1</v>
      </c>
      <c r="BG308" s="54" t="b">
        <v>1</v>
      </c>
      <c r="BH308" s="54" t="b">
        <v>1</v>
      </c>
      <c r="BI308" s="54" t="b">
        <v>1</v>
      </c>
      <c r="BJ308" s="54" t="b">
        <v>0</v>
      </c>
      <c r="BK308" s="54" t="b">
        <v>0</v>
      </c>
      <c r="BL308" s="54" t="b">
        <v>0</v>
      </c>
      <c r="BM308" s="54" t="b">
        <v>0</v>
      </c>
      <c r="BN308" s="54" t="b">
        <v>0</v>
      </c>
      <c r="BO308" s="54" t="b">
        <v>0</v>
      </c>
    </row>
    <row r="309" hidden="1" outlineLevel="1">
      <c r="A309" s="71" t="str">
        <f>A308&amp;C309</f>
        <v>FebruaryLEELAOT HOURS</v>
      </c>
      <c r="B309" s="72"/>
      <c r="C309" s="73" t="s">
        <v>120</v>
      </c>
      <c r="D309" s="33"/>
      <c r="E309" s="70">
        <f>(F309+G309+H309+I309+J309+K309+L309+M309+N309+O309+P309+Q309+R309+S309+T309+U309+V309+W309+X309+Y309+Z309+AA309+AB309+AC309+AD309+AE309+AF309+AG309+AH309+AI309+AJ309+AK309+AL309+AM309+AN309+AO309+AP309+AQ309+AR309+AS309+AT309+AU309+AV309+AW309+AX309+AY309+AZ309+BA309+BB309+BC309+BD309+BE309+BF309+BG309+BH309+BI309+BJ309+BK309+BL309+BM309+BN309+BO309)</f>
        <v>0</v>
      </c>
      <c r="F309" s="59"/>
      <c r="G309" s="33"/>
      <c r="H309" s="59"/>
      <c r="I309" s="33"/>
      <c r="J309" s="59"/>
      <c r="K309" s="33"/>
      <c r="L309" s="59"/>
      <c r="M309" s="33"/>
      <c r="N309" s="59"/>
      <c r="O309" s="33"/>
      <c r="P309" s="59"/>
      <c r="Q309" s="33"/>
      <c r="R309" s="59"/>
      <c r="S309" s="33"/>
      <c r="T309" s="59"/>
      <c r="U309" s="33"/>
      <c r="V309" s="59"/>
      <c r="W309" s="33"/>
      <c r="X309" s="59"/>
      <c r="Y309" s="33"/>
      <c r="Z309" s="59"/>
      <c r="AA309" s="33"/>
      <c r="AB309" s="59"/>
      <c r="AC309" s="33"/>
      <c r="AD309" s="59"/>
      <c r="AE309" s="33"/>
      <c r="AF309" s="59"/>
      <c r="AG309" s="33"/>
      <c r="AH309" s="59"/>
      <c r="AI309" s="33"/>
      <c r="AJ309" s="59"/>
      <c r="AK309" s="33"/>
      <c r="AL309" s="59"/>
      <c r="AM309" s="33"/>
      <c r="AN309" s="59"/>
      <c r="AO309" s="33"/>
      <c r="AP309" s="59"/>
      <c r="AQ309" s="33"/>
      <c r="AR309" s="59"/>
      <c r="AS309" s="33"/>
      <c r="AT309" s="59"/>
      <c r="AU309" s="33"/>
      <c r="AV309" s="59"/>
      <c r="AW309" s="33"/>
      <c r="AX309" s="59"/>
      <c r="AY309" s="33"/>
      <c r="AZ309" s="59"/>
      <c r="BA309" s="33"/>
      <c r="BB309" s="59"/>
      <c r="BC309" s="33"/>
      <c r="BD309" s="59"/>
      <c r="BE309" s="33"/>
      <c r="BF309" s="59"/>
      <c r="BG309" s="33"/>
      <c r="BH309" s="59"/>
      <c r="BI309" s="33"/>
      <c r="BJ309" s="59"/>
      <c r="BK309" s="33"/>
      <c r="BL309" s="59"/>
      <c r="BM309" s="33"/>
      <c r="BN309" s="59"/>
      <c r="BO309" s="33"/>
    </row>
    <row r="310" hidden="1" outlineLevel="1">
      <c r="A310" s="66" t="str">
        <f>B310&amp;D310</f>
        <v>FebruaryPARSHU BAGH</v>
      </c>
      <c r="B310" s="67" t="s">
        <v>47</v>
      </c>
      <c r="C310" s="68" t="s">
        <v>97</v>
      </c>
      <c r="D310" s="69" t="str">
        <f>IFERROR(VLOOKUP(C310,'Employees List'!$B$2:$C$999,2,0),"")</f>
        <v>PARSHU BAGH</v>
      </c>
      <c r="E310" s="70">
        <f>(F310+G310+H310+I310+J310+K310+L310+M310+N310+O310+P310+Q310+R310+S310+T310+U310+V310+W310+X310+Y310+Z310+AA310+AB310+AC310+AD310+AE310+AF310+AG310+AH310+AI310+AJ310+AK310+AL310+AM310+AN310+AO310+AP310+AQ310+AR310+AS310+AT310+AU310+AV310+AW310+AX310+AY310+AZ310+BA310+BB310+BC310+BD310+BE310+BF310+BG310+BH310+BI310+BJ310+BK310+BL310+BM310+BN310+BO310)/2</f>
        <v>28</v>
      </c>
      <c r="F310" s="54" t="b">
        <v>1</v>
      </c>
      <c r="G310" s="54" t="b">
        <v>1</v>
      </c>
      <c r="H310" s="54" t="b">
        <v>1</v>
      </c>
      <c r="I310" s="54" t="b">
        <v>1</v>
      </c>
      <c r="J310" s="54" t="b">
        <v>1</v>
      </c>
      <c r="K310" s="54" t="b">
        <v>1</v>
      </c>
      <c r="L310" s="54" t="b">
        <v>1</v>
      </c>
      <c r="M310" s="54" t="b">
        <v>1</v>
      </c>
      <c r="N310" s="54" t="b">
        <v>1</v>
      </c>
      <c r="O310" s="54" t="b">
        <v>1</v>
      </c>
      <c r="P310" s="54" t="b">
        <v>1</v>
      </c>
      <c r="Q310" s="54" t="b">
        <v>1</v>
      </c>
      <c r="R310" s="54" t="b">
        <v>1</v>
      </c>
      <c r="S310" s="54" t="b">
        <v>1</v>
      </c>
      <c r="T310" s="54" t="b">
        <v>1</v>
      </c>
      <c r="U310" s="54" t="b">
        <v>1</v>
      </c>
      <c r="V310" s="54" t="b">
        <v>1</v>
      </c>
      <c r="W310" s="54" t="b">
        <v>1</v>
      </c>
      <c r="X310" s="54" t="b">
        <v>1</v>
      </c>
      <c r="Y310" s="54" t="b">
        <v>1</v>
      </c>
      <c r="Z310" s="54" t="b">
        <v>1</v>
      </c>
      <c r="AA310" s="54" t="b">
        <v>1</v>
      </c>
      <c r="AB310" s="54" t="b">
        <v>1</v>
      </c>
      <c r="AC310" s="54" t="b">
        <v>1</v>
      </c>
      <c r="AD310" s="54" t="b">
        <v>1</v>
      </c>
      <c r="AE310" s="54" t="b">
        <v>1</v>
      </c>
      <c r="AF310" s="54" t="b">
        <v>1</v>
      </c>
      <c r="AG310" s="54" t="b">
        <v>1</v>
      </c>
      <c r="AH310" s="54" t="b">
        <v>1</v>
      </c>
      <c r="AI310" s="54" t="b">
        <v>1</v>
      </c>
      <c r="AJ310" s="54" t="b">
        <v>1</v>
      </c>
      <c r="AK310" s="54" t="b">
        <v>1</v>
      </c>
      <c r="AL310" s="54" t="b">
        <v>1</v>
      </c>
      <c r="AM310" s="54" t="b">
        <v>1</v>
      </c>
      <c r="AN310" s="54" t="b">
        <v>1</v>
      </c>
      <c r="AO310" s="54" t="b">
        <v>1</v>
      </c>
      <c r="AP310" s="54" t="b">
        <v>1</v>
      </c>
      <c r="AQ310" s="54" t="b">
        <v>1</v>
      </c>
      <c r="AR310" s="54" t="b">
        <v>1</v>
      </c>
      <c r="AS310" s="54" t="b">
        <v>1</v>
      </c>
      <c r="AT310" s="54" t="b">
        <v>1</v>
      </c>
      <c r="AU310" s="54" t="b">
        <v>1</v>
      </c>
      <c r="AV310" s="54" t="b">
        <v>1</v>
      </c>
      <c r="AW310" s="54" t="b">
        <v>1</v>
      </c>
      <c r="AX310" s="54" t="b">
        <v>1</v>
      </c>
      <c r="AY310" s="54" t="b">
        <v>1</v>
      </c>
      <c r="AZ310" s="54" t="b">
        <v>1</v>
      </c>
      <c r="BA310" s="54" t="b">
        <v>1</v>
      </c>
      <c r="BB310" s="54" t="b">
        <v>1</v>
      </c>
      <c r="BC310" s="54" t="b">
        <v>1</v>
      </c>
      <c r="BD310" s="54" t="b">
        <v>1</v>
      </c>
      <c r="BE310" s="54" t="b">
        <v>1</v>
      </c>
      <c r="BF310" s="54" t="b">
        <v>1</v>
      </c>
      <c r="BG310" s="54" t="b">
        <v>1</v>
      </c>
      <c r="BH310" s="54" t="b">
        <v>1</v>
      </c>
      <c r="BI310" s="54" t="b">
        <v>1</v>
      </c>
      <c r="BJ310" s="54" t="b">
        <v>0</v>
      </c>
      <c r="BK310" s="54" t="b">
        <v>0</v>
      </c>
      <c r="BL310" s="54" t="b">
        <v>0</v>
      </c>
      <c r="BM310" s="54" t="b">
        <v>0</v>
      </c>
      <c r="BN310" s="54" t="b">
        <v>0</v>
      </c>
      <c r="BO310" s="54" t="b">
        <v>0</v>
      </c>
    </row>
    <row r="311" hidden="1" outlineLevel="1">
      <c r="A311" s="71" t="str">
        <f>A310&amp;C311</f>
        <v>FebruaryPARSHU BAGHOT HOURS</v>
      </c>
      <c r="B311" s="72"/>
      <c r="C311" s="73" t="s">
        <v>120</v>
      </c>
      <c r="D311" s="33"/>
      <c r="E311" s="70">
        <f>(F311+G311+H311+I311+J311+K311+L311+M311+N311+O311+P311+Q311+R311+S311+T311+U311+V311+W311+X311+Y311+Z311+AA311+AB311+AC311+AD311+AE311+AF311+AG311+AH311+AI311+AJ311+AK311+AL311+AM311+AN311+AO311+AP311+AQ311+AR311+AS311+AT311+AU311+AV311+AW311+AX311+AY311+AZ311+BA311+BB311+BC311+BD311+BE311+BF311+BG311+BH311+BI311+BJ311+BK311+BL311+BM311+BN311+BO311)</f>
        <v>76</v>
      </c>
      <c r="F311" s="59">
        <v>1.0</v>
      </c>
      <c r="G311" s="33"/>
      <c r="H311" s="59">
        <v>1.0</v>
      </c>
      <c r="I311" s="33"/>
      <c r="J311" s="59">
        <v>1.0</v>
      </c>
      <c r="K311" s="33"/>
      <c r="L311" s="59">
        <v>3.0</v>
      </c>
      <c r="M311" s="33"/>
      <c r="N311" s="59">
        <v>5.0</v>
      </c>
      <c r="O311" s="33"/>
      <c r="P311" s="59">
        <v>6.0</v>
      </c>
      <c r="Q311" s="33"/>
      <c r="R311" s="59">
        <v>4.0</v>
      </c>
      <c r="S311" s="33"/>
      <c r="T311" s="59">
        <v>2.0</v>
      </c>
      <c r="U311" s="33"/>
      <c r="V311" s="59"/>
      <c r="W311" s="33"/>
      <c r="X311" s="59">
        <v>2.0</v>
      </c>
      <c r="Y311" s="33"/>
      <c r="Z311" s="59">
        <v>2.0</v>
      </c>
      <c r="AA311" s="33"/>
      <c r="AB311" s="59">
        <v>4.0</v>
      </c>
      <c r="AC311" s="33"/>
      <c r="AD311" s="59">
        <v>4.0</v>
      </c>
      <c r="AE311" s="33"/>
      <c r="AF311" s="59">
        <v>2.0</v>
      </c>
      <c r="AG311" s="33"/>
      <c r="AH311" s="59">
        <v>2.0</v>
      </c>
      <c r="AI311" s="33"/>
      <c r="AJ311" s="59">
        <v>4.0</v>
      </c>
      <c r="AK311" s="33"/>
      <c r="AL311" s="59">
        <v>2.0</v>
      </c>
      <c r="AM311" s="33"/>
      <c r="AN311" s="59">
        <v>2.0</v>
      </c>
      <c r="AO311" s="33"/>
      <c r="AP311" s="59">
        <v>4.0</v>
      </c>
      <c r="AQ311" s="33"/>
      <c r="AR311" s="59">
        <v>3.0</v>
      </c>
      <c r="AS311" s="33"/>
      <c r="AT311" s="59">
        <v>2.0</v>
      </c>
      <c r="AU311" s="33"/>
      <c r="AV311" s="59"/>
      <c r="AW311" s="33"/>
      <c r="AX311" s="59">
        <v>3.0</v>
      </c>
      <c r="AY311" s="33"/>
      <c r="AZ311" s="59">
        <v>3.0</v>
      </c>
      <c r="BA311" s="33"/>
      <c r="BB311" s="59">
        <v>4.0</v>
      </c>
      <c r="BC311" s="33"/>
      <c r="BD311" s="59">
        <v>4.0</v>
      </c>
      <c r="BE311" s="33"/>
      <c r="BF311" s="59">
        <v>2.0</v>
      </c>
      <c r="BG311" s="33"/>
      <c r="BH311" s="59">
        <v>4.0</v>
      </c>
      <c r="BI311" s="33"/>
      <c r="BJ311" s="59"/>
      <c r="BK311" s="33"/>
      <c r="BL311" s="59"/>
      <c r="BM311" s="33"/>
      <c r="BN311" s="59"/>
      <c r="BO311" s="33"/>
    </row>
    <row r="312" hidden="1" outlineLevel="1">
      <c r="A312" s="66" t="str">
        <f>B312&amp;D312</f>
        <v>FebruaryPINU BAGH</v>
      </c>
      <c r="B312" s="67" t="s">
        <v>47</v>
      </c>
      <c r="C312" s="68" t="s">
        <v>53</v>
      </c>
      <c r="D312" s="69" t="str">
        <f>IFERROR(VLOOKUP(C312,'Employees List'!$B$2:$C$999,2,0),"")</f>
        <v>PINU BAGH</v>
      </c>
      <c r="E312" s="70">
        <f>(F312+G312+H312+I312+J312+K312+L312+M312+N312+O312+P312+Q312+R312+S312+T312+U312+V312+W312+X312+Y312+Z312+AA312+AB312+AC312+AD312+AE312+AF312+AG312+AH312+AI312+AJ312+AK312+AL312+AM312+AN312+AO312+AP312+AQ312+AR312+AS312+AT312+AU312+AV312+AW312+AX312+AY312+AZ312+BA312+BB312+BC312+BD312+BE312+BF312+BG312+BH312+BI312+BJ312+BK312+BL312+BM312+BN312+BO312)/2</f>
        <v>28</v>
      </c>
      <c r="F312" s="54" t="b">
        <v>1</v>
      </c>
      <c r="G312" s="54" t="b">
        <v>1</v>
      </c>
      <c r="H312" s="54" t="b">
        <v>1</v>
      </c>
      <c r="I312" s="54" t="b">
        <v>1</v>
      </c>
      <c r="J312" s="54" t="b">
        <v>1</v>
      </c>
      <c r="K312" s="54" t="b">
        <v>1</v>
      </c>
      <c r="L312" s="54" t="b">
        <v>1</v>
      </c>
      <c r="M312" s="54" t="b">
        <v>1</v>
      </c>
      <c r="N312" s="54" t="b">
        <v>1</v>
      </c>
      <c r="O312" s="54" t="b">
        <v>1</v>
      </c>
      <c r="P312" s="54" t="b">
        <v>1</v>
      </c>
      <c r="Q312" s="54" t="b">
        <v>1</v>
      </c>
      <c r="R312" s="54" t="b">
        <v>1</v>
      </c>
      <c r="S312" s="54" t="b">
        <v>1</v>
      </c>
      <c r="T312" s="54" t="b">
        <v>1</v>
      </c>
      <c r="U312" s="54" t="b">
        <v>1</v>
      </c>
      <c r="V312" s="54" t="b">
        <v>1</v>
      </c>
      <c r="W312" s="54" t="b">
        <v>1</v>
      </c>
      <c r="X312" s="54" t="b">
        <v>1</v>
      </c>
      <c r="Y312" s="54" t="b">
        <v>1</v>
      </c>
      <c r="Z312" s="54" t="b">
        <v>1</v>
      </c>
      <c r="AA312" s="54" t="b">
        <v>1</v>
      </c>
      <c r="AB312" s="54" t="b">
        <v>1</v>
      </c>
      <c r="AC312" s="54" t="b">
        <v>1</v>
      </c>
      <c r="AD312" s="54" t="b">
        <v>1</v>
      </c>
      <c r="AE312" s="54" t="b">
        <v>1</v>
      </c>
      <c r="AF312" s="54" t="b">
        <v>1</v>
      </c>
      <c r="AG312" s="54" t="b">
        <v>1</v>
      </c>
      <c r="AH312" s="54" t="b">
        <v>1</v>
      </c>
      <c r="AI312" s="54" t="b">
        <v>1</v>
      </c>
      <c r="AJ312" s="54" t="b">
        <v>1</v>
      </c>
      <c r="AK312" s="54" t="b">
        <v>1</v>
      </c>
      <c r="AL312" s="54" t="b">
        <v>1</v>
      </c>
      <c r="AM312" s="54" t="b">
        <v>1</v>
      </c>
      <c r="AN312" s="54" t="b">
        <v>1</v>
      </c>
      <c r="AO312" s="54" t="b">
        <v>1</v>
      </c>
      <c r="AP312" s="54" t="b">
        <v>1</v>
      </c>
      <c r="AQ312" s="54" t="b">
        <v>1</v>
      </c>
      <c r="AR312" s="54" t="b">
        <v>1</v>
      </c>
      <c r="AS312" s="54" t="b">
        <v>1</v>
      </c>
      <c r="AT312" s="54" t="b">
        <v>1</v>
      </c>
      <c r="AU312" s="54" t="b">
        <v>1</v>
      </c>
      <c r="AV312" s="54" t="b">
        <v>1</v>
      </c>
      <c r="AW312" s="54" t="b">
        <v>1</v>
      </c>
      <c r="AX312" s="54" t="b">
        <v>1</v>
      </c>
      <c r="AY312" s="54" t="b">
        <v>1</v>
      </c>
      <c r="AZ312" s="54" t="b">
        <v>1</v>
      </c>
      <c r="BA312" s="54" t="b">
        <v>1</v>
      </c>
      <c r="BB312" s="54" t="b">
        <v>1</v>
      </c>
      <c r="BC312" s="54" t="b">
        <v>1</v>
      </c>
      <c r="BD312" s="54" t="b">
        <v>1</v>
      </c>
      <c r="BE312" s="54" t="b">
        <v>1</v>
      </c>
      <c r="BF312" s="54" t="b">
        <v>1</v>
      </c>
      <c r="BG312" s="54" t="b">
        <v>1</v>
      </c>
      <c r="BH312" s="54" t="b">
        <v>1</v>
      </c>
      <c r="BI312" s="54" t="b">
        <v>1</v>
      </c>
      <c r="BJ312" s="54" t="b">
        <v>0</v>
      </c>
      <c r="BK312" s="54" t="b">
        <v>0</v>
      </c>
      <c r="BL312" s="54" t="b">
        <v>0</v>
      </c>
      <c r="BM312" s="54" t="b">
        <v>0</v>
      </c>
      <c r="BN312" s="54" t="b">
        <v>0</v>
      </c>
      <c r="BO312" s="54" t="b">
        <v>0</v>
      </c>
    </row>
    <row r="313" ht="20.25" hidden="1" customHeight="1" outlineLevel="1">
      <c r="A313" s="71" t="str">
        <f>A312&amp;C313</f>
        <v>FebruaryPINU BAGHOT HOURS</v>
      </c>
      <c r="B313" s="72"/>
      <c r="C313" s="73" t="s">
        <v>120</v>
      </c>
      <c r="D313" s="33"/>
      <c r="E313" s="70">
        <f>(F313+G313+H313+I313+J313+K313+L313+M313+N313+O313+P313+Q313+R313+S313+T313+U313+V313+W313+X313+Y313+Z313+AA313+AB313+AC313+AD313+AE313+AF313+AG313+AH313+AI313+AJ313+AK313+AL313+AM313+AN313+AO313+AP313+AQ313+AR313+AS313+AT313+AU313+AV313+AW313+AX313+AY313+AZ313+BA313+BB313+BC313+BD313+BE313+BF313+BG313+BH313+BI313+BJ313+BK313+BL313+BM313+BN313+BO313)</f>
        <v>88</v>
      </c>
      <c r="F313" s="59">
        <v>1.0</v>
      </c>
      <c r="G313" s="33"/>
      <c r="H313" s="59">
        <v>1.0</v>
      </c>
      <c r="I313" s="33"/>
      <c r="J313" s="59">
        <v>5.0</v>
      </c>
      <c r="K313" s="33"/>
      <c r="L313" s="59">
        <v>3.0</v>
      </c>
      <c r="M313" s="33"/>
      <c r="N313" s="59">
        <v>5.0</v>
      </c>
      <c r="O313" s="33"/>
      <c r="P313" s="59">
        <v>4.0</v>
      </c>
      <c r="Q313" s="33"/>
      <c r="R313" s="59">
        <v>5.0</v>
      </c>
      <c r="S313" s="33"/>
      <c r="T313" s="59">
        <v>4.0</v>
      </c>
      <c r="U313" s="33"/>
      <c r="V313" s="59">
        <v>2.0</v>
      </c>
      <c r="W313" s="33"/>
      <c r="X313" s="59">
        <v>4.0</v>
      </c>
      <c r="Y313" s="33"/>
      <c r="Z313" s="59">
        <v>4.0</v>
      </c>
      <c r="AA313" s="33"/>
      <c r="AB313" s="59">
        <v>3.0</v>
      </c>
      <c r="AC313" s="33"/>
      <c r="AD313" s="59">
        <v>6.0</v>
      </c>
      <c r="AE313" s="33"/>
      <c r="AF313" s="59">
        <v>2.0</v>
      </c>
      <c r="AG313" s="33"/>
      <c r="AH313" s="59">
        <v>2.0</v>
      </c>
      <c r="AI313" s="33"/>
      <c r="AJ313" s="59">
        <v>4.0</v>
      </c>
      <c r="AK313" s="33"/>
      <c r="AL313" s="59">
        <v>2.0</v>
      </c>
      <c r="AM313" s="33"/>
      <c r="AN313" s="59">
        <v>2.0</v>
      </c>
      <c r="AO313" s="33"/>
      <c r="AP313" s="59">
        <v>5.0</v>
      </c>
      <c r="AQ313" s="33"/>
      <c r="AR313" s="59">
        <v>2.0</v>
      </c>
      <c r="AS313" s="33"/>
      <c r="AT313" s="59">
        <v>2.0</v>
      </c>
      <c r="AU313" s="33"/>
      <c r="AV313" s="59">
        <v>1.0</v>
      </c>
      <c r="AW313" s="33"/>
      <c r="AX313" s="59">
        <v>3.0</v>
      </c>
      <c r="AY313" s="33"/>
      <c r="AZ313" s="59">
        <v>2.0</v>
      </c>
      <c r="BA313" s="33"/>
      <c r="BB313" s="59">
        <v>4.0</v>
      </c>
      <c r="BC313" s="33"/>
      <c r="BD313" s="59">
        <v>4.0</v>
      </c>
      <c r="BE313" s="33"/>
      <c r="BF313" s="59">
        <v>2.0</v>
      </c>
      <c r="BG313" s="33"/>
      <c r="BH313" s="59">
        <v>4.0</v>
      </c>
      <c r="BI313" s="33"/>
      <c r="BJ313" s="59"/>
      <c r="BK313" s="33"/>
      <c r="BL313" s="59"/>
      <c r="BM313" s="33"/>
      <c r="BN313" s="59"/>
      <c r="BO313" s="33"/>
    </row>
    <row r="314" collapsed="1">
      <c r="A314" s="30"/>
      <c r="B314" s="31"/>
      <c r="C314" s="36">
        <v>45717.0</v>
      </c>
      <c r="D314" s="33"/>
      <c r="E314" s="34"/>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row>
    <row r="315" hidden="1" outlineLevel="1">
      <c r="A315" s="38"/>
      <c r="B315" s="39"/>
      <c r="C315" s="40" t="s">
        <v>1</v>
      </c>
      <c r="D315" s="40" t="s">
        <v>2</v>
      </c>
      <c r="E315" s="41" t="s">
        <v>117</v>
      </c>
      <c r="F315" s="40" t="s">
        <v>118</v>
      </c>
      <c r="G315" s="40" t="s">
        <v>119</v>
      </c>
      <c r="H315" s="40" t="s">
        <v>118</v>
      </c>
      <c r="I315" s="40" t="s">
        <v>119</v>
      </c>
      <c r="J315" s="40" t="s">
        <v>118</v>
      </c>
      <c r="K315" s="40" t="s">
        <v>119</v>
      </c>
      <c r="L315" s="40" t="s">
        <v>118</v>
      </c>
      <c r="M315" s="40" t="s">
        <v>119</v>
      </c>
      <c r="N315" s="40" t="s">
        <v>118</v>
      </c>
      <c r="O315" s="40" t="s">
        <v>119</v>
      </c>
      <c r="P315" s="40" t="s">
        <v>118</v>
      </c>
      <c r="Q315" s="40" t="s">
        <v>119</v>
      </c>
      <c r="R315" s="40" t="s">
        <v>118</v>
      </c>
      <c r="S315" s="40" t="s">
        <v>119</v>
      </c>
      <c r="T315" s="40" t="s">
        <v>118</v>
      </c>
      <c r="U315" s="40" t="s">
        <v>119</v>
      </c>
      <c r="V315" s="40" t="s">
        <v>118</v>
      </c>
      <c r="W315" s="40" t="s">
        <v>119</v>
      </c>
      <c r="X315" s="40" t="s">
        <v>118</v>
      </c>
      <c r="Y315" s="40" t="s">
        <v>119</v>
      </c>
      <c r="Z315" s="40" t="s">
        <v>118</v>
      </c>
      <c r="AA315" s="40" t="s">
        <v>119</v>
      </c>
      <c r="AB315" s="40" t="s">
        <v>118</v>
      </c>
      <c r="AC315" s="40" t="s">
        <v>119</v>
      </c>
      <c r="AD315" s="40" t="s">
        <v>118</v>
      </c>
      <c r="AE315" s="40" t="s">
        <v>119</v>
      </c>
      <c r="AF315" s="40" t="s">
        <v>118</v>
      </c>
      <c r="AG315" s="40" t="s">
        <v>119</v>
      </c>
      <c r="AH315" s="40" t="s">
        <v>118</v>
      </c>
      <c r="AI315" s="40" t="s">
        <v>119</v>
      </c>
      <c r="AJ315" s="40" t="s">
        <v>118</v>
      </c>
      <c r="AK315" s="40" t="s">
        <v>119</v>
      </c>
      <c r="AL315" s="40" t="s">
        <v>118</v>
      </c>
      <c r="AM315" s="40" t="s">
        <v>119</v>
      </c>
      <c r="AN315" s="40" t="s">
        <v>118</v>
      </c>
      <c r="AO315" s="40" t="s">
        <v>119</v>
      </c>
      <c r="AP315" s="40" t="s">
        <v>118</v>
      </c>
      <c r="AQ315" s="40" t="s">
        <v>119</v>
      </c>
      <c r="AR315" s="40" t="s">
        <v>118</v>
      </c>
      <c r="AS315" s="40" t="s">
        <v>119</v>
      </c>
      <c r="AT315" s="40" t="s">
        <v>118</v>
      </c>
      <c r="AU315" s="40" t="s">
        <v>119</v>
      </c>
      <c r="AV315" s="40" t="s">
        <v>118</v>
      </c>
      <c r="AW315" s="40" t="s">
        <v>119</v>
      </c>
      <c r="AX315" s="40" t="s">
        <v>118</v>
      </c>
      <c r="AY315" s="40" t="s">
        <v>119</v>
      </c>
      <c r="AZ315" s="40" t="s">
        <v>118</v>
      </c>
      <c r="BA315" s="40" t="s">
        <v>119</v>
      </c>
      <c r="BB315" s="40" t="s">
        <v>118</v>
      </c>
      <c r="BC315" s="40" t="s">
        <v>119</v>
      </c>
      <c r="BD315" s="40" t="s">
        <v>118</v>
      </c>
      <c r="BE315" s="40" t="s">
        <v>119</v>
      </c>
      <c r="BF315" s="40" t="s">
        <v>118</v>
      </c>
      <c r="BG315" s="40" t="s">
        <v>119</v>
      </c>
      <c r="BH315" s="40" t="s">
        <v>118</v>
      </c>
      <c r="BI315" s="40" t="s">
        <v>119</v>
      </c>
      <c r="BJ315" s="40" t="s">
        <v>118</v>
      </c>
      <c r="BK315" s="40" t="s">
        <v>119</v>
      </c>
      <c r="BL315" s="40" t="s">
        <v>118</v>
      </c>
      <c r="BM315" s="40" t="s">
        <v>119</v>
      </c>
      <c r="BN315" s="40" t="s">
        <v>118</v>
      </c>
      <c r="BO315" s="40" t="s">
        <v>119</v>
      </c>
    </row>
    <row r="316" hidden="1" outlineLevel="1">
      <c r="A316" s="42" t="str">
        <f>B316&amp;D316</f>
        <v>MarchBHUVANESWARAN</v>
      </c>
      <c r="B316" s="43" t="s">
        <v>50</v>
      </c>
      <c r="C316" s="43" t="s">
        <v>9</v>
      </c>
      <c r="D316" s="44" t="str">
        <f>IFERROR(VLOOKUP(C316,'Employees List'!$B$2:$C$28,2,0),"")</f>
        <v>BHUVANESWARAN</v>
      </c>
      <c r="E316" s="70">
        <f>(F316+G316+H316+I316+J316+K316+L316+M316+N316+O316+P316+Q316+R316+S316+T316+U316+V316+W316+X316+Y316+Z316+AA316+AB316+AC316+AD316+AE316+AF316+AG316+AH316+AI316+AJ316+AK316+AL316+AM316+AN316+AO316+AP316+AQ316+AR316+AS316+AT316+AU316+AV316+AW316+AX316+AY316+AZ316+BA316+BB316+BC316+BD316+BE316+BF316+BG316+BH316+BI316+BJ316+BK316+BL316+BM316+BN316+BO316)/2</f>
        <v>31</v>
      </c>
      <c r="F316" s="54" t="b">
        <v>1</v>
      </c>
      <c r="G316" s="54" t="b">
        <v>1</v>
      </c>
      <c r="H316" s="54" t="b">
        <v>1</v>
      </c>
      <c r="I316" s="54" t="b">
        <v>1</v>
      </c>
      <c r="J316" s="54" t="b">
        <v>1</v>
      </c>
      <c r="K316" s="54" t="b">
        <v>1</v>
      </c>
      <c r="L316" s="54" t="b">
        <v>1</v>
      </c>
      <c r="M316" s="54" t="b">
        <v>1</v>
      </c>
      <c r="N316" s="54" t="b">
        <v>1</v>
      </c>
      <c r="O316" s="54" t="b">
        <v>1</v>
      </c>
      <c r="P316" s="54" t="b">
        <v>1</v>
      </c>
      <c r="Q316" s="54" t="b">
        <v>1</v>
      </c>
      <c r="R316" s="54" t="b">
        <v>1</v>
      </c>
      <c r="S316" s="54" t="b">
        <v>1</v>
      </c>
      <c r="T316" s="54" t="b">
        <v>1</v>
      </c>
      <c r="U316" s="54" t="b">
        <v>1</v>
      </c>
      <c r="V316" s="54" t="b">
        <v>1</v>
      </c>
      <c r="W316" s="54" t="b">
        <v>1</v>
      </c>
      <c r="X316" s="54" t="b">
        <v>1</v>
      </c>
      <c r="Y316" s="54" t="b">
        <v>1</v>
      </c>
      <c r="Z316" s="54" t="b">
        <v>1</v>
      </c>
      <c r="AA316" s="54" t="b">
        <v>1</v>
      </c>
      <c r="AB316" s="54" t="b">
        <v>1</v>
      </c>
      <c r="AC316" s="54" t="b">
        <v>1</v>
      </c>
      <c r="AD316" s="54" t="b">
        <v>1</v>
      </c>
      <c r="AE316" s="54" t="b">
        <v>1</v>
      </c>
      <c r="AF316" s="54" t="b">
        <v>1</v>
      </c>
      <c r="AG316" s="54" t="b">
        <v>1</v>
      </c>
      <c r="AH316" s="54" t="b">
        <v>1</v>
      </c>
      <c r="AI316" s="54" t="b">
        <v>1</v>
      </c>
      <c r="AJ316" s="54" t="b">
        <v>1</v>
      </c>
      <c r="AK316" s="54" t="b">
        <v>1</v>
      </c>
      <c r="AL316" s="54" t="b">
        <v>1</v>
      </c>
      <c r="AM316" s="54" t="b">
        <v>1</v>
      </c>
      <c r="AN316" s="54" t="b">
        <v>1</v>
      </c>
      <c r="AO316" s="54" t="b">
        <v>1</v>
      </c>
      <c r="AP316" s="54" t="b">
        <v>1</v>
      </c>
      <c r="AQ316" s="54" t="b">
        <v>1</v>
      </c>
      <c r="AR316" s="54" t="b">
        <v>1</v>
      </c>
      <c r="AS316" s="54" t="b">
        <v>1</v>
      </c>
      <c r="AT316" s="54" t="b">
        <v>1</v>
      </c>
      <c r="AU316" s="54" t="b">
        <v>1</v>
      </c>
      <c r="AV316" s="54" t="b">
        <v>1</v>
      </c>
      <c r="AW316" s="54" t="b">
        <v>1</v>
      </c>
      <c r="AX316" s="54" t="b">
        <v>1</v>
      </c>
      <c r="AY316" s="54" t="b">
        <v>1</v>
      </c>
      <c r="AZ316" s="54" t="b">
        <v>1</v>
      </c>
      <c r="BA316" s="54" t="b">
        <v>1</v>
      </c>
      <c r="BB316" s="54" t="b">
        <v>1</v>
      </c>
      <c r="BC316" s="54" t="b">
        <v>1</v>
      </c>
      <c r="BD316" s="54" t="b">
        <v>1</v>
      </c>
      <c r="BE316" s="54" t="b">
        <v>1</v>
      </c>
      <c r="BF316" s="54" t="b">
        <v>1</v>
      </c>
      <c r="BG316" s="54" t="b">
        <v>1</v>
      </c>
      <c r="BH316" s="54" t="b">
        <v>1</v>
      </c>
      <c r="BI316" s="54" t="b">
        <v>1</v>
      </c>
      <c r="BJ316" s="54" t="b">
        <v>1</v>
      </c>
      <c r="BK316" s="54" t="b">
        <v>1</v>
      </c>
      <c r="BL316" s="54" t="b">
        <v>1</v>
      </c>
      <c r="BM316" s="54" t="b">
        <v>1</v>
      </c>
      <c r="BN316" s="54" t="b">
        <v>1</v>
      </c>
      <c r="BO316" s="54" t="b">
        <v>1</v>
      </c>
    </row>
    <row r="317" hidden="1" outlineLevel="1">
      <c r="A317" s="47" t="str">
        <f>A316&amp;C317</f>
        <v>MarchBHUVANESWARANOT HOURS</v>
      </c>
      <c r="B317" s="48"/>
      <c r="C317" s="49" t="s">
        <v>120</v>
      </c>
      <c r="D317" s="33"/>
      <c r="E317" s="70">
        <f>(F317+G317+H317+I317+J317+K317+L317+M317+N317+O317+P317+Q317+R317+S317+T317+U317+V317+W317+X317+Y317+Z317+AA317+AB317+AC317+AD317+AE317+AF317+AG317+AH317+AI317+AJ317+AK317+AL317+AM317+AN317+AO317+AP317+AQ317+AR317+AS317+AT317+AU317+AV317+AW317+AX317+AY317+AZ317+BA317+BB317+BC317+BD317+BE317+BF317+BG317+BH317+BI317+BJ317+BK317+BL317+BM317+BN317+BO317)</f>
        <v>0</v>
      </c>
      <c r="F317" s="59"/>
      <c r="G317" s="33"/>
      <c r="H317" s="59"/>
      <c r="I317" s="33"/>
      <c r="J317" s="59"/>
      <c r="K317" s="33"/>
      <c r="L317" s="60"/>
      <c r="M317" s="33"/>
      <c r="N317" s="60"/>
      <c r="O317" s="33"/>
      <c r="P317" s="60"/>
      <c r="Q317" s="33"/>
      <c r="R317" s="60"/>
      <c r="S317" s="33"/>
      <c r="T317" s="60"/>
      <c r="U317" s="33"/>
      <c r="V317" s="60"/>
      <c r="W317" s="33"/>
      <c r="X317" s="60"/>
      <c r="Y317" s="33"/>
      <c r="Z317" s="60"/>
      <c r="AA317" s="33"/>
      <c r="AB317" s="60"/>
      <c r="AC317" s="33"/>
      <c r="AD317" s="60"/>
      <c r="AE317" s="33"/>
      <c r="AF317" s="60"/>
      <c r="AG317" s="33"/>
      <c r="AH317" s="60"/>
      <c r="AI317" s="33"/>
      <c r="AJ317" s="60"/>
      <c r="AK317" s="33"/>
      <c r="AL317" s="60"/>
      <c r="AM317" s="33"/>
      <c r="AN317" s="60"/>
      <c r="AO317" s="33"/>
      <c r="AP317" s="60"/>
      <c r="AQ317" s="33"/>
      <c r="AR317" s="60"/>
      <c r="AS317" s="33"/>
      <c r="AT317" s="60"/>
      <c r="AU317" s="33"/>
      <c r="AV317" s="60"/>
      <c r="AW317" s="33"/>
      <c r="AX317" s="60"/>
      <c r="AY317" s="33"/>
      <c r="AZ317" s="60"/>
      <c r="BA317" s="33"/>
      <c r="BB317" s="60"/>
      <c r="BC317" s="33"/>
      <c r="BD317" s="60"/>
      <c r="BE317" s="33"/>
      <c r="BF317" s="60"/>
      <c r="BG317" s="33"/>
      <c r="BH317" s="60"/>
      <c r="BI317" s="33"/>
      <c r="BJ317" s="60"/>
      <c r="BK317" s="33"/>
      <c r="BL317" s="60"/>
      <c r="BM317" s="33"/>
      <c r="BN317" s="60"/>
      <c r="BO317" s="33"/>
    </row>
    <row r="318" hidden="1" outlineLevel="1">
      <c r="A318" s="42" t="str">
        <f>B318&amp;D318</f>
        <v>MarchSUNDARI</v>
      </c>
      <c r="B318" s="43" t="s">
        <v>50</v>
      </c>
      <c r="C318" s="43" t="s">
        <v>64</v>
      </c>
      <c r="D318" s="44" t="str">
        <f>IFERROR(VLOOKUP(C318,'Employees List'!$B$2:$C$28,2,0),"")</f>
        <v>SUNDARI</v>
      </c>
      <c r="E318" s="70">
        <f>(F318+G318+H318+I318+J318+K318+L318+M318+N318+O318+P318+Q318+R318+S318+T318+U318+V318+W318+X318+Y318+Z318+AA318+AB318+AC318+AD318+AE318+AF318+AG318+AH318+AI318+AJ318+AK318+AL318+AM318+AN318+AO318+AP318+AQ318+AR318+AS318+AT318+AU318+AV318+AW318+AX318+AY318+AZ318+BA318+BB318+BC318+BD318+BE318+BF318+BG318+BH318+BI318+BJ318+BK318+BL318+BM318+BN318+BO318)/2</f>
        <v>31</v>
      </c>
      <c r="F318" s="54" t="b">
        <v>1</v>
      </c>
      <c r="G318" s="54" t="b">
        <v>1</v>
      </c>
      <c r="H318" s="54" t="b">
        <v>1</v>
      </c>
      <c r="I318" s="54" t="b">
        <v>1</v>
      </c>
      <c r="J318" s="54" t="b">
        <v>1</v>
      </c>
      <c r="K318" s="54" t="b">
        <v>1</v>
      </c>
      <c r="L318" s="54" t="b">
        <v>1</v>
      </c>
      <c r="M318" s="54" t="b">
        <v>1</v>
      </c>
      <c r="N318" s="54" t="b">
        <v>1</v>
      </c>
      <c r="O318" s="54" t="b">
        <v>1</v>
      </c>
      <c r="P318" s="54" t="b">
        <v>1</v>
      </c>
      <c r="Q318" s="54" t="b">
        <v>1</v>
      </c>
      <c r="R318" s="54" t="b">
        <v>1</v>
      </c>
      <c r="S318" s="54" t="b">
        <v>1</v>
      </c>
      <c r="T318" s="54" t="b">
        <v>1</v>
      </c>
      <c r="U318" s="54" t="b">
        <v>1</v>
      </c>
      <c r="V318" s="54" t="b">
        <v>1</v>
      </c>
      <c r="W318" s="54" t="b">
        <v>1</v>
      </c>
      <c r="X318" s="54" t="b">
        <v>1</v>
      </c>
      <c r="Y318" s="54" t="b">
        <v>1</v>
      </c>
      <c r="Z318" s="54" t="b">
        <v>1</v>
      </c>
      <c r="AA318" s="54" t="b">
        <v>1</v>
      </c>
      <c r="AB318" s="54" t="b">
        <v>1</v>
      </c>
      <c r="AC318" s="54" t="b">
        <v>1</v>
      </c>
      <c r="AD318" s="54" t="b">
        <v>1</v>
      </c>
      <c r="AE318" s="54" t="b">
        <v>1</v>
      </c>
      <c r="AF318" s="54" t="b">
        <v>1</v>
      </c>
      <c r="AG318" s="54" t="b">
        <v>1</v>
      </c>
      <c r="AH318" s="54" t="b">
        <v>1</v>
      </c>
      <c r="AI318" s="54" t="b">
        <v>1</v>
      </c>
      <c r="AJ318" s="54" t="b">
        <v>1</v>
      </c>
      <c r="AK318" s="54" t="b">
        <v>1</v>
      </c>
      <c r="AL318" s="54" t="b">
        <v>1</v>
      </c>
      <c r="AM318" s="54" t="b">
        <v>1</v>
      </c>
      <c r="AN318" s="54" t="b">
        <v>1</v>
      </c>
      <c r="AO318" s="54" t="b">
        <v>1</v>
      </c>
      <c r="AP318" s="54" t="b">
        <v>1</v>
      </c>
      <c r="AQ318" s="54" t="b">
        <v>1</v>
      </c>
      <c r="AR318" s="54" t="b">
        <v>1</v>
      </c>
      <c r="AS318" s="54" t="b">
        <v>1</v>
      </c>
      <c r="AT318" s="54" t="b">
        <v>1</v>
      </c>
      <c r="AU318" s="54" t="b">
        <v>1</v>
      </c>
      <c r="AV318" s="54" t="b">
        <v>1</v>
      </c>
      <c r="AW318" s="54" t="b">
        <v>1</v>
      </c>
      <c r="AX318" s="54" t="b">
        <v>1</v>
      </c>
      <c r="AY318" s="54" t="b">
        <v>1</v>
      </c>
      <c r="AZ318" s="54" t="b">
        <v>1</v>
      </c>
      <c r="BA318" s="54" t="b">
        <v>1</v>
      </c>
      <c r="BB318" s="54" t="b">
        <v>1</v>
      </c>
      <c r="BC318" s="54" t="b">
        <v>1</v>
      </c>
      <c r="BD318" s="54" t="b">
        <v>1</v>
      </c>
      <c r="BE318" s="54" t="b">
        <v>1</v>
      </c>
      <c r="BF318" s="54" t="b">
        <v>1</v>
      </c>
      <c r="BG318" s="54" t="b">
        <v>1</v>
      </c>
      <c r="BH318" s="54" t="b">
        <v>1</v>
      </c>
      <c r="BI318" s="54" t="b">
        <v>1</v>
      </c>
      <c r="BJ318" s="54" t="b">
        <v>1</v>
      </c>
      <c r="BK318" s="54" t="b">
        <v>1</v>
      </c>
      <c r="BL318" s="54" t="b">
        <v>1</v>
      </c>
      <c r="BM318" s="54" t="b">
        <v>1</v>
      </c>
      <c r="BN318" s="54" t="b">
        <v>1</v>
      </c>
      <c r="BO318" s="54" t="b">
        <v>1</v>
      </c>
    </row>
    <row r="319" hidden="1" outlineLevel="1">
      <c r="A319" s="47" t="str">
        <f>A318&amp;C319</f>
        <v>MarchSUNDARIOT HOURS</v>
      </c>
      <c r="B319" s="48"/>
      <c r="C319" s="49" t="s">
        <v>120</v>
      </c>
      <c r="D319" s="33"/>
      <c r="E319" s="70">
        <f>(F319+G319+H319+I319+J319+K319+L319+M319+N319+O319+P319+Q319+R319+S319+T319+U319+V319+W319+X319+Y319+Z319+AA319+AB319+AC319+AD319+AE319+AF319+AG319+AH319+AI319+AJ319+AK319+AL319+AM319+AN319+AO319+AP319+AQ319+AR319+AS319+AT319+AU319+AV319+AW319+AX319+AY319+AZ319+BA319+BB319+BC319+BD319+BE319+BF319+BG319+BH319+BI319+BJ319+BK319+BL319+BM319+BN319+BO319)</f>
        <v>10</v>
      </c>
      <c r="F319" s="83">
        <v>1.0</v>
      </c>
      <c r="G319" s="33"/>
      <c r="H319" s="85"/>
      <c r="I319" s="33"/>
      <c r="J319" s="85"/>
      <c r="K319" s="33"/>
      <c r="L319" s="85"/>
      <c r="M319" s="33"/>
      <c r="N319" s="83">
        <v>1.0</v>
      </c>
      <c r="O319" s="33"/>
      <c r="P319" s="85"/>
      <c r="Q319" s="33"/>
      <c r="R319" s="83">
        <v>1.0</v>
      </c>
      <c r="S319" s="33"/>
      <c r="T319" s="85"/>
      <c r="U319" s="33"/>
      <c r="V319" s="85"/>
      <c r="W319" s="33"/>
      <c r="X319" s="83">
        <v>1.0</v>
      </c>
      <c r="Y319" s="33"/>
      <c r="Z319" s="85"/>
      <c r="AA319" s="33"/>
      <c r="AB319" s="85"/>
      <c r="AC319" s="33"/>
      <c r="AD319" s="85"/>
      <c r="AE319" s="33"/>
      <c r="AF319" s="85"/>
      <c r="AG319" s="33"/>
      <c r="AH319" s="83">
        <v>1.0</v>
      </c>
      <c r="AI319" s="33"/>
      <c r="AJ319" s="85"/>
      <c r="AK319" s="33"/>
      <c r="AL319" s="83"/>
      <c r="AM319" s="33"/>
      <c r="AN319" s="83">
        <v>1.0</v>
      </c>
      <c r="AO319" s="33"/>
      <c r="AP319" s="85"/>
      <c r="AQ319" s="33"/>
      <c r="AR319" s="85"/>
      <c r="AS319" s="33"/>
      <c r="AT319" s="85"/>
      <c r="AU319" s="33"/>
      <c r="AV319" s="83">
        <v>2.0</v>
      </c>
      <c r="AW319" s="33"/>
      <c r="AX319" s="85"/>
      <c r="AY319" s="33"/>
      <c r="AZ319" s="85"/>
      <c r="BA319" s="33"/>
      <c r="BB319" s="83">
        <v>1.0</v>
      </c>
      <c r="BC319" s="33"/>
      <c r="BD319" s="85"/>
      <c r="BE319" s="33"/>
      <c r="BF319" s="83">
        <v>1.0</v>
      </c>
      <c r="BG319" s="33"/>
      <c r="BH319" s="85"/>
      <c r="BI319" s="33"/>
      <c r="BJ319" s="85"/>
      <c r="BK319" s="33"/>
      <c r="BL319" s="85"/>
      <c r="BM319" s="33"/>
      <c r="BN319" s="85"/>
      <c r="BO319" s="33"/>
    </row>
    <row r="320" hidden="1" outlineLevel="1">
      <c r="A320" s="42" t="str">
        <f>B320&amp;D320</f>
        <v>MarchGANESH</v>
      </c>
      <c r="B320" s="43" t="s">
        <v>50</v>
      </c>
      <c r="C320" s="43" t="s">
        <v>18</v>
      </c>
      <c r="D320" s="44" t="str">
        <f>IFERROR(VLOOKUP(C320,'Employees List'!$B$2:$C$28,2,0),"")</f>
        <v>GANESH</v>
      </c>
      <c r="E320" s="70">
        <f>(F320+G320+H320+I320+J320+K320+L320+M320+N320+O320+P320+Q320+R320+S320+T320+U320+V320+W320+X320+Y320+Z320+AA320+AB320+AC320+AD320+AE320+AF320+AG320+AH320+AI320+AJ320+AK320+AL320+AM320+AN320+AO320+AP320+AQ320+AR320+AS320+AT320+AU320+AV320+AW320+AX320+AY320+AZ320+BA320+BB320+BC320+BD320+BE320+BF320+BG320+BH320+BI320+BJ320+BK320+BL320+BM320+BN320+BO320)/2</f>
        <v>30.5</v>
      </c>
      <c r="F320" s="54" t="b">
        <v>1</v>
      </c>
      <c r="G320" s="54" t="b">
        <v>1</v>
      </c>
      <c r="H320" s="54" t="b">
        <v>1</v>
      </c>
      <c r="I320" s="54" t="b">
        <v>1</v>
      </c>
      <c r="J320" s="54" t="b">
        <v>1</v>
      </c>
      <c r="K320" s="54" t="b">
        <v>1</v>
      </c>
      <c r="L320" s="54" t="b">
        <v>1</v>
      </c>
      <c r="M320" s="54" t="b">
        <v>1</v>
      </c>
      <c r="N320" s="54" t="b">
        <v>1</v>
      </c>
      <c r="O320" s="54" t="b">
        <v>1</v>
      </c>
      <c r="P320" s="54" t="b">
        <v>1</v>
      </c>
      <c r="Q320" s="54" t="b">
        <v>1</v>
      </c>
      <c r="R320" s="54" t="b">
        <v>1</v>
      </c>
      <c r="S320" s="54" t="b">
        <v>1</v>
      </c>
      <c r="T320" s="54" t="b">
        <v>1</v>
      </c>
      <c r="U320" s="54" t="b">
        <v>1</v>
      </c>
      <c r="V320" s="54" t="b">
        <v>1</v>
      </c>
      <c r="W320" s="54" t="b">
        <v>1</v>
      </c>
      <c r="X320" s="54" t="b">
        <v>1</v>
      </c>
      <c r="Y320" s="54" t="b">
        <v>1</v>
      </c>
      <c r="Z320" s="54" t="b">
        <v>1</v>
      </c>
      <c r="AA320" s="54" t="b">
        <v>1</v>
      </c>
      <c r="AB320" s="54" t="b">
        <v>1</v>
      </c>
      <c r="AC320" s="54" t="b">
        <v>1</v>
      </c>
      <c r="AD320" s="54" t="b">
        <v>1</v>
      </c>
      <c r="AE320" s="54" t="b">
        <v>1</v>
      </c>
      <c r="AF320" s="54" t="b">
        <v>1</v>
      </c>
      <c r="AG320" s="54" t="b">
        <v>1</v>
      </c>
      <c r="AH320" s="54" t="b">
        <v>1</v>
      </c>
      <c r="AI320" s="54" t="b">
        <v>1</v>
      </c>
      <c r="AJ320" s="54" t="b">
        <v>1</v>
      </c>
      <c r="AK320" s="54" t="b">
        <v>1</v>
      </c>
      <c r="AL320" s="54" t="b">
        <v>1</v>
      </c>
      <c r="AM320" s="54" t="b">
        <v>1</v>
      </c>
      <c r="AN320" s="54" t="b">
        <v>1</v>
      </c>
      <c r="AO320" s="54" t="b">
        <v>1</v>
      </c>
      <c r="AP320" s="54" t="b">
        <v>1</v>
      </c>
      <c r="AQ320" s="54" t="b">
        <v>0</v>
      </c>
      <c r="AR320" s="54" t="b">
        <v>1</v>
      </c>
      <c r="AS320" s="54" t="b">
        <v>1</v>
      </c>
      <c r="AT320" s="54" t="b">
        <v>1</v>
      </c>
      <c r="AU320" s="54" t="b">
        <v>1</v>
      </c>
      <c r="AV320" s="54" t="b">
        <v>1</v>
      </c>
      <c r="AW320" s="54" t="b">
        <v>1</v>
      </c>
      <c r="AX320" s="54" t="b">
        <v>1</v>
      </c>
      <c r="AY320" s="54" t="b">
        <v>1</v>
      </c>
      <c r="AZ320" s="54" t="b">
        <v>1</v>
      </c>
      <c r="BA320" s="54" t="b">
        <v>1</v>
      </c>
      <c r="BB320" s="54" t="b">
        <v>1</v>
      </c>
      <c r="BC320" s="54" t="b">
        <v>1</v>
      </c>
      <c r="BD320" s="54" t="b">
        <v>1</v>
      </c>
      <c r="BE320" s="54" t="b">
        <v>1</v>
      </c>
      <c r="BF320" s="54" t="b">
        <v>1</v>
      </c>
      <c r="BG320" s="54" t="b">
        <v>1</v>
      </c>
      <c r="BH320" s="54" t="b">
        <v>1</v>
      </c>
      <c r="BI320" s="54" t="b">
        <v>1</v>
      </c>
      <c r="BJ320" s="54" t="b">
        <v>1</v>
      </c>
      <c r="BK320" s="54" t="b">
        <v>1</v>
      </c>
      <c r="BL320" s="54" t="b">
        <v>1</v>
      </c>
      <c r="BM320" s="54" t="b">
        <v>1</v>
      </c>
      <c r="BN320" s="54" t="b">
        <v>1</v>
      </c>
      <c r="BO320" s="54" t="b">
        <v>1</v>
      </c>
    </row>
    <row r="321" hidden="1" outlineLevel="1">
      <c r="A321" s="47" t="str">
        <f>A320&amp;C321</f>
        <v>MarchGANESHOT HOURS</v>
      </c>
      <c r="B321" s="48"/>
      <c r="C321" s="49" t="s">
        <v>120</v>
      </c>
      <c r="D321" s="33"/>
      <c r="E321" s="70">
        <f>(F321+G321+H321+I321+J321+K321+L321+M321+N321+O321+P321+Q321+R321+S321+T321+U321+V321+W321+X321+Y321+Z321+AA321+AB321+AC321+AD321+AE321+AF321+AG321+AH321+AI321+AJ321+AK321+AL321+AM321+AN321+AO321+AP321+AQ321+AR321+AS321+AT321+AU321+AV321+AW321+AX321+AY321+AZ321+BA321+BB321+BC321+BD321+BE321+BF321+BG321+BH321+BI321+BJ321+BK321+BL321+BM321+BN321+BO321)</f>
        <v>36</v>
      </c>
      <c r="F321" s="59">
        <v>3.0</v>
      </c>
      <c r="G321" s="33"/>
      <c r="H321" s="59">
        <v>9.0</v>
      </c>
      <c r="I321" s="33"/>
      <c r="J321" s="59">
        <v>2.0</v>
      </c>
      <c r="K321" s="33"/>
      <c r="L321" s="59"/>
      <c r="M321" s="33"/>
      <c r="N321" s="59"/>
      <c r="O321" s="33"/>
      <c r="P321" s="59"/>
      <c r="Q321" s="33"/>
      <c r="R321" s="59"/>
      <c r="S321" s="33"/>
      <c r="T321" s="59"/>
      <c r="U321" s="33"/>
      <c r="V321" s="59"/>
      <c r="W321" s="33"/>
      <c r="X321" s="59"/>
      <c r="Y321" s="33"/>
      <c r="Z321" s="59"/>
      <c r="AA321" s="33"/>
      <c r="AB321" s="59"/>
      <c r="AC321" s="33"/>
      <c r="AD321" s="59"/>
      <c r="AE321" s="33"/>
      <c r="AF321" s="59"/>
      <c r="AG321" s="33"/>
      <c r="AH321" s="59"/>
      <c r="AI321" s="33"/>
      <c r="AJ321" s="59">
        <v>3.0</v>
      </c>
      <c r="AK321" s="33"/>
      <c r="AL321" s="59">
        <v>1.0</v>
      </c>
      <c r="AM321" s="33"/>
      <c r="AN321" s="59">
        <v>2.0</v>
      </c>
      <c r="AO321" s="33"/>
      <c r="AP321" s="59"/>
      <c r="AQ321" s="33"/>
      <c r="AR321" s="59"/>
      <c r="AS321" s="33"/>
      <c r="AT321" s="59">
        <v>2.0</v>
      </c>
      <c r="AU321" s="33"/>
      <c r="AV321" s="59">
        <v>2.0</v>
      </c>
      <c r="AW321" s="33"/>
      <c r="AX321" s="59"/>
      <c r="AY321" s="33"/>
      <c r="AZ321" s="59">
        <v>2.0</v>
      </c>
      <c r="BA321" s="33"/>
      <c r="BB321" s="59"/>
      <c r="BC321" s="33"/>
      <c r="BD321" s="59"/>
      <c r="BE321" s="33"/>
      <c r="BF321" s="59"/>
      <c r="BG321" s="33"/>
      <c r="BH321" s="59"/>
      <c r="BI321" s="33"/>
      <c r="BJ321" s="59">
        <v>2.0</v>
      </c>
      <c r="BK321" s="33"/>
      <c r="BL321" s="59">
        <v>8.0</v>
      </c>
      <c r="BM321" s="33"/>
      <c r="BN321" s="59"/>
      <c r="BO321" s="33"/>
    </row>
    <row r="322" hidden="1" outlineLevel="1">
      <c r="A322" s="66" t="str">
        <f>B322&amp;D322</f>
        <v>MarchMathi</v>
      </c>
      <c r="B322" s="67" t="s">
        <v>50</v>
      </c>
      <c r="C322" s="68" t="s">
        <v>70</v>
      </c>
      <c r="D322" s="69" t="str">
        <f>IFERROR(VLOOKUP(C322,'Employees List'!$B$2:$C$28,2,0),"")</f>
        <v>Mathi</v>
      </c>
      <c r="E322" s="70">
        <f>(F322+G322+H322+I322+J322+K322+L322+M322+N322+O322+P322+Q322+R322+S322+T322+U322+V322+W322+X322+Y322+Z322+AA322+AB322+AC322+AD322+AE322+AF322+AG322+AH322+AI322+AJ322+AK322+AL322+AM322+AN322+AO322+AP322+AQ322+AR322+AS322+AT322+AU322+AV322+AW322+AX322+AY322+AZ322+BA322+BB322+BC322+BD322+BE322+BF322+BG322+BH322+BI322+BJ322+BK322+BL322+BM322+BN322+BO322)/2</f>
        <v>23.5</v>
      </c>
      <c r="F322" s="54" t="b">
        <v>0</v>
      </c>
      <c r="G322" s="54" t="b">
        <v>0</v>
      </c>
      <c r="H322" s="54" t="b">
        <v>1</v>
      </c>
      <c r="I322" s="54" t="b">
        <v>1</v>
      </c>
      <c r="J322" s="54" t="b">
        <v>1</v>
      </c>
      <c r="K322" s="54" t="b">
        <v>1</v>
      </c>
      <c r="L322" s="54" t="b">
        <v>1</v>
      </c>
      <c r="M322" s="54" t="b">
        <v>1</v>
      </c>
      <c r="N322" s="54" t="b">
        <v>1</v>
      </c>
      <c r="O322" s="54" t="b">
        <v>1</v>
      </c>
      <c r="P322" s="54" t="b">
        <v>1</v>
      </c>
      <c r="Q322" s="54" t="b">
        <v>1</v>
      </c>
      <c r="R322" s="54" t="b">
        <v>1</v>
      </c>
      <c r="S322" s="54" t="b">
        <v>1</v>
      </c>
      <c r="T322" s="54" t="b">
        <v>1</v>
      </c>
      <c r="U322" s="54" t="b">
        <v>1</v>
      </c>
      <c r="V322" s="54" t="b">
        <v>1</v>
      </c>
      <c r="W322" s="54" t="b">
        <v>1</v>
      </c>
      <c r="X322" s="54" t="b">
        <v>1</v>
      </c>
      <c r="Y322" s="54" t="b">
        <v>1</v>
      </c>
      <c r="Z322" s="54" t="b">
        <v>0</v>
      </c>
      <c r="AA322" s="54" t="b">
        <v>0</v>
      </c>
      <c r="AB322" s="54" t="b">
        <v>0</v>
      </c>
      <c r="AC322" s="54" t="b">
        <v>0</v>
      </c>
      <c r="AD322" s="54" t="b">
        <v>0</v>
      </c>
      <c r="AE322" s="54" t="b">
        <v>0</v>
      </c>
      <c r="AF322" s="54" t="b">
        <v>0</v>
      </c>
      <c r="AG322" s="54" t="b">
        <v>0</v>
      </c>
      <c r="AH322" s="54" t="b">
        <v>1</v>
      </c>
      <c r="AI322" s="54" t="b">
        <v>1</v>
      </c>
      <c r="AJ322" s="54" t="b">
        <v>0</v>
      </c>
      <c r="AK322" s="54" t="b">
        <v>0</v>
      </c>
      <c r="AL322" s="54" t="b">
        <v>0</v>
      </c>
      <c r="AM322" s="54" t="b">
        <v>0</v>
      </c>
      <c r="AN322" s="54" t="b">
        <v>1</v>
      </c>
      <c r="AO322" s="54" t="b">
        <v>1</v>
      </c>
      <c r="AP322" s="54" t="b">
        <v>0</v>
      </c>
      <c r="AQ322" s="54" t="b">
        <v>1</v>
      </c>
      <c r="AR322" s="54" t="b">
        <v>1</v>
      </c>
      <c r="AS322" s="54" t="b">
        <v>1</v>
      </c>
      <c r="AT322" s="54" t="b">
        <v>1</v>
      </c>
      <c r="AU322" s="54" t="b">
        <v>1</v>
      </c>
      <c r="AV322" s="54" t="b">
        <v>1</v>
      </c>
      <c r="AW322" s="54" t="b">
        <v>1</v>
      </c>
      <c r="AX322" s="54" t="b">
        <v>1</v>
      </c>
      <c r="AY322" s="54" t="b">
        <v>1</v>
      </c>
      <c r="AZ322" s="54" t="b">
        <v>1</v>
      </c>
      <c r="BA322" s="54" t="b">
        <v>1</v>
      </c>
      <c r="BB322" s="54" t="b">
        <v>1</v>
      </c>
      <c r="BC322" s="54" t="b">
        <v>1</v>
      </c>
      <c r="BD322" s="54" t="b">
        <v>1</v>
      </c>
      <c r="BE322" s="54" t="b">
        <v>1</v>
      </c>
      <c r="BF322" s="54" t="b">
        <v>1</v>
      </c>
      <c r="BG322" s="54" t="b">
        <v>1</v>
      </c>
      <c r="BH322" s="54" t="b">
        <v>1</v>
      </c>
      <c r="BI322" s="54" t="b">
        <v>1</v>
      </c>
      <c r="BJ322" s="54" t="b">
        <v>1</v>
      </c>
      <c r="BK322" s="54" t="b">
        <v>1</v>
      </c>
      <c r="BL322" s="54" t="b">
        <v>1</v>
      </c>
      <c r="BM322" s="54" t="b">
        <v>1</v>
      </c>
      <c r="BN322" s="54" t="b">
        <v>1</v>
      </c>
      <c r="BO322" s="54" t="b">
        <v>1</v>
      </c>
    </row>
    <row r="323" hidden="1" outlineLevel="1">
      <c r="A323" s="71" t="str">
        <f>A322&amp;C323</f>
        <v>MarchMathiOT HOURS</v>
      </c>
      <c r="B323" s="72"/>
      <c r="C323" s="73" t="s">
        <v>120</v>
      </c>
      <c r="D323" s="33"/>
      <c r="E323" s="70">
        <f>(F323+G323+H323+I323+J323+K323+L323+M323+N323+O323+P323+Q323+R323+S323+T323+U323+V323+W323+X323+Y323+Z323+AA323+AB323+AC323+AD323+AE323+AF323+AG323+AH323+AI323+AJ323+AK323+AL323+AM323+AN323+AO323+AP323+AQ323+AR323+AS323+AT323+AU323+AV323+AW323+AX323+AY323+AZ323+BA323+BB323+BC323+BD323+BE323+BF323+BG323+BH323+BI323+BJ323+BK323+BL323+BM323+BN323+BO323)</f>
        <v>26</v>
      </c>
      <c r="F323" s="59"/>
      <c r="G323" s="33"/>
      <c r="H323" s="59"/>
      <c r="I323" s="33"/>
      <c r="J323" s="59">
        <v>1.0</v>
      </c>
      <c r="K323" s="33"/>
      <c r="L323" s="59">
        <v>3.0</v>
      </c>
      <c r="M323" s="33"/>
      <c r="N323" s="59">
        <v>3.0</v>
      </c>
      <c r="O323" s="33"/>
      <c r="P323" s="59">
        <v>2.0</v>
      </c>
      <c r="Q323" s="33"/>
      <c r="R323" s="59">
        <v>2.0</v>
      </c>
      <c r="S323" s="33"/>
      <c r="T323" s="59"/>
      <c r="U323" s="33"/>
      <c r="V323" s="59"/>
      <c r="W323" s="33"/>
      <c r="X323" s="59"/>
      <c r="Y323" s="33"/>
      <c r="Z323" s="59"/>
      <c r="AA323" s="33"/>
      <c r="AB323" s="59"/>
      <c r="AC323" s="33"/>
      <c r="AD323" s="59"/>
      <c r="AE323" s="33"/>
      <c r="AF323" s="59"/>
      <c r="AG323" s="33"/>
      <c r="AH323" s="59"/>
      <c r="AI323" s="33"/>
      <c r="AJ323" s="59"/>
      <c r="AK323" s="33"/>
      <c r="AL323" s="59"/>
      <c r="AM323" s="33"/>
      <c r="AN323" s="59">
        <v>1.0</v>
      </c>
      <c r="AO323" s="33"/>
      <c r="AP323" s="59"/>
      <c r="AQ323" s="33"/>
      <c r="AR323" s="59">
        <v>1.0</v>
      </c>
      <c r="AS323" s="33"/>
      <c r="AT323" s="59">
        <v>3.0</v>
      </c>
      <c r="AU323" s="33"/>
      <c r="AV323" s="59">
        <v>4.0</v>
      </c>
      <c r="AW323" s="33"/>
      <c r="AX323" s="59"/>
      <c r="AY323" s="33"/>
      <c r="AZ323" s="59">
        <v>1.0</v>
      </c>
      <c r="BA323" s="33"/>
      <c r="BB323" s="59"/>
      <c r="BC323" s="33"/>
      <c r="BD323" s="59">
        <v>1.0</v>
      </c>
      <c r="BE323" s="33"/>
      <c r="BF323" s="59">
        <v>3.0</v>
      </c>
      <c r="BG323" s="33"/>
      <c r="BH323" s="59"/>
      <c r="BI323" s="33"/>
      <c r="BJ323" s="59">
        <v>1.0</v>
      </c>
      <c r="BK323" s="33"/>
      <c r="BL323" s="59"/>
      <c r="BM323" s="33"/>
      <c r="BN323" s="59"/>
      <c r="BO323" s="33"/>
    </row>
    <row r="324" hidden="1" outlineLevel="1">
      <c r="A324" s="66" t="str">
        <f>B324&amp;D324</f>
        <v>MarchAMMU</v>
      </c>
      <c r="B324" s="67" t="s">
        <v>50</v>
      </c>
      <c r="C324" s="68" t="s">
        <v>37</v>
      </c>
      <c r="D324" s="69" t="str">
        <f>IFERROR(VLOOKUP(C324,'Employees List'!$B$2:$C$28,2,0),"")</f>
        <v>AMMU</v>
      </c>
      <c r="E324" s="70">
        <f>(F324+G324+H324+I324+J324+K324+L324+M324+N324+O324+P324+Q324+R324+S324+T324+U324+V324+W324+X324+Y324+Z324+AA324+AB324+AC324+AD324+AE324+AF324+AG324+AH324+AI324+AJ324+AK324+AL324+AM324+AN324+AO324+AP324+AQ324+AR324+AS324+AT324+AU324+AV324+AW324+AX324+AY324+AZ324+BA324+BB324+BC324+BD324+BE324+BF324+BG324+BH324+BI324+BJ324+BK324+BL324+BM324+BN324+BO324)/2</f>
        <v>30.5</v>
      </c>
      <c r="F324" s="54" t="b">
        <v>1</v>
      </c>
      <c r="G324" s="54" t="b">
        <v>0</v>
      </c>
      <c r="H324" s="54" t="b">
        <v>1</v>
      </c>
      <c r="I324" s="54" t="b">
        <v>1</v>
      </c>
      <c r="J324" s="54" t="b">
        <v>1</v>
      </c>
      <c r="K324" s="54" t="b">
        <v>1</v>
      </c>
      <c r="L324" s="54" t="b">
        <v>1</v>
      </c>
      <c r="M324" s="54" t="b">
        <v>1</v>
      </c>
      <c r="N324" s="54" t="b">
        <v>1</v>
      </c>
      <c r="O324" s="54" t="b">
        <v>1</v>
      </c>
      <c r="P324" s="54" t="b">
        <v>1</v>
      </c>
      <c r="Q324" s="54" t="b">
        <v>1</v>
      </c>
      <c r="R324" s="54" t="b">
        <v>1</v>
      </c>
      <c r="S324" s="54" t="b">
        <v>1</v>
      </c>
      <c r="T324" s="54" t="b">
        <v>1</v>
      </c>
      <c r="U324" s="54" t="b">
        <v>1</v>
      </c>
      <c r="V324" s="54" t="b">
        <v>1</v>
      </c>
      <c r="W324" s="54" t="b">
        <v>1</v>
      </c>
      <c r="X324" s="54" t="b">
        <v>1</v>
      </c>
      <c r="Y324" s="54" t="b">
        <v>1</v>
      </c>
      <c r="Z324" s="54" t="b">
        <v>1</v>
      </c>
      <c r="AA324" s="54" t="b">
        <v>1</v>
      </c>
      <c r="AB324" s="54" t="b">
        <v>1</v>
      </c>
      <c r="AC324" s="54" t="b">
        <v>1</v>
      </c>
      <c r="AD324" s="54" t="b">
        <v>1</v>
      </c>
      <c r="AE324" s="54" t="b">
        <v>1</v>
      </c>
      <c r="AF324" s="54" t="b">
        <v>1</v>
      </c>
      <c r="AG324" s="54" t="b">
        <v>1</v>
      </c>
      <c r="AH324" s="54" t="b">
        <v>1</v>
      </c>
      <c r="AI324" s="54" t="b">
        <v>1</v>
      </c>
      <c r="AJ324" s="54" t="b">
        <v>1</v>
      </c>
      <c r="AK324" s="54" t="b">
        <v>1</v>
      </c>
      <c r="AL324" s="54" t="b">
        <v>1</v>
      </c>
      <c r="AM324" s="54" t="b">
        <v>1</v>
      </c>
      <c r="AN324" s="54" t="b">
        <v>1</v>
      </c>
      <c r="AO324" s="54" t="b">
        <v>1</v>
      </c>
      <c r="AP324" s="54" t="b">
        <v>1</v>
      </c>
      <c r="AQ324" s="54" t="b">
        <v>1</v>
      </c>
      <c r="AR324" s="54" t="b">
        <v>1</v>
      </c>
      <c r="AS324" s="54" t="b">
        <v>1</v>
      </c>
      <c r="AT324" s="54" t="b">
        <v>1</v>
      </c>
      <c r="AU324" s="54" t="b">
        <v>1</v>
      </c>
      <c r="AV324" s="54" t="b">
        <v>1</v>
      </c>
      <c r="AW324" s="54" t="b">
        <v>1</v>
      </c>
      <c r="AX324" s="54" t="b">
        <v>1</v>
      </c>
      <c r="AY324" s="54" t="b">
        <v>1</v>
      </c>
      <c r="AZ324" s="54" t="b">
        <v>1</v>
      </c>
      <c r="BA324" s="54" t="b">
        <v>1</v>
      </c>
      <c r="BB324" s="54" t="b">
        <v>1</v>
      </c>
      <c r="BC324" s="54" t="b">
        <v>1</v>
      </c>
      <c r="BD324" s="54" t="b">
        <v>1</v>
      </c>
      <c r="BE324" s="54" t="b">
        <v>1</v>
      </c>
      <c r="BF324" s="54" t="b">
        <v>1</v>
      </c>
      <c r="BG324" s="54" t="b">
        <v>1</v>
      </c>
      <c r="BH324" s="54" t="b">
        <v>1</v>
      </c>
      <c r="BI324" s="54" t="b">
        <v>1</v>
      </c>
      <c r="BJ324" s="54" t="b">
        <v>1</v>
      </c>
      <c r="BK324" s="54" t="b">
        <v>1</v>
      </c>
      <c r="BL324" s="54" t="b">
        <v>1</v>
      </c>
      <c r="BM324" s="54" t="b">
        <v>1</v>
      </c>
      <c r="BN324" s="54" t="b">
        <v>1</v>
      </c>
      <c r="BO324" s="54" t="b">
        <v>1</v>
      </c>
    </row>
    <row r="325" hidden="1" outlineLevel="1">
      <c r="A325" s="71" t="str">
        <f>A324&amp;C325</f>
        <v>MarchAMMUOT HOURS</v>
      </c>
      <c r="B325" s="72"/>
      <c r="C325" s="73" t="s">
        <v>120</v>
      </c>
      <c r="D325" s="33"/>
      <c r="E325" s="70">
        <f>(F325+G325+H325+I325+J325+K325+L325+M325+N325+O325+P325+Q325+R325+S325+T325+U325+V325+W325+X325+Y325+Z325+AA325+AB325+AC325+AD325+AE325+AF325+AG325+AH325+AI325+AJ325+AK325+AL325+AM325+AN325+AO325+AP325+AQ325+AR325+AS325+AT325+AU325+AV325+AW325+AX325+AY325+AZ325+BA325+BB325+BC325+BD325+BE325+BF325+BG325+BH325+BI325+BJ325+BK325+BL325+BM325+BN325+BO325)</f>
        <v>12</v>
      </c>
      <c r="F325" s="59"/>
      <c r="G325" s="33"/>
      <c r="H325" s="59"/>
      <c r="I325" s="33"/>
      <c r="J325" s="59"/>
      <c r="K325" s="33"/>
      <c r="L325" s="59">
        <v>2.0</v>
      </c>
      <c r="M325" s="33"/>
      <c r="N325" s="59"/>
      <c r="O325" s="33"/>
      <c r="P325" s="59"/>
      <c r="Q325" s="33"/>
      <c r="R325" s="59"/>
      <c r="S325" s="33"/>
      <c r="T325" s="59"/>
      <c r="U325" s="33"/>
      <c r="V325" s="59"/>
      <c r="W325" s="33"/>
      <c r="X325" s="59"/>
      <c r="Y325" s="33"/>
      <c r="Z325" s="59"/>
      <c r="AA325" s="33"/>
      <c r="AB325" s="59"/>
      <c r="AC325" s="33"/>
      <c r="AD325" s="59"/>
      <c r="AE325" s="33"/>
      <c r="AF325" s="59"/>
      <c r="AG325" s="33"/>
      <c r="AH325" s="59"/>
      <c r="AI325" s="33"/>
      <c r="AJ325" s="59"/>
      <c r="AK325" s="33"/>
      <c r="AL325" s="59">
        <v>2.0</v>
      </c>
      <c r="AM325" s="33"/>
      <c r="AN325" s="59"/>
      <c r="AO325" s="33"/>
      <c r="AP325" s="59"/>
      <c r="AQ325" s="33"/>
      <c r="AR325" s="59">
        <v>2.0</v>
      </c>
      <c r="AS325" s="33"/>
      <c r="AT325" s="59">
        <v>2.0</v>
      </c>
      <c r="AU325" s="33"/>
      <c r="AV325" s="59"/>
      <c r="AW325" s="33"/>
      <c r="AX325" s="59"/>
      <c r="AY325" s="33"/>
      <c r="AZ325" s="59">
        <v>2.0</v>
      </c>
      <c r="BA325" s="33"/>
      <c r="BB325" s="59"/>
      <c r="BC325" s="33"/>
      <c r="BD325" s="59"/>
      <c r="BE325" s="33"/>
      <c r="BF325" s="59"/>
      <c r="BG325" s="33"/>
      <c r="BH325" s="59"/>
      <c r="BI325" s="33"/>
      <c r="BJ325" s="59">
        <v>2.0</v>
      </c>
      <c r="BK325" s="33"/>
      <c r="BL325" s="59"/>
      <c r="BM325" s="33"/>
      <c r="BN325" s="59"/>
      <c r="BO325" s="33"/>
    </row>
    <row r="326" hidden="1" outlineLevel="1">
      <c r="A326" s="66" t="str">
        <f>B326&amp;D326</f>
        <v>MarchREVATHI S</v>
      </c>
      <c r="B326" s="67" t="s">
        <v>50</v>
      </c>
      <c r="C326" s="68" t="s">
        <v>41</v>
      </c>
      <c r="D326" s="69" t="str">
        <f>IFERROR(VLOOKUP(C326,'Employees List'!$B$2:$C$28,2,0),"")</f>
        <v>REVATHI S</v>
      </c>
      <c r="E326" s="70">
        <f>(F326+G326+H326+I326+J326+K326+L326+M326+N326+O326+P326+Q326+R326+S326+T326+U326+V326+W326+X326+Y326+Z326+AA326+AB326+AC326+AD326+AE326+AF326+AG326+AH326+AI326+AJ326+AK326+AL326+AM326+AN326+AO326+AP326+AQ326+AR326+AS326+AT326+AU326+AV326+AW326+AX326+AY326+AZ326+BA326+BB326+BC326+BD326+BE326+BF326+BG326+BH326+BI326+BJ326+BK326+BL326+BM326+BN326+BO326)/2</f>
        <v>29</v>
      </c>
      <c r="F326" s="54" t="b">
        <v>0</v>
      </c>
      <c r="G326" s="54" t="b">
        <v>0</v>
      </c>
      <c r="H326" s="54" t="b">
        <v>1</v>
      </c>
      <c r="I326" s="54" t="b">
        <v>1</v>
      </c>
      <c r="J326" s="54" t="b">
        <v>1</v>
      </c>
      <c r="K326" s="54" t="b">
        <v>1</v>
      </c>
      <c r="L326" s="54" t="b">
        <v>1</v>
      </c>
      <c r="M326" s="54" t="b">
        <v>1</v>
      </c>
      <c r="N326" s="54" t="b">
        <v>1</v>
      </c>
      <c r="O326" s="54" t="b">
        <v>1</v>
      </c>
      <c r="P326" s="54" t="b">
        <v>1</v>
      </c>
      <c r="Q326" s="54" t="b">
        <v>1</v>
      </c>
      <c r="R326" s="54" t="b">
        <v>1</v>
      </c>
      <c r="S326" s="54" t="b">
        <v>1</v>
      </c>
      <c r="T326" s="54" t="b">
        <v>1</v>
      </c>
      <c r="U326" s="54" t="b">
        <v>1</v>
      </c>
      <c r="V326" s="54" t="b">
        <v>1</v>
      </c>
      <c r="W326" s="54" t="b">
        <v>1</v>
      </c>
      <c r="X326" s="54" t="b">
        <v>1</v>
      </c>
      <c r="Y326" s="54" t="b">
        <v>1</v>
      </c>
      <c r="Z326" s="54" t="b">
        <v>1</v>
      </c>
      <c r="AA326" s="54" t="b">
        <v>1</v>
      </c>
      <c r="AB326" s="54" t="b">
        <v>1</v>
      </c>
      <c r="AC326" s="54" t="b">
        <v>1</v>
      </c>
      <c r="AD326" s="54" t="b">
        <v>1</v>
      </c>
      <c r="AE326" s="54" t="b">
        <v>1</v>
      </c>
      <c r="AF326" s="54" t="b">
        <v>1</v>
      </c>
      <c r="AG326" s="54" t="b">
        <v>1</v>
      </c>
      <c r="AH326" s="54" t="b">
        <v>1</v>
      </c>
      <c r="AI326" s="54" t="b">
        <v>1</v>
      </c>
      <c r="AJ326" s="54" t="b">
        <v>1</v>
      </c>
      <c r="AK326" s="54" t="b">
        <v>1</v>
      </c>
      <c r="AL326" s="54" t="b">
        <v>0</v>
      </c>
      <c r="AM326" s="54" t="b">
        <v>0</v>
      </c>
      <c r="AN326" s="54" t="b">
        <v>1</v>
      </c>
      <c r="AO326" s="54" t="b">
        <v>1</v>
      </c>
      <c r="AP326" s="54" t="b">
        <v>1</v>
      </c>
      <c r="AQ326" s="54" t="b">
        <v>1</v>
      </c>
      <c r="AR326" s="54" t="b">
        <v>1</v>
      </c>
      <c r="AS326" s="54" t="b">
        <v>1</v>
      </c>
      <c r="AT326" s="54" t="b">
        <v>1</v>
      </c>
      <c r="AU326" s="54" t="b">
        <v>1</v>
      </c>
      <c r="AV326" s="54" t="b">
        <v>1</v>
      </c>
      <c r="AW326" s="54" t="b">
        <v>1</v>
      </c>
      <c r="AX326" s="54" t="b">
        <v>1</v>
      </c>
      <c r="AY326" s="54" t="b">
        <v>1</v>
      </c>
      <c r="AZ326" s="54" t="b">
        <v>1</v>
      </c>
      <c r="BA326" s="54" t="b">
        <v>1</v>
      </c>
      <c r="BB326" s="54" t="b">
        <v>1</v>
      </c>
      <c r="BC326" s="54" t="b">
        <v>1</v>
      </c>
      <c r="BD326" s="54" t="b">
        <v>1</v>
      </c>
      <c r="BE326" s="54" t="b">
        <v>1</v>
      </c>
      <c r="BF326" s="54" t="b">
        <v>1</v>
      </c>
      <c r="BG326" s="54" t="b">
        <v>1</v>
      </c>
      <c r="BH326" s="54" t="b">
        <v>1</v>
      </c>
      <c r="BI326" s="54" t="b">
        <v>1</v>
      </c>
      <c r="BJ326" s="54" t="b">
        <v>1</v>
      </c>
      <c r="BK326" s="54" t="b">
        <v>1</v>
      </c>
      <c r="BL326" s="54" t="b">
        <v>1</v>
      </c>
      <c r="BM326" s="54" t="b">
        <v>1</v>
      </c>
      <c r="BN326" s="54" t="b">
        <v>1</v>
      </c>
      <c r="BO326" s="54" t="b">
        <v>1</v>
      </c>
    </row>
    <row r="327" hidden="1" outlineLevel="1">
      <c r="A327" s="71" t="str">
        <f>A326&amp;C327</f>
        <v>MarchREVATHI SOT HOURS</v>
      </c>
      <c r="B327" s="72"/>
      <c r="C327" s="73" t="s">
        <v>120</v>
      </c>
      <c r="D327" s="33"/>
      <c r="E327" s="70">
        <f>(F327+G327+H327+I327+J327+K327+L327+M327+N327+O327+P327+Q327+R327+S327+T327+U327+V327+W327+X327+Y327+Z327+AA327+AB327+AC327+AD327+AE327+AF327+AG327+AH327+AI327+AJ327+AK327+AL327+AM327+AN327+AO327+AP327+AQ327+AR327+AS327+AT327+AU327+AV327+AW327+AX327+AY327+AZ327+BA327+BB327+BC327+BD327+BE327+BF327+BG327+BH327+BI327+BJ327+BK327+BL327+BM327+BN327+BO327)</f>
        <v>16</v>
      </c>
      <c r="F327" s="59"/>
      <c r="G327" s="33"/>
      <c r="H327" s="59">
        <v>6.0</v>
      </c>
      <c r="I327" s="33"/>
      <c r="J327" s="59"/>
      <c r="K327" s="33"/>
      <c r="L327" s="59">
        <v>2.0</v>
      </c>
      <c r="M327" s="33"/>
      <c r="N327" s="59"/>
      <c r="O327" s="33"/>
      <c r="P327" s="59"/>
      <c r="Q327" s="33"/>
      <c r="R327" s="59"/>
      <c r="S327" s="33"/>
      <c r="T327" s="59"/>
      <c r="U327" s="33"/>
      <c r="V327" s="59"/>
      <c r="W327" s="33"/>
      <c r="X327" s="59"/>
      <c r="Y327" s="33"/>
      <c r="Z327" s="59"/>
      <c r="AA327" s="33"/>
      <c r="AB327" s="59"/>
      <c r="AC327" s="33"/>
      <c r="AD327" s="59"/>
      <c r="AE327" s="33"/>
      <c r="AF327" s="59"/>
      <c r="AG327" s="33"/>
      <c r="AH327" s="59"/>
      <c r="AI327" s="33"/>
      <c r="AJ327" s="59"/>
      <c r="AK327" s="33"/>
      <c r="AL327" s="59"/>
      <c r="AM327" s="33"/>
      <c r="AN327" s="59"/>
      <c r="AO327" s="33"/>
      <c r="AP327" s="59"/>
      <c r="AQ327" s="33"/>
      <c r="AR327" s="59">
        <v>2.0</v>
      </c>
      <c r="AS327" s="33"/>
      <c r="AT327" s="59">
        <v>2.0</v>
      </c>
      <c r="AU327" s="33"/>
      <c r="AV327" s="59"/>
      <c r="AW327" s="33"/>
      <c r="AX327" s="59"/>
      <c r="AY327" s="33"/>
      <c r="AZ327" s="59">
        <v>2.0</v>
      </c>
      <c r="BA327" s="33"/>
      <c r="BB327" s="59"/>
      <c r="BC327" s="33"/>
      <c r="BD327" s="59"/>
      <c r="BE327" s="33"/>
      <c r="BF327" s="59"/>
      <c r="BG327" s="33"/>
      <c r="BH327" s="59"/>
      <c r="BI327" s="33"/>
      <c r="BJ327" s="59">
        <v>2.0</v>
      </c>
      <c r="BK327" s="33"/>
      <c r="BL327" s="59"/>
      <c r="BM327" s="33"/>
      <c r="BN327" s="59"/>
      <c r="BO327" s="33"/>
    </row>
    <row r="328" hidden="1" outlineLevel="1">
      <c r="A328" s="66" t="str">
        <f>B328&amp;D328</f>
        <v>MarchLEELA</v>
      </c>
      <c r="B328" s="67" t="s">
        <v>50</v>
      </c>
      <c r="C328" s="68" t="s">
        <v>67</v>
      </c>
      <c r="D328" s="69" t="str">
        <f>IFERROR(VLOOKUP(C328,'Employees List'!$B$2:$C$28,2,0),"")</f>
        <v>LEELA</v>
      </c>
      <c r="E328" s="70">
        <f>(F328+G328+H328+I328+J328+K328+L328+M328+N328+O328+P328+Q328+R328+S328+T328+U328+V328+W328+X328+Y328+Z328+AA328+AB328+AC328+AD328+AE328+AF328+AG328+AH328+AI328+AJ328+AK328+AL328+AM328+AN328+AO328+AP328+AQ328+AR328+AS328+AT328+AU328+AV328+AW328+AX328+AY328+AZ328+BA328+BB328+BC328+BD328+BE328+BF328+BG328+BH328+BI328+BJ328+BK328+BL328+BM328+BN328+BO328)/2</f>
        <v>31</v>
      </c>
      <c r="F328" s="54" t="b">
        <v>1</v>
      </c>
      <c r="G328" s="54" t="b">
        <v>1</v>
      </c>
      <c r="H328" s="54" t="b">
        <v>1</v>
      </c>
      <c r="I328" s="54" t="b">
        <v>1</v>
      </c>
      <c r="J328" s="54" t="b">
        <v>1</v>
      </c>
      <c r="K328" s="54" t="b">
        <v>1</v>
      </c>
      <c r="L328" s="54" t="b">
        <v>1</v>
      </c>
      <c r="M328" s="54" t="b">
        <v>1</v>
      </c>
      <c r="N328" s="54" t="b">
        <v>1</v>
      </c>
      <c r="O328" s="54" t="b">
        <v>1</v>
      </c>
      <c r="P328" s="54" t="b">
        <v>1</v>
      </c>
      <c r="Q328" s="54" t="b">
        <v>1</v>
      </c>
      <c r="R328" s="54" t="b">
        <v>1</v>
      </c>
      <c r="S328" s="54" t="b">
        <v>1</v>
      </c>
      <c r="T328" s="54" t="b">
        <v>1</v>
      </c>
      <c r="U328" s="54" t="b">
        <v>1</v>
      </c>
      <c r="V328" s="54" t="b">
        <v>1</v>
      </c>
      <c r="W328" s="54" t="b">
        <v>1</v>
      </c>
      <c r="X328" s="54" t="b">
        <v>1</v>
      </c>
      <c r="Y328" s="54" t="b">
        <v>1</v>
      </c>
      <c r="Z328" s="54" t="b">
        <v>1</v>
      </c>
      <c r="AA328" s="54" t="b">
        <v>1</v>
      </c>
      <c r="AB328" s="54" t="b">
        <v>1</v>
      </c>
      <c r="AC328" s="54" t="b">
        <v>1</v>
      </c>
      <c r="AD328" s="54" t="b">
        <v>1</v>
      </c>
      <c r="AE328" s="54" t="b">
        <v>1</v>
      </c>
      <c r="AF328" s="54" t="b">
        <v>1</v>
      </c>
      <c r="AG328" s="54" t="b">
        <v>1</v>
      </c>
      <c r="AH328" s="54" t="b">
        <v>1</v>
      </c>
      <c r="AI328" s="54" t="b">
        <v>1</v>
      </c>
      <c r="AJ328" s="54" t="b">
        <v>1</v>
      </c>
      <c r="AK328" s="54" t="b">
        <v>1</v>
      </c>
      <c r="AL328" s="54" t="b">
        <v>1</v>
      </c>
      <c r="AM328" s="54" t="b">
        <v>1</v>
      </c>
      <c r="AN328" s="54" t="b">
        <v>1</v>
      </c>
      <c r="AO328" s="54" t="b">
        <v>1</v>
      </c>
      <c r="AP328" s="54" t="b">
        <v>1</v>
      </c>
      <c r="AQ328" s="54" t="b">
        <v>1</v>
      </c>
      <c r="AR328" s="54" t="b">
        <v>1</v>
      </c>
      <c r="AS328" s="54" t="b">
        <v>1</v>
      </c>
      <c r="AT328" s="54" t="b">
        <v>1</v>
      </c>
      <c r="AU328" s="54" t="b">
        <v>1</v>
      </c>
      <c r="AV328" s="54" t="b">
        <v>1</v>
      </c>
      <c r="AW328" s="54" t="b">
        <v>1</v>
      </c>
      <c r="AX328" s="54" t="b">
        <v>1</v>
      </c>
      <c r="AY328" s="54" t="b">
        <v>1</v>
      </c>
      <c r="AZ328" s="54" t="b">
        <v>1</v>
      </c>
      <c r="BA328" s="54" t="b">
        <v>1</v>
      </c>
      <c r="BB328" s="54" t="b">
        <v>1</v>
      </c>
      <c r="BC328" s="54" t="b">
        <v>1</v>
      </c>
      <c r="BD328" s="54" t="b">
        <v>1</v>
      </c>
      <c r="BE328" s="54" t="b">
        <v>1</v>
      </c>
      <c r="BF328" s="54" t="b">
        <v>1</v>
      </c>
      <c r="BG328" s="54" t="b">
        <v>1</v>
      </c>
      <c r="BH328" s="54" t="b">
        <v>1</v>
      </c>
      <c r="BI328" s="54" t="b">
        <v>1</v>
      </c>
      <c r="BJ328" s="54" t="b">
        <v>1</v>
      </c>
      <c r="BK328" s="54" t="b">
        <v>1</v>
      </c>
      <c r="BL328" s="54" t="b">
        <v>1</v>
      </c>
      <c r="BM328" s="54" t="b">
        <v>1</v>
      </c>
      <c r="BN328" s="54" t="b">
        <v>1</v>
      </c>
      <c r="BO328" s="54" t="b">
        <v>1</v>
      </c>
    </row>
    <row r="329" hidden="1" outlineLevel="1">
      <c r="A329" s="71" t="str">
        <f>A328&amp;C329</f>
        <v>MarchLEELAOT HOURS</v>
      </c>
      <c r="B329" s="72"/>
      <c r="C329" s="73" t="s">
        <v>120</v>
      </c>
      <c r="D329" s="33"/>
      <c r="E329" s="70">
        <f>(F329+G329+H329+I329+J329+K329+L329+M329+N329+O329+P329+Q329+R329+S329+T329+U329+V329+W329+X329+Y329+Z329+AA329+AB329+AC329+AD329+AE329+AF329+AG329+AH329+AI329+AJ329+AK329+AL329+AM329+AN329+AO329+AP329+AQ329+AR329+AS329+AT329+AU329+AV329+AW329+AX329+AY329+AZ329+BA329+BB329+BC329+BD329+BE329+BF329+BG329+BH329+BI329+BJ329+BK329+BL329+BM329+BN329+BO329)</f>
        <v>0</v>
      </c>
      <c r="F329" s="59"/>
      <c r="G329" s="33"/>
      <c r="H329" s="59"/>
      <c r="I329" s="33"/>
      <c r="J329" s="59"/>
      <c r="K329" s="33"/>
      <c r="L329" s="59"/>
      <c r="M329" s="33"/>
      <c r="N329" s="59"/>
      <c r="O329" s="33"/>
      <c r="P329" s="59"/>
      <c r="Q329" s="33"/>
      <c r="R329" s="59"/>
      <c r="S329" s="33"/>
      <c r="T329" s="59"/>
      <c r="U329" s="33"/>
      <c r="V329" s="59"/>
      <c r="W329" s="33"/>
      <c r="X329" s="59"/>
      <c r="Y329" s="33"/>
      <c r="Z329" s="59"/>
      <c r="AA329" s="33"/>
      <c r="AB329" s="59"/>
      <c r="AC329" s="33"/>
      <c r="AD329" s="59"/>
      <c r="AE329" s="33"/>
      <c r="AF329" s="59"/>
      <c r="AG329" s="33"/>
      <c r="AH329" s="59"/>
      <c r="AI329" s="33"/>
      <c r="AJ329" s="59"/>
      <c r="AK329" s="33"/>
      <c r="AL329" s="59"/>
      <c r="AM329" s="33"/>
      <c r="AN329" s="59"/>
      <c r="AO329" s="33"/>
      <c r="AP329" s="59"/>
      <c r="AQ329" s="33"/>
      <c r="AR329" s="59"/>
      <c r="AS329" s="33"/>
      <c r="AT329" s="59"/>
      <c r="AU329" s="33"/>
      <c r="AV329" s="59"/>
      <c r="AW329" s="33"/>
      <c r="AX329" s="59"/>
      <c r="AY329" s="33"/>
      <c r="AZ329" s="59"/>
      <c r="BA329" s="33"/>
      <c r="BB329" s="59"/>
      <c r="BC329" s="33"/>
      <c r="BD329" s="59"/>
      <c r="BE329" s="33"/>
      <c r="BF329" s="59"/>
      <c r="BG329" s="33"/>
      <c r="BH329" s="59"/>
      <c r="BI329" s="33"/>
      <c r="BJ329" s="59"/>
      <c r="BK329" s="33"/>
      <c r="BL329" s="59"/>
      <c r="BM329" s="33"/>
      <c r="BN329" s="59"/>
      <c r="BO329" s="33"/>
    </row>
    <row r="330" hidden="1" outlineLevel="1">
      <c r="A330" s="66" t="str">
        <f>B330&amp;D330</f>
        <v>MarchPARSHU BAGH</v>
      </c>
      <c r="B330" s="67" t="s">
        <v>50</v>
      </c>
      <c r="C330" s="68" t="s">
        <v>97</v>
      </c>
      <c r="D330" s="69" t="str">
        <f>IFERROR(VLOOKUP(C330,'Employees List'!$B$2:$C$999,2,0),"")</f>
        <v>PARSHU BAGH</v>
      </c>
      <c r="E330" s="70">
        <f>(F330+G330+H330+I330+J330+K330+L330+M330+N330+O330+P330+Q330+R330+S330+T330+U330+V330+W330+X330+Y330+Z330+AA330+AB330+AC330+AD330+AE330+AF330+AG330+AH330+AI330+AJ330+AK330+AL330+AM330+AN330+AO330+AP330+AQ330+AR330+AS330+AT330+AU330+AV330+AW330+AX330+AY330+AZ330+BA330+BB330+BC330+BD330+BE330+BF330+BG330+BH330+BI330+BJ330+BK330+BL330+BM330+BN330+BO330)/2</f>
        <v>31</v>
      </c>
      <c r="F330" s="54" t="b">
        <v>1</v>
      </c>
      <c r="G330" s="54" t="b">
        <v>1</v>
      </c>
      <c r="H330" s="54" t="b">
        <v>1</v>
      </c>
      <c r="I330" s="54" t="b">
        <v>1</v>
      </c>
      <c r="J330" s="54" t="b">
        <v>1</v>
      </c>
      <c r="K330" s="54" t="b">
        <v>1</v>
      </c>
      <c r="L330" s="54" t="b">
        <v>1</v>
      </c>
      <c r="M330" s="54" t="b">
        <v>1</v>
      </c>
      <c r="N330" s="54" t="b">
        <v>1</v>
      </c>
      <c r="O330" s="54" t="b">
        <v>1</v>
      </c>
      <c r="P330" s="54" t="b">
        <v>1</v>
      </c>
      <c r="Q330" s="54" t="b">
        <v>1</v>
      </c>
      <c r="R330" s="54" t="b">
        <v>1</v>
      </c>
      <c r="S330" s="54" t="b">
        <v>1</v>
      </c>
      <c r="T330" s="54" t="b">
        <v>1</v>
      </c>
      <c r="U330" s="54" t="b">
        <v>1</v>
      </c>
      <c r="V330" s="54" t="b">
        <v>1</v>
      </c>
      <c r="W330" s="54" t="b">
        <v>1</v>
      </c>
      <c r="X330" s="54" t="b">
        <v>1</v>
      </c>
      <c r="Y330" s="54" t="b">
        <v>1</v>
      </c>
      <c r="Z330" s="54" t="b">
        <v>1</v>
      </c>
      <c r="AA330" s="54" t="b">
        <v>1</v>
      </c>
      <c r="AB330" s="54" t="b">
        <v>1</v>
      </c>
      <c r="AC330" s="54" t="b">
        <v>1</v>
      </c>
      <c r="AD330" s="54" t="b">
        <v>1</v>
      </c>
      <c r="AE330" s="54" t="b">
        <v>1</v>
      </c>
      <c r="AF330" s="54" t="b">
        <v>1</v>
      </c>
      <c r="AG330" s="54" t="b">
        <v>1</v>
      </c>
      <c r="AH330" s="54" t="b">
        <v>1</v>
      </c>
      <c r="AI330" s="54" t="b">
        <v>1</v>
      </c>
      <c r="AJ330" s="54" t="b">
        <v>1</v>
      </c>
      <c r="AK330" s="54" t="b">
        <v>1</v>
      </c>
      <c r="AL330" s="54" t="b">
        <v>1</v>
      </c>
      <c r="AM330" s="54" t="b">
        <v>1</v>
      </c>
      <c r="AN330" s="54" t="b">
        <v>1</v>
      </c>
      <c r="AO330" s="54" t="b">
        <v>1</v>
      </c>
      <c r="AP330" s="54" t="b">
        <v>1</v>
      </c>
      <c r="AQ330" s="54" t="b">
        <v>1</v>
      </c>
      <c r="AR330" s="54" t="b">
        <v>1</v>
      </c>
      <c r="AS330" s="54" t="b">
        <v>1</v>
      </c>
      <c r="AT330" s="54" t="b">
        <v>1</v>
      </c>
      <c r="AU330" s="54" t="b">
        <v>1</v>
      </c>
      <c r="AV330" s="54" t="b">
        <v>1</v>
      </c>
      <c r="AW330" s="54" t="b">
        <v>1</v>
      </c>
      <c r="AX330" s="54" t="b">
        <v>1</v>
      </c>
      <c r="AY330" s="54" t="b">
        <v>1</v>
      </c>
      <c r="AZ330" s="54" t="b">
        <v>1</v>
      </c>
      <c r="BA330" s="54" t="b">
        <v>1</v>
      </c>
      <c r="BB330" s="54" t="b">
        <v>1</v>
      </c>
      <c r="BC330" s="54" t="b">
        <v>1</v>
      </c>
      <c r="BD330" s="54" t="b">
        <v>1</v>
      </c>
      <c r="BE330" s="54" t="b">
        <v>1</v>
      </c>
      <c r="BF330" s="54" t="b">
        <v>1</v>
      </c>
      <c r="BG330" s="54" t="b">
        <v>1</v>
      </c>
      <c r="BH330" s="54" t="b">
        <v>1</v>
      </c>
      <c r="BI330" s="54" t="b">
        <v>1</v>
      </c>
      <c r="BJ330" s="54" t="b">
        <v>1</v>
      </c>
      <c r="BK330" s="54" t="b">
        <v>1</v>
      </c>
      <c r="BL330" s="54" t="b">
        <v>1</v>
      </c>
      <c r="BM330" s="54" t="b">
        <v>1</v>
      </c>
      <c r="BN330" s="54" t="b">
        <v>1</v>
      </c>
      <c r="BO330" s="54" t="b">
        <v>1</v>
      </c>
    </row>
    <row r="331" hidden="1" outlineLevel="1">
      <c r="A331" s="71" t="str">
        <f>A330&amp;C331</f>
        <v>MarchPARSHU BAGHOT HOURS</v>
      </c>
      <c r="B331" s="72"/>
      <c r="C331" s="73" t="s">
        <v>120</v>
      </c>
      <c r="D331" s="33"/>
      <c r="E331" s="70">
        <f>(F331+G331+H331+I331+J331+K331+L331+M331+N331+O331+P331+Q331+R331+S331+T331+U331+V331+W331+X331+Y331+Z331+AA331+AB331+AC331+AD331+AE331+AF331+AG331+AH331+AI331+AJ331+AK331+AL331+AM331+AN331+AO331+AP331+AQ331+AR331+AS331+AT331+AU331+AV331+AW331+AX331+AY331+AZ331+BA331+BB331+BC331+BD331+BE331+BF331+BG331+BH331+BI331+BJ331+BK331+BL331+BM331+BN331+BO331)</f>
        <v>73</v>
      </c>
      <c r="F331" s="59">
        <v>6.0</v>
      </c>
      <c r="G331" s="33"/>
      <c r="H331" s="59">
        <v>7.0</v>
      </c>
      <c r="I331" s="33"/>
      <c r="J331" s="59">
        <v>2.0</v>
      </c>
      <c r="K331" s="33"/>
      <c r="L331" s="59">
        <v>4.0</v>
      </c>
      <c r="M331" s="33"/>
      <c r="N331" s="59">
        <v>4.0</v>
      </c>
      <c r="O331" s="33"/>
      <c r="P331" s="59">
        <v>2.0</v>
      </c>
      <c r="Q331" s="33"/>
      <c r="R331" s="59"/>
      <c r="S331" s="33"/>
      <c r="T331" s="59">
        <v>1.0</v>
      </c>
      <c r="U331" s="33"/>
      <c r="V331" s="59"/>
      <c r="W331" s="33"/>
      <c r="X331" s="59"/>
      <c r="Y331" s="33"/>
      <c r="Z331" s="59">
        <v>1.0</v>
      </c>
      <c r="AA331" s="33"/>
      <c r="AB331" s="59"/>
      <c r="AC331" s="33"/>
      <c r="AD331" s="59"/>
      <c r="AE331" s="33"/>
      <c r="AF331" s="59">
        <v>7.0</v>
      </c>
      <c r="AG331" s="33"/>
      <c r="AH331" s="59">
        <v>2.0</v>
      </c>
      <c r="AI331" s="33"/>
      <c r="AJ331" s="59"/>
      <c r="AK331" s="33"/>
      <c r="AL331" s="59">
        <v>3.0</v>
      </c>
      <c r="AM331" s="33"/>
      <c r="AN331" s="59">
        <v>4.0</v>
      </c>
      <c r="AO331" s="33"/>
      <c r="AP331" s="59">
        <v>2.0</v>
      </c>
      <c r="AQ331" s="33"/>
      <c r="AR331" s="59">
        <v>3.0</v>
      </c>
      <c r="AS331" s="33"/>
      <c r="AT331" s="59">
        <v>3.0</v>
      </c>
      <c r="AU331" s="33"/>
      <c r="AV331" s="59">
        <v>2.0</v>
      </c>
      <c r="AW331" s="33"/>
      <c r="AX331" s="59">
        <v>2.0</v>
      </c>
      <c r="AY331" s="33"/>
      <c r="AZ331" s="59">
        <v>3.0</v>
      </c>
      <c r="BA331" s="33"/>
      <c r="BB331" s="59"/>
      <c r="BC331" s="33"/>
      <c r="BD331" s="59"/>
      <c r="BE331" s="33"/>
      <c r="BF331" s="59"/>
      <c r="BG331" s="33"/>
      <c r="BH331" s="59"/>
      <c r="BI331" s="33"/>
      <c r="BJ331" s="59">
        <v>4.0</v>
      </c>
      <c r="BK331" s="33"/>
      <c r="BL331" s="59">
        <v>8.0</v>
      </c>
      <c r="BM331" s="33"/>
      <c r="BN331" s="59">
        <v>3.0</v>
      </c>
      <c r="BO331" s="33"/>
    </row>
    <row r="332" hidden="1" outlineLevel="1">
      <c r="A332" s="66" t="str">
        <f>B332&amp;D332</f>
        <v>MarchPINU BAGH</v>
      </c>
      <c r="B332" s="67" t="s">
        <v>50</v>
      </c>
      <c r="C332" s="68" t="s">
        <v>53</v>
      </c>
      <c r="D332" s="69" t="str">
        <f>IFERROR(VLOOKUP(C332,'Employees List'!$B$2:$C$28,2,0),"")</f>
        <v>PINU BAGH</v>
      </c>
      <c r="E332" s="70">
        <f>(F332+G332+H332+I332+J332+K332+L332+M332+N332+O332+P332+Q332+R332+S332+T332+U332+V332+W332+X332+Y332+Z332+AA332+AB332+AC332+AD332+AE332+AF332+AG332+AH332+AI332+AJ332+AK332+AL332+AM332+AN332+AO332+AP332+AQ332+AR332+AS332+AT332+AU332+AV332+AW332+AX332+AY332+AZ332+BA332+BB332+BC332+BD332+BE332+BF332+BG332+BH332+BI332+BJ332+BK332+BL332+BM332+BN332+BO332)/2</f>
        <v>29</v>
      </c>
      <c r="F332" s="54" t="b">
        <v>1</v>
      </c>
      <c r="G332" s="54" t="b">
        <v>1</v>
      </c>
      <c r="H332" s="54" t="b">
        <v>1</v>
      </c>
      <c r="I332" s="54" t="b">
        <v>1</v>
      </c>
      <c r="J332" s="54" t="b">
        <v>1</v>
      </c>
      <c r="K332" s="54" t="b">
        <v>1</v>
      </c>
      <c r="L332" s="54" t="b">
        <v>1</v>
      </c>
      <c r="M332" s="54" t="b">
        <v>1</v>
      </c>
      <c r="N332" s="54" t="b">
        <v>1</v>
      </c>
      <c r="O332" s="54" t="b">
        <v>1</v>
      </c>
      <c r="P332" s="54" t="b">
        <v>1</v>
      </c>
      <c r="Q332" s="54" t="b">
        <v>1</v>
      </c>
      <c r="R332" s="54" t="b">
        <v>1</v>
      </c>
      <c r="S332" s="54" t="b">
        <v>1</v>
      </c>
      <c r="T332" s="54" t="b">
        <v>1</v>
      </c>
      <c r="U332" s="54" t="b">
        <v>1</v>
      </c>
      <c r="V332" s="54" t="b">
        <v>1</v>
      </c>
      <c r="W332" s="54" t="b">
        <v>1</v>
      </c>
      <c r="X332" s="54" t="b">
        <v>1</v>
      </c>
      <c r="Y332" s="54" t="b">
        <v>1</v>
      </c>
      <c r="Z332" s="54" t="b">
        <v>1</v>
      </c>
      <c r="AA332" s="54" t="b">
        <v>1</v>
      </c>
      <c r="AB332" s="54" t="b">
        <v>0</v>
      </c>
      <c r="AC332" s="54" t="b">
        <v>0</v>
      </c>
      <c r="AD332" s="54" t="b">
        <v>1</v>
      </c>
      <c r="AE332" s="54" t="b">
        <v>1</v>
      </c>
      <c r="AF332" s="54" t="b">
        <v>1</v>
      </c>
      <c r="AG332" s="54" t="b">
        <v>1</v>
      </c>
      <c r="AH332" s="54" t="b">
        <v>1</v>
      </c>
      <c r="AI332" s="54" t="b">
        <v>1</v>
      </c>
      <c r="AJ332" s="54" t="b">
        <v>1</v>
      </c>
      <c r="AK332" s="54" t="b">
        <v>1</v>
      </c>
      <c r="AL332" s="54" t="b">
        <v>1</v>
      </c>
      <c r="AM332" s="54" t="b">
        <v>1</v>
      </c>
      <c r="AN332" s="54" t="b">
        <v>1</v>
      </c>
      <c r="AO332" s="54" t="b">
        <v>1</v>
      </c>
      <c r="AP332" s="54" t="b">
        <v>1</v>
      </c>
      <c r="AQ332" s="54" t="b">
        <v>1</v>
      </c>
      <c r="AR332" s="54" t="b">
        <v>1</v>
      </c>
      <c r="AS332" s="54" t="b">
        <v>1</v>
      </c>
      <c r="AT332" s="54" t="b">
        <v>1</v>
      </c>
      <c r="AU332" s="54" t="b">
        <v>1</v>
      </c>
      <c r="AV332" s="54" t="b">
        <v>1</v>
      </c>
      <c r="AW332" s="54" t="b">
        <v>1</v>
      </c>
      <c r="AX332" s="54" t="b">
        <v>1</v>
      </c>
      <c r="AY332" s="54" t="b">
        <v>1</v>
      </c>
      <c r="AZ332" s="54" t="b">
        <v>0</v>
      </c>
      <c r="BA332" s="54" t="b">
        <v>0</v>
      </c>
      <c r="BB332" s="54" t="b">
        <v>1</v>
      </c>
      <c r="BC332" s="54" t="b">
        <v>1</v>
      </c>
      <c r="BD332" s="54" t="b">
        <v>1</v>
      </c>
      <c r="BE332" s="54" t="b">
        <v>1</v>
      </c>
      <c r="BF332" s="54" t="b">
        <v>1</v>
      </c>
      <c r="BG332" s="54" t="b">
        <v>1</v>
      </c>
      <c r="BH332" s="54" t="b">
        <v>1</v>
      </c>
      <c r="BI332" s="54" t="b">
        <v>1</v>
      </c>
      <c r="BJ332" s="54" t="b">
        <v>1</v>
      </c>
      <c r="BK332" s="54" t="b">
        <v>1</v>
      </c>
      <c r="BL332" s="54" t="b">
        <v>1</v>
      </c>
      <c r="BM332" s="54" t="b">
        <v>1</v>
      </c>
      <c r="BN332" s="54" t="b">
        <v>1</v>
      </c>
      <c r="BO332" s="54" t="b">
        <v>1</v>
      </c>
    </row>
    <row r="333" hidden="1" outlineLevel="1">
      <c r="A333" s="71" t="str">
        <f>A332&amp;C333</f>
        <v>MarchPINU BAGHOT HOURS</v>
      </c>
      <c r="B333" s="72"/>
      <c r="C333" s="73" t="s">
        <v>120</v>
      </c>
      <c r="D333" s="33"/>
      <c r="E333" s="70">
        <f>(F333+G333+H333+I333+J333+K333+L333+M333+N333+O333+P333+Q333+R333+S333+T333+U333+V333+W333+X333+Y333+Z333+AA333+AB333+AC333+AD333+AE333+AF333+AG333+AH333+AI333+AJ333+AK333+AL333+AM333+AN333+AO333+AP333+AQ333+AR333+AS333+AT333+AU333+AV333+AW333+AX333+AY333+AZ333+BA333+BB333+BC333+BD333+BE333+BF333+BG333+BH333+BI333+BJ333+BK333+BL333+BM333+BN333+BO333)</f>
        <v>64</v>
      </c>
      <c r="F333" s="59">
        <v>4.0</v>
      </c>
      <c r="G333" s="33"/>
      <c r="H333" s="59">
        <v>7.0</v>
      </c>
      <c r="I333" s="33"/>
      <c r="J333" s="59">
        <v>1.0</v>
      </c>
      <c r="K333" s="33"/>
      <c r="L333" s="59">
        <v>4.0</v>
      </c>
      <c r="M333" s="33"/>
      <c r="N333" s="59">
        <v>4.0</v>
      </c>
      <c r="O333" s="33"/>
      <c r="P333" s="59">
        <v>2.0</v>
      </c>
      <c r="Q333" s="33"/>
      <c r="R333" s="59"/>
      <c r="S333" s="33"/>
      <c r="T333" s="59"/>
      <c r="U333" s="33"/>
      <c r="V333" s="59"/>
      <c r="W333" s="33"/>
      <c r="X333" s="59"/>
      <c r="Y333" s="33"/>
      <c r="Z333" s="59"/>
      <c r="AA333" s="33"/>
      <c r="AB333" s="59"/>
      <c r="AC333" s="33"/>
      <c r="AD333" s="59"/>
      <c r="AE333" s="33"/>
      <c r="AF333" s="59">
        <v>7.0</v>
      </c>
      <c r="AG333" s="33"/>
      <c r="AH333" s="59">
        <v>2.0</v>
      </c>
      <c r="AI333" s="33"/>
      <c r="AJ333" s="59"/>
      <c r="AK333" s="33"/>
      <c r="AL333" s="59">
        <v>2.0</v>
      </c>
      <c r="AM333" s="33"/>
      <c r="AN333" s="59">
        <v>4.0</v>
      </c>
      <c r="AO333" s="33"/>
      <c r="AP333" s="59"/>
      <c r="AQ333" s="33"/>
      <c r="AR333" s="59">
        <v>2.0</v>
      </c>
      <c r="AS333" s="33"/>
      <c r="AT333" s="59">
        <v>3.0</v>
      </c>
      <c r="AU333" s="33"/>
      <c r="AV333" s="59">
        <v>2.0</v>
      </c>
      <c r="AW333" s="33"/>
      <c r="AX333" s="59">
        <v>2.0</v>
      </c>
      <c r="AY333" s="33"/>
      <c r="AZ333" s="59"/>
      <c r="BA333" s="33"/>
      <c r="BB333" s="59">
        <v>4.0</v>
      </c>
      <c r="BC333" s="33"/>
      <c r="BD333" s="59"/>
      <c r="BE333" s="33"/>
      <c r="BF333" s="59"/>
      <c r="BG333" s="33"/>
      <c r="BH333" s="59"/>
      <c r="BI333" s="33"/>
      <c r="BJ333" s="59">
        <v>4.0</v>
      </c>
      <c r="BK333" s="33"/>
      <c r="BL333" s="59">
        <v>8.0</v>
      </c>
      <c r="BM333" s="33"/>
      <c r="BN333" s="59">
        <v>2.0</v>
      </c>
      <c r="BO333" s="33"/>
    </row>
    <row r="334" hidden="1" outlineLevel="1">
      <c r="A334" s="66" t="str">
        <f>B334&amp;D334</f>
        <v>MarchSANJAI BHAGAT</v>
      </c>
      <c r="B334" s="67" t="s">
        <v>50</v>
      </c>
      <c r="C334" s="68" t="s">
        <v>30</v>
      </c>
      <c r="D334" s="69" t="str">
        <f>IFERROR(VLOOKUP(C334,'Employees List'!$B$2:$C$999,2,0),"")</f>
        <v>SANJAI BHAGAT</v>
      </c>
      <c r="E334" s="70">
        <f>(F334+G334+H334+I334+J334+K334+L334+M334+N334+O334+P334+Q334+R334+S334+T334+U334+V334+W334+X334+Y334+Z334+AA334+AB334+AC334+AD334+AE334+AF334+AG334+AH334+AI334+AJ334+AK334+AL334+AM334+AN334+AO334+AP334+AQ334+AR334+AS334+AT334+AU334+AV334+AW334+AX334+AY334+AZ334+BA334+BB334+BC334+BD334+BE334+BF334+BG334+BH334+BI334+BJ334+BK334+BL334+BM334+BN334+BO334)/2</f>
        <v>7</v>
      </c>
      <c r="F334" s="54" t="b">
        <v>0</v>
      </c>
      <c r="G334" s="54" t="b">
        <v>0</v>
      </c>
      <c r="H334" s="54" t="b">
        <v>0</v>
      </c>
      <c r="I334" s="54" t="b">
        <v>0</v>
      </c>
      <c r="J334" s="54" t="b">
        <v>0</v>
      </c>
      <c r="K334" s="54" t="b">
        <v>0</v>
      </c>
      <c r="L334" s="54" t="b">
        <v>0</v>
      </c>
      <c r="M334" s="54" t="b">
        <v>0</v>
      </c>
      <c r="N334" s="54" t="b">
        <v>0</v>
      </c>
      <c r="O334" s="54" t="b">
        <v>0</v>
      </c>
      <c r="P334" s="54" t="b">
        <v>0</v>
      </c>
      <c r="Q334" s="54" t="b">
        <v>0</v>
      </c>
      <c r="R334" s="54" t="b">
        <v>0</v>
      </c>
      <c r="S334" s="54" t="b">
        <v>0</v>
      </c>
      <c r="T334" s="54" t="b">
        <v>0</v>
      </c>
      <c r="U334" s="54" t="b">
        <v>0</v>
      </c>
      <c r="V334" s="54" t="b">
        <v>0</v>
      </c>
      <c r="W334" s="54" t="b">
        <v>0</v>
      </c>
      <c r="X334" s="54" t="b">
        <v>0</v>
      </c>
      <c r="Y334" s="54" t="b">
        <v>0</v>
      </c>
      <c r="Z334" s="54" t="b">
        <v>0</v>
      </c>
      <c r="AA334" s="54" t="b">
        <v>0</v>
      </c>
      <c r="AB334" s="54" t="b">
        <v>0</v>
      </c>
      <c r="AC334" s="54" t="b">
        <v>0</v>
      </c>
      <c r="AD334" s="54" t="b">
        <v>0</v>
      </c>
      <c r="AE334" s="54" t="b">
        <v>0</v>
      </c>
      <c r="AF334" s="54" t="b">
        <v>0</v>
      </c>
      <c r="AG334" s="54" t="b">
        <v>0</v>
      </c>
      <c r="AH334" s="54" t="b">
        <v>0</v>
      </c>
      <c r="AI334" s="54" t="b">
        <v>0</v>
      </c>
      <c r="AJ334" s="54" t="b">
        <v>0</v>
      </c>
      <c r="AK334" s="54" t="b">
        <v>0</v>
      </c>
      <c r="AL334" s="54" t="b">
        <v>0</v>
      </c>
      <c r="AM334" s="54" t="b">
        <v>0</v>
      </c>
      <c r="AN334" s="54" t="b">
        <v>0</v>
      </c>
      <c r="AO334" s="54" t="b">
        <v>0</v>
      </c>
      <c r="AP334" s="54" t="b">
        <v>0</v>
      </c>
      <c r="AQ334" s="54" t="b">
        <v>0</v>
      </c>
      <c r="AR334" s="54" t="b">
        <v>0</v>
      </c>
      <c r="AS334" s="54" t="b">
        <v>0</v>
      </c>
      <c r="AT334" s="54" t="b">
        <v>0</v>
      </c>
      <c r="AU334" s="54" t="b">
        <v>0</v>
      </c>
      <c r="AV334" s="54" t="b">
        <v>0</v>
      </c>
      <c r="AW334" s="54" t="b">
        <v>0</v>
      </c>
      <c r="AX334" s="54" t="b">
        <v>0</v>
      </c>
      <c r="AY334" s="54" t="b">
        <v>0</v>
      </c>
      <c r="AZ334" s="54" t="b">
        <v>0</v>
      </c>
      <c r="BA334" s="54" t="b">
        <v>0</v>
      </c>
      <c r="BB334" s="54" t="b">
        <v>1</v>
      </c>
      <c r="BC334" s="54" t="b">
        <v>1</v>
      </c>
      <c r="BD334" s="54" t="b">
        <v>1</v>
      </c>
      <c r="BE334" s="54" t="b">
        <v>1</v>
      </c>
      <c r="BF334" s="54" t="b">
        <v>1</v>
      </c>
      <c r="BG334" s="54" t="b">
        <v>1</v>
      </c>
      <c r="BH334" s="54" t="b">
        <v>1</v>
      </c>
      <c r="BI334" s="54" t="b">
        <v>1</v>
      </c>
      <c r="BJ334" s="54" t="b">
        <v>1</v>
      </c>
      <c r="BK334" s="54" t="b">
        <v>1</v>
      </c>
      <c r="BL334" s="54" t="b">
        <v>1</v>
      </c>
      <c r="BM334" s="54" t="b">
        <v>1</v>
      </c>
      <c r="BN334" s="54" t="b">
        <v>1</v>
      </c>
      <c r="BO334" s="54" t="b">
        <v>1</v>
      </c>
    </row>
    <row r="335" hidden="1" outlineLevel="1">
      <c r="A335" s="71" t="str">
        <f>A334&amp;C335</f>
        <v>MarchSANJAI BHAGATOT HOURS</v>
      </c>
      <c r="B335" s="72"/>
      <c r="C335" s="73" t="s">
        <v>120</v>
      </c>
      <c r="D335" s="33"/>
      <c r="E335" s="70">
        <f>(F335+G335+H335+I335+J335+K335+L335+M335+N335+O335+P335+Q335+R335+S335+T335+U335+V335+W335+X335+Y335+Z335+AA335+AB335+AC335+AD335+AE335+AF335+AG335+AH335+AI335+AJ335+AK335+AL335+AM335+AN335+AO335+AP335+AQ335+AR335+AS335+AT335+AU335+AV335+AW335+AX335+AY335+AZ335+BA335+BB335+BC335+BD335+BE335+BF335+BG335+BH335+BI335+BJ335+BK335+BL335+BM335+BN335+BO335)</f>
        <v>26</v>
      </c>
      <c r="F335" s="59"/>
      <c r="G335" s="33"/>
      <c r="H335" s="59"/>
      <c r="I335" s="33"/>
      <c r="J335" s="59"/>
      <c r="K335" s="33"/>
      <c r="L335" s="59"/>
      <c r="M335" s="33"/>
      <c r="N335" s="59"/>
      <c r="O335" s="33"/>
      <c r="P335" s="59"/>
      <c r="Q335" s="33"/>
      <c r="R335" s="59"/>
      <c r="S335" s="33"/>
      <c r="T335" s="59"/>
      <c r="U335" s="33"/>
      <c r="V335" s="59"/>
      <c r="W335" s="33"/>
      <c r="X335" s="59"/>
      <c r="Y335" s="33"/>
      <c r="Z335" s="59"/>
      <c r="AA335" s="33"/>
      <c r="AB335" s="59"/>
      <c r="AC335" s="33"/>
      <c r="AD335" s="59"/>
      <c r="AE335" s="33"/>
      <c r="AF335" s="59"/>
      <c r="AG335" s="33"/>
      <c r="AH335" s="59"/>
      <c r="AI335" s="33"/>
      <c r="AJ335" s="59"/>
      <c r="AK335" s="33"/>
      <c r="AL335" s="59"/>
      <c r="AM335" s="33"/>
      <c r="AN335" s="59"/>
      <c r="AO335" s="33"/>
      <c r="AP335" s="59"/>
      <c r="AQ335" s="33"/>
      <c r="AR335" s="59"/>
      <c r="AS335" s="33"/>
      <c r="AT335" s="59"/>
      <c r="AU335" s="33"/>
      <c r="AV335" s="59"/>
      <c r="AW335" s="33"/>
      <c r="AX335" s="59"/>
      <c r="AY335" s="33"/>
      <c r="AZ335" s="59"/>
      <c r="BA335" s="33"/>
      <c r="BB335" s="59">
        <v>3.0</v>
      </c>
      <c r="BC335" s="33"/>
      <c r="BD335" s="59">
        <v>2.0</v>
      </c>
      <c r="BE335" s="33"/>
      <c r="BF335" s="59">
        <v>2.0</v>
      </c>
      <c r="BG335" s="33"/>
      <c r="BH335" s="59">
        <v>2.0</v>
      </c>
      <c r="BI335" s="33"/>
      <c r="BJ335" s="59">
        <v>6.0</v>
      </c>
      <c r="BK335" s="33"/>
      <c r="BL335" s="59">
        <v>8.0</v>
      </c>
      <c r="BM335" s="33"/>
      <c r="BN335" s="59">
        <v>3.0</v>
      </c>
      <c r="BO335" s="33"/>
    </row>
    <row r="336" hidden="1" outlineLevel="1">
      <c r="A336" s="47"/>
      <c r="B336" s="48"/>
      <c r="C336" s="79"/>
      <c r="D336" s="80"/>
      <c r="E336" s="81"/>
      <c r="F336" s="80"/>
      <c r="G336" s="80"/>
      <c r="H336" s="80"/>
      <c r="I336" s="80"/>
      <c r="J336" s="80"/>
      <c r="K336" s="80"/>
      <c r="L336" s="80"/>
      <c r="M336" s="80"/>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c r="AK336" s="80"/>
      <c r="AL336" s="80"/>
      <c r="AM336" s="80"/>
      <c r="AN336" s="80"/>
      <c r="AO336" s="80"/>
      <c r="AP336" s="80"/>
      <c r="AQ336" s="80"/>
      <c r="AR336" s="80"/>
      <c r="AS336" s="80"/>
      <c r="AT336" s="80"/>
      <c r="AU336" s="80"/>
      <c r="AV336" s="80"/>
      <c r="AW336" s="80"/>
      <c r="AX336" s="80"/>
      <c r="AY336" s="80"/>
      <c r="AZ336" s="80"/>
      <c r="BA336" s="80"/>
      <c r="BB336" s="80"/>
      <c r="BC336" s="80"/>
      <c r="BD336" s="80"/>
      <c r="BE336" s="80"/>
      <c r="BF336" s="80"/>
      <c r="BG336" s="80"/>
      <c r="BH336" s="80"/>
      <c r="BI336" s="80"/>
      <c r="BJ336" s="80"/>
      <c r="BK336" s="80"/>
      <c r="BL336" s="80"/>
      <c r="BM336" s="80"/>
      <c r="BN336" s="80"/>
      <c r="BO336" s="80"/>
    </row>
    <row r="337" hidden="1" outlineLevel="1">
      <c r="A337" s="47"/>
      <c r="B337" s="48"/>
      <c r="C337" s="79"/>
      <c r="D337" s="80"/>
      <c r="E337" s="81"/>
      <c r="F337" s="80"/>
      <c r="G337" s="80"/>
      <c r="H337" s="80"/>
      <c r="I337" s="80"/>
      <c r="J337" s="80"/>
      <c r="K337" s="80"/>
      <c r="L337" s="80"/>
      <c r="M337" s="80"/>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c r="AK337" s="80"/>
      <c r="AL337" s="80"/>
      <c r="AM337" s="80"/>
      <c r="AN337" s="80"/>
      <c r="AO337" s="80"/>
      <c r="AP337" s="80"/>
      <c r="AQ337" s="80"/>
      <c r="AR337" s="80"/>
      <c r="AS337" s="80"/>
      <c r="AT337" s="80"/>
      <c r="AU337" s="80"/>
      <c r="AV337" s="80"/>
      <c r="AW337" s="80"/>
      <c r="AX337" s="80"/>
      <c r="AY337" s="80"/>
      <c r="AZ337" s="80"/>
      <c r="BA337" s="80"/>
      <c r="BB337" s="80"/>
      <c r="BC337" s="80"/>
      <c r="BD337" s="80"/>
      <c r="BE337" s="80"/>
      <c r="BF337" s="80"/>
      <c r="BG337" s="80"/>
      <c r="BH337" s="80"/>
      <c r="BI337" s="80"/>
      <c r="BJ337" s="80"/>
      <c r="BK337" s="80"/>
      <c r="BL337" s="80"/>
      <c r="BM337" s="80"/>
      <c r="BN337" s="80"/>
      <c r="BO337" s="80"/>
    </row>
    <row r="338">
      <c r="A338" s="47"/>
      <c r="B338" s="48"/>
      <c r="C338" s="79"/>
      <c r="D338" s="80"/>
      <c r="E338" s="81"/>
      <c r="F338" s="80"/>
      <c r="G338" s="80"/>
      <c r="H338" s="80"/>
      <c r="I338" s="80"/>
      <c r="J338" s="80"/>
      <c r="K338" s="80"/>
      <c r="L338" s="80"/>
      <c r="M338" s="80"/>
      <c r="N338" s="80"/>
      <c r="O338" s="80"/>
      <c r="P338" s="80"/>
      <c r="Q338" s="80"/>
      <c r="R338" s="80"/>
      <c r="S338" s="80"/>
      <c r="T338" s="80"/>
      <c r="U338" s="80"/>
      <c r="V338" s="80"/>
      <c r="W338" s="80"/>
      <c r="X338" s="80"/>
      <c r="Y338" s="80"/>
      <c r="Z338" s="80"/>
      <c r="AA338" s="80"/>
      <c r="AB338" s="80"/>
      <c r="AC338" s="80"/>
      <c r="AD338" s="80"/>
      <c r="AE338" s="80"/>
      <c r="AF338" s="80"/>
      <c r="AG338" s="80"/>
      <c r="AH338" s="80"/>
      <c r="AI338" s="80"/>
      <c r="AJ338" s="80"/>
      <c r="AK338" s="80"/>
      <c r="AL338" s="80"/>
      <c r="AM338" s="80"/>
      <c r="AN338" s="80"/>
      <c r="AO338" s="80"/>
      <c r="AP338" s="80"/>
      <c r="AQ338" s="80"/>
      <c r="AR338" s="80"/>
      <c r="AS338" s="80"/>
      <c r="AT338" s="80"/>
      <c r="AU338" s="80"/>
      <c r="AV338" s="80"/>
      <c r="AW338" s="80"/>
      <c r="AX338" s="80"/>
      <c r="AY338" s="80"/>
      <c r="AZ338" s="80"/>
      <c r="BA338" s="80"/>
      <c r="BB338" s="80"/>
      <c r="BC338" s="80"/>
      <c r="BD338" s="80"/>
      <c r="BE338" s="80"/>
      <c r="BF338" s="80"/>
      <c r="BG338" s="80"/>
      <c r="BH338" s="80"/>
      <c r="BI338" s="80"/>
      <c r="BJ338" s="80"/>
      <c r="BK338" s="80"/>
      <c r="BL338" s="80"/>
      <c r="BM338" s="80"/>
      <c r="BN338" s="80"/>
      <c r="BO338" s="80"/>
    </row>
    <row r="339">
      <c r="A339" s="47"/>
      <c r="B339" s="48"/>
      <c r="C339" s="79"/>
      <c r="D339" s="80"/>
      <c r="E339" s="81"/>
      <c r="F339" s="80"/>
      <c r="G339" s="80"/>
      <c r="H339" s="80"/>
      <c r="I339" s="80"/>
      <c r="J339" s="80"/>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K339" s="80"/>
      <c r="AL339" s="80"/>
      <c r="AM339" s="80"/>
      <c r="AN339" s="80"/>
      <c r="AO339" s="80"/>
      <c r="AP339" s="80"/>
      <c r="AQ339" s="80"/>
      <c r="AR339" s="80"/>
      <c r="AS339" s="80"/>
      <c r="AT339" s="80"/>
      <c r="AU339" s="80"/>
      <c r="AV339" s="80"/>
      <c r="AW339" s="80"/>
      <c r="AX339" s="80"/>
      <c r="AY339" s="80"/>
      <c r="AZ339" s="80"/>
      <c r="BA339" s="80"/>
      <c r="BB339" s="80"/>
      <c r="BC339" s="80"/>
      <c r="BD339" s="80"/>
      <c r="BE339" s="80"/>
      <c r="BF339" s="80"/>
      <c r="BG339" s="80"/>
      <c r="BH339" s="80"/>
      <c r="BI339" s="80"/>
      <c r="BJ339" s="80"/>
      <c r="BK339" s="80"/>
      <c r="BL339" s="80"/>
      <c r="BM339" s="80"/>
      <c r="BN339" s="80"/>
      <c r="BO339" s="80"/>
    </row>
    <row r="340">
      <c r="A340" s="47"/>
      <c r="B340" s="48"/>
      <c r="C340" s="79"/>
      <c r="D340" s="80"/>
      <c r="E340" s="81"/>
      <c r="F340" s="80"/>
      <c r="G340" s="80"/>
      <c r="H340" s="80"/>
      <c r="I340" s="80"/>
      <c r="J340" s="80"/>
      <c r="K340" s="80"/>
      <c r="L340" s="80"/>
      <c r="M340" s="80"/>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c r="AK340" s="80"/>
      <c r="AL340" s="80"/>
      <c r="AM340" s="80"/>
      <c r="AN340" s="80"/>
      <c r="AO340" s="80"/>
      <c r="AP340" s="80"/>
      <c r="AQ340" s="80"/>
      <c r="AR340" s="80"/>
      <c r="AS340" s="80"/>
      <c r="AT340" s="80"/>
      <c r="AU340" s="80"/>
      <c r="AV340" s="80"/>
      <c r="AW340" s="80"/>
      <c r="AX340" s="80"/>
      <c r="AY340" s="80"/>
      <c r="AZ340" s="80"/>
      <c r="BA340" s="80"/>
      <c r="BB340" s="80"/>
      <c r="BC340" s="80"/>
      <c r="BD340" s="80"/>
      <c r="BE340" s="80"/>
      <c r="BF340" s="80"/>
      <c r="BG340" s="80"/>
      <c r="BH340" s="80"/>
      <c r="BI340" s="80"/>
      <c r="BJ340" s="80"/>
      <c r="BK340" s="80"/>
      <c r="BL340" s="80"/>
      <c r="BM340" s="80"/>
      <c r="BN340" s="80"/>
      <c r="BO340" s="80"/>
    </row>
    <row r="341">
      <c r="A341" s="47"/>
      <c r="B341" s="48"/>
      <c r="C341" s="79"/>
      <c r="D341" s="80"/>
      <c r="E341" s="81"/>
      <c r="F341" s="80"/>
      <c r="G341" s="80"/>
      <c r="H341" s="80"/>
      <c r="I341" s="80"/>
      <c r="J341" s="80"/>
      <c r="K341" s="80"/>
      <c r="L341" s="80"/>
      <c r="M341" s="80"/>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c r="AK341" s="80"/>
      <c r="AL341" s="80"/>
      <c r="AM341" s="80"/>
      <c r="AN341" s="80"/>
      <c r="AO341" s="80"/>
      <c r="AP341" s="80"/>
      <c r="AQ341" s="80"/>
      <c r="AR341" s="80"/>
      <c r="AS341" s="80"/>
      <c r="AT341" s="80"/>
      <c r="AU341" s="80"/>
      <c r="AV341" s="80"/>
      <c r="AW341" s="80"/>
      <c r="AX341" s="80"/>
      <c r="AY341" s="80"/>
      <c r="AZ341" s="80"/>
      <c r="BA341" s="80"/>
      <c r="BB341" s="80"/>
      <c r="BC341" s="80"/>
      <c r="BD341" s="80"/>
      <c r="BE341" s="80"/>
      <c r="BF341" s="80"/>
      <c r="BG341" s="80"/>
      <c r="BH341" s="80"/>
      <c r="BI341" s="80"/>
      <c r="BJ341" s="80"/>
      <c r="BK341" s="80"/>
      <c r="BL341" s="80"/>
      <c r="BM341" s="80"/>
      <c r="BN341" s="80"/>
      <c r="BO341" s="80"/>
    </row>
    <row r="342">
      <c r="A342" s="47"/>
      <c r="B342" s="48"/>
      <c r="C342" s="79"/>
      <c r="D342" s="80"/>
      <c r="E342" s="81"/>
      <c r="F342" s="80"/>
      <c r="G342" s="80"/>
      <c r="H342" s="80"/>
      <c r="I342" s="80"/>
      <c r="J342" s="80"/>
      <c r="K342" s="80"/>
      <c r="L342" s="80"/>
      <c r="M342" s="80"/>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c r="AK342" s="80"/>
      <c r="AL342" s="80"/>
      <c r="AM342" s="80"/>
      <c r="AN342" s="80"/>
      <c r="AO342" s="80"/>
      <c r="AP342" s="80"/>
      <c r="AQ342" s="80"/>
      <c r="AR342" s="80"/>
      <c r="AS342" s="80"/>
      <c r="AT342" s="80"/>
      <c r="AU342" s="80"/>
      <c r="AV342" s="80"/>
      <c r="AW342" s="80"/>
      <c r="AX342" s="80"/>
      <c r="AY342" s="80"/>
      <c r="AZ342" s="80"/>
      <c r="BA342" s="80"/>
      <c r="BB342" s="80"/>
      <c r="BC342" s="80"/>
      <c r="BD342" s="80"/>
      <c r="BE342" s="80"/>
      <c r="BF342" s="80"/>
      <c r="BG342" s="80"/>
      <c r="BH342" s="80"/>
      <c r="BI342" s="80"/>
      <c r="BJ342" s="80"/>
      <c r="BK342" s="80"/>
      <c r="BL342" s="80"/>
      <c r="BM342" s="80"/>
      <c r="BN342" s="80"/>
      <c r="BO342" s="80"/>
    </row>
    <row r="343">
      <c r="A343" s="47"/>
      <c r="B343" s="48"/>
      <c r="C343" s="79"/>
      <c r="D343" s="80"/>
      <c r="E343" s="81"/>
      <c r="F343" s="80"/>
      <c r="G343" s="80"/>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c r="AK343" s="80"/>
      <c r="AL343" s="80"/>
      <c r="AM343" s="80"/>
      <c r="AN343" s="80"/>
      <c r="AO343" s="80"/>
      <c r="AP343" s="80"/>
      <c r="AQ343" s="80"/>
      <c r="AR343" s="80"/>
      <c r="AS343" s="80"/>
      <c r="AT343" s="80"/>
      <c r="AU343" s="80"/>
      <c r="AV343" s="80"/>
      <c r="AW343" s="80"/>
      <c r="AX343" s="80"/>
      <c r="AY343" s="80"/>
      <c r="AZ343" s="80"/>
      <c r="BA343" s="80"/>
      <c r="BB343" s="80"/>
      <c r="BC343" s="80"/>
      <c r="BD343" s="80"/>
      <c r="BE343" s="80"/>
      <c r="BF343" s="80"/>
      <c r="BG343" s="80"/>
      <c r="BH343" s="80"/>
      <c r="BI343" s="80"/>
      <c r="BJ343" s="80"/>
      <c r="BK343" s="80"/>
      <c r="BL343" s="80"/>
      <c r="BM343" s="80"/>
      <c r="BN343" s="80"/>
      <c r="BO343" s="80"/>
    </row>
    <row r="344">
      <c r="A344" s="47"/>
      <c r="B344" s="48"/>
      <c r="C344" s="79"/>
      <c r="D344" s="80"/>
      <c r="E344" s="81"/>
      <c r="F344" s="80"/>
      <c r="G344" s="80"/>
      <c r="H344" s="80"/>
      <c r="I344" s="80"/>
      <c r="J344" s="80"/>
      <c r="K344" s="80"/>
      <c r="L344" s="80"/>
      <c r="M344" s="80"/>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c r="AK344" s="80"/>
      <c r="AL344" s="80"/>
      <c r="AM344" s="80"/>
      <c r="AN344" s="80"/>
      <c r="AO344" s="80"/>
      <c r="AP344" s="80"/>
      <c r="AQ344" s="80"/>
      <c r="AR344" s="80"/>
      <c r="AS344" s="80"/>
      <c r="AT344" s="80"/>
      <c r="AU344" s="80"/>
      <c r="AV344" s="80"/>
      <c r="AW344" s="80"/>
      <c r="AX344" s="80"/>
      <c r="AY344" s="80"/>
      <c r="AZ344" s="80"/>
      <c r="BA344" s="80"/>
      <c r="BB344" s="80"/>
      <c r="BC344" s="80"/>
      <c r="BD344" s="80"/>
      <c r="BE344" s="80"/>
      <c r="BF344" s="80"/>
      <c r="BG344" s="80"/>
      <c r="BH344" s="80"/>
      <c r="BI344" s="80"/>
      <c r="BJ344" s="80"/>
      <c r="BK344" s="80"/>
      <c r="BL344" s="80"/>
      <c r="BM344" s="80"/>
      <c r="BN344" s="80"/>
      <c r="BO344" s="80"/>
    </row>
    <row r="345">
      <c r="A345" s="47"/>
      <c r="B345" s="48"/>
      <c r="C345" s="79"/>
      <c r="D345" s="80"/>
      <c r="E345" s="81"/>
      <c r="F345" s="80"/>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80"/>
      <c r="BD345" s="80"/>
      <c r="BE345" s="80"/>
      <c r="BF345" s="80"/>
      <c r="BG345" s="80"/>
      <c r="BH345" s="80"/>
      <c r="BI345" s="80"/>
      <c r="BJ345" s="80"/>
      <c r="BK345" s="80"/>
      <c r="BL345" s="80"/>
      <c r="BM345" s="80"/>
      <c r="BN345" s="80"/>
      <c r="BO345" s="80"/>
    </row>
    <row r="346">
      <c r="A346" s="47"/>
      <c r="B346" s="48"/>
      <c r="C346" s="79"/>
      <c r="D346" s="80"/>
      <c r="E346" s="81"/>
      <c r="F346" s="80"/>
      <c r="G346" s="80"/>
      <c r="H346" s="80"/>
      <c r="I346" s="80"/>
      <c r="J346" s="80"/>
      <c r="K346" s="80"/>
      <c r="L346" s="80"/>
      <c r="M346" s="80"/>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c r="AK346" s="80"/>
      <c r="AL346" s="80"/>
      <c r="AM346" s="80"/>
      <c r="AN346" s="80"/>
      <c r="AO346" s="80"/>
      <c r="AP346" s="80"/>
      <c r="AQ346" s="80"/>
      <c r="AR346" s="80"/>
      <c r="AS346" s="80"/>
      <c r="AT346" s="80"/>
      <c r="AU346" s="80"/>
      <c r="AV346" s="80"/>
      <c r="AW346" s="80"/>
      <c r="AX346" s="80"/>
      <c r="AY346" s="80"/>
      <c r="AZ346" s="80"/>
      <c r="BA346" s="80"/>
      <c r="BB346" s="80"/>
      <c r="BC346" s="80"/>
      <c r="BD346" s="80"/>
      <c r="BE346" s="80"/>
      <c r="BF346" s="80"/>
      <c r="BG346" s="80"/>
      <c r="BH346" s="80"/>
      <c r="BI346" s="80"/>
      <c r="BJ346" s="80"/>
      <c r="BK346" s="80"/>
      <c r="BL346" s="80"/>
      <c r="BM346" s="80"/>
      <c r="BN346" s="80"/>
      <c r="BO346" s="80"/>
    </row>
    <row r="347">
      <c r="A347" s="47"/>
      <c r="B347" s="48"/>
      <c r="C347" s="79"/>
      <c r="D347" s="80"/>
      <c r="E347" s="81"/>
      <c r="F347" s="80"/>
      <c r="G347" s="80"/>
      <c r="H347" s="80"/>
      <c r="I347" s="80"/>
      <c r="J347" s="80"/>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K347" s="80"/>
      <c r="AL347" s="80"/>
      <c r="AM347" s="80"/>
      <c r="AN347" s="80"/>
      <c r="AO347" s="80"/>
      <c r="AP347" s="80"/>
      <c r="AQ347" s="80"/>
      <c r="AR347" s="80"/>
      <c r="AS347" s="80"/>
      <c r="AT347" s="80"/>
      <c r="AU347" s="80"/>
      <c r="AV347" s="80"/>
      <c r="AW347" s="80"/>
      <c r="AX347" s="80"/>
      <c r="AY347" s="80"/>
      <c r="AZ347" s="80"/>
      <c r="BA347" s="80"/>
      <c r="BB347" s="80"/>
      <c r="BC347" s="80"/>
      <c r="BD347" s="80"/>
      <c r="BE347" s="80"/>
      <c r="BF347" s="80"/>
      <c r="BG347" s="80"/>
      <c r="BH347" s="80"/>
      <c r="BI347" s="80"/>
      <c r="BJ347" s="80"/>
      <c r="BK347" s="80"/>
      <c r="BL347" s="80"/>
      <c r="BM347" s="80"/>
      <c r="BN347" s="80"/>
      <c r="BO347" s="80"/>
    </row>
    <row r="348">
      <c r="A348" s="47"/>
      <c r="B348" s="48"/>
      <c r="C348" s="79"/>
      <c r="D348" s="80"/>
      <c r="E348" s="81"/>
      <c r="F348" s="80"/>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80"/>
      <c r="BD348" s="80"/>
      <c r="BE348" s="80"/>
      <c r="BF348" s="80"/>
      <c r="BG348" s="80"/>
      <c r="BH348" s="80"/>
      <c r="BI348" s="80"/>
      <c r="BJ348" s="80"/>
      <c r="BK348" s="80"/>
      <c r="BL348" s="80"/>
      <c r="BM348" s="80"/>
      <c r="BN348" s="80"/>
      <c r="BO348" s="80"/>
    </row>
    <row r="349">
      <c r="A349" s="86"/>
      <c r="B349" s="87"/>
      <c r="C349" s="80"/>
      <c r="D349" s="80"/>
      <c r="E349" s="81"/>
      <c r="F349" s="80"/>
      <c r="G349" s="80"/>
      <c r="H349" s="80"/>
      <c r="I349" s="80"/>
      <c r="J349" s="80"/>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K349" s="80"/>
      <c r="AL349" s="80"/>
      <c r="AM349" s="80"/>
      <c r="AN349" s="80"/>
      <c r="AO349" s="80"/>
      <c r="AP349" s="80"/>
      <c r="AQ349" s="80"/>
      <c r="AR349" s="80"/>
      <c r="AS349" s="80"/>
      <c r="AT349" s="80"/>
      <c r="AU349" s="80"/>
      <c r="AV349" s="80"/>
      <c r="AW349" s="80"/>
      <c r="AX349" s="80"/>
      <c r="AY349" s="80"/>
      <c r="AZ349" s="80"/>
      <c r="BA349" s="80"/>
      <c r="BB349" s="80"/>
      <c r="BC349" s="80"/>
      <c r="BD349" s="80"/>
      <c r="BE349" s="80"/>
      <c r="BF349" s="80"/>
      <c r="BG349" s="80"/>
      <c r="BH349" s="80"/>
      <c r="BI349" s="80"/>
      <c r="BJ349" s="80"/>
      <c r="BK349" s="80"/>
      <c r="BL349" s="80"/>
      <c r="BM349" s="80"/>
      <c r="BN349" s="80"/>
      <c r="BO349" s="80"/>
    </row>
    <row r="350">
      <c r="A350" s="86"/>
      <c r="B350" s="87"/>
      <c r="C350" s="80"/>
      <c r="D350" s="80"/>
      <c r="E350" s="81"/>
      <c r="F350" s="80"/>
      <c r="G350" s="80"/>
      <c r="H350" s="80"/>
      <c r="I350" s="80"/>
      <c r="J350" s="80"/>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K350" s="80"/>
      <c r="AL350" s="80"/>
      <c r="AM350" s="80"/>
      <c r="AN350" s="80"/>
      <c r="AO350" s="80"/>
      <c r="AP350" s="80"/>
      <c r="AQ350" s="80"/>
      <c r="AR350" s="80"/>
      <c r="AS350" s="80"/>
      <c r="AT350" s="80"/>
      <c r="AU350" s="80"/>
      <c r="AV350" s="80"/>
      <c r="AW350" s="80"/>
      <c r="AX350" s="80"/>
      <c r="AY350" s="80"/>
      <c r="AZ350" s="80"/>
      <c r="BA350" s="80"/>
      <c r="BB350" s="80"/>
      <c r="BC350" s="80"/>
      <c r="BD350" s="80"/>
      <c r="BE350" s="80"/>
      <c r="BF350" s="80"/>
      <c r="BG350" s="80"/>
      <c r="BH350" s="80"/>
      <c r="BI350" s="80"/>
      <c r="BJ350" s="80"/>
      <c r="BK350" s="80"/>
      <c r="BL350" s="80"/>
      <c r="BM350" s="80"/>
      <c r="BN350" s="80"/>
      <c r="BO350" s="80"/>
    </row>
    <row r="351">
      <c r="A351" s="86"/>
      <c r="B351" s="87"/>
      <c r="C351" s="80"/>
      <c r="D351" s="80"/>
      <c r="E351" s="81"/>
      <c r="F351" s="80"/>
      <c r="G351" s="80"/>
      <c r="H351" s="80"/>
      <c r="I351" s="80"/>
      <c r="J351" s="80"/>
      <c r="K351" s="80"/>
      <c r="L351" s="80"/>
      <c r="M351" s="80"/>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c r="AK351" s="80"/>
      <c r="AL351" s="80"/>
      <c r="AM351" s="80"/>
      <c r="AN351" s="80"/>
      <c r="AO351" s="80"/>
      <c r="AP351" s="80"/>
      <c r="AQ351" s="80"/>
      <c r="AR351" s="80"/>
      <c r="AS351" s="80"/>
      <c r="AT351" s="80"/>
      <c r="AU351" s="80"/>
      <c r="AV351" s="80"/>
      <c r="AW351" s="80"/>
      <c r="AX351" s="80"/>
      <c r="AY351" s="80"/>
      <c r="AZ351" s="80"/>
      <c r="BA351" s="80"/>
      <c r="BB351" s="80"/>
      <c r="BC351" s="80"/>
      <c r="BD351" s="80"/>
      <c r="BE351" s="80"/>
      <c r="BF351" s="80"/>
      <c r="BG351" s="80"/>
      <c r="BH351" s="80"/>
      <c r="BI351" s="80"/>
      <c r="BJ351" s="80"/>
      <c r="BK351" s="80"/>
      <c r="BL351" s="80"/>
      <c r="BM351" s="80"/>
      <c r="BN351" s="80"/>
      <c r="BO351" s="80"/>
    </row>
    <row r="352">
      <c r="A352" s="86"/>
      <c r="B352" s="87"/>
      <c r="C352" s="80"/>
      <c r="D352" s="80"/>
      <c r="E352" s="81"/>
      <c r="F352" s="80"/>
      <c r="G352" s="80"/>
      <c r="H352" s="80"/>
      <c r="I352" s="80"/>
      <c r="J352" s="80"/>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K352" s="80"/>
      <c r="AL352" s="80"/>
      <c r="AM352" s="80"/>
      <c r="AN352" s="80"/>
      <c r="AO352" s="80"/>
      <c r="AP352" s="80"/>
      <c r="AQ352" s="80"/>
      <c r="AR352" s="80"/>
      <c r="AS352" s="80"/>
      <c r="AT352" s="80"/>
      <c r="AU352" s="80"/>
      <c r="AV352" s="80"/>
      <c r="AW352" s="80"/>
      <c r="AX352" s="80"/>
      <c r="AY352" s="80"/>
      <c r="AZ352" s="80"/>
      <c r="BA352" s="80"/>
      <c r="BB352" s="80"/>
      <c r="BC352" s="80"/>
      <c r="BD352" s="80"/>
      <c r="BE352" s="80"/>
      <c r="BF352" s="80"/>
      <c r="BG352" s="80"/>
      <c r="BH352" s="80"/>
      <c r="BI352" s="80"/>
      <c r="BJ352" s="80"/>
      <c r="BK352" s="80"/>
      <c r="BL352" s="80"/>
      <c r="BM352" s="80"/>
      <c r="BN352" s="80"/>
      <c r="BO352" s="80"/>
    </row>
    <row r="353">
      <c r="A353" s="86"/>
      <c r="B353" s="87"/>
      <c r="C353" s="80"/>
      <c r="D353" s="80"/>
      <c r="E353" s="81"/>
      <c r="F353" s="80"/>
      <c r="G353" s="80"/>
      <c r="H353" s="80"/>
      <c r="I353" s="80"/>
      <c r="J353" s="80"/>
      <c r="K353" s="80"/>
      <c r="L353" s="80"/>
      <c r="M353" s="80"/>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c r="AK353" s="80"/>
      <c r="AL353" s="80"/>
      <c r="AM353" s="80"/>
      <c r="AN353" s="80"/>
      <c r="AO353" s="80"/>
      <c r="AP353" s="80"/>
      <c r="AQ353" s="80"/>
      <c r="AR353" s="80"/>
      <c r="AS353" s="80"/>
      <c r="AT353" s="80"/>
      <c r="AU353" s="80"/>
      <c r="AV353" s="80"/>
      <c r="AW353" s="80"/>
      <c r="AX353" s="80"/>
      <c r="AY353" s="80"/>
      <c r="AZ353" s="80"/>
      <c r="BA353" s="80"/>
      <c r="BB353" s="80"/>
      <c r="BC353" s="80"/>
      <c r="BD353" s="80"/>
      <c r="BE353" s="80"/>
      <c r="BF353" s="80"/>
      <c r="BG353" s="80"/>
      <c r="BH353" s="80"/>
      <c r="BI353" s="80"/>
      <c r="BJ353" s="80"/>
      <c r="BK353" s="80"/>
      <c r="BL353" s="80"/>
      <c r="BM353" s="80"/>
      <c r="BN353" s="80"/>
      <c r="BO353" s="80"/>
    </row>
    <row r="354">
      <c r="A354" s="86"/>
      <c r="B354" s="87"/>
      <c r="C354" s="80"/>
      <c r="D354" s="80"/>
      <c r="E354" s="81"/>
      <c r="F354" s="80"/>
      <c r="G354" s="80"/>
      <c r="H354" s="80"/>
      <c r="I354" s="80"/>
      <c r="J354" s="80"/>
      <c r="K354" s="80"/>
      <c r="L354" s="80"/>
      <c r="M354" s="80"/>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c r="AK354" s="80"/>
      <c r="AL354" s="80"/>
      <c r="AM354" s="80"/>
      <c r="AN354" s="80"/>
      <c r="AO354" s="80"/>
      <c r="AP354" s="80"/>
      <c r="AQ354" s="80"/>
      <c r="AR354" s="80"/>
      <c r="AS354" s="80"/>
      <c r="AT354" s="80"/>
      <c r="AU354" s="80"/>
      <c r="AV354" s="80"/>
      <c r="AW354" s="80"/>
      <c r="AX354" s="80"/>
      <c r="AY354" s="80"/>
      <c r="AZ354" s="80"/>
      <c r="BA354" s="80"/>
      <c r="BB354" s="80"/>
      <c r="BC354" s="80"/>
      <c r="BD354" s="80"/>
      <c r="BE354" s="80"/>
      <c r="BF354" s="80"/>
      <c r="BG354" s="80"/>
      <c r="BH354" s="80"/>
      <c r="BI354" s="80"/>
      <c r="BJ354" s="80"/>
      <c r="BK354" s="80"/>
      <c r="BL354" s="80"/>
      <c r="BM354" s="80"/>
      <c r="BN354" s="80"/>
      <c r="BO354" s="80"/>
    </row>
    <row r="355">
      <c r="A355" s="86"/>
      <c r="B355" s="87"/>
      <c r="C355" s="80"/>
      <c r="D355" s="80"/>
      <c r="E355" s="81"/>
      <c r="F355" s="80"/>
      <c r="G355" s="80"/>
      <c r="H355" s="80"/>
      <c r="I355" s="80"/>
      <c r="J355" s="80"/>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c r="AK355" s="80"/>
      <c r="AL355" s="80"/>
      <c r="AM355" s="80"/>
      <c r="AN355" s="80"/>
      <c r="AO355" s="80"/>
      <c r="AP355" s="80"/>
      <c r="AQ355" s="80"/>
      <c r="AR355" s="80"/>
      <c r="AS355" s="80"/>
      <c r="AT355" s="80"/>
      <c r="AU355" s="80"/>
      <c r="AV355" s="80"/>
      <c r="AW355" s="80"/>
      <c r="AX355" s="80"/>
      <c r="AY355" s="80"/>
      <c r="AZ355" s="80"/>
      <c r="BA355" s="80"/>
      <c r="BB355" s="80"/>
      <c r="BC355" s="80"/>
      <c r="BD355" s="80"/>
      <c r="BE355" s="80"/>
      <c r="BF355" s="80"/>
      <c r="BG355" s="80"/>
      <c r="BH355" s="80"/>
      <c r="BI355" s="80"/>
      <c r="BJ355" s="80"/>
      <c r="BK355" s="80"/>
      <c r="BL355" s="80"/>
      <c r="BM355" s="80"/>
      <c r="BN355" s="80"/>
      <c r="BO355" s="80"/>
    </row>
    <row r="356">
      <c r="A356" s="86"/>
      <c r="B356" s="87"/>
      <c r="C356" s="80"/>
      <c r="D356" s="80"/>
      <c r="E356" s="81"/>
      <c r="F356" s="80"/>
      <c r="G356" s="80"/>
      <c r="H356" s="80"/>
      <c r="I356" s="80"/>
      <c r="J356" s="80"/>
      <c r="K356" s="80"/>
      <c r="L356" s="80"/>
      <c r="M356" s="80"/>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c r="AK356" s="80"/>
      <c r="AL356" s="80"/>
      <c r="AM356" s="80"/>
      <c r="AN356" s="80"/>
      <c r="AO356" s="80"/>
      <c r="AP356" s="80"/>
      <c r="AQ356" s="80"/>
      <c r="AR356" s="80"/>
      <c r="AS356" s="80"/>
      <c r="AT356" s="80"/>
      <c r="AU356" s="80"/>
      <c r="AV356" s="80"/>
      <c r="AW356" s="80"/>
      <c r="AX356" s="80"/>
      <c r="AY356" s="80"/>
      <c r="AZ356" s="80"/>
      <c r="BA356" s="80"/>
      <c r="BB356" s="80"/>
      <c r="BC356" s="80"/>
      <c r="BD356" s="80"/>
      <c r="BE356" s="80"/>
      <c r="BF356" s="80"/>
      <c r="BG356" s="80"/>
      <c r="BH356" s="80"/>
      <c r="BI356" s="80"/>
      <c r="BJ356" s="80"/>
      <c r="BK356" s="80"/>
      <c r="BL356" s="80"/>
      <c r="BM356" s="80"/>
      <c r="BN356" s="80"/>
      <c r="BO356" s="80"/>
    </row>
    <row r="357">
      <c r="A357" s="86"/>
      <c r="B357" s="87"/>
      <c r="C357" s="80"/>
      <c r="D357" s="80"/>
      <c r="E357" s="81"/>
      <c r="F357" s="80"/>
      <c r="G357" s="80"/>
      <c r="H357" s="80"/>
      <c r="I357" s="80"/>
      <c r="J357" s="80"/>
      <c r="K357" s="80"/>
      <c r="L357" s="80"/>
      <c r="M357" s="80"/>
      <c r="N357" s="80"/>
      <c r="O357" s="80"/>
      <c r="P357" s="80"/>
      <c r="Q357" s="80"/>
      <c r="R357" s="80"/>
      <c r="S357" s="80"/>
      <c r="T357" s="80"/>
      <c r="U357" s="80"/>
      <c r="V357" s="80"/>
      <c r="W357" s="80"/>
      <c r="X357" s="80"/>
      <c r="Y357" s="80"/>
      <c r="Z357" s="80"/>
      <c r="AA357" s="80"/>
      <c r="AB357" s="80"/>
      <c r="AC357" s="80"/>
      <c r="AD357" s="80"/>
      <c r="AE357" s="80"/>
      <c r="AF357" s="80"/>
      <c r="AG357" s="80"/>
      <c r="AH357" s="80"/>
      <c r="AI357" s="80"/>
      <c r="AJ357" s="80"/>
      <c r="AK357" s="80"/>
      <c r="AL357" s="80"/>
      <c r="AM357" s="80"/>
      <c r="AN357" s="80"/>
      <c r="AO357" s="80"/>
      <c r="AP357" s="80"/>
      <c r="AQ357" s="80"/>
      <c r="AR357" s="80"/>
      <c r="AS357" s="80"/>
      <c r="AT357" s="80"/>
      <c r="AU357" s="80"/>
      <c r="AV357" s="80"/>
      <c r="AW357" s="80"/>
      <c r="AX357" s="80"/>
      <c r="AY357" s="80"/>
      <c r="AZ357" s="80"/>
      <c r="BA357" s="80"/>
      <c r="BB357" s="80"/>
      <c r="BC357" s="80"/>
      <c r="BD357" s="80"/>
      <c r="BE357" s="80"/>
      <c r="BF357" s="80"/>
      <c r="BG357" s="80"/>
      <c r="BH357" s="80"/>
      <c r="BI357" s="80"/>
      <c r="BJ357" s="80"/>
      <c r="BK357" s="80"/>
      <c r="BL357" s="80"/>
      <c r="BM357" s="80"/>
      <c r="BN357" s="80"/>
      <c r="BO357" s="80"/>
    </row>
    <row r="358">
      <c r="A358" s="86"/>
      <c r="B358" s="87"/>
      <c r="C358" s="80"/>
      <c r="D358" s="80"/>
      <c r="E358" s="81"/>
      <c r="F358" s="80"/>
      <c r="G358" s="80"/>
      <c r="H358" s="80"/>
      <c r="I358" s="80"/>
      <c r="J358" s="80"/>
      <c r="K358" s="80"/>
      <c r="L358" s="80"/>
      <c r="M358" s="80"/>
      <c r="N358" s="80"/>
      <c r="O358" s="80"/>
      <c r="P358" s="80"/>
      <c r="Q358" s="80"/>
      <c r="R358" s="80"/>
      <c r="S358" s="80"/>
      <c r="T358" s="80"/>
      <c r="U358" s="80"/>
      <c r="V358" s="80"/>
      <c r="W358" s="80"/>
      <c r="X358" s="80"/>
      <c r="Y358" s="80"/>
      <c r="Z358" s="80"/>
      <c r="AA358" s="80"/>
      <c r="AB358" s="80"/>
      <c r="AC358" s="80"/>
      <c r="AD358" s="80"/>
      <c r="AE358" s="80"/>
      <c r="AF358" s="80"/>
      <c r="AG358" s="80"/>
      <c r="AH358" s="80"/>
      <c r="AI358" s="80"/>
      <c r="AJ358" s="80"/>
      <c r="AK358" s="80"/>
      <c r="AL358" s="80"/>
      <c r="AM358" s="80"/>
      <c r="AN358" s="80"/>
      <c r="AO358" s="80"/>
      <c r="AP358" s="80"/>
      <c r="AQ358" s="80"/>
      <c r="AR358" s="80"/>
      <c r="AS358" s="80"/>
      <c r="AT358" s="80"/>
      <c r="AU358" s="80"/>
      <c r="AV358" s="80"/>
      <c r="AW358" s="80"/>
      <c r="AX358" s="80"/>
      <c r="AY358" s="80"/>
      <c r="AZ358" s="80"/>
      <c r="BA358" s="80"/>
      <c r="BB358" s="80"/>
      <c r="BC358" s="80"/>
      <c r="BD358" s="80"/>
      <c r="BE358" s="80"/>
      <c r="BF358" s="80"/>
      <c r="BG358" s="80"/>
      <c r="BH358" s="80"/>
      <c r="BI358" s="80"/>
      <c r="BJ358" s="80"/>
      <c r="BK358" s="80"/>
      <c r="BL358" s="80"/>
      <c r="BM358" s="80"/>
      <c r="BN358" s="80"/>
      <c r="BO358" s="80"/>
    </row>
    <row r="359">
      <c r="A359" s="86"/>
      <c r="B359" s="87"/>
      <c r="C359" s="80"/>
      <c r="D359" s="80"/>
      <c r="E359" s="81"/>
      <c r="F359" s="80"/>
      <c r="G359" s="80"/>
      <c r="H359" s="80"/>
      <c r="I359" s="80"/>
      <c r="J359" s="80"/>
      <c r="K359" s="80"/>
      <c r="L359" s="80"/>
      <c r="M359" s="80"/>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c r="AK359" s="80"/>
      <c r="AL359" s="80"/>
      <c r="AM359" s="80"/>
      <c r="AN359" s="80"/>
      <c r="AO359" s="80"/>
      <c r="AP359" s="80"/>
      <c r="AQ359" s="80"/>
      <c r="AR359" s="80"/>
      <c r="AS359" s="80"/>
      <c r="AT359" s="80"/>
      <c r="AU359" s="80"/>
      <c r="AV359" s="80"/>
      <c r="AW359" s="80"/>
      <c r="AX359" s="80"/>
      <c r="AY359" s="80"/>
      <c r="AZ359" s="80"/>
      <c r="BA359" s="80"/>
      <c r="BB359" s="80"/>
      <c r="BC359" s="80"/>
      <c r="BD359" s="80"/>
      <c r="BE359" s="80"/>
      <c r="BF359" s="80"/>
      <c r="BG359" s="80"/>
      <c r="BH359" s="80"/>
      <c r="BI359" s="80"/>
      <c r="BJ359" s="80"/>
      <c r="BK359" s="80"/>
      <c r="BL359" s="80"/>
      <c r="BM359" s="80"/>
      <c r="BN359" s="80"/>
      <c r="BO359" s="80"/>
    </row>
    <row r="360">
      <c r="A360" s="86"/>
      <c r="B360" s="87"/>
      <c r="C360" s="80"/>
      <c r="D360" s="80"/>
      <c r="E360" s="81"/>
      <c r="F360" s="80"/>
      <c r="G360" s="80"/>
      <c r="H360" s="80"/>
      <c r="I360" s="80"/>
      <c r="J360" s="80"/>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c r="AK360" s="80"/>
      <c r="AL360" s="80"/>
      <c r="AM360" s="80"/>
      <c r="AN360" s="80"/>
      <c r="AO360" s="80"/>
      <c r="AP360" s="80"/>
      <c r="AQ360" s="80"/>
      <c r="AR360" s="80"/>
      <c r="AS360" s="80"/>
      <c r="AT360" s="80"/>
      <c r="AU360" s="80"/>
      <c r="AV360" s="80"/>
      <c r="AW360" s="80"/>
      <c r="AX360" s="80"/>
      <c r="AY360" s="80"/>
      <c r="AZ360" s="80"/>
      <c r="BA360" s="80"/>
      <c r="BB360" s="80"/>
      <c r="BC360" s="80"/>
      <c r="BD360" s="80"/>
      <c r="BE360" s="80"/>
      <c r="BF360" s="80"/>
      <c r="BG360" s="80"/>
      <c r="BH360" s="80"/>
      <c r="BI360" s="80"/>
      <c r="BJ360" s="80"/>
      <c r="BK360" s="80"/>
      <c r="BL360" s="80"/>
      <c r="BM360" s="80"/>
      <c r="BN360" s="80"/>
      <c r="BO360" s="80"/>
    </row>
    <row r="361">
      <c r="A361" s="86"/>
      <c r="B361" s="87"/>
      <c r="C361" s="80"/>
      <c r="D361" s="80"/>
      <c r="E361" s="81"/>
      <c r="F361" s="80"/>
      <c r="G361" s="80"/>
      <c r="H361" s="80"/>
      <c r="I361" s="80"/>
      <c r="J361" s="80"/>
      <c r="K361" s="80"/>
      <c r="L361" s="80"/>
      <c r="M361" s="80"/>
      <c r="N361" s="80"/>
      <c r="O361" s="80"/>
      <c r="P361" s="80"/>
      <c r="Q361" s="80"/>
      <c r="R361" s="80"/>
      <c r="S361" s="80"/>
      <c r="T361" s="80"/>
      <c r="U361" s="80"/>
      <c r="V361" s="80"/>
      <c r="W361" s="80"/>
      <c r="X361" s="80"/>
      <c r="Y361" s="80"/>
      <c r="Z361" s="80"/>
      <c r="AA361" s="80"/>
      <c r="AB361" s="80"/>
      <c r="AC361" s="80"/>
      <c r="AD361" s="80"/>
      <c r="AE361" s="80"/>
      <c r="AF361" s="80"/>
      <c r="AG361" s="80"/>
      <c r="AH361" s="80"/>
      <c r="AI361" s="80"/>
      <c r="AJ361" s="80"/>
      <c r="AK361" s="80"/>
      <c r="AL361" s="80"/>
      <c r="AM361" s="80"/>
      <c r="AN361" s="80"/>
      <c r="AO361" s="80"/>
      <c r="AP361" s="80"/>
      <c r="AQ361" s="80"/>
      <c r="AR361" s="80"/>
      <c r="AS361" s="80"/>
      <c r="AT361" s="80"/>
      <c r="AU361" s="80"/>
      <c r="AV361" s="80"/>
      <c r="AW361" s="80"/>
      <c r="AX361" s="80"/>
      <c r="AY361" s="80"/>
      <c r="AZ361" s="80"/>
      <c r="BA361" s="80"/>
      <c r="BB361" s="80"/>
      <c r="BC361" s="80"/>
      <c r="BD361" s="80"/>
      <c r="BE361" s="80"/>
      <c r="BF361" s="80"/>
      <c r="BG361" s="80"/>
      <c r="BH361" s="80"/>
      <c r="BI361" s="80"/>
      <c r="BJ361" s="80"/>
      <c r="BK361" s="80"/>
      <c r="BL361" s="80"/>
      <c r="BM361" s="80"/>
      <c r="BN361" s="80"/>
      <c r="BO361" s="80"/>
    </row>
    <row r="362">
      <c r="A362" s="86"/>
      <c r="B362" s="87"/>
      <c r="C362" s="80"/>
      <c r="D362" s="80"/>
      <c r="E362" s="81"/>
      <c r="F362" s="80"/>
      <c r="G362" s="80"/>
      <c r="H362" s="80"/>
      <c r="I362" s="80"/>
      <c r="J362" s="80"/>
      <c r="K362" s="80"/>
      <c r="L362" s="80"/>
      <c r="M362" s="80"/>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c r="AK362" s="80"/>
      <c r="AL362" s="80"/>
      <c r="AM362" s="80"/>
      <c r="AN362" s="80"/>
      <c r="AO362" s="80"/>
      <c r="AP362" s="80"/>
      <c r="AQ362" s="80"/>
      <c r="AR362" s="80"/>
      <c r="AS362" s="80"/>
      <c r="AT362" s="80"/>
      <c r="AU362" s="80"/>
      <c r="AV362" s="80"/>
      <c r="AW362" s="80"/>
      <c r="AX362" s="80"/>
      <c r="AY362" s="80"/>
      <c r="AZ362" s="80"/>
      <c r="BA362" s="80"/>
      <c r="BB362" s="80"/>
      <c r="BC362" s="80"/>
      <c r="BD362" s="80"/>
      <c r="BE362" s="80"/>
      <c r="BF362" s="80"/>
      <c r="BG362" s="80"/>
      <c r="BH362" s="80"/>
      <c r="BI362" s="80"/>
      <c r="BJ362" s="80"/>
      <c r="BK362" s="80"/>
      <c r="BL362" s="80"/>
      <c r="BM362" s="80"/>
      <c r="BN362" s="80"/>
      <c r="BO362" s="80"/>
    </row>
    <row r="363">
      <c r="A363" s="86"/>
      <c r="B363" s="87"/>
      <c r="C363" s="80"/>
      <c r="D363" s="80"/>
      <c r="E363" s="81"/>
      <c r="F363" s="80"/>
      <c r="G363" s="80"/>
      <c r="H363" s="80"/>
      <c r="I363" s="80"/>
      <c r="J363" s="80"/>
      <c r="K363" s="80"/>
      <c r="L363" s="80"/>
      <c r="M363" s="80"/>
      <c r="N363" s="80"/>
      <c r="O363" s="80"/>
      <c r="P363" s="80"/>
      <c r="Q363" s="80"/>
      <c r="R363" s="80"/>
      <c r="S363" s="80"/>
      <c r="T363" s="80"/>
      <c r="U363" s="80"/>
      <c r="V363" s="80"/>
      <c r="W363" s="80"/>
      <c r="X363" s="80"/>
      <c r="Y363" s="80"/>
      <c r="Z363" s="80"/>
      <c r="AA363" s="80"/>
      <c r="AB363" s="80"/>
      <c r="AC363" s="80"/>
      <c r="AD363" s="80"/>
      <c r="AE363" s="80"/>
      <c r="AF363" s="80"/>
      <c r="AG363" s="80"/>
      <c r="AH363" s="80"/>
      <c r="AI363" s="80"/>
      <c r="AJ363" s="80"/>
      <c r="AK363" s="80"/>
      <c r="AL363" s="80"/>
      <c r="AM363" s="80"/>
      <c r="AN363" s="80"/>
      <c r="AO363" s="80"/>
      <c r="AP363" s="80"/>
      <c r="AQ363" s="80"/>
      <c r="AR363" s="80"/>
      <c r="AS363" s="80"/>
      <c r="AT363" s="80"/>
      <c r="AU363" s="80"/>
      <c r="AV363" s="80"/>
      <c r="AW363" s="80"/>
      <c r="AX363" s="80"/>
      <c r="AY363" s="80"/>
      <c r="AZ363" s="80"/>
      <c r="BA363" s="80"/>
      <c r="BB363" s="80"/>
      <c r="BC363" s="80"/>
      <c r="BD363" s="80"/>
      <c r="BE363" s="80"/>
      <c r="BF363" s="80"/>
      <c r="BG363" s="80"/>
      <c r="BH363" s="80"/>
      <c r="BI363" s="80"/>
      <c r="BJ363" s="80"/>
      <c r="BK363" s="80"/>
      <c r="BL363" s="80"/>
      <c r="BM363" s="80"/>
      <c r="BN363" s="80"/>
      <c r="BO363" s="80"/>
    </row>
    <row r="364">
      <c r="A364" s="86"/>
      <c r="B364" s="87"/>
      <c r="C364" s="80"/>
      <c r="D364" s="80"/>
      <c r="E364" s="81"/>
      <c r="F364" s="80"/>
      <c r="G364" s="80"/>
      <c r="H364" s="80"/>
      <c r="I364" s="80"/>
      <c r="J364" s="80"/>
      <c r="K364" s="80"/>
      <c r="L364" s="80"/>
      <c r="M364" s="80"/>
      <c r="N364" s="80"/>
      <c r="O364" s="80"/>
      <c r="P364" s="80"/>
      <c r="Q364" s="80"/>
      <c r="R364" s="80"/>
      <c r="S364" s="80"/>
      <c r="T364" s="80"/>
      <c r="U364" s="80"/>
      <c r="V364" s="80"/>
      <c r="W364" s="80"/>
      <c r="X364" s="80"/>
      <c r="Y364" s="80"/>
      <c r="Z364" s="80"/>
      <c r="AA364" s="80"/>
      <c r="AB364" s="80"/>
      <c r="AC364" s="80"/>
      <c r="AD364" s="80"/>
      <c r="AE364" s="80"/>
      <c r="AF364" s="80"/>
      <c r="AG364" s="80"/>
      <c r="AH364" s="80"/>
      <c r="AI364" s="80"/>
      <c r="AJ364" s="80"/>
      <c r="AK364" s="80"/>
      <c r="AL364" s="80"/>
      <c r="AM364" s="80"/>
      <c r="AN364" s="80"/>
      <c r="AO364" s="80"/>
      <c r="AP364" s="80"/>
      <c r="AQ364" s="80"/>
      <c r="AR364" s="80"/>
      <c r="AS364" s="80"/>
      <c r="AT364" s="80"/>
      <c r="AU364" s="80"/>
      <c r="AV364" s="80"/>
      <c r="AW364" s="80"/>
      <c r="AX364" s="80"/>
      <c r="AY364" s="80"/>
      <c r="AZ364" s="80"/>
      <c r="BA364" s="80"/>
      <c r="BB364" s="80"/>
      <c r="BC364" s="80"/>
      <c r="BD364" s="80"/>
      <c r="BE364" s="80"/>
      <c r="BF364" s="80"/>
      <c r="BG364" s="80"/>
      <c r="BH364" s="80"/>
      <c r="BI364" s="80"/>
      <c r="BJ364" s="80"/>
      <c r="BK364" s="80"/>
      <c r="BL364" s="80"/>
      <c r="BM364" s="80"/>
      <c r="BN364" s="80"/>
      <c r="BO364" s="80"/>
    </row>
    <row r="365">
      <c r="A365" s="86"/>
      <c r="B365" s="87"/>
      <c r="C365" s="80"/>
      <c r="D365" s="80"/>
      <c r="E365" s="81"/>
      <c r="F365" s="80"/>
      <c r="G365" s="80"/>
      <c r="H365" s="80"/>
      <c r="I365" s="80"/>
      <c r="J365" s="80"/>
      <c r="K365" s="80"/>
      <c r="L365" s="80"/>
      <c r="M365" s="80"/>
      <c r="N365" s="80"/>
      <c r="O365" s="80"/>
      <c r="P365" s="80"/>
      <c r="Q365" s="80"/>
      <c r="R365" s="80"/>
      <c r="S365" s="80"/>
      <c r="T365" s="80"/>
      <c r="U365" s="80"/>
      <c r="V365" s="80"/>
      <c r="W365" s="80"/>
      <c r="X365" s="80"/>
      <c r="Y365" s="80"/>
      <c r="Z365" s="80"/>
      <c r="AA365" s="80"/>
      <c r="AB365" s="80"/>
      <c r="AC365" s="80"/>
      <c r="AD365" s="80"/>
      <c r="AE365" s="80"/>
      <c r="AF365" s="80"/>
      <c r="AG365" s="80"/>
      <c r="AH365" s="80"/>
      <c r="AI365" s="80"/>
      <c r="AJ365" s="80"/>
      <c r="AK365" s="80"/>
      <c r="AL365" s="80"/>
      <c r="AM365" s="80"/>
      <c r="AN365" s="80"/>
      <c r="AO365" s="80"/>
      <c r="AP365" s="80"/>
      <c r="AQ365" s="80"/>
      <c r="AR365" s="80"/>
      <c r="AS365" s="80"/>
      <c r="AT365" s="80"/>
      <c r="AU365" s="80"/>
      <c r="AV365" s="80"/>
      <c r="AW365" s="80"/>
      <c r="AX365" s="80"/>
      <c r="AY365" s="80"/>
      <c r="AZ365" s="80"/>
      <c r="BA365" s="80"/>
      <c r="BB365" s="80"/>
      <c r="BC365" s="80"/>
      <c r="BD365" s="80"/>
      <c r="BE365" s="80"/>
      <c r="BF365" s="80"/>
      <c r="BG365" s="80"/>
      <c r="BH365" s="80"/>
      <c r="BI365" s="80"/>
      <c r="BJ365" s="80"/>
      <c r="BK365" s="80"/>
      <c r="BL365" s="80"/>
      <c r="BM365" s="80"/>
      <c r="BN365" s="80"/>
      <c r="BO365" s="80"/>
    </row>
    <row r="366">
      <c r="A366" s="86"/>
      <c r="B366" s="87"/>
      <c r="C366" s="80"/>
      <c r="D366" s="80"/>
      <c r="E366" s="81"/>
      <c r="F366" s="80"/>
      <c r="G366" s="80"/>
      <c r="H366" s="80"/>
      <c r="I366" s="80"/>
      <c r="J366" s="80"/>
      <c r="K366" s="80"/>
      <c r="L366" s="80"/>
      <c r="M366" s="80"/>
      <c r="N366" s="80"/>
      <c r="O366" s="80"/>
      <c r="P366" s="80"/>
      <c r="Q366" s="80"/>
      <c r="R366" s="80"/>
      <c r="S366" s="80"/>
      <c r="T366" s="80"/>
      <c r="U366" s="80"/>
      <c r="V366" s="80"/>
      <c r="W366" s="80"/>
      <c r="X366" s="80"/>
      <c r="Y366" s="80"/>
      <c r="Z366" s="80"/>
      <c r="AA366" s="80"/>
      <c r="AB366" s="80"/>
      <c r="AC366" s="80"/>
      <c r="AD366" s="80"/>
      <c r="AE366" s="80"/>
      <c r="AF366" s="80"/>
      <c r="AG366" s="80"/>
      <c r="AH366" s="80"/>
      <c r="AI366" s="80"/>
      <c r="AJ366" s="80"/>
      <c r="AK366" s="80"/>
      <c r="AL366" s="80"/>
      <c r="AM366" s="80"/>
      <c r="AN366" s="80"/>
      <c r="AO366" s="80"/>
      <c r="AP366" s="80"/>
      <c r="AQ366" s="80"/>
      <c r="AR366" s="80"/>
      <c r="AS366" s="80"/>
      <c r="AT366" s="80"/>
      <c r="AU366" s="80"/>
      <c r="AV366" s="80"/>
      <c r="AW366" s="80"/>
      <c r="AX366" s="80"/>
      <c r="AY366" s="80"/>
      <c r="AZ366" s="80"/>
      <c r="BA366" s="80"/>
      <c r="BB366" s="80"/>
      <c r="BC366" s="80"/>
      <c r="BD366" s="80"/>
      <c r="BE366" s="80"/>
      <c r="BF366" s="80"/>
      <c r="BG366" s="80"/>
      <c r="BH366" s="80"/>
      <c r="BI366" s="80"/>
      <c r="BJ366" s="80"/>
      <c r="BK366" s="80"/>
      <c r="BL366" s="80"/>
      <c r="BM366" s="80"/>
      <c r="BN366" s="80"/>
      <c r="BO366" s="80"/>
    </row>
    <row r="367">
      <c r="A367" s="86"/>
      <c r="B367" s="87"/>
      <c r="C367" s="80"/>
      <c r="D367" s="80"/>
      <c r="E367" s="81"/>
      <c r="F367" s="80"/>
      <c r="G367" s="80"/>
      <c r="H367" s="80"/>
      <c r="I367" s="80"/>
      <c r="J367" s="80"/>
      <c r="K367" s="80"/>
      <c r="L367" s="80"/>
      <c r="M367" s="80"/>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c r="AK367" s="80"/>
      <c r="AL367" s="80"/>
      <c r="AM367" s="80"/>
      <c r="AN367" s="80"/>
      <c r="AO367" s="80"/>
      <c r="AP367" s="80"/>
      <c r="AQ367" s="80"/>
      <c r="AR367" s="80"/>
      <c r="AS367" s="80"/>
      <c r="AT367" s="80"/>
      <c r="AU367" s="80"/>
      <c r="AV367" s="80"/>
      <c r="AW367" s="80"/>
      <c r="AX367" s="80"/>
      <c r="AY367" s="80"/>
      <c r="AZ367" s="80"/>
      <c r="BA367" s="80"/>
      <c r="BB367" s="80"/>
      <c r="BC367" s="80"/>
      <c r="BD367" s="80"/>
      <c r="BE367" s="80"/>
      <c r="BF367" s="80"/>
      <c r="BG367" s="80"/>
      <c r="BH367" s="80"/>
      <c r="BI367" s="80"/>
      <c r="BJ367" s="80"/>
      <c r="BK367" s="80"/>
      <c r="BL367" s="80"/>
      <c r="BM367" s="80"/>
      <c r="BN367" s="80"/>
      <c r="BO367" s="80"/>
    </row>
    <row r="368">
      <c r="A368" s="86"/>
      <c r="B368" s="87"/>
      <c r="C368" s="80"/>
      <c r="D368" s="80"/>
      <c r="E368" s="81"/>
      <c r="F368" s="80"/>
      <c r="G368" s="80"/>
      <c r="H368" s="80"/>
      <c r="I368" s="80"/>
      <c r="J368" s="80"/>
      <c r="K368" s="80"/>
      <c r="L368" s="80"/>
      <c r="M368" s="80"/>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c r="AK368" s="80"/>
      <c r="AL368" s="80"/>
      <c r="AM368" s="80"/>
      <c r="AN368" s="80"/>
      <c r="AO368" s="80"/>
      <c r="AP368" s="80"/>
      <c r="AQ368" s="80"/>
      <c r="AR368" s="80"/>
      <c r="AS368" s="80"/>
      <c r="AT368" s="80"/>
      <c r="AU368" s="80"/>
      <c r="AV368" s="80"/>
      <c r="AW368" s="80"/>
      <c r="AX368" s="80"/>
      <c r="AY368" s="80"/>
      <c r="AZ368" s="80"/>
      <c r="BA368" s="80"/>
      <c r="BB368" s="80"/>
      <c r="BC368" s="80"/>
      <c r="BD368" s="80"/>
      <c r="BE368" s="80"/>
      <c r="BF368" s="80"/>
      <c r="BG368" s="80"/>
      <c r="BH368" s="80"/>
      <c r="BI368" s="80"/>
      <c r="BJ368" s="80"/>
      <c r="BK368" s="80"/>
      <c r="BL368" s="80"/>
      <c r="BM368" s="80"/>
      <c r="BN368" s="80"/>
      <c r="BO368" s="80"/>
    </row>
    <row r="369">
      <c r="A369" s="86"/>
      <c r="B369" s="87"/>
      <c r="C369" s="80"/>
      <c r="D369" s="80"/>
      <c r="E369" s="81"/>
      <c r="F369" s="80"/>
      <c r="G369" s="80"/>
      <c r="H369" s="80"/>
      <c r="I369" s="80"/>
      <c r="J369" s="80"/>
      <c r="K369" s="80"/>
      <c r="L369" s="80"/>
      <c r="M369" s="80"/>
      <c r="N369" s="80"/>
      <c r="O369" s="80"/>
      <c r="P369" s="80"/>
      <c r="Q369" s="80"/>
      <c r="R369" s="80"/>
      <c r="S369" s="80"/>
      <c r="T369" s="80"/>
      <c r="U369" s="80"/>
      <c r="V369" s="80"/>
      <c r="W369" s="80"/>
      <c r="X369" s="80"/>
      <c r="Y369" s="80"/>
      <c r="Z369" s="80"/>
      <c r="AA369" s="80"/>
      <c r="AB369" s="80"/>
      <c r="AC369" s="80"/>
      <c r="AD369" s="80"/>
      <c r="AE369" s="80"/>
      <c r="AF369" s="80"/>
      <c r="AG369" s="80"/>
      <c r="AH369" s="80"/>
      <c r="AI369" s="80"/>
      <c r="AJ369" s="80"/>
      <c r="AK369" s="80"/>
      <c r="AL369" s="80"/>
      <c r="AM369" s="80"/>
      <c r="AN369" s="80"/>
      <c r="AO369" s="80"/>
      <c r="AP369" s="80"/>
      <c r="AQ369" s="80"/>
      <c r="AR369" s="80"/>
      <c r="AS369" s="80"/>
      <c r="AT369" s="80"/>
      <c r="AU369" s="80"/>
      <c r="AV369" s="80"/>
      <c r="AW369" s="80"/>
      <c r="AX369" s="80"/>
      <c r="AY369" s="80"/>
      <c r="AZ369" s="80"/>
      <c r="BA369" s="80"/>
      <c r="BB369" s="80"/>
      <c r="BC369" s="80"/>
      <c r="BD369" s="80"/>
      <c r="BE369" s="80"/>
      <c r="BF369" s="80"/>
      <c r="BG369" s="80"/>
      <c r="BH369" s="80"/>
      <c r="BI369" s="80"/>
      <c r="BJ369" s="80"/>
      <c r="BK369" s="80"/>
      <c r="BL369" s="80"/>
      <c r="BM369" s="80"/>
      <c r="BN369" s="80"/>
      <c r="BO369" s="80"/>
    </row>
    <row r="370">
      <c r="A370" s="86"/>
      <c r="B370" s="87"/>
      <c r="C370" s="80"/>
      <c r="D370" s="80"/>
      <c r="E370" s="81"/>
      <c r="F370" s="80"/>
      <c r="G370" s="80"/>
      <c r="H370" s="80"/>
      <c r="I370" s="80"/>
      <c r="J370" s="80"/>
      <c r="K370" s="80"/>
      <c r="L370" s="80"/>
      <c r="M370" s="80"/>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c r="AK370" s="80"/>
      <c r="AL370" s="80"/>
      <c r="AM370" s="80"/>
      <c r="AN370" s="80"/>
      <c r="AO370" s="80"/>
      <c r="AP370" s="80"/>
      <c r="AQ370" s="80"/>
      <c r="AR370" s="80"/>
      <c r="AS370" s="80"/>
      <c r="AT370" s="80"/>
      <c r="AU370" s="80"/>
      <c r="AV370" s="80"/>
      <c r="AW370" s="80"/>
      <c r="AX370" s="80"/>
      <c r="AY370" s="80"/>
      <c r="AZ370" s="80"/>
      <c r="BA370" s="80"/>
      <c r="BB370" s="80"/>
      <c r="BC370" s="80"/>
      <c r="BD370" s="80"/>
      <c r="BE370" s="80"/>
      <c r="BF370" s="80"/>
      <c r="BG370" s="80"/>
      <c r="BH370" s="80"/>
      <c r="BI370" s="80"/>
      <c r="BJ370" s="80"/>
      <c r="BK370" s="80"/>
      <c r="BL370" s="80"/>
      <c r="BM370" s="80"/>
      <c r="BN370" s="80"/>
      <c r="BO370" s="80"/>
    </row>
    <row r="371">
      <c r="A371" s="86"/>
      <c r="B371" s="87"/>
      <c r="C371" s="80"/>
      <c r="D371" s="80"/>
      <c r="E371" s="81"/>
      <c r="F371" s="80"/>
      <c r="G371" s="80"/>
      <c r="H371" s="80"/>
      <c r="I371" s="80"/>
      <c r="J371" s="80"/>
      <c r="K371" s="80"/>
      <c r="L371" s="80"/>
      <c r="M371" s="80"/>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c r="AK371" s="80"/>
      <c r="AL371" s="80"/>
      <c r="AM371" s="80"/>
      <c r="AN371" s="80"/>
      <c r="AO371" s="80"/>
      <c r="AP371" s="80"/>
      <c r="AQ371" s="80"/>
      <c r="AR371" s="80"/>
      <c r="AS371" s="80"/>
      <c r="AT371" s="80"/>
      <c r="AU371" s="80"/>
      <c r="AV371" s="80"/>
      <c r="AW371" s="80"/>
      <c r="AX371" s="80"/>
      <c r="AY371" s="80"/>
      <c r="AZ371" s="80"/>
      <c r="BA371" s="80"/>
      <c r="BB371" s="80"/>
      <c r="BC371" s="80"/>
      <c r="BD371" s="80"/>
      <c r="BE371" s="80"/>
      <c r="BF371" s="80"/>
      <c r="BG371" s="80"/>
      <c r="BH371" s="80"/>
      <c r="BI371" s="80"/>
      <c r="BJ371" s="80"/>
      <c r="BK371" s="80"/>
      <c r="BL371" s="80"/>
      <c r="BM371" s="80"/>
      <c r="BN371" s="80"/>
      <c r="BO371" s="80"/>
    </row>
    <row r="372">
      <c r="A372" s="86"/>
      <c r="B372" s="87"/>
      <c r="C372" s="80"/>
      <c r="D372" s="80"/>
      <c r="E372" s="81"/>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80"/>
      <c r="BK372" s="80"/>
      <c r="BL372" s="80"/>
      <c r="BM372" s="80"/>
      <c r="BN372" s="80"/>
      <c r="BO372" s="80"/>
    </row>
    <row r="373">
      <c r="A373" s="86"/>
      <c r="B373" s="87"/>
      <c r="C373" s="80"/>
      <c r="D373" s="80"/>
      <c r="E373" s="81"/>
      <c r="F373" s="80"/>
      <c r="G373" s="80"/>
      <c r="H373" s="80"/>
      <c r="I373" s="80"/>
      <c r="J373" s="80"/>
      <c r="K373" s="80"/>
      <c r="L373" s="80"/>
      <c r="M373" s="80"/>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c r="AK373" s="80"/>
      <c r="AL373" s="80"/>
      <c r="AM373" s="80"/>
      <c r="AN373" s="80"/>
      <c r="AO373" s="80"/>
      <c r="AP373" s="80"/>
      <c r="AQ373" s="80"/>
      <c r="AR373" s="80"/>
      <c r="AS373" s="80"/>
      <c r="AT373" s="80"/>
      <c r="AU373" s="80"/>
      <c r="AV373" s="80"/>
      <c r="AW373" s="80"/>
      <c r="AX373" s="80"/>
      <c r="AY373" s="80"/>
      <c r="AZ373" s="80"/>
      <c r="BA373" s="80"/>
      <c r="BB373" s="80"/>
      <c r="BC373" s="80"/>
      <c r="BD373" s="80"/>
      <c r="BE373" s="80"/>
      <c r="BF373" s="80"/>
      <c r="BG373" s="80"/>
      <c r="BH373" s="80"/>
      <c r="BI373" s="80"/>
      <c r="BJ373" s="80"/>
      <c r="BK373" s="80"/>
      <c r="BL373" s="80"/>
      <c r="BM373" s="80"/>
      <c r="BN373" s="80"/>
      <c r="BO373" s="80"/>
    </row>
    <row r="374">
      <c r="A374" s="86"/>
      <c r="B374" s="87"/>
      <c r="C374" s="80"/>
      <c r="D374" s="80"/>
      <c r="E374" s="81"/>
      <c r="F374" s="80"/>
      <c r="G374" s="80"/>
      <c r="H374" s="80"/>
      <c r="I374" s="80"/>
      <c r="J374" s="80"/>
      <c r="K374" s="80"/>
      <c r="L374" s="80"/>
      <c r="M374" s="80"/>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c r="AK374" s="80"/>
      <c r="AL374" s="80"/>
      <c r="AM374" s="80"/>
      <c r="AN374" s="80"/>
      <c r="AO374" s="80"/>
      <c r="AP374" s="80"/>
      <c r="AQ374" s="80"/>
      <c r="AR374" s="80"/>
      <c r="AS374" s="80"/>
      <c r="AT374" s="80"/>
      <c r="AU374" s="80"/>
      <c r="AV374" s="80"/>
      <c r="AW374" s="80"/>
      <c r="AX374" s="80"/>
      <c r="AY374" s="80"/>
      <c r="AZ374" s="80"/>
      <c r="BA374" s="80"/>
      <c r="BB374" s="80"/>
      <c r="BC374" s="80"/>
      <c r="BD374" s="80"/>
      <c r="BE374" s="80"/>
      <c r="BF374" s="80"/>
      <c r="BG374" s="80"/>
      <c r="BH374" s="80"/>
      <c r="BI374" s="80"/>
      <c r="BJ374" s="80"/>
      <c r="BK374" s="80"/>
      <c r="BL374" s="80"/>
      <c r="BM374" s="80"/>
      <c r="BN374" s="80"/>
      <c r="BO374" s="80"/>
    </row>
    <row r="375">
      <c r="A375" s="86"/>
      <c r="B375" s="87"/>
      <c r="C375" s="80"/>
      <c r="D375" s="80"/>
      <c r="E375" s="81"/>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c r="AP375" s="80"/>
      <c r="AQ375" s="80"/>
      <c r="AR375" s="80"/>
      <c r="AS375" s="80"/>
      <c r="AT375" s="80"/>
      <c r="AU375" s="80"/>
      <c r="AV375" s="80"/>
      <c r="AW375" s="80"/>
      <c r="AX375" s="80"/>
      <c r="AY375" s="80"/>
      <c r="AZ375" s="80"/>
      <c r="BA375" s="80"/>
      <c r="BB375" s="80"/>
      <c r="BC375" s="80"/>
      <c r="BD375" s="80"/>
      <c r="BE375" s="80"/>
      <c r="BF375" s="80"/>
      <c r="BG375" s="80"/>
      <c r="BH375" s="80"/>
      <c r="BI375" s="80"/>
      <c r="BJ375" s="80"/>
      <c r="BK375" s="80"/>
      <c r="BL375" s="80"/>
      <c r="BM375" s="80"/>
      <c r="BN375" s="80"/>
      <c r="BO375" s="80"/>
    </row>
    <row r="376">
      <c r="A376" s="86"/>
      <c r="B376" s="87"/>
      <c r="C376" s="80"/>
      <c r="D376" s="80"/>
      <c r="E376" s="81"/>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K376" s="80"/>
      <c r="AL376" s="80"/>
      <c r="AM376" s="80"/>
      <c r="AN376" s="80"/>
      <c r="AO376" s="80"/>
      <c r="AP376" s="80"/>
      <c r="AQ376" s="80"/>
      <c r="AR376" s="80"/>
      <c r="AS376" s="80"/>
      <c r="AT376" s="80"/>
      <c r="AU376" s="80"/>
      <c r="AV376" s="80"/>
      <c r="AW376" s="80"/>
      <c r="AX376" s="80"/>
      <c r="AY376" s="80"/>
      <c r="AZ376" s="80"/>
      <c r="BA376" s="80"/>
      <c r="BB376" s="80"/>
      <c r="BC376" s="80"/>
      <c r="BD376" s="80"/>
      <c r="BE376" s="80"/>
      <c r="BF376" s="80"/>
      <c r="BG376" s="80"/>
      <c r="BH376" s="80"/>
      <c r="BI376" s="80"/>
      <c r="BJ376" s="80"/>
      <c r="BK376" s="80"/>
      <c r="BL376" s="80"/>
      <c r="BM376" s="80"/>
      <c r="BN376" s="80"/>
      <c r="BO376" s="80"/>
    </row>
    <row r="377">
      <c r="A377" s="86"/>
      <c r="B377" s="87"/>
      <c r="C377" s="80"/>
      <c r="D377" s="80"/>
      <c r="E377" s="81"/>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c r="AK377" s="80"/>
      <c r="AL377" s="80"/>
      <c r="AM377" s="80"/>
      <c r="AN377" s="80"/>
      <c r="AO377" s="80"/>
      <c r="AP377" s="80"/>
      <c r="AQ377" s="80"/>
      <c r="AR377" s="80"/>
      <c r="AS377" s="80"/>
      <c r="AT377" s="80"/>
      <c r="AU377" s="80"/>
      <c r="AV377" s="80"/>
      <c r="AW377" s="80"/>
      <c r="AX377" s="80"/>
      <c r="AY377" s="80"/>
      <c r="AZ377" s="80"/>
      <c r="BA377" s="80"/>
      <c r="BB377" s="80"/>
      <c r="BC377" s="80"/>
      <c r="BD377" s="80"/>
      <c r="BE377" s="80"/>
      <c r="BF377" s="80"/>
      <c r="BG377" s="80"/>
      <c r="BH377" s="80"/>
      <c r="BI377" s="80"/>
      <c r="BJ377" s="80"/>
      <c r="BK377" s="80"/>
      <c r="BL377" s="80"/>
      <c r="BM377" s="80"/>
      <c r="BN377" s="80"/>
      <c r="BO377" s="80"/>
    </row>
    <row r="378">
      <c r="A378" s="86"/>
      <c r="B378" s="87"/>
      <c r="C378" s="80"/>
      <c r="D378" s="80"/>
      <c r="E378" s="81"/>
      <c r="F378" s="80"/>
      <c r="G378" s="80"/>
      <c r="H378" s="80"/>
      <c r="I378" s="80"/>
      <c r="J378" s="80"/>
      <c r="K378" s="80"/>
      <c r="L378" s="80"/>
      <c r="M378" s="80"/>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c r="AK378" s="80"/>
      <c r="AL378" s="80"/>
      <c r="AM378" s="80"/>
      <c r="AN378" s="80"/>
      <c r="AO378" s="80"/>
      <c r="AP378" s="80"/>
      <c r="AQ378" s="80"/>
      <c r="AR378" s="80"/>
      <c r="AS378" s="80"/>
      <c r="AT378" s="80"/>
      <c r="AU378" s="80"/>
      <c r="AV378" s="80"/>
      <c r="AW378" s="80"/>
      <c r="AX378" s="80"/>
      <c r="AY378" s="80"/>
      <c r="AZ378" s="80"/>
      <c r="BA378" s="80"/>
      <c r="BB378" s="80"/>
      <c r="BC378" s="80"/>
      <c r="BD378" s="80"/>
      <c r="BE378" s="80"/>
      <c r="BF378" s="80"/>
      <c r="BG378" s="80"/>
      <c r="BH378" s="80"/>
      <c r="BI378" s="80"/>
      <c r="BJ378" s="80"/>
      <c r="BK378" s="80"/>
      <c r="BL378" s="80"/>
      <c r="BM378" s="80"/>
      <c r="BN378" s="80"/>
      <c r="BO378" s="80"/>
    </row>
    <row r="379">
      <c r="A379" s="86"/>
      <c r="B379" s="87"/>
      <c r="C379" s="80"/>
      <c r="D379" s="80"/>
      <c r="E379" s="81"/>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K379" s="80"/>
      <c r="AL379" s="80"/>
      <c r="AM379" s="80"/>
      <c r="AN379" s="80"/>
      <c r="AO379" s="80"/>
      <c r="AP379" s="80"/>
      <c r="AQ379" s="80"/>
      <c r="AR379" s="80"/>
      <c r="AS379" s="80"/>
      <c r="AT379" s="80"/>
      <c r="AU379" s="80"/>
      <c r="AV379" s="80"/>
      <c r="AW379" s="80"/>
      <c r="AX379" s="80"/>
      <c r="AY379" s="80"/>
      <c r="AZ379" s="80"/>
      <c r="BA379" s="80"/>
      <c r="BB379" s="80"/>
      <c r="BC379" s="80"/>
      <c r="BD379" s="80"/>
      <c r="BE379" s="80"/>
      <c r="BF379" s="80"/>
      <c r="BG379" s="80"/>
      <c r="BH379" s="80"/>
      <c r="BI379" s="80"/>
      <c r="BJ379" s="80"/>
      <c r="BK379" s="80"/>
      <c r="BL379" s="80"/>
      <c r="BM379" s="80"/>
      <c r="BN379" s="80"/>
      <c r="BO379" s="80"/>
    </row>
    <row r="380">
      <c r="A380" s="86"/>
      <c r="B380" s="87"/>
      <c r="C380" s="80"/>
      <c r="D380" s="80"/>
      <c r="E380" s="81"/>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K380" s="80"/>
      <c r="AL380" s="80"/>
      <c r="AM380" s="80"/>
      <c r="AN380" s="80"/>
      <c r="AO380" s="80"/>
      <c r="AP380" s="80"/>
      <c r="AQ380" s="80"/>
      <c r="AR380" s="80"/>
      <c r="AS380" s="80"/>
      <c r="AT380" s="80"/>
      <c r="AU380" s="80"/>
      <c r="AV380" s="80"/>
      <c r="AW380" s="80"/>
      <c r="AX380" s="80"/>
      <c r="AY380" s="80"/>
      <c r="AZ380" s="80"/>
      <c r="BA380" s="80"/>
      <c r="BB380" s="80"/>
      <c r="BC380" s="80"/>
      <c r="BD380" s="80"/>
      <c r="BE380" s="80"/>
      <c r="BF380" s="80"/>
      <c r="BG380" s="80"/>
      <c r="BH380" s="80"/>
      <c r="BI380" s="80"/>
      <c r="BJ380" s="80"/>
      <c r="BK380" s="80"/>
      <c r="BL380" s="80"/>
      <c r="BM380" s="80"/>
      <c r="BN380" s="80"/>
      <c r="BO380" s="80"/>
    </row>
    <row r="381">
      <c r="A381" s="86"/>
      <c r="B381" s="87"/>
      <c r="C381" s="80"/>
      <c r="D381" s="80"/>
      <c r="E381" s="81"/>
      <c r="F381" s="80"/>
      <c r="G381" s="80"/>
      <c r="H381" s="80"/>
      <c r="I381" s="80"/>
      <c r="J381" s="80"/>
      <c r="K381" s="80"/>
      <c r="L381" s="80"/>
      <c r="M381" s="80"/>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c r="AK381" s="80"/>
      <c r="AL381" s="80"/>
      <c r="AM381" s="80"/>
      <c r="AN381" s="80"/>
      <c r="AO381" s="80"/>
      <c r="AP381" s="80"/>
      <c r="AQ381" s="80"/>
      <c r="AR381" s="80"/>
      <c r="AS381" s="80"/>
      <c r="AT381" s="80"/>
      <c r="AU381" s="80"/>
      <c r="AV381" s="80"/>
      <c r="AW381" s="80"/>
      <c r="AX381" s="80"/>
      <c r="AY381" s="80"/>
      <c r="AZ381" s="80"/>
      <c r="BA381" s="80"/>
      <c r="BB381" s="80"/>
      <c r="BC381" s="80"/>
      <c r="BD381" s="80"/>
      <c r="BE381" s="80"/>
      <c r="BF381" s="80"/>
      <c r="BG381" s="80"/>
      <c r="BH381" s="80"/>
      <c r="BI381" s="80"/>
      <c r="BJ381" s="80"/>
      <c r="BK381" s="80"/>
      <c r="BL381" s="80"/>
      <c r="BM381" s="80"/>
      <c r="BN381" s="80"/>
      <c r="BO381" s="80"/>
    </row>
    <row r="382">
      <c r="A382" s="86"/>
      <c r="B382" s="87"/>
      <c r="C382" s="80"/>
      <c r="D382" s="80"/>
      <c r="E382" s="81"/>
      <c r="F382" s="80"/>
      <c r="G382" s="80"/>
      <c r="H382" s="80"/>
      <c r="I382" s="80"/>
      <c r="J382" s="80"/>
      <c r="K382" s="80"/>
      <c r="L382" s="80"/>
      <c r="M382" s="80"/>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c r="AK382" s="80"/>
      <c r="AL382" s="80"/>
      <c r="AM382" s="80"/>
      <c r="AN382" s="80"/>
      <c r="AO382" s="80"/>
      <c r="AP382" s="80"/>
      <c r="AQ382" s="80"/>
      <c r="AR382" s="80"/>
      <c r="AS382" s="80"/>
      <c r="AT382" s="80"/>
      <c r="AU382" s="80"/>
      <c r="AV382" s="80"/>
      <c r="AW382" s="80"/>
      <c r="AX382" s="80"/>
      <c r="AY382" s="80"/>
      <c r="AZ382" s="80"/>
      <c r="BA382" s="80"/>
      <c r="BB382" s="80"/>
      <c r="BC382" s="80"/>
      <c r="BD382" s="80"/>
      <c r="BE382" s="80"/>
      <c r="BF382" s="80"/>
      <c r="BG382" s="80"/>
      <c r="BH382" s="80"/>
      <c r="BI382" s="80"/>
      <c r="BJ382" s="80"/>
      <c r="BK382" s="80"/>
      <c r="BL382" s="80"/>
      <c r="BM382" s="80"/>
      <c r="BN382" s="80"/>
      <c r="BO382" s="80"/>
    </row>
    <row r="383">
      <c r="A383" s="86"/>
      <c r="B383" s="87"/>
      <c r="C383" s="80"/>
      <c r="D383" s="80"/>
      <c r="E383" s="81"/>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c r="AL383" s="80"/>
      <c r="AM383" s="80"/>
      <c r="AN383" s="80"/>
      <c r="AO383" s="80"/>
      <c r="AP383" s="80"/>
      <c r="AQ383" s="80"/>
      <c r="AR383" s="80"/>
      <c r="AS383" s="80"/>
      <c r="AT383" s="80"/>
      <c r="AU383" s="80"/>
      <c r="AV383" s="80"/>
      <c r="AW383" s="80"/>
      <c r="AX383" s="80"/>
      <c r="AY383" s="80"/>
      <c r="AZ383" s="80"/>
      <c r="BA383" s="80"/>
      <c r="BB383" s="80"/>
      <c r="BC383" s="80"/>
      <c r="BD383" s="80"/>
      <c r="BE383" s="80"/>
      <c r="BF383" s="80"/>
      <c r="BG383" s="80"/>
      <c r="BH383" s="80"/>
      <c r="BI383" s="80"/>
      <c r="BJ383" s="80"/>
      <c r="BK383" s="80"/>
      <c r="BL383" s="80"/>
      <c r="BM383" s="80"/>
      <c r="BN383" s="80"/>
      <c r="BO383" s="80"/>
    </row>
    <row r="384">
      <c r="A384" s="86"/>
      <c r="B384" s="87"/>
      <c r="C384" s="80"/>
      <c r="D384" s="80"/>
      <c r="E384" s="81"/>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K384" s="80"/>
      <c r="AL384" s="80"/>
      <c r="AM384" s="80"/>
      <c r="AN384" s="80"/>
      <c r="AO384" s="80"/>
      <c r="AP384" s="80"/>
      <c r="AQ384" s="80"/>
      <c r="AR384" s="80"/>
      <c r="AS384" s="80"/>
      <c r="AT384" s="80"/>
      <c r="AU384" s="80"/>
      <c r="AV384" s="80"/>
      <c r="AW384" s="80"/>
      <c r="AX384" s="80"/>
      <c r="AY384" s="80"/>
      <c r="AZ384" s="80"/>
      <c r="BA384" s="80"/>
      <c r="BB384" s="80"/>
      <c r="BC384" s="80"/>
      <c r="BD384" s="80"/>
      <c r="BE384" s="80"/>
      <c r="BF384" s="80"/>
      <c r="BG384" s="80"/>
      <c r="BH384" s="80"/>
      <c r="BI384" s="80"/>
      <c r="BJ384" s="80"/>
      <c r="BK384" s="80"/>
      <c r="BL384" s="80"/>
      <c r="BM384" s="80"/>
      <c r="BN384" s="80"/>
      <c r="BO384" s="80"/>
    </row>
    <row r="385">
      <c r="A385" s="86"/>
      <c r="B385" s="87"/>
      <c r="C385" s="80"/>
      <c r="D385" s="80"/>
      <c r="E385" s="81"/>
      <c r="F385" s="80"/>
      <c r="G385" s="80"/>
      <c r="H385" s="80"/>
      <c r="I385" s="80"/>
      <c r="J385" s="80"/>
      <c r="K385" s="80"/>
      <c r="L385" s="80"/>
      <c r="M385" s="80"/>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c r="AK385" s="80"/>
      <c r="AL385" s="80"/>
      <c r="AM385" s="80"/>
      <c r="AN385" s="80"/>
      <c r="AO385" s="80"/>
      <c r="AP385" s="80"/>
      <c r="AQ385" s="80"/>
      <c r="AR385" s="80"/>
      <c r="AS385" s="80"/>
      <c r="AT385" s="80"/>
      <c r="AU385" s="80"/>
      <c r="AV385" s="80"/>
      <c r="AW385" s="80"/>
      <c r="AX385" s="80"/>
      <c r="AY385" s="80"/>
      <c r="AZ385" s="80"/>
      <c r="BA385" s="80"/>
      <c r="BB385" s="80"/>
      <c r="BC385" s="80"/>
      <c r="BD385" s="80"/>
      <c r="BE385" s="80"/>
      <c r="BF385" s="80"/>
      <c r="BG385" s="80"/>
      <c r="BH385" s="80"/>
      <c r="BI385" s="80"/>
      <c r="BJ385" s="80"/>
      <c r="BK385" s="80"/>
      <c r="BL385" s="80"/>
      <c r="BM385" s="80"/>
      <c r="BN385" s="80"/>
      <c r="BO385" s="80"/>
    </row>
    <row r="386">
      <c r="A386" s="86"/>
      <c r="B386" s="87"/>
      <c r="C386" s="80"/>
      <c r="D386" s="80"/>
      <c r="E386" s="81"/>
      <c r="F386" s="80"/>
      <c r="G386" s="80"/>
      <c r="H386" s="80"/>
      <c r="I386" s="80"/>
      <c r="J386" s="80"/>
      <c r="K386" s="80"/>
      <c r="L386" s="80"/>
      <c r="M386" s="80"/>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c r="AK386" s="80"/>
      <c r="AL386" s="80"/>
      <c r="AM386" s="80"/>
      <c r="AN386" s="80"/>
      <c r="AO386" s="80"/>
      <c r="AP386" s="80"/>
      <c r="AQ386" s="80"/>
      <c r="AR386" s="80"/>
      <c r="AS386" s="80"/>
      <c r="AT386" s="80"/>
      <c r="AU386" s="80"/>
      <c r="AV386" s="80"/>
      <c r="AW386" s="80"/>
      <c r="AX386" s="80"/>
      <c r="AY386" s="80"/>
      <c r="AZ386" s="80"/>
      <c r="BA386" s="80"/>
      <c r="BB386" s="80"/>
      <c r="BC386" s="80"/>
      <c r="BD386" s="80"/>
      <c r="BE386" s="80"/>
      <c r="BF386" s="80"/>
      <c r="BG386" s="80"/>
      <c r="BH386" s="80"/>
      <c r="BI386" s="80"/>
      <c r="BJ386" s="80"/>
      <c r="BK386" s="80"/>
      <c r="BL386" s="80"/>
      <c r="BM386" s="80"/>
      <c r="BN386" s="80"/>
      <c r="BO386" s="80"/>
    </row>
    <row r="387">
      <c r="A387" s="86"/>
      <c r="B387" s="87"/>
      <c r="C387" s="80"/>
      <c r="D387" s="80"/>
      <c r="E387" s="81"/>
      <c r="F387" s="80"/>
      <c r="G387" s="80"/>
      <c r="H387" s="80"/>
      <c r="I387" s="80"/>
      <c r="J387" s="80"/>
      <c r="K387" s="80"/>
      <c r="L387" s="80"/>
      <c r="M387" s="80"/>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c r="AK387" s="80"/>
      <c r="AL387" s="80"/>
      <c r="AM387" s="80"/>
      <c r="AN387" s="80"/>
      <c r="AO387" s="80"/>
      <c r="AP387" s="80"/>
      <c r="AQ387" s="80"/>
      <c r="AR387" s="80"/>
      <c r="AS387" s="80"/>
      <c r="AT387" s="80"/>
      <c r="AU387" s="80"/>
      <c r="AV387" s="80"/>
      <c r="AW387" s="80"/>
      <c r="AX387" s="80"/>
      <c r="AY387" s="80"/>
      <c r="AZ387" s="80"/>
      <c r="BA387" s="80"/>
      <c r="BB387" s="80"/>
      <c r="BC387" s="80"/>
      <c r="BD387" s="80"/>
      <c r="BE387" s="80"/>
      <c r="BF387" s="80"/>
      <c r="BG387" s="80"/>
      <c r="BH387" s="80"/>
      <c r="BI387" s="80"/>
      <c r="BJ387" s="80"/>
      <c r="BK387" s="80"/>
      <c r="BL387" s="80"/>
      <c r="BM387" s="80"/>
      <c r="BN387" s="80"/>
      <c r="BO387" s="80"/>
    </row>
    <row r="388">
      <c r="A388" s="86"/>
      <c r="B388" s="87"/>
      <c r="C388" s="80"/>
      <c r="D388" s="80"/>
      <c r="E388" s="81"/>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K388" s="80"/>
      <c r="AL388" s="80"/>
      <c r="AM388" s="80"/>
      <c r="AN388" s="80"/>
      <c r="AO388" s="80"/>
      <c r="AP388" s="80"/>
      <c r="AQ388" s="80"/>
      <c r="AR388" s="80"/>
      <c r="AS388" s="80"/>
      <c r="AT388" s="80"/>
      <c r="AU388" s="80"/>
      <c r="AV388" s="80"/>
      <c r="AW388" s="80"/>
      <c r="AX388" s="80"/>
      <c r="AY388" s="80"/>
      <c r="AZ388" s="80"/>
      <c r="BA388" s="80"/>
      <c r="BB388" s="80"/>
      <c r="BC388" s="80"/>
      <c r="BD388" s="80"/>
      <c r="BE388" s="80"/>
      <c r="BF388" s="80"/>
      <c r="BG388" s="80"/>
      <c r="BH388" s="80"/>
      <c r="BI388" s="80"/>
      <c r="BJ388" s="80"/>
      <c r="BK388" s="80"/>
      <c r="BL388" s="80"/>
      <c r="BM388" s="80"/>
      <c r="BN388" s="80"/>
      <c r="BO388" s="80"/>
    </row>
    <row r="389">
      <c r="A389" s="86"/>
      <c r="B389" s="87"/>
      <c r="C389" s="80"/>
      <c r="D389" s="80"/>
      <c r="E389" s="81"/>
      <c r="F389" s="80"/>
      <c r="G389" s="80"/>
      <c r="H389" s="80"/>
      <c r="I389" s="80"/>
      <c r="J389" s="80"/>
      <c r="K389" s="80"/>
      <c r="L389" s="80"/>
      <c r="M389" s="80"/>
      <c r="N389" s="80"/>
      <c r="O389" s="80"/>
      <c r="P389" s="80"/>
      <c r="Q389" s="80"/>
      <c r="R389" s="80"/>
      <c r="S389" s="80"/>
      <c r="T389" s="80"/>
      <c r="U389" s="80"/>
      <c r="V389" s="80"/>
      <c r="W389" s="80"/>
      <c r="X389" s="80"/>
      <c r="Y389" s="80"/>
      <c r="Z389" s="80"/>
      <c r="AA389" s="80"/>
      <c r="AB389" s="80"/>
      <c r="AC389" s="80"/>
      <c r="AD389" s="80"/>
      <c r="AE389" s="80"/>
      <c r="AF389" s="80"/>
      <c r="AG389" s="80"/>
      <c r="AH389" s="80"/>
      <c r="AI389" s="80"/>
      <c r="AJ389" s="80"/>
      <c r="AK389" s="80"/>
      <c r="AL389" s="80"/>
      <c r="AM389" s="80"/>
      <c r="AN389" s="80"/>
      <c r="AO389" s="80"/>
      <c r="AP389" s="80"/>
      <c r="AQ389" s="80"/>
      <c r="AR389" s="80"/>
      <c r="AS389" s="80"/>
      <c r="AT389" s="80"/>
      <c r="AU389" s="80"/>
      <c r="AV389" s="80"/>
      <c r="AW389" s="80"/>
      <c r="AX389" s="80"/>
      <c r="AY389" s="80"/>
      <c r="AZ389" s="80"/>
      <c r="BA389" s="80"/>
      <c r="BB389" s="80"/>
      <c r="BC389" s="80"/>
      <c r="BD389" s="80"/>
      <c r="BE389" s="80"/>
      <c r="BF389" s="80"/>
      <c r="BG389" s="80"/>
      <c r="BH389" s="80"/>
      <c r="BI389" s="80"/>
      <c r="BJ389" s="80"/>
      <c r="BK389" s="80"/>
      <c r="BL389" s="80"/>
      <c r="BM389" s="80"/>
      <c r="BN389" s="80"/>
      <c r="BO389" s="80"/>
    </row>
    <row r="390">
      <c r="A390" s="86"/>
      <c r="B390" s="87"/>
      <c r="C390" s="80"/>
      <c r="D390" s="80"/>
      <c r="E390" s="81"/>
      <c r="F390" s="80"/>
      <c r="G390" s="80"/>
      <c r="H390" s="80"/>
      <c r="I390" s="80"/>
      <c r="J390" s="80"/>
      <c r="K390" s="80"/>
      <c r="L390" s="80"/>
      <c r="M390" s="80"/>
      <c r="N390" s="80"/>
      <c r="O390" s="80"/>
      <c r="P390" s="80"/>
      <c r="Q390" s="80"/>
      <c r="R390" s="80"/>
      <c r="S390" s="80"/>
      <c r="T390" s="80"/>
      <c r="U390" s="80"/>
      <c r="V390" s="80"/>
      <c r="W390" s="80"/>
      <c r="X390" s="80"/>
      <c r="Y390" s="80"/>
      <c r="Z390" s="80"/>
      <c r="AA390" s="80"/>
      <c r="AB390" s="80"/>
      <c r="AC390" s="80"/>
      <c r="AD390" s="80"/>
      <c r="AE390" s="80"/>
      <c r="AF390" s="80"/>
      <c r="AG390" s="80"/>
      <c r="AH390" s="80"/>
      <c r="AI390" s="80"/>
      <c r="AJ390" s="80"/>
      <c r="AK390" s="80"/>
      <c r="AL390" s="80"/>
      <c r="AM390" s="80"/>
      <c r="AN390" s="80"/>
      <c r="AO390" s="80"/>
      <c r="AP390" s="80"/>
      <c r="AQ390" s="80"/>
      <c r="AR390" s="80"/>
      <c r="AS390" s="80"/>
      <c r="AT390" s="80"/>
      <c r="AU390" s="80"/>
      <c r="AV390" s="80"/>
      <c r="AW390" s="80"/>
      <c r="AX390" s="80"/>
      <c r="AY390" s="80"/>
      <c r="AZ390" s="80"/>
      <c r="BA390" s="80"/>
      <c r="BB390" s="80"/>
      <c r="BC390" s="80"/>
      <c r="BD390" s="80"/>
      <c r="BE390" s="80"/>
      <c r="BF390" s="80"/>
      <c r="BG390" s="80"/>
      <c r="BH390" s="80"/>
      <c r="BI390" s="80"/>
      <c r="BJ390" s="80"/>
      <c r="BK390" s="80"/>
      <c r="BL390" s="80"/>
      <c r="BM390" s="80"/>
      <c r="BN390" s="80"/>
      <c r="BO390" s="80"/>
    </row>
    <row r="391">
      <c r="A391" s="86"/>
      <c r="B391" s="87"/>
      <c r="C391" s="80"/>
      <c r="D391" s="80"/>
      <c r="E391" s="81"/>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c r="AK391" s="80"/>
      <c r="AL391" s="80"/>
      <c r="AM391" s="80"/>
      <c r="AN391" s="80"/>
      <c r="AO391" s="80"/>
      <c r="AP391" s="80"/>
      <c r="AQ391" s="80"/>
      <c r="AR391" s="80"/>
      <c r="AS391" s="80"/>
      <c r="AT391" s="80"/>
      <c r="AU391" s="80"/>
      <c r="AV391" s="80"/>
      <c r="AW391" s="80"/>
      <c r="AX391" s="80"/>
      <c r="AY391" s="80"/>
      <c r="AZ391" s="80"/>
      <c r="BA391" s="80"/>
      <c r="BB391" s="80"/>
      <c r="BC391" s="80"/>
      <c r="BD391" s="80"/>
      <c r="BE391" s="80"/>
      <c r="BF391" s="80"/>
      <c r="BG391" s="80"/>
      <c r="BH391" s="80"/>
      <c r="BI391" s="80"/>
      <c r="BJ391" s="80"/>
      <c r="BK391" s="80"/>
      <c r="BL391" s="80"/>
      <c r="BM391" s="80"/>
      <c r="BN391" s="80"/>
      <c r="BO391" s="80"/>
    </row>
    <row r="392">
      <c r="A392" s="86"/>
      <c r="B392" s="87"/>
      <c r="C392" s="80"/>
      <c r="D392" s="80"/>
      <c r="E392" s="81"/>
      <c r="F392" s="80"/>
      <c r="G392" s="80"/>
      <c r="H392" s="80"/>
      <c r="I392" s="80"/>
      <c r="J392" s="80"/>
      <c r="K392" s="80"/>
      <c r="L392" s="80"/>
      <c r="M392" s="80"/>
      <c r="N392" s="80"/>
      <c r="O392" s="80"/>
      <c r="P392" s="80"/>
      <c r="Q392" s="80"/>
      <c r="R392" s="80"/>
      <c r="S392" s="80"/>
      <c r="T392" s="80"/>
      <c r="U392" s="80"/>
      <c r="V392" s="80"/>
      <c r="W392" s="80"/>
      <c r="X392" s="80"/>
      <c r="Y392" s="80"/>
      <c r="Z392" s="80"/>
      <c r="AA392" s="80"/>
      <c r="AB392" s="80"/>
      <c r="AC392" s="80"/>
      <c r="AD392" s="80"/>
      <c r="AE392" s="80"/>
      <c r="AF392" s="80"/>
      <c r="AG392" s="80"/>
      <c r="AH392" s="80"/>
      <c r="AI392" s="80"/>
      <c r="AJ392" s="80"/>
      <c r="AK392" s="80"/>
      <c r="AL392" s="80"/>
      <c r="AM392" s="80"/>
      <c r="AN392" s="80"/>
      <c r="AO392" s="80"/>
      <c r="AP392" s="80"/>
      <c r="AQ392" s="80"/>
      <c r="AR392" s="80"/>
      <c r="AS392" s="80"/>
      <c r="AT392" s="80"/>
      <c r="AU392" s="80"/>
      <c r="AV392" s="80"/>
      <c r="AW392" s="80"/>
      <c r="AX392" s="80"/>
      <c r="AY392" s="80"/>
      <c r="AZ392" s="80"/>
      <c r="BA392" s="80"/>
      <c r="BB392" s="80"/>
      <c r="BC392" s="80"/>
      <c r="BD392" s="80"/>
      <c r="BE392" s="80"/>
      <c r="BF392" s="80"/>
      <c r="BG392" s="80"/>
      <c r="BH392" s="80"/>
      <c r="BI392" s="80"/>
      <c r="BJ392" s="80"/>
      <c r="BK392" s="80"/>
      <c r="BL392" s="80"/>
      <c r="BM392" s="80"/>
      <c r="BN392" s="80"/>
      <c r="BO392" s="80"/>
    </row>
    <row r="393">
      <c r="A393" s="86"/>
      <c r="B393" s="87"/>
      <c r="C393" s="80"/>
      <c r="D393" s="80"/>
      <c r="E393" s="81"/>
      <c r="F393" s="80"/>
      <c r="G393" s="80"/>
      <c r="H393" s="80"/>
      <c r="I393" s="80"/>
      <c r="J393" s="80"/>
      <c r="K393" s="80"/>
      <c r="L393" s="80"/>
      <c r="M393" s="80"/>
      <c r="N393" s="80"/>
      <c r="O393" s="80"/>
      <c r="P393" s="80"/>
      <c r="Q393" s="80"/>
      <c r="R393" s="80"/>
      <c r="S393" s="80"/>
      <c r="T393" s="80"/>
      <c r="U393" s="80"/>
      <c r="V393" s="80"/>
      <c r="W393" s="80"/>
      <c r="X393" s="80"/>
      <c r="Y393" s="80"/>
      <c r="Z393" s="80"/>
      <c r="AA393" s="80"/>
      <c r="AB393" s="80"/>
      <c r="AC393" s="80"/>
      <c r="AD393" s="80"/>
      <c r="AE393" s="80"/>
      <c r="AF393" s="80"/>
      <c r="AG393" s="80"/>
      <c r="AH393" s="80"/>
      <c r="AI393" s="80"/>
      <c r="AJ393" s="80"/>
      <c r="AK393" s="80"/>
      <c r="AL393" s="80"/>
      <c r="AM393" s="80"/>
      <c r="AN393" s="80"/>
      <c r="AO393" s="80"/>
      <c r="AP393" s="80"/>
      <c r="AQ393" s="80"/>
      <c r="AR393" s="80"/>
      <c r="AS393" s="80"/>
      <c r="AT393" s="80"/>
      <c r="AU393" s="80"/>
      <c r="AV393" s="80"/>
      <c r="AW393" s="80"/>
      <c r="AX393" s="80"/>
      <c r="AY393" s="80"/>
      <c r="AZ393" s="80"/>
      <c r="BA393" s="80"/>
      <c r="BB393" s="80"/>
      <c r="BC393" s="80"/>
      <c r="BD393" s="80"/>
      <c r="BE393" s="80"/>
      <c r="BF393" s="80"/>
      <c r="BG393" s="80"/>
      <c r="BH393" s="80"/>
      <c r="BI393" s="80"/>
      <c r="BJ393" s="80"/>
      <c r="BK393" s="80"/>
      <c r="BL393" s="80"/>
      <c r="BM393" s="80"/>
      <c r="BN393" s="80"/>
      <c r="BO393" s="80"/>
    </row>
    <row r="394">
      <c r="A394" s="86"/>
      <c r="B394" s="87"/>
      <c r="C394" s="80"/>
      <c r="D394" s="80"/>
      <c r="E394" s="81"/>
      <c r="F394" s="80"/>
      <c r="G394" s="80"/>
      <c r="H394" s="80"/>
      <c r="I394" s="80"/>
      <c r="J394" s="80"/>
      <c r="K394" s="80"/>
      <c r="L394" s="80"/>
      <c r="M394" s="80"/>
      <c r="N394" s="80"/>
      <c r="O394" s="80"/>
      <c r="P394" s="80"/>
      <c r="Q394" s="80"/>
      <c r="R394" s="80"/>
      <c r="S394" s="80"/>
      <c r="T394" s="80"/>
      <c r="U394" s="80"/>
      <c r="V394" s="80"/>
      <c r="W394" s="80"/>
      <c r="X394" s="80"/>
      <c r="Y394" s="80"/>
      <c r="Z394" s="80"/>
      <c r="AA394" s="80"/>
      <c r="AB394" s="80"/>
      <c r="AC394" s="80"/>
      <c r="AD394" s="80"/>
      <c r="AE394" s="80"/>
      <c r="AF394" s="80"/>
      <c r="AG394" s="80"/>
      <c r="AH394" s="80"/>
      <c r="AI394" s="80"/>
      <c r="AJ394" s="80"/>
      <c r="AK394" s="80"/>
      <c r="AL394" s="80"/>
      <c r="AM394" s="80"/>
      <c r="AN394" s="80"/>
      <c r="AO394" s="80"/>
      <c r="AP394" s="80"/>
      <c r="AQ394" s="80"/>
      <c r="AR394" s="80"/>
      <c r="AS394" s="80"/>
      <c r="AT394" s="80"/>
      <c r="AU394" s="80"/>
      <c r="AV394" s="80"/>
      <c r="AW394" s="80"/>
      <c r="AX394" s="80"/>
      <c r="AY394" s="80"/>
      <c r="AZ394" s="80"/>
      <c r="BA394" s="80"/>
      <c r="BB394" s="80"/>
      <c r="BC394" s="80"/>
      <c r="BD394" s="80"/>
      <c r="BE394" s="80"/>
      <c r="BF394" s="80"/>
      <c r="BG394" s="80"/>
      <c r="BH394" s="80"/>
      <c r="BI394" s="80"/>
      <c r="BJ394" s="80"/>
      <c r="BK394" s="80"/>
      <c r="BL394" s="80"/>
      <c r="BM394" s="80"/>
      <c r="BN394" s="80"/>
      <c r="BO394" s="80"/>
    </row>
    <row r="395">
      <c r="A395" s="86"/>
      <c r="B395" s="87"/>
      <c r="C395" s="80"/>
      <c r="D395" s="80"/>
      <c r="E395" s="81"/>
      <c r="F395" s="80"/>
      <c r="G395" s="80"/>
      <c r="H395" s="80"/>
      <c r="I395" s="80"/>
      <c r="J395" s="80"/>
      <c r="K395" s="80"/>
      <c r="L395" s="80"/>
      <c r="M395" s="80"/>
      <c r="N395" s="80"/>
      <c r="O395" s="80"/>
      <c r="P395" s="80"/>
      <c r="Q395" s="80"/>
      <c r="R395" s="80"/>
      <c r="S395" s="80"/>
      <c r="T395" s="80"/>
      <c r="U395" s="80"/>
      <c r="V395" s="80"/>
      <c r="W395" s="80"/>
      <c r="X395" s="80"/>
      <c r="Y395" s="80"/>
      <c r="Z395" s="80"/>
      <c r="AA395" s="80"/>
      <c r="AB395" s="80"/>
      <c r="AC395" s="80"/>
      <c r="AD395" s="80"/>
      <c r="AE395" s="80"/>
      <c r="AF395" s="80"/>
      <c r="AG395" s="80"/>
      <c r="AH395" s="80"/>
      <c r="AI395" s="80"/>
      <c r="AJ395" s="80"/>
      <c r="AK395" s="80"/>
      <c r="AL395" s="80"/>
      <c r="AM395" s="80"/>
      <c r="AN395" s="80"/>
      <c r="AO395" s="80"/>
      <c r="AP395" s="80"/>
      <c r="AQ395" s="80"/>
      <c r="AR395" s="80"/>
      <c r="AS395" s="80"/>
      <c r="AT395" s="80"/>
      <c r="AU395" s="80"/>
      <c r="AV395" s="80"/>
      <c r="AW395" s="80"/>
      <c r="AX395" s="80"/>
      <c r="AY395" s="80"/>
      <c r="AZ395" s="80"/>
      <c r="BA395" s="80"/>
      <c r="BB395" s="80"/>
      <c r="BC395" s="80"/>
      <c r="BD395" s="80"/>
      <c r="BE395" s="80"/>
      <c r="BF395" s="80"/>
      <c r="BG395" s="80"/>
      <c r="BH395" s="80"/>
      <c r="BI395" s="80"/>
      <c r="BJ395" s="80"/>
      <c r="BK395" s="80"/>
      <c r="BL395" s="80"/>
      <c r="BM395" s="80"/>
      <c r="BN395" s="80"/>
      <c r="BO395" s="80"/>
    </row>
    <row r="396">
      <c r="A396" s="86"/>
      <c r="B396" s="87"/>
      <c r="C396" s="80"/>
      <c r="D396" s="80"/>
      <c r="E396" s="81"/>
      <c r="F396" s="80"/>
      <c r="G396" s="80"/>
      <c r="H396" s="80"/>
      <c r="I396" s="80"/>
      <c r="J396" s="80"/>
      <c r="K396" s="80"/>
      <c r="L396" s="80"/>
      <c r="M396" s="80"/>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c r="AK396" s="80"/>
      <c r="AL396" s="80"/>
      <c r="AM396" s="80"/>
      <c r="AN396" s="80"/>
      <c r="AO396" s="80"/>
      <c r="AP396" s="80"/>
      <c r="AQ396" s="80"/>
      <c r="AR396" s="80"/>
      <c r="AS396" s="80"/>
      <c r="AT396" s="80"/>
      <c r="AU396" s="80"/>
      <c r="AV396" s="80"/>
      <c r="AW396" s="80"/>
      <c r="AX396" s="80"/>
      <c r="AY396" s="80"/>
      <c r="AZ396" s="80"/>
      <c r="BA396" s="80"/>
      <c r="BB396" s="80"/>
      <c r="BC396" s="80"/>
      <c r="BD396" s="80"/>
      <c r="BE396" s="80"/>
      <c r="BF396" s="80"/>
      <c r="BG396" s="80"/>
      <c r="BH396" s="80"/>
      <c r="BI396" s="80"/>
      <c r="BJ396" s="80"/>
      <c r="BK396" s="80"/>
      <c r="BL396" s="80"/>
      <c r="BM396" s="80"/>
      <c r="BN396" s="80"/>
      <c r="BO396" s="80"/>
    </row>
    <row r="397">
      <c r="A397" s="86"/>
      <c r="B397" s="87"/>
      <c r="C397" s="80"/>
      <c r="D397" s="80"/>
      <c r="E397" s="81"/>
      <c r="F397" s="80"/>
      <c r="G397" s="80"/>
      <c r="H397" s="80"/>
      <c r="I397" s="80"/>
      <c r="J397" s="80"/>
      <c r="K397" s="80"/>
      <c r="L397" s="80"/>
      <c r="M397" s="80"/>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c r="AK397" s="80"/>
      <c r="AL397" s="80"/>
      <c r="AM397" s="80"/>
      <c r="AN397" s="80"/>
      <c r="AO397" s="80"/>
      <c r="AP397" s="80"/>
      <c r="AQ397" s="80"/>
      <c r="AR397" s="80"/>
      <c r="AS397" s="80"/>
      <c r="AT397" s="80"/>
      <c r="AU397" s="80"/>
      <c r="AV397" s="80"/>
      <c r="AW397" s="80"/>
      <c r="AX397" s="80"/>
      <c r="AY397" s="80"/>
      <c r="AZ397" s="80"/>
      <c r="BA397" s="80"/>
      <c r="BB397" s="80"/>
      <c r="BC397" s="80"/>
      <c r="BD397" s="80"/>
      <c r="BE397" s="80"/>
      <c r="BF397" s="80"/>
      <c r="BG397" s="80"/>
      <c r="BH397" s="80"/>
      <c r="BI397" s="80"/>
      <c r="BJ397" s="80"/>
      <c r="BK397" s="80"/>
      <c r="BL397" s="80"/>
      <c r="BM397" s="80"/>
      <c r="BN397" s="80"/>
      <c r="BO397" s="80"/>
    </row>
    <row r="398">
      <c r="A398" s="86"/>
      <c r="B398" s="87"/>
      <c r="C398" s="80"/>
      <c r="D398" s="80"/>
      <c r="E398" s="81"/>
      <c r="F398" s="80"/>
      <c r="G398" s="80"/>
      <c r="H398" s="80"/>
      <c r="I398" s="80"/>
      <c r="J398" s="80"/>
      <c r="K398" s="80"/>
      <c r="L398" s="80"/>
      <c r="M398" s="80"/>
      <c r="N398" s="80"/>
      <c r="O398" s="80"/>
      <c r="P398" s="80"/>
      <c r="Q398" s="80"/>
      <c r="R398" s="80"/>
      <c r="S398" s="80"/>
      <c r="T398" s="80"/>
      <c r="U398" s="80"/>
      <c r="V398" s="80"/>
      <c r="W398" s="80"/>
      <c r="X398" s="80"/>
      <c r="Y398" s="80"/>
      <c r="Z398" s="80"/>
      <c r="AA398" s="80"/>
      <c r="AB398" s="80"/>
      <c r="AC398" s="80"/>
      <c r="AD398" s="80"/>
      <c r="AE398" s="80"/>
      <c r="AF398" s="80"/>
      <c r="AG398" s="80"/>
      <c r="AH398" s="80"/>
      <c r="AI398" s="80"/>
      <c r="AJ398" s="80"/>
      <c r="AK398" s="80"/>
      <c r="AL398" s="80"/>
      <c r="AM398" s="80"/>
      <c r="AN398" s="80"/>
      <c r="AO398" s="80"/>
      <c r="AP398" s="80"/>
      <c r="AQ398" s="80"/>
      <c r="AR398" s="80"/>
      <c r="AS398" s="80"/>
      <c r="AT398" s="80"/>
      <c r="AU398" s="80"/>
      <c r="AV398" s="80"/>
      <c r="AW398" s="80"/>
      <c r="AX398" s="80"/>
      <c r="AY398" s="80"/>
      <c r="AZ398" s="80"/>
      <c r="BA398" s="80"/>
      <c r="BB398" s="80"/>
      <c r="BC398" s="80"/>
      <c r="BD398" s="80"/>
      <c r="BE398" s="80"/>
      <c r="BF398" s="80"/>
      <c r="BG398" s="80"/>
      <c r="BH398" s="80"/>
      <c r="BI398" s="80"/>
      <c r="BJ398" s="80"/>
      <c r="BK398" s="80"/>
      <c r="BL398" s="80"/>
      <c r="BM398" s="80"/>
      <c r="BN398" s="80"/>
      <c r="BO398" s="80"/>
    </row>
    <row r="399">
      <c r="A399" s="86"/>
      <c r="B399" s="87"/>
      <c r="C399" s="80"/>
      <c r="D399" s="80"/>
      <c r="E399" s="81"/>
      <c r="F399" s="80"/>
      <c r="G399" s="80"/>
      <c r="H399" s="80"/>
      <c r="I399" s="80"/>
      <c r="J399" s="80"/>
      <c r="K399" s="80"/>
      <c r="L399" s="80"/>
      <c r="M399" s="80"/>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c r="AK399" s="80"/>
      <c r="AL399" s="80"/>
      <c r="AM399" s="80"/>
      <c r="AN399" s="80"/>
      <c r="AO399" s="80"/>
      <c r="AP399" s="80"/>
      <c r="AQ399" s="80"/>
      <c r="AR399" s="80"/>
      <c r="AS399" s="80"/>
      <c r="AT399" s="80"/>
      <c r="AU399" s="80"/>
      <c r="AV399" s="80"/>
      <c r="AW399" s="80"/>
      <c r="AX399" s="80"/>
      <c r="AY399" s="80"/>
      <c r="AZ399" s="80"/>
      <c r="BA399" s="80"/>
      <c r="BB399" s="80"/>
      <c r="BC399" s="80"/>
      <c r="BD399" s="80"/>
      <c r="BE399" s="80"/>
      <c r="BF399" s="80"/>
      <c r="BG399" s="80"/>
      <c r="BH399" s="80"/>
      <c r="BI399" s="80"/>
      <c r="BJ399" s="80"/>
      <c r="BK399" s="80"/>
      <c r="BL399" s="80"/>
      <c r="BM399" s="80"/>
      <c r="BN399" s="80"/>
      <c r="BO399" s="80"/>
    </row>
    <row r="400">
      <c r="A400" s="86"/>
      <c r="B400" s="87"/>
      <c r="C400" s="80"/>
      <c r="D400" s="80"/>
      <c r="E400" s="81"/>
      <c r="F400" s="80"/>
      <c r="G400" s="80"/>
      <c r="H400" s="80"/>
      <c r="I400" s="80"/>
      <c r="J400" s="80"/>
      <c r="K400" s="80"/>
      <c r="L400" s="80"/>
      <c r="M400" s="80"/>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c r="AK400" s="80"/>
      <c r="AL400" s="80"/>
      <c r="AM400" s="80"/>
      <c r="AN400" s="80"/>
      <c r="AO400" s="80"/>
      <c r="AP400" s="80"/>
      <c r="AQ400" s="80"/>
      <c r="AR400" s="80"/>
      <c r="AS400" s="80"/>
      <c r="AT400" s="80"/>
      <c r="AU400" s="80"/>
      <c r="AV400" s="80"/>
      <c r="AW400" s="80"/>
      <c r="AX400" s="80"/>
      <c r="AY400" s="80"/>
      <c r="AZ400" s="80"/>
      <c r="BA400" s="80"/>
      <c r="BB400" s="80"/>
      <c r="BC400" s="80"/>
      <c r="BD400" s="80"/>
      <c r="BE400" s="80"/>
      <c r="BF400" s="80"/>
      <c r="BG400" s="80"/>
      <c r="BH400" s="80"/>
      <c r="BI400" s="80"/>
      <c r="BJ400" s="80"/>
      <c r="BK400" s="80"/>
      <c r="BL400" s="80"/>
      <c r="BM400" s="80"/>
      <c r="BN400" s="80"/>
      <c r="BO400" s="80"/>
    </row>
    <row r="401">
      <c r="A401" s="86"/>
      <c r="B401" s="87"/>
      <c r="C401" s="80"/>
      <c r="D401" s="80"/>
      <c r="E401" s="81"/>
      <c r="F401" s="80"/>
      <c r="G401" s="80"/>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c r="AK401" s="80"/>
      <c r="AL401" s="80"/>
      <c r="AM401" s="80"/>
      <c r="AN401" s="80"/>
      <c r="AO401" s="80"/>
      <c r="AP401" s="80"/>
      <c r="AQ401" s="80"/>
      <c r="AR401" s="80"/>
      <c r="AS401" s="80"/>
      <c r="AT401" s="80"/>
      <c r="AU401" s="80"/>
      <c r="AV401" s="80"/>
      <c r="AW401" s="80"/>
      <c r="AX401" s="80"/>
      <c r="AY401" s="80"/>
      <c r="AZ401" s="80"/>
      <c r="BA401" s="80"/>
      <c r="BB401" s="80"/>
      <c r="BC401" s="80"/>
      <c r="BD401" s="80"/>
      <c r="BE401" s="80"/>
      <c r="BF401" s="80"/>
      <c r="BG401" s="80"/>
      <c r="BH401" s="80"/>
      <c r="BI401" s="80"/>
      <c r="BJ401" s="80"/>
      <c r="BK401" s="80"/>
      <c r="BL401" s="80"/>
      <c r="BM401" s="80"/>
      <c r="BN401" s="80"/>
      <c r="BO401" s="80"/>
    </row>
    <row r="402">
      <c r="A402" s="86"/>
      <c r="B402" s="87"/>
      <c r="C402" s="80"/>
      <c r="D402" s="80"/>
      <c r="E402" s="81"/>
      <c r="F402" s="80"/>
      <c r="G402" s="80"/>
      <c r="H402" s="80"/>
      <c r="I402" s="80"/>
      <c r="J402" s="80"/>
      <c r="K402" s="80"/>
      <c r="L402" s="80"/>
      <c r="M402" s="80"/>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c r="AK402" s="80"/>
      <c r="AL402" s="80"/>
      <c r="AM402" s="80"/>
      <c r="AN402" s="80"/>
      <c r="AO402" s="80"/>
      <c r="AP402" s="80"/>
      <c r="AQ402" s="80"/>
      <c r="AR402" s="80"/>
      <c r="AS402" s="80"/>
      <c r="AT402" s="80"/>
      <c r="AU402" s="80"/>
      <c r="AV402" s="80"/>
      <c r="AW402" s="80"/>
      <c r="AX402" s="80"/>
      <c r="AY402" s="80"/>
      <c r="AZ402" s="80"/>
      <c r="BA402" s="80"/>
      <c r="BB402" s="80"/>
      <c r="BC402" s="80"/>
      <c r="BD402" s="80"/>
      <c r="BE402" s="80"/>
      <c r="BF402" s="80"/>
      <c r="BG402" s="80"/>
      <c r="BH402" s="80"/>
      <c r="BI402" s="80"/>
      <c r="BJ402" s="80"/>
      <c r="BK402" s="80"/>
      <c r="BL402" s="80"/>
      <c r="BM402" s="80"/>
      <c r="BN402" s="80"/>
      <c r="BO402" s="80"/>
    </row>
    <row r="403">
      <c r="A403" s="86"/>
      <c r="B403" s="87"/>
      <c r="C403" s="80"/>
      <c r="D403" s="80"/>
      <c r="E403" s="81"/>
      <c r="F403" s="80"/>
      <c r="G403" s="80"/>
      <c r="H403" s="80"/>
      <c r="I403" s="80"/>
      <c r="J403" s="80"/>
      <c r="K403" s="80"/>
      <c r="L403" s="80"/>
      <c r="M403" s="80"/>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c r="AK403" s="80"/>
      <c r="AL403" s="80"/>
      <c r="AM403" s="80"/>
      <c r="AN403" s="80"/>
      <c r="AO403" s="80"/>
      <c r="AP403" s="80"/>
      <c r="AQ403" s="80"/>
      <c r="AR403" s="80"/>
      <c r="AS403" s="80"/>
      <c r="AT403" s="80"/>
      <c r="AU403" s="80"/>
      <c r="AV403" s="80"/>
      <c r="AW403" s="80"/>
      <c r="AX403" s="80"/>
      <c r="AY403" s="80"/>
      <c r="AZ403" s="80"/>
      <c r="BA403" s="80"/>
      <c r="BB403" s="80"/>
      <c r="BC403" s="80"/>
      <c r="BD403" s="80"/>
      <c r="BE403" s="80"/>
      <c r="BF403" s="80"/>
      <c r="BG403" s="80"/>
      <c r="BH403" s="80"/>
      <c r="BI403" s="80"/>
      <c r="BJ403" s="80"/>
      <c r="BK403" s="80"/>
      <c r="BL403" s="80"/>
      <c r="BM403" s="80"/>
      <c r="BN403" s="80"/>
      <c r="BO403" s="80"/>
    </row>
    <row r="404">
      <c r="A404" s="86"/>
      <c r="B404" s="87"/>
      <c r="C404" s="80"/>
      <c r="D404" s="80"/>
      <c r="E404" s="81"/>
      <c r="F404" s="80"/>
      <c r="G404" s="80"/>
      <c r="H404" s="80"/>
      <c r="I404" s="80"/>
      <c r="J404" s="80"/>
      <c r="K404" s="80"/>
      <c r="L404" s="80"/>
      <c r="M404" s="80"/>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c r="AK404" s="80"/>
      <c r="AL404" s="80"/>
      <c r="AM404" s="80"/>
      <c r="AN404" s="80"/>
      <c r="AO404" s="80"/>
      <c r="AP404" s="80"/>
      <c r="AQ404" s="80"/>
      <c r="AR404" s="80"/>
      <c r="AS404" s="80"/>
      <c r="AT404" s="80"/>
      <c r="AU404" s="80"/>
      <c r="AV404" s="80"/>
      <c r="AW404" s="80"/>
      <c r="AX404" s="80"/>
      <c r="AY404" s="80"/>
      <c r="AZ404" s="80"/>
      <c r="BA404" s="80"/>
      <c r="BB404" s="80"/>
      <c r="BC404" s="80"/>
      <c r="BD404" s="80"/>
      <c r="BE404" s="80"/>
      <c r="BF404" s="80"/>
      <c r="BG404" s="80"/>
      <c r="BH404" s="80"/>
      <c r="BI404" s="80"/>
      <c r="BJ404" s="80"/>
      <c r="BK404" s="80"/>
      <c r="BL404" s="80"/>
      <c r="BM404" s="80"/>
      <c r="BN404" s="80"/>
      <c r="BO404" s="80"/>
    </row>
    <row r="405">
      <c r="A405" s="86"/>
      <c r="B405" s="87"/>
      <c r="C405" s="80"/>
      <c r="D405" s="80"/>
      <c r="E405" s="81"/>
      <c r="F405" s="80"/>
      <c r="G405" s="80"/>
      <c r="H405" s="80"/>
      <c r="I405" s="80"/>
      <c r="J405" s="80"/>
      <c r="K405" s="80"/>
      <c r="L405" s="80"/>
      <c r="M405" s="80"/>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c r="AK405" s="80"/>
      <c r="AL405" s="80"/>
      <c r="AM405" s="80"/>
      <c r="AN405" s="80"/>
      <c r="AO405" s="80"/>
      <c r="AP405" s="80"/>
      <c r="AQ405" s="80"/>
      <c r="AR405" s="80"/>
      <c r="AS405" s="80"/>
      <c r="AT405" s="80"/>
      <c r="AU405" s="80"/>
      <c r="AV405" s="80"/>
      <c r="AW405" s="80"/>
      <c r="AX405" s="80"/>
      <c r="AY405" s="80"/>
      <c r="AZ405" s="80"/>
      <c r="BA405" s="80"/>
      <c r="BB405" s="80"/>
      <c r="BC405" s="80"/>
      <c r="BD405" s="80"/>
      <c r="BE405" s="80"/>
      <c r="BF405" s="80"/>
      <c r="BG405" s="80"/>
      <c r="BH405" s="80"/>
      <c r="BI405" s="80"/>
      <c r="BJ405" s="80"/>
      <c r="BK405" s="80"/>
      <c r="BL405" s="80"/>
      <c r="BM405" s="80"/>
      <c r="BN405" s="80"/>
      <c r="BO405" s="80"/>
    </row>
    <row r="406">
      <c r="A406" s="86"/>
      <c r="B406" s="87"/>
      <c r="C406" s="80"/>
      <c r="D406" s="80"/>
      <c r="E406" s="81"/>
      <c r="F406" s="80"/>
      <c r="G406" s="80"/>
      <c r="H406" s="80"/>
      <c r="I406" s="80"/>
      <c r="J406" s="80"/>
      <c r="K406" s="80"/>
      <c r="L406" s="80"/>
      <c r="M406" s="80"/>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c r="AK406" s="80"/>
      <c r="AL406" s="80"/>
      <c r="AM406" s="80"/>
      <c r="AN406" s="80"/>
      <c r="AO406" s="80"/>
      <c r="AP406" s="80"/>
      <c r="AQ406" s="80"/>
      <c r="AR406" s="80"/>
      <c r="AS406" s="80"/>
      <c r="AT406" s="80"/>
      <c r="AU406" s="80"/>
      <c r="AV406" s="80"/>
      <c r="AW406" s="80"/>
      <c r="AX406" s="80"/>
      <c r="AY406" s="80"/>
      <c r="AZ406" s="80"/>
      <c r="BA406" s="80"/>
      <c r="BB406" s="80"/>
      <c r="BC406" s="80"/>
      <c r="BD406" s="80"/>
      <c r="BE406" s="80"/>
      <c r="BF406" s="80"/>
      <c r="BG406" s="80"/>
      <c r="BH406" s="80"/>
      <c r="BI406" s="80"/>
      <c r="BJ406" s="80"/>
      <c r="BK406" s="80"/>
      <c r="BL406" s="80"/>
      <c r="BM406" s="80"/>
      <c r="BN406" s="80"/>
      <c r="BO406" s="80"/>
    </row>
    <row r="407">
      <c r="A407" s="86"/>
      <c r="B407" s="87"/>
      <c r="C407" s="80"/>
      <c r="D407" s="80"/>
      <c r="E407" s="81"/>
      <c r="F407" s="80"/>
      <c r="G407" s="80"/>
      <c r="H407" s="80"/>
      <c r="I407" s="80"/>
      <c r="J407" s="80"/>
      <c r="K407" s="80"/>
      <c r="L407" s="80"/>
      <c r="M407" s="80"/>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c r="AK407" s="80"/>
      <c r="AL407" s="80"/>
      <c r="AM407" s="80"/>
      <c r="AN407" s="80"/>
      <c r="AO407" s="80"/>
      <c r="AP407" s="80"/>
      <c r="AQ407" s="80"/>
      <c r="AR407" s="80"/>
      <c r="AS407" s="80"/>
      <c r="AT407" s="80"/>
      <c r="AU407" s="80"/>
      <c r="AV407" s="80"/>
      <c r="AW407" s="80"/>
      <c r="AX407" s="80"/>
      <c r="AY407" s="80"/>
      <c r="AZ407" s="80"/>
      <c r="BA407" s="80"/>
      <c r="BB407" s="80"/>
      <c r="BC407" s="80"/>
      <c r="BD407" s="80"/>
      <c r="BE407" s="80"/>
      <c r="BF407" s="80"/>
      <c r="BG407" s="80"/>
      <c r="BH407" s="80"/>
      <c r="BI407" s="80"/>
      <c r="BJ407" s="80"/>
      <c r="BK407" s="80"/>
      <c r="BL407" s="80"/>
      <c r="BM407" s="80"/>
      <c r="BN407" s="80"/>
      <c r="BO407" s="80"/>
    </row>
    <row r="408">
      <c r="A408" s="86"/>
      <c r="B408" s="87"/>
      <c r="C408" s="80"/>
      <c r="D408" s="80"/>
      <c r="E408" s="81"/>
      <c r="F408" s="80"/>
      <c r="G408" s="80"/>
      <c r="H408" s="80"/>
      <c r="I408" s="80"/>
      <c r="J408" s="80"/>
      <c r="K408" s="80"/>
      <c r="L408" s="80"/>
      <c r="M408" s="80"/>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c r="AK408" s="80"/>
      <c r="AL408" s="80"/>
      <c r="AM408" s="80"/>
      <c r="AN408" s="80"/>
      <c r="AO408" s="80"/>
      <c r="AP408" s="80"/>
      <c r="AQ408" s="80"/>
      <c r="AR408" s="80"/>
      <c r="AS408" s="80"/>
      <c r="AT408" s="80"/>
      <c r="AU408" s="80"/>
      <c r="AV408" s="80"/>
      <c r="AW408" s="80"/>
      <c r="AX408" s="80"/>
      <c r="AY408" s="80"/>
      <c r="AZ408" s="80"/>
      <c r="BA408" s="80"/>
      <c r="BB408" s="80"/>
      <c r="BC408" s="80"/>
      <c r="BD408" s="80"/>
      <c r="BE408" s="80"/>
      <c r="BF408" s="80"/>
      <c r="BG408" s="80"/>
      <c r="BH408" s="80"/>
      <c r="BI408" s="80"/>
      <c r="BJ408" s="80"/>
      <c r="BK408" s="80"/>
      <c r="BL408" s="80"/>
      <c r="BM408" s="80"/>
      <c r="BN408" s="80"/>
      <c r="BO408" s="80"/>
    </row>
    <row r="409">
      <c r="A409" s="86"/>
      <c r="B409" s="87"/>
      <c r="C409" s="80"/>
      <c r="D409" s="80"/>
      <c r="E409" s="81"/>
      <c r="F409" s="80"/>
      <c r="G409" s="80"/>
      <c r="H409" s="80"/>
      <c r="I409" s="80"/>
      <c r="J409" s="80"/>
      <c r="K409" s="80"/>
      <c r="L409" s="80"/>
      <c r="M409" s="80"/>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c r="AK409" s="80"/>
      <c r="AL409" s="80"/>
      <c r="AM409" s="80"/>
      <c r="AN409" s="80"/>
      <c r="AO409" s="80"/>
      <c r="AP409" s="80"/>
      <c r="AQ409" s="80"/>
      <c r="AR409" s="80"/>
      <c r="AS409" s="80"/>
      <c r="AT409" s="80"/>
      <c r="AU409" s="80"/>
      <c r="AV409" s="80"/>
      <c r="AW409" s="80"/>
      <c r="AX409" s="80"/>
      <c r="AY409" s="80"/>
      <c r="AZ409" s="80"/>
      <c r="BA409" s="80"/>
      <c r="BB409" s="80"/>
      <c r="BC409" s="80"/>
      <c r="BD409" s="80"/>
      <c r="BE409" s="80"/>
      <c r="BF409" s="80"/>
      <c r="BG409" s="80"/>
      <c r="BH409" s="80"/>
      <c r="BI409" s="80"/>
      <c r="BJ409" s="80"/>
      <c r="BK409" s="80"/>
      <c r="BL409" s="80"/>
      <c r="BM409" s="80"/>
      <c r="BN409" s="80"/>
      <c r="BO409" s="80"/>
    </row>
    <row r="410">
      <c r="A410" s="86"/>
      <c r="B410" s="87"/>
      <c r="C410" s="80"/>
      <c r="D410" s="80"/>
      <c r="E410" s="81"/>
      <c r="F410" s="80"/>
      <c r="G410" s="80"/>
      <c r="H410" s="80"/>
      <c r="I410" s="80"/>
      <c r="J410" s="80"/>
      <c r="K410" s="80"/>
      <c r="L410" s="80"/>
      <c r="M410" s="80"/>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c r="AK410" s="80"/>
      <c r="AL410" s="80"/>
      <c r="AM410" s="80"/>
      <c r="AN410" s="80"/>
      <c r="AO410" s="80"/>
      <c r="AP410" s="80"/>
      <c r="AQ410" s="80"/>
      <c r="AR410" s="80"/>
      <c r="AS410" s="80"/>
      <c r="AT410" s="80"/>
      <c r="AU410" s="80"/>
      <c r="AV410" s="80"/>
      <c r="AW410" s="80"/>
      <c r="AX410" s="80"/>
      <c r="AY410" s="80"/>
      <c r="AZ410" s="80"/>
      <c r="BA410" s="80"/>
      <c r="BB410" s="80"/>
      <c r="BC410" s="80"/>
      <c r="BD410" s="80"/>
      <c r="BE410" s="80"/>
      <c r="BF410" s="80"/>
      <c r="BG410" s="80"/>
      <c r="BH410" s="80"/>
      <c r="BI410" s="80"/>
      <c r="BJ410" s="80"/>
      <c r="BK410" s="80"/>
      <c r="BL410" s="80"/>
      <c r="BM410" s="80"/>
      <c r="BN410" s="80"/>
      <c r="BO410" s="80"/>
    </row>
    <row r="411">
      <c r="A411" s="86"/>
      <c r="B411" s="87"/>
      <c r="C411" s="80"/>
      <c r="D411" s="80"/>
      <c r="E411" s="81"/>
      <c r="F411" s="80"/>
      <c r="G411" s="80"/>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c r="AK411" s="80"/>
      <c r="AL411" s="80"/>
      <c r="AM411" s="80"/>
      <c r="AN411" s="80"/>
      <c r="AO411" s="80"/>
      <c r="AP411" s="80"/>
      <c r="AQ411" s="80"/>
      <c r="AR411" s="80"/>
      <c r="AS411" s="80"/>
      <c r="AT411" s="80"/>
      <c r="AU411" s="80"/>
      <c r="AV411" s="80"/>
      <c r="AW411" s="80"/>
      <c r="AX411" s="80"/>
      <c r="AY411" s="80"/>
      <c r="AZ411" s="80"/>
      <c r="BA411" s="80"/>
      <c r="BB411" s="80"/>
      <c r="BC411" s="80"/>
      <c r="BD411" s="80"/>
      <c r="BE411" s="80"/>
      <c r="BF411" s="80"/>
      <c r="BG411" s="80"/>
      <c r="BH411" s="80"/>
      <c r="BI411" s="80"/>
      <c r="BJ411" s="80"/>
      <c r="BK411" s="80"/>
      <c r="BL411" s="80"/>
      <c r="BM411" s="80"/>
      <c r="BN411" s="80"/>
      <c r="BO411" s="80"/>
    </row>
    <row r="412">
      <c r="A412" s="86"/>
      <c r="B412" s="87"/>
      <c r="C412" s="80"/>
      <c r="D412" s="80"/>
      <c r="E412" s="81"/>
      <c r="F412" s="80"/>
      <c r="G412" s="80"/>
      <c r="H412" s="80"/>
      <c r="I412" s="80"/>
      <c r="J412" s="80"/>
      <c r="K412" s="80"/>
      <c r="L412" s="80"/>
      <c r="M412" s="80"/>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c r="AK412" s="80"/>
      <c r="AL412" s="80"/>
      <c r="AM412" s="80"/>
      <c r="AN412" s="80"/>
      <c r="AO412" s="80"/>
      <c r="AP412" s="80"/>
      <c r="AQ412" s="80"/>
      <c r="AR412" s="80"/>
      <c r="AS412" s="80"/>
      <c r="AT412" s="80"/>
      <c r="AU412" s="80"/>
      <c r="AV412" s="80"/>
      <c r="AW412" s="80"/>
      <c r="AX412" s="80"/>
      <c r="AY412" s="80"/>
      <c r="AZ412" s="80"/>
      <c r="BA412" s="80"/>
      <c r="BB412" s="80"/>
      <c r="BC412" s="80"/>
      <c r="BD412" s="80"/>
      <c r="BE412" s="80"/>
      <c r="BF412" s="80"/>
      <c r="BG412" s="80"/>
      <c r="BH412" s="80"/>
      <c r="BI412" s="80"/>
      <c r="BJ412" s="80"/>
      <c r="BK412" s="80"/>
      <c r="BL412" s="80"/>
      <c r="BM412" s="80"/>
      <c r="BN412" s="80"/>
      <c r="BO412" s="80"/>
    </row>
    <row r="413">
      <c r="A413" s="86"/>
      <c r="B413" s="87"/>
      <c r="C413" s="80"/>
      <c r="D413" s="80"/>
      <c r="E413" s="81"/>
      <c r="F413" s="80"/>
      <c r="G413" s="80"/>
      <c r="H413" s="80"/>
      <c r="I413" s="80"/>
      <c r="J413" s="80"/>
      <c r="K413" s="80"/>
      <c r="L413" s="80"/>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K413" s="80"/>
      <c r="AL413" s="80"/>
      <c r="AM413" s="80"/>
      <c r="AN413" s="80"/>
      <c r="AO413" s="80"/>
      <c r="AP413" s="80"/>
      <c r="AQ413" s="80"/>
      <c r="AR413" s="80"/>
      <c r="AS413" s="80"/>
      <c r="AT413" s="80"/>
      <c r="AU413" s="80"/>
      <c r="AV413" s="80"/>
      <c r="AW413" s="80"/>
      <c r="AX413" s="80"/>
      <c r="AY413" s="80"/>
      <c r="AZ413" s="80"/>
      <c r="BA413" s="80"/>
      <c r="BB413" s="80"/>
      <c r="BC413" s="80"/>
      <c r="BD413" s="80"/>
      <c r="BE413" s="80"/>
      <c r="BF413" s="80"/>
      <c r="BG413" s="80"/>
      <c r="BH413" s="80"/>
      <c r="BI413" s="80"/>
      <c r="BJ413" s="80"/>
      <c r="BK413" s="80"/>
      <c r="BL413" s="80"/>
      <c r="BM413" s="80"/>
      <c r="BN413" s="80"/>
      <c r="BO413" s="80"/>
    </row>
    <row r="414">
      <c r="A414" s="86"/>
      <c r="B414" s="87"/>
      <c r="C414" s="80"/>
      <c r="D414" s="80"/>
      <c r="E414" s="81"/>
      <c r="F414" s="80"/>
      <c r="G414" s="80"/>
      <c r="H414" s="80"/>
      <c r="I414" s="80"/>
      <c r="J414" s="80"/>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80"/>
      <c r="BD414" s="80"/>
      <c r="BE414" s="80"/>
      <c r="BF414" s="80"/>
      <c r="BG414" s="80"/>
      <c r="BH414" s="80"/>
      <c r="BI414" s="80"/>
      <c r="BJ414" s="80"/>
      <c r="BK414" s="80"/>
      <c r="BL414" s="80"/>
      <c r="BM414" s="80"/>
      <c r="BN414" s="80"/>
      <c r="BO414" s="80"/>
    </row>
    <row r="415">
      <c r="A415" s="86"/>
      <c r="B415" s="87"/>
      <c r="C415" s="80"/>
      <c r="D415" s="80"/>
      <c r="E415" s="81"/>
      <c r="F415" s="80"/>
      <c r="G415" s="80"/>
      <c r="H415" s="80"/>
      <c r="I415" s="80"/>
      <c r="J415" s="80"/>
      <c r="K415" s="80"/>
      <c r="L415" s="80"/>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K415" s="80"/>
      <c r="AL415" s="80"/>
      <c r="AM415" s="80"/>
      <c r="AN415" s="80"/>
      <c r="AO415" s="80"/>
      <c r="AP415" s="80"/>
      <c r="AQ415" s="80"/>
      <c r="AR415" s="80"/>
      <c r="AS415" s="80"/>
      <c r="AT415" s="80"/>
      <c r="AU415" s="80"/>
      <c r="AV415" s="80"/>
      <c r="AW415" s="80"/>
      <c r="AX415" s="80"/>
      <c r="AY415" s="80"/>
      <c r="AZ415" s="80"/>
      <c r="BA415" s="80"/>
      <c r="BB415" s="80"/>
      <c r="BC415" s="80"/>
      <c r="BD415" s="80"/>
      <c r="BE415" s="80"/>
      <c r="BF415" s="80"/>
      <c r="BG415" s="80"/>
      <c r="BH415" s="80"/>
      <c r="BI415" s="80"/>
      <c r="BJ415" s="80"/>
      <c r="BK415" s="80"/>
      <c r="BL415" s="80"/>
      <c r="BM415" s="80"/>
      <c r="BN415" s="80"/>
      <c r="BO415" s="80"/>
    </row>
    <row r="416">
      <c r="A416" s="86"/>
      <c r="B416" s="87"/>
      <c r="C416" s="80"/>
      <c r="D416" s="80"/>
      <c r="E416" s="81"/>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80"/>
      <c r="BK416" s="80"/>
      <c r="BL416" s="80"/>
      <c r="BM416" s="80"/>
      <c r="BN416" s="80"/>
      <c r="BO416" s="80"/>
    </row>
    <row r="417">
      <c r="A417" s="86"/>
      <c r="B417" s="87"/>
      <c r="C417" s="80"/>
      <c r="D417" s="80"/>
      <c r="E417" s="81"/>
      <c r="F417" s="80"/>
      <c r="G417" s="80"/>
      <c r="H417" s="80"/>
      <c r="I417" s="80"/>
      <c r="J417" s="80"/>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c r="AR417" s="80"/>
      <c r="AS417" s="80"/>
      <c r="AT417" s="80"/>
      <c r="AU417" s="80"/>
      <c r="AV417" s="80"/>
      <c r="AW417" s="80"/>
      <c r="AX417" s="80"/>
      <c r="AY417" s="80"/>
      <c r="AZ417" s="80"/>
      <c r="BA417" s="80"/>
      <c r="BB417" s="80"/>
      <c r="BC417" s="80"/>
      <c r="BD417" s="80"/>
      <c r="BE417" s="80"/>
      <c r="BF417" s="80"/>
      <c r="BG417" s="80"/>
      <c r="BH417" s="80"/>
      <c r="BI417" s="80"/>
      <c r="BJ417" s="80"/>
      <c r="BK417" s="80"/>
      <c r="BL417" s="80"/>
      <c r="BM417" s="80"/>
      <c r="BN417" s="80"/>
      <c r="BO417" s="80"/>
    </row>
    <row r="418">
      <c r="A418" s="86"/>
      <c r="B418" s="87"/>
      <c r="C418" s="80"/>
      <c r="D418" s="80"/>
      <c r="E418" s="81"/>
      <c r="F418" s="80"/>
      <c r="G418" s="80"/>
      <c r="H418" s="80"/>
      <c r="I418" s="80"/>
      <c r="J418" s="80"/>
      <c r="K418" s="80"/>
      <c r="L418" s="80"/>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c r="AL418" s="80"/>
      <c r="AM418" s="80"/>
      <c r="AN418" s="80"/>
      <c r="AO418" s="80"/>
      <c r="AP418" s="80"/>
      <c r="AQ418" s="80"/>
      <c r="AR418" s="80"/>
      <c r="AS418" s="80"/>
      <c r="AT418" s="80"/>
      <c r="AU418" s="80"/>
      <c r="AV418" s="80"/>
      <c r="AW418" s="80"/>
      <c r="AX418" s="80"/>
      <c r="AY418" s="80"/>
      <c r="AZ418" s="80"/>
      <c r="BA418" s="80"/>
      <c r="BB418" s="80"/>
      <c r="BC418" s="80"/>
      <c r="BD418" s="80"/>
      <c r="BE418" s="80"/>
      <c r="BF418" s="80"/>
      <c r="BG418" s="80"/>
      <c r="BH418" s="80"/>
      <c r="BI418" s="80"/>
      <c r="BJ418" s="80"/>
      <c r="BK418" s="80"/>
      <c r="BL418" s="80"/>
      <c r="BM418" s="80"/>
      <c r="BN418" s="80"/>
      <c r="BO418" s="80"/>
    </row>
    <row r="419">
      <c r="A419" s="86"/>
      <c r="B419" s="87"/>
      <c r="C419" s="80"/>
      <c r="D419" s="80"/>
      <c r="E419" s="81"/>
      <c r="F419" s="80"/>
      <c r="G419" s="80"/>
      <c r="H419" s="80"/>
      <c r="I419" s="80"/>
      <c r="J419" s="80"/>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c r="AL419" s="80"/>
      <c r="AM419" s="80"/>
      <c r="AN419" s="80"/>
      <c r="AO419" s="80"/>
      <c r="AP419" s="80"/>
      <c r="AQ419" s="80"/>
      <c r="AR419" s="80"/>
      <c r="AS419" s="80"/>
      <c r="AT419" s="80"/>
      <c r="AU419" s="80"/>
      <c r="AV419" s="80"/>
      <c r="AW419" s="80"/>
      <c r="AX419" s="80"/>
      <c r="AY419" s="80"/>
      <c r="AZ419" s="80"/>
      <c r="BA419" s="80"/>
      <c r="BB419" s="80"/>
      <c r="BC419" s="80"/>
      <c r="BD419" s="80"/>
      <c r="BE419" s="80"/>
      <c r="BF419" s="80"/>
      <c r="BG419" s="80"/>
      <c r="BH419" s="80"/>
      <c r="BI419" s="80"/>
      <c r="BJ419" s="80"/>
      <c r="BK419" s="80"/>
      <c r="BL419" s="80"/>
      <c r="BM419" s="80"/>
      <c r="BN419" s="80"/>
      <c r="BO419" s="80"/>
    </row>
    <row r="420">
      <c r="A420" s="86"/>
      <c r="B420" s="87"/>
      <c r="C420" s="80"/>
      <c r="D420" s="80"/>
      <c r="E420" s="81"/>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80"/>
      <c r="BK420" s="80"/>
      <c r="BL420" s="80"/>
      <c r="BM420" s="80"/>
      <c r="BN420" s="80"/>
      <c r="BO420" s="80"/>
    </row>
    <row r="421">
      <c r="A421" s="86"/>
      <c r="B421" s="87"/>
      <c r="C421" s="80"/>
      <c r="D421" s="80"/>
      <c r="E421" s="81"/>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c r="AL421" s="80"/>
      <c r="AM421" s="80"/>
      <c r="AN421" s="80"/>
      <c r="AO421" s="80"/>
      <c r="AP421" s="80"/>
      <c r="AQ421" s="80"/>
      <c r="AR421" s="80"/>
      <c r="AS421" s="80"/>
      <c r="AT421" s="80"/>
      <c r="AU421" s="80"/>
      <c r="AV421" s="80"/>
      <c r="AW421" s="80"/>
      <c r="AX421" s="80"/>
      <c r="AY421" s="80"/>
      <c r="AZ421" s="80"/>
      <c r="BA421" s="80"/>
      <c r="BB421" s="80"/>
      <c r="BC421" s="80"/>
      <c r="BD421" s="80"/>
      <c r="BE421" s="80"/>
      <c r="BF421" s="80"/>
      <c r="BG421" s="80"/>
      <c r="BH421" s="80"/>
      <c r="BI421" s="80"/>
      <c r="BJ421" s="80"/>
      <c r="BK421" s="80"/>
      <c r="BL421" s="80"/>
      <c r="BM421" s="80"/>
      <c r="BN421" s="80"/>
      <c r="BO421" s="80"/>
    </row>
    <row r="422">
      <c r="A422" s="86"/>
      <c r="B422" s="87"/>
      <c r="C422" s="80"/>
      <c r="D422" s="80"/>
      <c r="E422" s="81"/>
      <c r="F422" s="80"/>
      <c r="G422" s="80"/>
      <c r="H422" s="80"/>
      <c r="I422" s="80"/>
      <c r="J422" s="80"/>
      <c r="K422" s="80"/>
      <c r="L422" s="80"/>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c r="AL422" s="80"/>
      <c r="AM422" s="80"/>
      <c r="AN422" s="80"/>
      <c r="AO422" s="80"/>
      <c r="AP422" s="80"/>
      <c r="AQ422" s="80"/>
      <c r="AR422" s="80"/>
      <c r="AS422" s="80"/>
      <c r="AT422" s="80"/>
      <c r="AU422" s="80"/>
      <c r="AV422" s="80"/>
      <c r="AW422" s="80"/>
      <c r="AX422" s="80"/>
      <c r="AY422" s="80"/>
      <c r="AZ422" s="80"/>
      <c r="BA422" s="80"/>
      <c r="BB422" s="80"/>
      <c r="BC422" s="80"/>
      <c r="BD422" s="80"/>
      <c r="BE422" s="80"/>
      <c r="BF422" s="80"/>
      <c r="BG422" s="80"/>
      <c r="BH422" s="80"/>
      <c r="BI422" s="80"/>
      <c r="BJ422" s="80"/>
      <c r="BK422" s="80"/>
      <c r="BL422" s="80"/>
      <c r="BM422" s="80"/>
      <c r="BN422" s="80"/>
      <c r="BO422" s="80"/>
    </row>
    <row r="423">
      <c r="A423" s="86"/>
      <c r="B423" s="87"/>
      <c r="C423" s="80"/>
      <c r="D423" s="80"/>
      <c r="E423" s="81"/>
      <c r="F423" s="80"/>
      <c r="G423" s="80"/>
      <c r="H423" s="80"/>
      <c r="I423" s="80"/>
      <c r="J423" s="80"/>
      <c r="K423" s="80"/>
      <c r="L423" s="80"/>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K423" s="80"/>
      <c r="AL423" s="80"/>
      <c r="AM423" s="80"/>
      <c r="AN423" s="80"/>
      <c r="AO423" s="80"/>
      <c r="AP423" s="80"/>
      <c r="AQ423" s="80"/>
      <c r="AR423" s="80"/>
      <c r="AS423" s="80"/>
      <c r="AT423" s="80"/>
      <c r="AU423" s="80"/>
      <c r="AV423" s="80"/>
      <c r="AW423" s="80"/>
      <c r="AX423" s="80"/>
      <c r="AY423" s="80"/>
      <c r="AZ423" s="80"/>
      <c r="BA423" s="80"/>
      <c r="BB423" s="80"/>
      <c r="BC423" s="80"/>
      <c r="BD423" s="80"/>
      <c r="BE423" s="80"/>
      <c r="BF423" s="80"/>
      <c r="BG423" s="80"/>
      <c r="BH423" s="80"/>
      <c r="BI423" s="80"/>
      <c r="BJ423" s="80"/>
      <c r="BK423" s="80"/>
      <c r="BL423" s="80"/>
      <c r="BM423" s="80"/>
      <c r="BN423" s="80"/>
      <c r="BO423" s="80"/>
    </row>
    <row r="424">
      <c r="A424" s="86"/>
      <c r="B424" s="87"/>
      <c r="C424" s="80"/>
      <c r="D424" s="80"/>
      <c r="E424" s="81"/>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80"/>
      <c r="BK424" s="80"/>
      <c r="BL424" s="80"/>
      <c r="BM424" s="80"/>
      <c r="BN424" s="80"/>
      <c r="BO424" s="80"/>
    </row>
    <row r="425">
      <c r="A425" s="86"/>
      <c r="B425" s="87"/>
      <c r="C425" s="80"/>
      <c r="D425" s="80"/>
      <c r="E425" s="81"/>
      <c r="F425" s="80"/>
      <c r="G425" s="80"/>
      <c r="H425" s="80"/>
      <c r="I425" s="80"/>
      <c r="J425" s="80"/>
      <c r="K425" s="80"/>
      <c r="L425" s="80"/>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c r="AL425" s="80"/>
      <c r="AM425" s="80"/>
      <c r="AN425" s="80"/>
      <c r="AO425" s="80"/>
      <c r="AP425" s="80"/>
      <c r="AQ425" s="80"/>
      <c r="AR425" s="80"/>
      <c r="AS425" s="80"/>
      <c r="AT425" s="80"/>
      <c r="AU425" s="80"/>
      <c r="AV425" s="80"/>
      <c r="AW425" s="80"/>
      <c r="AX425" s="80"/>
      <c r="AY425" s="80"/>
      <c r="AZ425" s="80"/>
      <c r="BA425" s="80"/>
      <c r="BB425" s="80"/>
      <c r="BC425" s="80"/>
      <c r="BD425" s="80"/>
      <c r="BE425" s="80"/>
      <c r="BF425" s="80"/>
      <c r="BG425" s="80"/>
      <c r="BH425" s="80"/>
      <c r="BI425" s="80"/>
      <c r="BJ425" s="80"/>
      <c r="BK425" s="80"/>
      <c r="BL425" s="80"/>
      <c r="BM425" s="80"/>
      <c r="BN425" s="80"/>
      <c r="BO425" s="80"/>
    </row>
    <row r="426">
      <c r="A426" s="86"/>
      <c r="B426" s="87"/>
      <c r="C426" s="80"/>
      <c r="D426" s="80"/>
      <c r="E426" s="81"/>
      <c r="F426" s="80"/>
      <c r="G426" s="80"/>
      <c r="H426" s="80"/>
      <c r="I426" s="80"/>
      <c r="J426" s="80"/>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80"/>
      <c r="BK426" s="80"/>
      <c r="BL426" s="80"/>
      <c r="BM426" s="80"/>
      <c r="BN426" s="80"/>
      <c r="BO426" s="80"/>
    </row>
    <row r="427">
      <c r="A427" s="86"/>
      <c r="B427" s="87"/>
      <c r="C427" s="80"/>
      <c r="D427" s="80"/>
      <c r="E427" s="81"/>
      <c r="F427" s="80"/>
      <c r="G427" s="80"/>
      <c r="H427" s="80"/>
      <c r="I427" s="80"/>
      <c r="J427" s="80"/>
      <c r="K427" s="80"/>
      <c r="L427" s="80"/>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c r="AL427" s="80"/>
      <c r="AM427" s="80"/>
      <c r="AN427" s="80"/>
      <c r="AO427" s="80"/>
      <c r="AP427" s="80"/>
      <c r="AQ427" s="80"/>
      <c r="AR427" s="80"/>
      <c r="AS427" s="80"/>
      <c r="AT427" s="80"/>
      <c r="AU427" s="80"/>
      <c r="AV427" s="80"/>
      <c r="AW427" s="80"/>
      <c r="AX427" s="80"/>
      <c r="AY427" s="80"/>
      <c r="AZ427" s="80"/>
      <c r="BA427" s="80"/>
      <c r="BB427" s="80"/>
      <c r="BC427" s="80"/>
      <c r="BD427" s="80"/>
      <c r="BE427" s="80"/>
      <c r="BF427" s="80"/>
      <c r="BG427" s="80"/>
      <c r="BH427" s="80"/>
      <c r="BI427" s="80"/>
      <c r="BJ427" s="80"/>
      <c r="BK427" s="80"/>
      <c r="BL427" s="80"/>
      <c r="BM427" s="80"/>
      <c r="BN427" s="80"/>
      <c r="BO427" s="80"/>
    </row>
    <row r="428">
      <c r="A428" s="86"/>
      <c r="B428" s="87"/>
      <c r="C428" s="80"/>
      <c r="D428" s="80"/>
      <c r="E428" s="81"/>
      <c r="F428" s="80"/>
      <c r="G428" s="80"/>
      <c r="H428" s="80"/>
      <c r="I428" s="80"/>
      <c r="J428" s="80"/>
      <c r="K428" s="80"/>
      <c r="L428" s="80"/>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c r="AL428" s="80"/>
      <c r="AM428" s="80"/>
      <c r="AN428" s="80"/>
      <c r="AO428" s="80"/>
      <c r="AP428" s="80"/>
      <c r="AQ428" s="80"/>
      <c r="AR428" s="80"/>
      <c r="AS428" s="80"/>
      <c r="AT428" s="80"/>
      <c r="AU428" s="80"/>
      <c r="AV428" s="80"/>
      <c r="AW428" s="80"/>
      <c r="AX428" s="80"/>
      <c r="AY428" s="80"/>
      <c r="AZ428" s="80"/>
      <c r="BA428" s="80"/>
      <c r="BB428" s="80"/>
      <c r="BC428" s="80"/>
      <c r="BD428" s="80"/>
      <c r="BE428" s="80"/>
      <c r="BF428" s="80"/>
      <c r="BG428" s="80"/>
      <c r="BH428" s="80"/>
      <c r="BI428" s="80"/>
      <c r="BJ428" s="80"/>
      <c r="BK428" s="80"/>
      <c r="BL428" s="80"/>
      <c r="BM428" s="80"/>
      <c r="BN428" s="80"/>
      <c r="BO428" s="80"/>
    </row>
    <row r="429">
      <c r="A429" s="86"/>
      <c r="B429" s="87"/>
      <c r="C429" s="80"/>
      <c r="D429" s="80"/>
      <c r="E429" s="81"/>
      <c r="F429" s="80"/>
      <c r="G429" s="80"/>
      <c r="H429" s="80"/>
      <c r="I429" s="80"/>
      <c r="J429" s="80"/>
      <c r="K429" s="80"/>
      <c r="L429" s="80"/>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K429" s="80"/>
      <c r="AL429" s="80"/>
      <c r="AM429" s="80"/>
      <c r="AN429" s="80"/>
      <c r="AO429" s="80"/>
      <c r="AP429" s="80"/>
      <c r="AQ429" s="80"/>
      <c r="AR429" s="80"/>
      <c r="AS429" s="80"/>
      <c r="AT429" s="80"/>
      <c r="AU429" s="80"/>
      <c r="AV429" s="80"/>
      <c r="AW429" s="80"/>
      <c r="AX429" s="80"/>
      <c r="AY429" s="80"/>
      <c r="AZ429" s="80"/>
      <c r="BA429" s="80"/>
      <c r="BB429" s="80"/>
      <c r="BC429" s="80"/>
      <c r="BD429" s="80"/>
      <c r="BE429" s="80"/>
      <c r="BF429" s="80"/>
      <c r="BG429" s="80"/>
      <c r="BH429" s="80"/>
      <c r="BI429" s="80"/>
      <c r="BJ429" s="80"/>
      <c r="BK429" s="80"/>
      <c r="BL429" s="80"/>
      <c r="BM429" s="80"/>
      <c r="BN429" s="80"/>
      <c r="BO429" s="80"/>
    </row>
    <row r="430">
      <c r="A430" s="86"/>
      <c r="B430" s="87"/>
      <c r="C430" s="80"/>
      <c r="D430" s="80"/>
      <c r="E430" s="81"/>
      <c r="F430" s="80"/>
      <c r="G430" s="80"/>
      <c r="H430" s="80"/>
      <c r="I430" s="80"/>
      <c r="J430" s="80"/>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AL430" s="80"/>
      <c r="AM430" s="80"/>
      <c r="AN430" s="80"/>
      <c r="AO430" s="80"/>
      <c r="AP430" s="80"/>
      <c r="AQ430" s="80"/>
      <c r="AR430" s="80"/>
      <c r="AS430" s="80"/>
      <c r="AT430" s="80"/>
      <c r="AU430" s="80"/>
      <c r="AV430" s="80"/>
      <c r="AW430" s="80"/>
      <c r="AX430" s="80"/>
      <c r="AY430" s="80"/>
      <c r="AZ430" s="80"/>
      <c r="BA430" s="80"/>
      <c r="BB430" s="80"/>
      <c r="BC430" s="80"/>
      <c r="BD430" s="80"/>
      <c r="BE430" s="80"/>
      <c r="BF430" s="80"/>
      <c r="BG430" s="80"/>
      <c r="BH430" s="80"/>
      <c r="BI430" s="80"/>
      <c r="BJ430" s="80"/>
      <c r="BK430" s="80"/>
      <c r="BL430" s="80"/>
      <c r="BM430" s="80"/>
      <c r="BN430" s="80"/>
      <c r="BO430" s="80"/>
    </row>
    <row r="431">
      <c r="A431" s="86"/>
      <c r="B431" s="87"/>
      <c r="C431" s="80"/>
      <c r="D431" s="80"/>
      <c r="E431" s="81"/>
      <c r="F431" s="80"/>
      <c r="G431" s="80"/>
      <c r="H431" s="80"/>
      <c r="I431" s="80"/>
      <c r="J431" s="80"/>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K431" s="80"/>
      <c r="AL431" s="80"/>
      <c r="AM431" s="80"/>
      <c r="AN431" s="80"/>
      <c r="AO431" s="80"/>
      <c r="AP431" s="80"/>
      <c r="AQ431" s="80"/>
      <c r="AR431" s="80"/>
      <c r="AS431" s="80"/>
      <c r="AT431" s="80"/>
      <c r="AU431" s="80"/>
      <c r="AV431" s="80"/>
      <c r="AW431" s="80"/>
      <c r="AX431" s="80"/>
      <c r="AY431" s="80"/>
      <c r="AZ431" s="80"/>
      <c r="BA431" s="80"/>
      <c r="BB431" s="80"/>
      <c r="BC431" s="80"/>
      <c r="BD431" s="80"/>
      <c r="BE431" s="80"/>
      <c r="BF431" s="80"/>
      <c r="BG431" s="80"/>
      <c r="BH431" s="80"/>
      <c r="BI431" s="80"/>
      <c r="BJ431" s="80"/>
      <c r="BK431" s="80"/>
      <c r="BL431" s="80"/>
      <c r="BM431" s="80"/>
      <c r="BN431" s="80"/>
      <c r="BO431" s="80"/>
    </row>
    <row r="432">
      <c r="A432" s="86"/>
      <c r="B432" s="87"/>
      <c r="C432" s="80"/>
      <c r="D432" s="80"/>
      <c r="E432" s="81"/>
      <c r="F432" s="80"/>
      <c r="G432" s="80"/>
      <c r="H432" s="80"/>
      <c r="I432" s="80"/>
      <c r="J432" s="80"/>
      <c r="K432" s="80"/>
      <c r="L432" s="80"/>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K432" s="80"/>
      <c r="AL432" s="80"/>
      <c r="AM432" s="80"/>
      <c r="AN432" s="80"/>
      <c r="AO432" s="80"/>
      <c r="AP432" s="80"/>
      <c r="AQ432" s="80"/>
      <c r="AR432" s="80"/>
      <c r="AS432" s="80"/>
      <c r="AT432" s="80"/>
      <c r="AU432" s="80"/>
      <c r="AV432" s="80"/>
      <c r="AW432" s="80"/>
      <c r="AX432" s="80"/>
      <c r="AY432" s="80"/>
      <c r="AZ432" s="80"/>
      <c r="BA432" s="80"/>
      <c r="BB432" s="80"/>
      <c r="BC432" s="80"/>
      <c r="BD432" s="80"/>
      <c r="BE432" s="80"/>
      <c r="BF432" s="80"/>
      <c r="BG432" s="80"/>
      <c r="BH432" s="80"/>
      <c r="BI432" s="80"/>
      <c r="BJ432" s="80"/>
      <c r="BK432" s="80"/>
      <c r="BL432" s="80"/>
      <c r="BM432" s="80"/>
      <c r="BN432" s="80"/>
      <c r="BO432" s="80"/>
    </row>
    <row r="433">
      <c r="A433" s="86"/>
      <c r="B433" s="87"/>
      <c r="C433" s="80"/>
      <c r="D433" s="80"/>
      <c r="E433" s="81"/>
      <c r="F433" s="80"/>
      <c r="G433" s="80"/>
      <c r="H433" s="80"/>
      <c r="I433" s="80"/>
      <c r="J433" s="80"/>
      <c r="K433" s="80"/>
      <c r="L433" s="80"/>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c r="AL433" s="80"/>
      <c r="AM433" s="80"/>
      <c r="AN433" s="80"/>
      <c r="AO433" s="80"/>
      <c r="AP433" s="80"/>
      <c r="AQ433" s="80"/>
      <c r="AR433" s="80"/>
      <c r="AS433" s="80"/>
      <c r="AT433" s="80"/>
      <c r="AU433" s="80"/>
      <c r="AV433" s="80"/>
      <c r="AW433" s="80"/>
      <c r="AX433" s="80"/>
      <c r="AY433" s="80"/>
      <c r="AZ433" s="80"/>
      <c r="BA433" s="80"/>
      <c r="BB433" s="80"/>
      <c r="BC433" s="80"/>
      <c r="BD433" s="80"/>
      <c r="BE433" s="80"/>
      <c r="BF433" s="80"/>
      <c r="BG433" s="80"/>
      <c r="BH433" s="80"/>
      <c r="BI433" s="80"/>
      <c r="BJ433" s="80"/>
      <c r="BK433" s="80"/>
      <c r="BL433" s="80"/>
      <c r="BM433" s="80"/>
      <c r="BN433" s="80"/>
      <c r="BO433" s="80"/>
    </row>
    <row r="434">
      <c r="A434" s="86"/>
      <c r="B434" s="87"/>
      <c r="C434" s="80"/>
      <c r="D434" s="80"/>
      <c r="E434" s="81"/>
      <c r="F434" s="80"/>
      <c r="G434" s="80"/>
      <c r="H434" s="80"/>
      <c r="I434" s="80"/>
      <c r="J434" s="80"/>
      <c r="K434" s="80"/>
      <c r="L434" s="80"/>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K434" s="80"/>
      <c r="AL434" s="80"/>
      <c r="AM434" s="80"/>
      <c r="AN434" s="80"/>
      <c r="AO434" s="80"/>
      <c r="AP434" s="80"/>
      <c r="AQ434" s="80"/>
      <c r="AR434" s="80"/>
      <c r="AS434" s="80"/>
      <c r="AT434" s="80"/>
      <c r="AU434" s="80"/>
      <c r="AV434" s="80"/>
      <c r="AW434" s="80"/>
      <c r="AX434" s="80"/>
      <c r="AY434" s="80"/>
      <c r="AZ434" s="80"/>
      <c r="BA434" s="80"/>
      <c r="BB434" s="80"/>
      <c r="BC434" s="80"/>
      <c r="BD434" s="80"/>
      <c r="BE434" s="80"/>
      <c r="BF434" s="80"/>
      <c r="BG434" s="80"/>
      <c r="BH434" s="80"/>
      <c r="BI434" s="80"/>
      <c r="BJ434" s="80"/>
      <c r="BK434" s="80"/>
      <c r="BL434" s="80"/>
      <c r="BM434" s="80"/>
      <c r="BN434" s="80"/>
      <c r="BO434" s="80"/>
    </row>
    <row r="435">
      <c r="A435" s="86"/>
      <c r="B435" s="87"/>
      <c r="C435" s="80"/>
      <c r="D435" s="80"/>
      <c r="E435" s="81"/>
      <c r="F435" s="80"/>
      <c r="G435" s="80"/>
      <c r="H435" s="80"/>
      <c r="I435" s="80"/>
      <c r="J435" s="80"/>
      <c r="K435" s="80"/>
      <c r="L435" s="80"/>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80"/>
      <c r="BD435" s="80"/>
      <c r="BE435" s="80"/>
      <c r="BF435" s="80"/>
      <c r="BG435" s="80"/>
      <c r="BH435" s="80"/>
      <c r="BI435" s="80"/>
      <c r="BJ435" s="80"/>
      <c r="BK435" s="80"/>
      <c r="BL435" s="80"/>
      <c r="BM435" s="80"/>
      <c r="BN435" s="80"/>
      <c r="BO435" s="80"/>
    </row>
    <row r="436">
      <c r="A436" s="86"/>
      <c r="B436" s="87"/>
      <c r="C436" s="80"/>
      <c r="D436" s="80"/>
      <c r="E436" s="81"/>
      <c r="F436" s="80"/>
      <c r="G436" s="80"/>
      <c r="H436" s="80"/>
      <c r="I436" s="80"/>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80"/>
      <c r="BN436" s="80"/>
      <c r="BO436" s="80"/>
    </row>
    <row r="437">
      <c r="A437" s="86"/>
      <c r="B437" s="87"/>
      <c r="C437" s="80"/>
      <c r="D437" s="80"/>
      <c r="E437" s="81"/>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80"/>
      <c r="BD437" s="80"/>
      <c r="BE437" s="80"/>
      <c r="BF437" s="80"/>
      <c r="BG437" s="80"/>
      <c r="BH437" s="80"/>
      <c r="BI437" s="80"/>
      <c r="BJ437" s="80"/>
      <c r="BK437" s="80"/>
      <c r="BL437" s="80"/>
      <c r="BM437" s="80"/>
      <c r="BN437" s="80"/>
      <c r="BO437" s="80"/>
    </row>
    <row r="438">
      <c r="A438" s="86"/>
      <c r="B438" s="87"/>
      <c r="C438" s="80"/>
      <c r="D438" s="80"/>
      <c r="E438" s="81"/>
      <c r="F438" s="80"/>
      <c r="G438" s="80"/>
      <c r="H438" s="80"/>
      <c r="I438" s="80"/>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80"/>
      <c r="BD438" s="80"/>
      <c r="BE438" s="80"/>
      <c r="BF438" s="80"/>
      <c r="BG438" s="80"/>
      <c r="BH438" s="80"/>
      <c r="BI438" s="80"/>
      <c r="BJ438" s="80"/>
      <c r="BK438" s="80"/>
      <c r="BL438" s="80"/>
      <c r="BM438" s="80"/>
      <c r="BN438" s="80"/>
      <c r="BO438" s="80"/>
    </row>
    <row r="439">
      <c r="A439" s="86"/>
      <c r="B439" s="87"/>
      <c r="C439" s="80"/>
      <c r="D439" s="80"/>
      <c r="E439" s="81"/>
      <c r="F439" s="80"/>
      <c r="G439" s="80"/>
      <c r="H439" s="80"/>
      <c r="I439" s="80"/>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80"/>
      <c r="BD439" s="80"/>
      <c r="BE439" s="80"/>
      <c r="BF439" s="80"/>
      <c r="BG439" s="80"/>
      <c r="BH439" s="80"/>
      <c r="BI439" s="80"/>
      <c r="BJ439" s="80"/>
      <c r="BK439" s="80"/>
      <c r="BL439" s="80"/>
      <c r="BM439" s="80"/>
      <c r="BN439" s="80"/>
      <c r="BO439" s="80"/>
    </row>
    <row r="440">
      <c r="A440" s="86"/>
      <c r="B440" s="87"/>
      <c r="C440" s="80"/>
      <c r="D440" s="80"/>
      <c r="E440" s="81"/>
      <c r="F440" s="80"/>
      <c r="G440" s="80"/>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80"/>
      <c r="BK440" s="80"/>
      <c r="BL440" s="80"/>
      <c r="BM440" s="80"/>
      <c r="BN440" s="80"/>
      <c r="BO440" s="80"/>
    </row>
    <row r="441">
      <c r="A441" s="86"/>
      <c r="B441" s="87"/>
      <c r="C441" s="80"/>
      <c r="D441" s="80"/>
      <c r="E441" s="81"/>
      <c r="F441" s="80"/>
      <c r="G441" s="80"/>
      <c r="H441" s="80"/>
      <c r="I441" s="80"/>
      <c r="J441" s="80"/>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80"/>
      <c r="BD441" s="80"/>
      <c r="BE441" s="80"/>
      <c r="BF441" s="80"/>
      <c r="BG441" s="80"/>
      <c r="BH441" s="80"/>
      <c r="BI441" s="80"/>
      <c r="BJ441" s="80"/>
      <c r="BK441" s="80"/>
      <c r="BL441" s="80"/>
      <c r="BM441" s="80"/>
      <c r="BN441" s="80"/>
      <c r="BO441" s="80"/>
    </row>
    <row r="442">
      <c r="A442" s="86"/>
      <c r="B442" s="87"/>
      <c r="C442" s="80"/>
      <c r="D442" s="80"/>
      <c r="E442" s="81"/>
      <c r="F442" s="80"/>
      <c r="G442" s="80"/>
      <c r="H442" s="80"/>
      <c r="I442" s="80"/>
      <c r="J442" s="80"/>
      <c r="K442" s="80"/>
      <c r="L442" s="80"/>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c r="AP442" s="80"/>
      <c r="AQ442" s="80"/>
      <c r="AR442" s="80"/>
      <c r="AS442" s="80"/>
      <c r="AT442" s="80"/>
      <c r="AU442" s="80"/>
      <c r="AV442" s="80"/>
      <c r="AW442" s="80"/>
      <c r="AX442" s="80"/>
      <c r="AY442" s="80"/>
      <c r="AZ442" s="80"/>
      <c r="BA442" s="80"/>
      <c r="BB442" s="80"/>
      <c r="BC442" s="80"/>
      <c r="BD442" s="80"/>
      <c r="BE442" s="80"/>
      <c r="BF442" s="80"/>
      <c r="BG442" s="80"/>
      <c r="BH442" s="80"/>
      <c r="BI442" s="80"/>
      <c r="BJ442" s="80"/>
      <c r="BK442" s="80"/>
      <c r="BL442" s="80"/>
      <c r="BM442" s="80"/>
      <c r="BN442" s="80"/>
      <c r="BO442" s="80"/>
    </row>
    <row r="443">
      <c r="A443" s="86"/>
      <c r="B443" s="87"/>
      <c r="C443" s="80"/>
      <c r="D443" s="80"/>
      <c r="E443" s="81"/>
      <c r="F443" s="80"/>
      <c r="G443" s="80"/>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80"/>
      <c r="BD443" s="80"/>
      <c r="BE443" s="80"/>
      <c r="BF443" s="80"/>
      <c r="BG443" s="80"/>
      <c r="BH443" s="80"/>
      <c r="BI443" s="80"/>
      <c r="BJ443" s="80"/>
      <c r="BK443" s="80"/>
      <c r="BL443" s="80"/>
      <c r="BM443" s="80"/>
      <c r="BN443" s="80"/>
      <c r="BO443" s="80"/>
    </row>
    <row r="444">
      <c r="A444" s="86"/>
      <c r="B444" s="87"/>
      <c r="C444" s="80"/>
      <c r="D444" s="80"/>
      <c r="E444" s="81"/>
      <c r="F444" s="80"/>
      <c r="G444" s="80"/>
      <c r="H444" s="80"/>
      <c r="I444" s="80"/>
      <c r="J444" s="80"/>
      <c r="K444" s="80"/>
      <c r="L444" s="80"/>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80"/>
      <c r="BC444" s="80"/>
      <c r="BD444" s="80"/>
      <c r="BE444" s="80"/>
      <c r="BF444" s="80"/>
      <c r="BG444" s="80"/>
      <c r="BH444" s="80"/>
      <c r="BI444" s="80"/>
      <c r="BJ444" s="80"/>
      <c r="BK444" s="80"/>
      <c r="BL444" s="80"/>
      <c r="BM444" s="80"/>
      <c r="BN444" s="80"/>
      <c r="BO444" s="80"/>
    </row>
    <row r="445">
      <c r="A445" s="86"/>
      <c r="B445" s="87"/>
      <c r="C445" s="80"/>
      <c r="D445" s="80"/>
      <c r="E445" s="81"/>
      <c r="F445" s="80"/>
      <c r="G445" s="80"/>
      <c r="H445" s="80"/>
      <c r="I445" s="80"/>
      <c r="J445" s="80"/>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80"/>
      <c r="BD445" s="80"/>
      <c r="BE445" s="80"/>
      <c r="BF445" s="80"/>
      <c r="BG445" s="80"/>
      <c r="BH445" s="80"/>
      <c r="BI445" s="80"/>
      <c r="BJ445" s="80"/>
      <c r="BK445" s="80"/>
      <c r="BL445" s="80"/>
      <c r="BM445" s="80"/>
      <c r="BN445" s="80"/>
      <c r="BO445" s="80"/>
    </row>
    <row r="446">
      <c r="A446" s="86"/>
      <c r="B446" s="87"/>
      <c r="C446" s="80"/>
      <c r="D446" s="80"/>
      <c r="E446" s="81"/>
      <c r="F446" s="80"/>
      <c r="G446" s="80"/>
      <c r="H446" s="80"/>
      <c r="I446" s="80"/>
      <c r="J446" s="80"/>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80"/>
      <c r="BD446" s="80"/>
      <c r="BE446" s="80"/>
      <c r="BF446" s="80"/>
      <c r="BG446" s="80"/>
      <c r="BH446" s="80"/>
      <c r="BI446" s="80"/>
      <c r="BJ446" s="80"/>
      <c r="BK446" s="80"/>
      <c r="BL446" s="80"/>
      <c r="BM446" s="80"/>
      <c r="BN446" s="80"/>
      <c r="BO446" s="80"/>
    </row>
    <row r="447">
      <c r="A447" s="86"/>
      <c r="B447" s="87"/>
      <c r="C447" s="80"/>
      <c r="D447" s="80"/>
      <c r="E447" s="81"/>
      <c r="F447" s="80"/>
      <c r="G447" s="80"/>
      <c r="H447" s="80"/>
      <c r="I447" s="80"/>
      <c r="J447" s="80"/>
      <c r="K447" s="80"/>
      <c r="L447" s="80"/>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c r="AP447" s="80"/>
      <c r="AQ447" s="80"/>
      <c r="AR447" s="80"/>
      <c r="AS447" s="80"/>
      <c r="AT447" s="80"/>
      <c r="AU447" s="80"/>
      <c r="AV447" s="80"/>
      <c r="AW447" s="80"/>
      <c r="AX447" s="80"/>
      <c r="AY447" s="80"/>
      <c r="AZ447" s="80"/>
      <c r="BA447" s="80"/>
      <c r="BB447" s="80"/>
      <c r="BC447" s="80"/>
      <c r="BD447" s="80"/>
      <c r="BE447" s="80"/>
      <c r="BF447" s="80"/>
      <c r="BG447" s="80"/>
      <c r="BH447" s="80"/>
      <c r="BI447" s="80"/>
      <c r="BJ447" s="80"/>
      <c r="BK447" s="80"/>
      <c r="BL447" s="80"/>
      <c r="BM447" s="80"/>
      <c r="BN447" s="80"/>
      <c r="BO447" s="80"/>
    </row>
    <row r="448">
      <c r="A448" s="86"/>
      <c r="B448" s="87"/>
      <c r="C448" s="80"/>
      <c r="D448" s="80"/>
      <c r="E448" s="81"/>
      <c r="F448" s="80"/>
      <c r="G448" s="80"/>
      <c r="H448" s="80"/>
      <c r="I448" s="80"/>
      <c r="J448" s="80"/>
      <c r="K448" s="80"/>
      <c r="L448" s="80"/>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80"/>
      <c r="BD448" s="80"/>
      <c r="BE448" s="80"/>
      <c r="BF448" s="80"/>
      <c r="BG448" s="80"/>
      <c r="BH448" s="80"/>
      <c r="BI448" s="80"/>
      <c r="BJ448" s="80"/>
      <c r="BK448" s="80"/>
      <c r="BL448" s="80"/>
      <c r="BM448" s="80"/>
      <c r="BN448" s="80"/>
      <c r="BO448" s="80"/>
    </row>
    <row r="449">
      <c r="A449" s="86"/>
      <c r="B449" s="87"/>
      <c r="C449" s="80"/>
      <c r="D449" s="80"/>
      <c r="E449" s="81"/>
      <c r="F449" s="80"/>
      <c r="G449" s="80"/>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80"/>
      <c r="BK449" s="80"/>
      <c r="BL449" s="80"/>
      <c r="BM449" s="80"/>
      <c r="BN449" s="80"/>
      <c r="BO449" s="80"/>
    </row>
    <row r="450">
      <c r="A450" s="86"/>
      <c r="B450" s="87"/>
      <c r="C450" s="80"/>
      <c r="D450" s="80"/>
      <c r="E450" s="81"/>
      <c r="F450" s="80"/>
      <c r="G450" s="80"/>
      <c r="H450" s="80"/>
      <c r="I450" s="80"/>
      <c r="J450" s="80"/>
      <c r="K450" s="80"/>
      <c r="L450" s="80"/>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80"/>
      <c r="BD450" s="80"/>
      <c r="BE450" s="80"/>
      <c r="BF450" s="80"/>
      <c r="BG450" s="80"/>
      <c r="BH450" s="80"/>
      <c r="BI450" s="80"/>
      <c r="BJ450" s="80"/>
      <c r="BK450" s="80"/>
      <c r="BL450" s="80"/>
      <c r="BM450" s="80"/>
      <c r="BN450" s="80"/>
      <c r="BO450" s="80"/>
    </row>
    <row r="451">
      <c r="A451" s="86"/>
      <c r="B451" s="87"/>
      <c r="C451" s="80"/>
      <c r="D451" s="80"/>
      <c r="E451" s="81"/>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80"/>
      <c r="BD451" s="80"/>
      <c r="BE451" s="80"/>
      <c r="BF451" s="80"/>
      <c r="BG451" s="80"/>
      <c r="BH451" s="80"/>
      <c r="BI451" s="80"/>
      <c r="BJ451" s="80"/>
      <c r="BK451" s="80"/>
      <c r="BL451" s="80"/>
      <c r="BM451" s="80"/>
      <c r="BN451" s="80"/>
      <c r="BO451" s="80"/>
    </row>
    <row r="452">
      <c r="A452" s="86"/>
      <c r="B452" s="87"/>
      <c r="C452" s="80"/>
      <c r="D452" s="80"/>
      <c r="E452" s="81"/>
      <c r="F452" s="80"/>
      <c r="G452" s="80"/>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80"/>
      <c r="BK452" s="80"/>
      <c r="BL452" s="80"/>
      <c r="BM452" s="80"/>
      <c r="BN452" s="80"/>
      <c r="BO452" s="80"/>
    </row>
    <row r="453">
      <c r="A453" s="86"/>
      <c r="B453" s="87"/>
      <c r="C453" s="80"/>
      <c r="D453" s="80"/>
      <c r="E453" s="81"/>
      <c r="F453" s="80"/>
      <c r="G453" s="80"/>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80"/>
      <c r="BK453" s="80"/>
      <c r="BL453" s="80"/>
      <c r="BM453" s="80"/>
      <c r="BN453" s="80"/>
      <c r="BO453" s="80"/>
    </row>
    <row r="454">
      <c r="A454" s="86"/>
      <c r="B454" s="87"/>
      <c r="C454" s="80"/>
      <c r="D454" s="80"/>
      <c r="E454" s="81"/>
      <c r="F454" s="80"/>
      <c r="G454" s="80"/>
      <c r="H454" s="80"/>
      <c r="I454" s="80"/>
      <c r="J454" s="80"/>
      <c r="K454" s="80"/>
      <c r="L454" s="80"/>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80"/>
      <c r="BD454" s="80"/>
      <c r="BE454" s="80"/>
      <c r="BF454" s="80"/>
      <c r="BG454" s="80"/>
      <c r="BH454" s="80"/>
      <c r="BI454" s="80"/>
      <c r="BJ454" s="80"/>
      <c r="BK454" s="80"/>
      <c r="BL454" s="80"/>
      <c r="BM454" s="80"/>
      <c r="BN454" s="80"/>
      <c r="BO454" s="80"/>
    </row>
    <row r="455">
      <c r="A455" s="86"/>
      <c r="B455" s="87"/>
      <c r="C455" s="80"/>
      <c r="D455" s="80"/>
      <c r="E455" s="81"/>
      <c r="F455" s="80"/>
      <c r="G455" s="80"/>
      <c r="H455" s="80"/>
      <c r="I455" s="80"/>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80"/>
      <c r="BK455" s="80"/>
      <c r="BL455" s="80"/>
      <c r="BM455" s="80"/>
      <c r="BN455" s="80"/>
      <c r="BO455" s="80"/>
    </row>
    <row r="456">
      <c r="A456" s="86"/>
      <c r="B456" s="87"/>
      <c r="C456" s="80"/>
      <c r="D456" s="80"/>
      <c r="E456" s="81"/>
      <c r="F456" s="80"/>
      <c r="G456" s="80"/>
      <c r="H456" s="80"/>
      <c r="I456" s="80"/>
      <c r="J456" s="80"/>
      <c r="K456" s="80"/>
      <c r="L456" s="80"/>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80"/>
      <c r="BG456" s="80"/>
      <c r="BH456" s="80"/>
      <c r="BI456" s="80"/>
      <c r="BJ456" s="80"/>
      <c r="BK456" s="80"/>
      <c r="BL456" s="80"/>
      <c r="BM456" s="80"/>
      <c r="BN456" s="80"/>
      <c r="BO456" s="80"/>
    </row>
    <row r="457">
      <c r="A457" s="86"/>
      <c r="B457" s="87"/>
      <c r="C457" s="80"/>
      <c r="D457" s="80"/>
      <c r="E457" s="81"/>
      <c r="F457" s="80"/>
      <c r="G457" s="80"/>
      <c r="H457" s="80"/>
      <c r="I457" s="80"/>
      <c r="J457" s="80"/>
      <c r="K457" s="80"/>
      <c r="L457" s="80"/>
      <c r="M457" s="80"/>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c r="AK457" s="80"/>
      <c r="AL457" s="80"/>
      <c r="AM457" s="80"/>
      <c r="AN457" s="80"/>
      <c r="AO457" s="80"/>
      <c r="AP457" s="80"/>
      <c r="AQ457" s="80"/>
      <c r="AR457" s="80"/>
      <c r="AS457" s="80"/>
      <c r="AT457" s="80"/>
      <c r="AU457" s="80"/>
      <c r="AV457" s="80"/>
      <c r="AW457" s="80"/>
      <c r="AX457" s="80"/>
      <c r="AY457" s="80"/>
      <c r="AZ457" s="80"/>
      <c r="BA457" s="80"/>
      <c r="BB457" s="80"/>
      <c r="BC457" s="80"/>
      <c r="BD457" s="80"/>
      <c r="BE457" s="80"/>
      <c r="BF457" s="80"/>
      <c r="BG457" s="80"/>
      <c r="BH457" s="80"/>
      <c r="BI457" s="80"/>
      <c r="BJ457" s="80"/>
      <c r="BK457" s="80"/>
      <c r="BL457" s="80"/>
      <c r="BM457" s="80"/>
      <c r="BN457" s="80"/>
      <c r="BO457" s="80"/>
    </row>
    <row r="458">
      <c r="A458" s="86"/>
      <c r="B458" s="87"/>
      <c r="C458" s="80"/>
      <c r="D458" s="80"/>
      <c r="E458" s="81"/>
      <c r="F458" s="80"/>
      <c r="G458" s="80"/>
      <c r="H458" s="80"/>
      <c r="I458" s="80"/>
      <c r="J458" s="80"/>
      <c r="K458" s="80"/>
      <c r="L458" s="80"/>
      <c r="M458" s="80"/>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c r="AK458" s="80"/>
      <c r="AL458" s="80"/>
      <c r="AM458" s="80"/>
      <c r="AN458" s="80"/>
      <c r="AO458" s="80"/>
      <c r="AP458" s="80"/>
      <c r="AQ458" s="80"/>
      <c r="AR458" s="80"/>
      <c r="AS458" s="80"/>
      <c r="AT458" s="80"/>
      <c r="AU458" s="80"/>
      <c r="AV458" s="80"/>
      <c r="AW458" s="80"/>
      <c r="AX458" s="80"/>
      <c r="AY458" s="80"/>
      <c r="AZ458" s="80"/>
      <c r="BA458" s="80"/>
      <c r="BB458" s="80"/>
      <c r="BC458" s="80"/>
      <c r="BD458" s="80"/>
      <c r="BE458" s="80"/>
      <c r="BF458" s="80"/>
      <c r="BG458" s="80"/>
      <c r="BH458" s="80"/>
      <c r="BI458" s="80"/>
      <c r="BJ458" s="80"/>
      <c r="BK458" s="80"/>
      <c r="BL458" s="80"/>
      <c r="BM458" s="80"/>
      <c r="BN458" s="80"/>
      <c r="BO458" s="80"/>
    </row>
    <row r="459">
      <c r="A459" s="86"/>
      <c r="B459" s="87"/>
      <c r="C459" s="80"/>
      <c r="D459" s="80"/>
      <c r="E459" s="81"/>
      <c r="F459" s="80"/>
      <c r="G459" s="80"/>
      <c r="H459" s="80"/>
      <c r="I459" s="80"/>
      <c r="J459" s="80"/>
      <c r="K459" s="80"/>
      <c r="L459" s="80"/>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c r="AP459" s="80"/>
      <c r="AQ459" s="80"/>
      <c r="AR459" s="80"/>
      <c r="AS459" s="80"/>
      <c r="AT459" s="80"/>
      <c r="AU459" s="80"/>
      <c r="AV459" s="80"/>
      <c r="AW459" s="80"/>
      <c r="AX459" s="80"/>
      <c r="AY459" s="80"/>
      <c r="AZ459" s="80"/>
      <c r="BA459" s="80"/>
      <c r="BB459" s="80"/>
      <c r="BC459" s="80"/>
      <c r="BD459" s="80"/>
      <c r="BE459" s="80"/>
      <c r="BF459" s="80"/>
      <c r="BG459" s="80"/>
      <c r="BH459" s="80"/>
      <c r="BI459" s="80"/>
      <c r="BJ459" s="80"/>
      <c r="BK459" s="80"/>
      <c r="BL459" s="80"/>
      <c r="BM459" s="80"/>
      <c r="BN459" s="80"/>
      <c r="BO459" s="80"/>
    </row>
    <row r="460">
      <c r="A460" s="86"/>
      <c r="B460" s="87"/>
      <c r="C460" s="80"/>
      <c r="D460" s="80"/>
      <c r="E460" s="81"/>
      <c r="F460" s="80"/>
      <c r="G460" s="80"/>
      <c r="H460" s="80"/>
      <c r="I460" s="80"/>
      <c r="J460" s="80"/>
      <c r="K460" s="80"/>
      <c r="L460" s="80"/>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K460" s="80"/>
      <c r="AL460" s="80"/>
      <c r="AM460" s="80"/>
      <c r="AN460" s="80"/>
      <c r="AO460" s="80"/>
      <c r="AP460" s="80"/>
      <c r="AQ460" s="80"/>
      <c r="AR460" s="80"/>
      <c r="AS460" s="80"/>
      <c r="AT460" s="80"/>
      <c r="AU460" s="80"/>
      <c r="AV460" s="80"/>
      <c r="AW460" s="80"/>
      <c r="AX460" s="80"/>
      <c r="AY460" s="80"/>
      <c r="AZ460" s="80"/>
      <c r="BA460" s="80"/>
      <c r="BB460" s="80"/>
      <c r="BC460" s="80"/>
      <c r="BD460" s="80"/>
      <c r="BE460" s="80"/>
      <c r="BF460" s="80"/>
      <c r="BG460" s="80"/>
      <c r="BH460" s="80"/>
      <c r="BI460" s="80"/>
      <c r="BJ460" s="80"/>
      <c r="BK460" s="80"/>
      <c r="BL460" s="80"/>
      <c r="BM460" s="80"/>
      <c r="BN460" s="80"/>
      <c r="BO460" s="80"/>
    </row>
    <row r="461">
      <c r="A461" s="86"/>
      <c r="B461" s="87"/>
      <c r="C461" s="80"/>
      <c r="D461" s="80"/>
      <c r="E461" s="81"/>
      <c r="F461" s="80"/>
      <c r="G461" s="80"/>
      <c r="H461" s="80"/>
      <c r="I461" s="80"/>
      <c r="J461" s="80"/>
      <c r="K461" s="80"/>
      <c r="L461" s="80"/>
      <c r="M461" s="80"/>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c r="AK461" s="80"/>
      <c r="AL461" s="80"/>
      <c r="AM461" s="80"/>
      <c r="AN461" s="80"/>
      <c r="AO461" s="80"/>
      <c r="AP461" s="80"/>
      <c r="AQ461" s="80"/>
      <c r="AR461" s="80"/>
      <c r="AS461" s="80"/>
      <c r="AT461" s="80"/>
      <c r="AU461" s="80"/>
      <c r="AV461" s="80"/>
      <c r="AW461" s="80"/>
      <c r="AX461" s="80"/>
      <c r="AY461" s="80"/>
      <c r="AZ461" s="80"/>
      <c r="BA461" s="80"/>
      <c r="BB461" s="80"/>
      <c r="BC461" s="80"/>
      <c r="BD461" s="80"/>
      <c r="BE461" s="80"/>
      <c r="BF461" s="80"/>
      <c r="BG461" s="80"/>
      <c r="BH461" s="80"/>
      <c r="BI461" s="80"/>
      <c r="BJ461" s="80"/>
      <c r="BK461" s="80"/>
      <c r="BL461" s="80"/>
      <c r="BM461" s="80"/>
      <c r="BN461" s="80"/>
      <c r="BO461" s="80"/>
    </row>
    <row r="462">
      <c r="A462" s="86"/>
      <c r="B462" s="87"/>
      <c r="C462" s="80"/>
      <c r="D462" s="80"/>
      <c r="E462" s="81"/>
      <c r="F462" s="80"/>
      <c r="G462" s="80"/>
      <c r="H462" s="80"/>
      <c r="I462" s="80"/>
      <c r="J462" s="80"/>
      <c r="K462" s="80"/>
      <c r="L462" s="80"/>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K462" s="80"/>
      <c r="AL462" s="80"/>
      <c r="AM462" s="80"/>
      <c r="AN462" s="80"/>
      <c r="AO462" s="80"/>
      <c r="AP462" s="80"/>
      <c r="AQ462" s="80"/>
      <c r="AR462" s="80"/>
      <c r="AS462" s="80"/>
      <c r="AT462" s="80"/>
      <c r="AU462" s="80"/>
      <c r="AV462" s="80"/>
      <c r="AW462" s="80"/>
      <c r="AX462" s="80"/>
      <c r="AY462" s="80"/>
      <c r="AZ462" s="80"/>
      <c r="BA462" s="80"/>
      <c r="BB462" s="80"/>
      <c r="BC462" s="80"/>
      <c r="BD462" s="80"/>
      <c r="BE462" s="80"/>
      <c r="BF462" s="80"/>
      <c r="BG462" s="80"/>
      <c r="BH462" s="80"/>
      <c r="BI462" s="80"/>
      <c r="BJ462" s="80"/>
      <c r="BK462" s="80"/>
      <c r="BL462" s="80"/>
      <c r="BM462" s="80"/>
      <c r="BN462" s="80"/>
      <c r="BO462" s="80"/>
    </row>
    <row r="463">
      <c r="A463" s="86"/>
      <c r="B463" s="87"/>
      <c r="C463" s="80"/>
      <c r="D463" s="80"/>
      <c r="E463" s="81"/>
      <c r="F463" s="80"/>
      <c r="G463" s="80"/>
      <c r="H463" s="80"/>
      <c r="I463" s="80"/>
      <c r="J463" s="80"/>
      <c r="K463" s="80"/>
      <c r="L463" s="80"/>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c r="AL463" s="80"/>
      <c r="AM463" s="80"/>
      <c r="AN463" s="80"/>
      <c r="AO463" s="80"/>
      <c r="AP463" s="80"/>
      <c r="AQ463" s="80"/>
      <c r="AR463" s="80"/>
      <c r="AS463" s="80"/>
      <c r="AT463" s="80"/>
      <c r="AU463" s="80"/>
      <c r="AV463" s="80"/>
      <c r="AW463" s="80"/>
      <c r="AX463" s="80"/>
      <c r="AY463" s="80"/>
      <c r="AZ463" s="80"/>
      <c r="BA463" s="80"/>
      <c r="BB463" s="80"/>
      <c r="BC463" s="80"/>
      <c r="BD463" s="80"/>
      <c r="BE463" s="80"/>
      <c r="BF463" s="80"/>
      <c r="BG463" s="80"/>
      <c r="BH463" s="80"/>
      <c r="BI463" s="80"/>
      <c r="BJ463" s="80"/>
      <c r="BK463" s="80"/>
      <c r="BL463" s="80"/>
      <c r="BM463" s="80"/>
      <c r="BN463" s="80"/>
      <c r="BO463" s="80"/>
    </row>
    <row r="464">
      <c r="A464" s="86"/>
      <c r="B464" s="87"/>
      <c r="C464" s="80"/>
      <c r="D464" s="80"/>
      <c r="E464" s="81"/>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80"/>
      <c r="BC464" s="80"/>
      <c r="BD464" s="80"/>
      <c r="BE464" s="80"/>
      <c r="BF464" s="80"/>
      <c r="BG464" s="80"/>
      <c r="BH464" s="80"/>
      <c r="BI464" s="80"/>
      <c r="BJ464" s="80"/>
      <c r="BK464" s="80"/>
      <c r="BL464" s="80"/>
      <c r="BM464" s="80"/>
      <c r="BN464" s="80"/>
      <c r="BO464" s="80"/>
    </row>
    <row r="465">
      <c r="A465" s="86"/>
      <c r="B465" s="87"/>
      <c r="C465" s="80"/>
      <c r="D465" s="80"/>
      <c r="E465" s="81"/>
      <c r="F465" s="80"/>
      <c r="G465" s="80"/>
      <c r="H465" s="80"/>
      <c r="I465" s="80"/>
      <c r="J465" s="80"/>
      <c r="K465" s="80"/>
      <c r="L465" s="80"/>
      <c r="M465" s="80"/>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c r="AK465" s="80"/>
      <c r="AL465" s="80"/>
      <c r="AM465" s="80"/>
      <c r="AN465" s="80"/>
      <c r="AO465" s="80"/>
      <c r="AP465" s="80"/>
      <c r="AQ465" s="80"/>
      <c r="AR465" s="80"/>
      <c r="AS465" s="80"/>
      <c r="AT465" s="80"/>
      <c r="AU465" s="80"/>
      <c r="AV465" s="80"/>
      <c r="AW465" s="80"/>
      <c r="AX465" s="80"/>
      <c r="AY465" s="80"/>
      <c r="AZ465" s="80"/>
      <c r="BA465" s="80"/>
      <c r="BB465" s="80"/>
      <c r="BC465" s="80"/>
      <c r="BD465" s="80"/>
      <c r="BE465" s="80"/>
      <c r="BF465" s="80"/>
      <c r="BG465" s="80"/>
      <c r="BH465" s="80"/>
      <c r="BI465" s="80"/>
      <c r="BJ465" s="80"/>
      <c r="BK465" s="80"/>
      <c r="BL465" s="80"/>
      <c r="BM465" s="80"/>
      <c r="BN465" s="80"/>
      <c r="BO465" s="80"/>
    </row>
    <row r="466">
      <c r="A466" s="86"/>
      <c r="B466" s="87"/>
      <c r="C466" s="80"/>
      <c r="D466" s="80"/>
      <c r="E466" s="81"/>
      <c r="F466" s="80"/>
      <c r="G466" s="80"/>
      <c r="H466" s="80"/>
      <c r="I466" s="80"/>
      <c r="J466" s="80"/>
      <c r="K466" s="80"/>
      <c r="L466" s="80"/>
      <c r="M466" s="80"/>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c r="AK466" s="80"/>
      <c r="AL466" s="80"/>
      <c r="AM466" s="80"/>
      <c r="AN466" s="80"/>
      <c r="AO466" s="80"/>
      <c r="AP466" s="80"/>
      <c r="AQ466" s="80"/>
      <c r="AR466" s="80"/>
      <c r="AS466" s="80"/>
      <c r="AT466" s="80"/>
      <c r="AU466" s="80"/>
      <c r="AV466" s="80"/>
      <c r="AW466" s="80"/>
      <c r="AX466" s="80"/>
      <c r="AY466" s="80"/>
      <c r="AZ466" s="80"/>
      <c r="BA466" s="80"/>
      <c r="BB466" s="80"/>
      <c r="BC466" s="80"/>
      <c r="BD466" s="80"/>
      <c r="BE466" s="80"/>
      <c r="BF466" s="80"/>
      <c r="BG466" s="80"/>
      <c r="BH466" s="80"/>
      <c r="BI466" s="80"/>
      <c r="BJ466" s="80"/>
      <c r="BK466" s="80"/>
      <c r="BL466" s="80"/>
      <c r="BM466" s="80"/>
      <c r="BN466" s="80"/>
      <c r="BO466" s="80"/>
    </row>
    <row r="467">
      <c r="A467" s="86"/>
      <c r="B467" s="87"/>
      <c r="C467" s="80"/>
      <c r="D467" s="80"/>
      <c r="E467" s="81"/>
      <c r="F467" s="80"/>
      <c r="G467" s="80"/>
      <c r="H467" s="80"/>
      <c r="I467" s="80"/>
      <c r="J467" s="80"/>
      <c r="K467" s="80"/>
      <c r="L467" s="80"/>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K467" s="80"/>
      <c r="AL467" s="80"/>
      <c r="AM467" s="80"/>
      <c r="AN467" s="80"/>
      <c r="AO467" s="80"/>
      <c r="AP467" s="80"/>
      <c r="AQ467" s="80"/>
      <c r="AR467" s="80"/>
      <c r="AS467" s="80"/>
      <c r="AT467" s="80"/>
      <c r="AU467" s="80"/>
      <c r="AV467" s="80"/>
      <c r="AW467" s="80"/>
      <c r="AX467" s="80"/>
      <c r="AY467" s="80"/>
      <c r="AZ467" s="80"/>
      <c r="BA467" s="80"/>
      <c r="BB467" s="80"/>
      <c r="BC467" s="80"/>
      <c r="BD467" s="80"/>
      <c r="BE467" s="80"/>
      <c r="BF467" s="80"/>
      <c r="BG467" s="80"/>
      <c r="BH467" s="80"/>
      <c r="BI467" s="80"/>
      <c r="BJ467" s="80"/>
      <c r="BK467" s="80"/>
      <c r="BL467" s="80"/>
      <c r="BM467" s="80"/>
      <c r="BN467" s="80"/>
      <c r="BO467" s="80"/>
    </row>
    <row r="468">
      <c r="A468" s="86"/>
      <c r="B468" s="87"/>
      <c r="C468" s="80"/>
      <c r="D468" s="80"/>
      <c r="E468" s="81"/>
      <c r="F468" s="80"/>
      <c r="G468" s="80"/>
      <c r="H468" s="80"/>
      <c r="I468" s="80"/>
      <c r="J468" s="80"/>
      <c r="K468" s="80"/>
      <c r="L468" s="80"/>
      <c r="M468" s="80"/>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c r="AK468" s="80"/>
      <c r="AL468" s="80"/>
      <c r="AM468" s="80"/>
      <c r="AN468" s="80"/>
      <c r="AO468" s="80"/>
      <c r="AP468" s="80"/>
      <c r="AQ468" s="80"/>
      <c r="AR468" s="80"/>
      <c r="AS468" s="80"/>
      <c r="AT468" s="80"/>
      <c r="AU468" s="80"/>
      <c r="AV468" s="80"/>
      <c r="AW468" s="80"/>
      <c r="AX468" s="80"/>
      <c r="AY468" s="80"/>
      <c r="AZ468" s="80"/>
      <c r="BA468" s="80"/>
      <c r="BB468" s="80"/>
      <c r="BC468" s="80"/>
      <c r="BD468" s="80"/>
      <c r="BE468" s="80"/>
      <c r="BF468" s="80"/>
      <c r="BG468" s="80"/>
      <c r="BH468" s="80"/>
      <c r="BI468" s="80"/>
      <c r="BJ468" s="80"/>
      <c r="BK468" s="80"/>
      <c r="BL468" s="80"/>
      <c r="BM468" s="80"/>
      <c r="BN468" s="80"/>
      <c r="BO468" s="80"/>
    </row>
    <row r="469">
      <c r="A469" s="86"/>
      <c r="B469" s="87"/>
      <c r="C469" s="80"/>
      <c r="D469" s="80"/>
      <c r="E469" s="81"/>
      <c r="F469" s="80"/>
      <c r="G469" s="80"/>
      <c r="H469" s="80"/>
      <c r="I469" s="80"/>
      <c r="J469" s="80"/>
      <c r="K469" s="80"/>
      <c r="L469" s="80"/>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c r="AP469" s="80"/>
      <c r="AQ469" s="80"/>
      <c r="AR469" s="80"/>
      <c r="AS469" s="80"/>
      <c r="AT469" s="80"/>
      <c r="AU469" s="80"/>
      <c r="AV469" s="80"/>
      <c r="AW469" s="80"/>
      <c r="AX469" s="80"/>
      <c r="AY469" s="80"/>
      <c r="AZ469" s="80"/>
      <c r="BA469" s="80"/>
      <c r="BB469" s="80"/>
      <c r="BC469" s="80"/>
      <c r="BD469" s="80"/>
      <c r="BE469" s="80"/>
      <c r="BF469" s="80"/>
      <c r="BG469" s="80"/>
      <c r="BH469" s="80"/>
      <c r="BI469" s="80"/>
      <c r="BJ469" s="80"/>
      <c r="BK469" s="80"/>
      <c r="BL469" s="80"/>
      <c r="BM469" s="80"/>
      <c r="BN469" s="80"/>
      <c r="BO469" s="80"/>
    </row>
    <row r="470">
      <c r="A470" s="86"/>
      <c r="B470" s="87"/>
      <c r="C470" s="80"/>
      <c r="D470" s="80"/>
      <c r="E470" s="81"/>
      <c r="F470" s="80"/>
      <c r="G470" s="80"/>
      <c r="H470" s="80"/>
      <c r="I470" s="80"/>
      <c r="J470" s="80"/>
      <c r="K470" s="80"/>
      <c r="L470" s="80"/>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K470" s="80"/>
      <c r="AL470" s="80"/>
      <c r="AM470" s="80"/>
      <c r="AN470" s="80"/>
      <c r="AO470" s="80"/>
      <c r="AP470" s="80"/>
      <c r="AQ470" s="80"/>
      <c r="AR470" s="80"/>
      <c r="AS470" s="80"/>
      <c r="AT470" s="80"/>
      <c r="AU470" s="80"/>
      <c r="AV470" s="80"/>
      <c r="AW470" s="80"/>
      <c r="AX470" s="80"/>
      <c r="AY470" s="80"/>
      <c r="AZ470" s="80"/>
      <c r="BA470" s="80"/>
      <c r="BB470" s="80"/>
      <c r="BC470" s="80"/>
      <c r="BD470" s="80"/>
      <c r="BE470" s="80"/>
      <c r="BF470" s="80"/>
      <c r="BG470" s="80"/>
      <c r="BH470" s="80"/>
      <c r="BI470" s="80"/>
      <c r="BJ470" s="80"/>
      <c r="BK470" s="80"/>
      <c r="BL470" s="80"/>
      <c r="BM470" s="80"/>
      <c r="BN470" s="80"/>
      <c r="BO470" s="80"/>
    </row>
    <row r="471">
      <c r="A471" s="86"/>
      <c r="B471" s="87"/>
      <c r="C471" s="80"/>
      <c r="D471" s="80"/>
      <c r="E471" s="81"/>
      <c r="F471" s="80"/>
      <c r="G471" s="80"/>
      <c r="H471" s="80"/>
      <c r="I471" s="80"/>
      <c r="J471" s="80"/>
      <c r="K471" s="80"/>
      <c r="L471" s="80"/>
      <c r="M471" s="80"/>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c r="AK471" s="80"/>
      <c r="AL471" s="80"/>
      <c r="AM471" s="80"/>
      <c r="AN471" s="80"/>
      <c r="AO471" s="80"/>
      <c r="AP471" s="80"/>
      <c r="AQ471" s="80"/>
      <c r="AR471" s="80"/>
      <c r="AS471" s="80"/>
      <c r="AT471" s="80"/>
      <c r="AU471" s="80"/>
      <c r="AV471" s="80"/>
      <c r="AW471" s="80"/>
      <c r="AX471" s="80"/>
      <c r="AY471" s="80"/>
      <c r="AZ471" s="80"/>
      <c r="BA471" s="80"/>
      <c r="BB471" s="80"/>
      <c r="BC471" s="80"/>
      <c r="BD471" s="80"/>
      <c r="BE471" s="80"/>
      <c r="BF471" s="80"/>
      <c r="BG471" s="80"/>
      <c r="BH471" s="80"/>
      <c r="BI471" s="80"/>
      <c r="BJ471" s="80"/>
      <c r="BK471" s="80"/>
      <c r="BL471" s="80"/>
      <c r="BM471" s="80"/>
      <c r="BN471" s="80"/>
      <c r="BO471" s="80"/>
    </row>
    <row r="472">
      <c r="A472" s="86"/>
      <c r="B472" s="87"/>
      <c r="C472" s="80"/>
      <c r="D472" s="80"/>
      <c r="E472" s="81"/>
      <c r="F472" s="80"/>
      <c r="G472" s="80"/>
      <c r="H472" s="80"/>
      <c r="I472" s="80"/>
      <c r="J472" s="80"/>
      <c r="K472" s="80"/>
      <c r="L472" s="80"/>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K472" s="80"/>
      <c r="AL472" s="80"/>
      <c r="AM472" s="80"/>
      <c r="AN472" s="80"/>
      <c r="AO472" s="80"/>
      <c r="AP472" s="80"/>
      <c r="AQ472" s="80"/>
      <c r="AR472" s="80"/>
      <c r="AS472" s="80"/>
      <c r="AT472" s="80"/>
      <c r="AU472" s="80"/>
      <c r="AV472" s="80"/>
      <c r="AW472" s="80"/>
      <c r="AX472" s="80"/>
      <c r="AY472" s="80"/>
      <c r="AZ472" s="80"/>
      <c r="BA472" s="80"/>
      <c r="BB472" s="80"/>
      <c r="BC472" s="80"/>
      <c r="BD472" s="80"/>
      <c r="BE472" s="80"/>
      <c r="BF472" s="80"/>
      <c r="BG472" s="80"/>
      <c r="BH472" s="80"/>
      <c r="BI472" s="80"/>
      <c r="BJ472" s="80"/>
      <c r="BK472" s="80"/>
      <c r="BL472" s="80"/>
      <c r="BM472" s="80"/>
      <c r="BN472" s="80"/>
      <c r="BO472" s="80"/>
    </row>
    <row r="473">
      <c r="A473" s="86"/>
      <c r="B473" s="87"/>
      <c r="C473" s="80"/>
      <c r="D473" s="80"/>
      <c r="E473" s="81"/>
      <c r="F473" s="80"/>
      <c r="G473" s="80"/>
      <c r="H473" s="80"/>
      <c r="I473" s="80"/>
      <c r="J473" s="80"/>
      <c r="K473" s="80"/>
      <c r="L473" s="80"/>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c r="AP473" s="80"/>
      <c r="AQ473" s="80"/>
      <c r="AR473" s="80"/>
      <c r="AS473" s="80"/>
      <c r="AT473" s="80"/>
      <c r="AU473" s="80"/>
      <c r="AV473" s="80"/>
      <c r="AW473" s="80"/>
      <c r="AX473" s="80"/>
      <c r="AY473" s="80"/>
      <c r="AZ473" s="80"/>
      <c r="BA473" s="80"/>
      <c r="BB473" s="80"/>
      <c r="BC473" s="80"/>
      <c r="BD473" s="80"/>
      <c r="BE473" s="80"/>
      <c r="BF473" s="80"/>
      <c r="BG473" s="80"/>
      <c r="BH473" s="80"/>
      <c r="BI473" s="80"/>
      <c r="BJ473" s="80"/>
      <c r="BK473" s="80"/>
      <c r="BL473" s="80"/>
      <c r="BM473" s="80"/>
      <c r="BN473" s="80"/>
      <c r="BO473" s="80"/>
    </row>
    <row r="474">
      <c r="A474" s="86"/>
      <c r="B474" s="87"/>
      <c r="C474" s="80"/>
      <c r="D474" s="80"/>
      <c r="E474" s="81"/>
      <c r="F474" s="80"/>
      <c r="G474" s="80"/>
      <c r="H474" s="80"/>
      <c r="I474" s="80"/>
      <c r="J474" s="80"/>
      <c r="K474" s="80"/>
      <c r="L474" s="80"/>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K474" s="80"/>
      <c r="AL474" s="80"/>
      <c r="AM474" s="80"/>
      <c r="AN474" s="80"/>
      <c r="AO474" s="80"/>
      <c r="AP474" s="80"/>
      <c r="AQ474" s="80"/>
      <c r="AR474" s="80"/>
      <c r="AS474" s="80"/>
      <c r="AT474" s="80"/>
      <c r="AU474" s="80"/>
      <c r="AV474" s="80"/>
      <c r="AW474" s="80"/>
      <c r="AX474" s="80"/>
      <c r="AY474" s="80"/>
      <c r="AZ474" s="80"/>
      <c r="BA474" s="80"/>
      <c r="BB474" s="80"/>
      <c r="BC474" s="80"/>
      <c r="BD474" s="80"/>
      <c r="BE474" s="80"/>
      <c r="BF474" s="80"/>
      <c r="BG474" s="80"/>
      <c r="BH474" s="80"/>
      <c r="BI474" s="80"/>
      <c r="BJ474" s="80"/>
      <c r="BK474" s="80"/>
      <c r="BL474" s="80"/>
      <c r="BM474" s="80"/>
      <c r="BN474" s="80"/>
      <c r="BO474" s="80"/>
    </row>
    <row r="475">
      <c r="A475" s="86"/>
      <c r="B475" s="87"/>
      <c r="C475" s="80"/>
      <c r="D475" s="80"/>
      <c r="E475" s="81"/>
      <c r="F475" s="80"/>
      <c r="G475" s="80"/>
      <c r="H475" s="80"/>
      <c r="I475" s="80"/>
      <c r="J475" s="80"/>
      <c r="K475" s="80"/>
      <c r="L475" s="80"/>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c r="AP475" s="80"/>
      <c r="AQ475" s="80"/>
      <c r="AR475" s="80"/>
      <c r="AS475" s="80"/>
      <c r="AT475" s="80"/>
      <c r="AU475" s="80"/>
      <c r="AV475" s="80"/>
      <c r="AW475" s="80"/>
      <c r="AX475" s="80"/>
      <c r="AY475" s="80"/>
      <c r="AZ475" s="80"/>
      <c r="BA475" s="80"/>
      <c r="BB475" s="80"/>
      <c r="BC475" s="80"/>
      <c r="BD475" s="80"/>
      <c r="BE475" s="80"/>
      <c r="BF475" s="80"/>
      <c r="BG475" s="80"/>
      <c r="BH475" s="80"/>
      <c r="BI475" s="80"/>
      <c r="BJ475" s="80"/>
      <c r="BK475" s="80"/>
      <c r="BL475" s="80"/>
      <c r="BM475" s="80"/>
      <c r="BN475" s="80"/>
      <c r="BO475" s="80"/>
    </row>
    <row r="476">
      <c r="A476" s="86"/>
      <c r="B476" s="87"/>
      <c r="C476" s="80"/>
      <c r="D476" s="80"/>
      <c r="E476" s="81"/>
      <c r="F476" s="80"/>
      <c r="G476" s="80"/>
      <c r="H476" s="80"/>
      <c r="I476" s="80"/>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80"/>
      <c r="BD476" s="80"/>
      <c r="BE476" s="80"/>
      <c r="BF476" s="80"/>
      <c r="BG476" s="80"/>
      <c r="BH476" s="80"/>
      <c r="BI476" s="80"/>
      <c r="BJ476" s="80"/>
      <c r="BK476" s="80"/>
      <c r="BL476" s="80"/>
      <c r="BM476" s="80"/>
      <c r="BN476" s="80"/>
      <c r="BO476" s="80"/>
    </row>
    <row r="477">
      <c r="A477" s="86"/>
      <c r="B477" s="87"/>
      <c r="C477" s="80"/>
      <c r="D477" s="80"/>
      <c r="E477" s="81"/>
      <c r="F477" s="80"/>
      <c r="G477" s="80"/>
      <c r="H477" s="80"/>
      <c r="I477" s="80"/>
      <c r="J477" s="80"/>
      <c r="K477" s="80"/>
      <c r="L477" s="80"/>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c r="AP477" s="80"/>
      <c r="AQ477" s="80"/>
      <c r="AR477" s="80"/>
      <c r="AS477" s="80"/>
      <c r="AT477" s="80"/>
      <c r="AU477" s="80"/>
      <c r="AV477" s="80"/>
      <c r="AW477" s="80"/>
      <c r="AX477" s="80"/>
      <c r="AY477" s="80"/>
      <c r="AZ477" s="80"/>
      <c r="BA477" s="80"/>
      <c r="BB477" s="80"/>
      <c r="BC477" s="80"/>
      <c r="BD477" s="80"/>
      <c r="BE477" s="80"/>
      <c r="BF477" s="80"/>
      <c r="BG477" s="80"/>
      <c r="BH477" s="80"/>
      <c r="BI477" s="80"/>
      <c r="BJ477" s="80"/>
      <c r="BK477" s="80"/>
      <c r="BL477" s="80"/>
      <c r="BM477" s="80"/>
      <c r="BN477" s="80"/>
      <c r="BO477" s="80"/>
    </row>
    <row r="478">
      <c r="A478" s="86"/>
      <c r="B478" s="87"/>
      <c r="C478" s="80"/>
      <c r="D478" s="80"/>
      <c r="E478" s="81"/>
      <c r="F478" s="80"/>
      <c r="G478" s="80"/>
      <c r="H478" s="80"/>
      <c r="I478" s="80"/>
      <c r="J478" s="80"/>
      <c r="K478" s="80"/>
      <c r="L478" s="80"/>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80"/>
      <c r="BD478" s="80"/>
      <c r="BE478" s="80"/>
      <c r="BF478" s="80"/>
      <c r="BG478" s="80"/>
      <c r="BH478" s="80"/>
      <c r="BI478" s="80"/>
      <c r="BJ478" s="80"/>
      <c r="BK478" s="80"/>
      <c r="BL478" s="80"/>
      <c r="BM478" s="80"/>
      <c r="BN478" s="80"/>
      <c r="BO478" s="80"/>
    </row>
    <row r="479">
      <c r="A479" s="86"/>
      <c r="B479" s="87"/>
      <c r="C479" s="80"/>
      <c r="D479" s="80"/>
      <c r="E479" s="81"/>
      <c r="F479" s="80"/>
      <c r="G479" s="80"/>
      <c r="H479" s="80"/>
      <c r="I479" s="80"/>
      <c r="J479" s="80"/>
      <c r="K479" s="80"/>
      <c r="L479" s="80"/>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80"/>
      <c r="BC479" s="80"/>
      <c r="BD479" s="80"/>
      <c r="BE479" s="80"/>
      <c r="BF479" s="80"/>
      <c r="BG479" s="80"/>
      <c r="BH479" s="80"/>
      <c r="BI479" s="80"/>
      <c r="BJ479" s="80"/>
      <c r="BK479" s="80"/>
      <c r="BL479" s="80"/>
      <c r="BM479" s="80"/>
      <c r="BN479" s="80"/>
      <c r="BO479" s="80"/>
    </row>
    <row r="480">
      <c r="A480" s="86"/>
      <c r="B480" s="87"/>
      <c r="C480" s="80"/>
      <c r="D480" s="80"/>
      <c r="E480" s="81"/>
      <c r="F480" s="80"/>
      <c r="G480" s="80"/>
      <c r="H480" s="80"/>
      <c r="I480" s="80"/>
      <c r="J480" s="80"/>
      <c r="K480" s="80"/>
      <c r="L480" s="80"/>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80"/>
      <c r="BD480" s="80"/>
      <c r="BE480" s="80"/>
      <c r="BF480" s="80"/>
      <c r="BG480" s="80"/>
      <c r="BH480" s="80"/>
      <c r="BI480" s="80"/>
      <c r="BJ480" s="80"/>
      <c r="BK480" s="80"/>
      <c r="BL480" s="80"/>
      <c r="BM480" s="80"/>
      <c r="BN480" s="80"/>
      <c r="BO480" s="80"/>
    </row>
    <row r="481">
      <c r="A481" s="86"/>
      <c r="B481" s="87"/>
      <c r="C481" s="80"/>
      <c r="D481" s="80"/>
      <c r="E481" s="81"/>
      <c r="F481" s="80"/>
      <c r="G481" s="80"/>
      <c r="H481" s="80"/>
      <c r="I481" s="80"/>
      <c r="J481" s="80"/>
      <c r="K481" s="80"/>
      <c r="L481" s="80"/>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c r="AP481" s="80"/>
      <c r="AQ481" s="80"/>
      <c r="AR481" s="80"/>
      <c r="AS481" s="80"/>
      <c r="AT481" s="80"/>
      <c r="AU481" s="80"/>
      <c r="AV481" s="80"/>
      <c r="AW481" s="80"/>
      <c r="AX481" s="80"/>
      <c r="AY481" s="80"/>
      <c r="AZ481" s="80"/>
      <c r="BA481" s="80"/>
      <c r="BB481" s="80"/>
      <c r="BC481" s="80"/>
      <c r="BD481" s="80"/>
      <c r="BE481" s="80"/>
      <c r="BF481" s="80"/>
      <c r="BG481" s="80"/>
      <c r="BH481" s="80"/>
      <c r="BI481" s="80"/>
      <c r="BJ481" s="80"/>
      <c r="BK481" s="80"/>
      <c r="BL481" s="80"/>
      <c r="BM481" s="80"/>
      <c r="BN481" s="80"/>
      <c r="BO481" s="80"/>
    </row>
    <row r="482">
      <c r="A482" s="86"/>
      <c r="B482" s="87"/>
      <c r="C482" s="80"/>
      <c r="D482" s="80"/>
      <c r="E482" s="81"/>
      <c r="F482" s="80"/>
      <c r="G482" s="80"/>
      <c r="H482" s="80"/>
      <c r="I482" s="80"/>
      <c r="J482" s="80"/>
      <c r="K482" s="80"/>
      <c r="L482" s="80"/>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80"/>
      <c r="BD482" s="80"/>
      <c r="BE482" s="80"/>
      <c r="BF482" s="80"/>
      <c r="BG482" s="80"/>
      <c r="BH482" s="80"/>
      <c r="BI482" s="80"/>
      <c r="BJ482" s="80"/>
      <c r="BK482" s="80"/>
      <c r="BL482" s="80"/>
      <c r="BM482" s="80"/>
      <c r="BN482" s="80"/>
      <c r="BO482" s="80"/>
    </row>
    <row r="483">
      <c r="A483" s="86"/>
      <c r="B483" s="87"/>
      <c r="C483" s="80"/>
      <c r="D483" s="80"/>
      <c r="E483" s="81"/>
      <c r="F483" s="80"/>
      <c r="G483" s="80"/>
      <c r="H483" s="80"/>
      <c r="I483" s="80"/>
      <c r="J483" s="80"/>
      <c r="K483" s="80"/>
      <c r="L483" s="80"/>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c r="AP483" s="80"/>
      <c r="AQ483" s="80"/>
      <c r="AR483" s="80"/>
      <c r="AS483" s="80"/>
      <c r="AT483" s="80"/>
      <c r="AU483" s="80"/>
      <c r="AV483" s="80"/>
      <c r="AW483" s="80"/>
      <c r="AX483" s="80"/>
      <c r="AY483" s="80"/>
      <c r="AZ483" s="80"/>
      <c r="BA483" s="80"/>
      <c r="BB483" s="80"/>
      <c r="BC483" s="80"/>
      <c r="BD483" s="80"/>
      <c r="BE483" s="80"/>
      <c r="BF483" s="80"/>
      <c r="BG483" s="80"/>
      <c r="BH483" s="80"/>
      <c r="BI483" s="80"/>
      <c r="BJ483" s="80"/>
      <c r="BK483" s="80"/>
      <c r="BL483" s="80"/>
      <c r="BM483" s="80"/>
      <c r="BN483" s="80"/>
      <c r="BO483" s="80"/>
    </row>
    <row r="484">
      <c r="A484" s="86"/>
      <c r="B484" s="87"/>
      <c r="C484" s="80"/>
      <c r="D484" s="80"/>
      <c r="E484" s="81"/>
      <c r="F484" s="80"/>
      <c r="G484" s="80"/>
      <c r="H484" s="80"/>
      <c r="I484" s="80"/>
      <c r="J484" s="80"/>
      <c r="K484" s="80"/>
      <c r="L484" s="80"/>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c r="AP484" s="80"/>
      <c r="AQ484" s="80"/>
      <c r="AR484" s="80"/>
      <c r="AS484" s="80"/>
      <c r="AT484" s="80"/>
      <c r="AU484" s="80"/>
      <c r="AV484" s="80"/>
      <c r="AW484" s="80"/>
      <c r="AX484" s="80"/>
      <c r="AY484" s="80"/>
      <c r="AZ484" s="80"/>
      <c r="BA484" s="80"/>
      <c r="BB484" s="80"/>
      <c r="BC484" s="80"/>
      <c r="BD484" s="80"/>
      <c r="BE484" s="80"/>
      <c r="BF484" s="80"/>
      <c r="BG484" s="80"/>
      <c r="BH484" s="80"/>
      <c r="BI484" s="80"/>
      <c r="BJ484" s="80"/>
      <c r="BK484" s="80"/>
      <c r="BL484" s="80"/>
      <c r="BM484" s="80"/>
      <c r="BN484" s="80"/>
      <c r="BO484" s="80"/>
    </row>
    <row r="485">
      <c r="A485" s="86"/>
      <c r="B485" s="87"/>
      <c r="C485" s="80"/>
      <c r="D485" s="80"/>
      <c r="E485" s="81"/>
      <c r="F485" s="80"/>
      <c r="G485" s="80"/>
      <c r="H485" s="80"/>
      <c r="I485" s="80"/>
      <c r="J485" s="80"/>
      <c r="K485" s="80"/>
      <c r="L485" s="80"/>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c r="AP485" s="80"/>
      <c r="AQ485" s="80"/>
      <c r="AR485" s="80"/>
      <c r="AS485" s="80"/>
      <c r="AT485" s="80"/>
      <c r="AU485" s="80"/>
      <c r="AV485" s="80"/>
      <c r="AW485" s="80"/>
      <c r="AX485" s="80"/>
      <c r="AY485" s="80"/>
      <c r="AZ485" s="80"/>
      <c r="BA485" s="80"/>
      <c r="BB485" s="80"/>
      <c r="BC485" s="80"/>
      <c r="BD485" s="80"/>
      <c r="BE485" s="80"/>
      <c r="BF485" s="80"/>
      <c r="BG485" s="80"/>
      <c r="BH485" s="80"/>
      <c r="BI485" s="80"/>
      <c r="BJ485" s="80"/>
      <c r="BK485" s="80"/>
      <c r="BL485" s="80"/>
      <c r="BM485" s="80"/>
      <c r="BN485" s="80"/>
      <c r="BO485" s="80"/>
    </row>
    <row r="486">
      <c r="A486" s="86"/>
      <c r="B486" s="87"/>
      <c r="C486" s="80"/>
      <c r="D486" s="80"/>
      <c r="E486" s="81"/>
      <c r="F486" s="80"/>
      <c r="G486" s="80"/>
      <c r="H486" s="80"/>
      <c r="I486" s="80"/>
      <c r="J486" s="80"/>
      <c r="K486" s="80"/>
      <c r="L486" s="80"/>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c r="AP486" s="80"/>
      <c r="AQ486" s="80"/>
      <c r="AR486" s="80"/>
      <c r="AS486" s="80"/>
      <c r="AT486" s="80"/>
      <c r="AU486" s="80"/>
      <c r="AV486" s="80"/>
      <c r="AW486" s="80"/>
      <c r="AX486" s="80"/>
      <c r="AY486" s="80"/>
      <c r="AZ486" s="80"/>
      <c r="BA486" s="80"/>
      <c r="BB486" s="80"/>
      <c r="BC486" s="80"/>
      <c r="BD486" s="80"/>
      <c r="BE486" s="80"/>
      <c r="BF486" s="80"/>
      <c r="BG486" s="80"/>
      <c r="BH486" s="80"/>
      <c r="BI486" s="80"/>
      <c r="BJ486" s="80"/>
      <c r="BK486" s="80"/>
      <c r="BL486" s="80"/>
      <c r="BM486" s="80"/>
      <c r="BN486" s="80"/>
      <c r="BO486" s="80"/>
    </row>
    <row r="487">
      <c r="A487" s="86"/>
      <c r="B487" s="87"/>
      <c r="C487" s="80"/>
      <c r="D487" s="80"/>
      <c r="E487" s="81"/>
      <c r="F487" s="80"/>
      <c r="G487" s="80"/>
      <c r="H487" s="80"/>
      <c r="I487" s="80"/>
      <c r="J487" s="80"/>
      <c r="K487" s="80"/>
      <c r="L487" s="80"/>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80"/>
      <c r="BC487" s="80"/>
      <c r="BD487" s="80"/>
      <c r="BE487" s="80"/>
      <c r="BF487" s="80"/>
      <c r="BG487" s="80"/>
      <c r="BH487" s="80"/>
      <c r="BI487" s="80"/>
      <c r="BJ487" s="80"/>
      <c r="BK487" s="80"/>
      <c r="BL487" s="80"/>
      <c r="BM487" s="80"/>
      <c r="BN487" s="80"/>
      <c r="BO487" s="80"/>
    </row>
    <row r="488">
      <c r="A488" s="86"/>
      <c r="B488" s="87"/>
      <c r="C488" s="80"/>
      <c r="D488" s="80"/>
      <c r="E488" s="81"/>
      <c r="F488" s="80"/>
      <c r="G488" s="80"/>
      <c r="H488" s="80"/>
      <c r="I488" s="80"/>
      <c r="J488" s="80"/>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c r="AP488" s="80"/>
      <c r="AQ488" s="80"/>
      <c r="AR488" s="80"/>
      <c r="AS488" s="80"/>
      <c r="AT488" s="80"/>
      <c r="AU488" s="80"/>
      <c r="AV488" s="80"/>
      <c r="AW488" s="80"/>
      <c r="AX488" s="80"/>
      <c r="AY488" s="80"/>
      <c r="AZ488" s="80"/>
      <c r="BA488" s="80"/>
      <c r="BB488" s="80"/>
      <c r="BC488" s="80"/>
      <c r="BD488" s="80"/>
      <c r="BE488" s="80"/>
      <c r="BF488" s="80"/>
      <c r="BG488" s="80"/>
      <c r="BH488" s="80"/>
      <c r="BI488" s="80"/>
      <c r="BJ488" s="80"/>
      <c r="BK488" s="80"/>
      <c r="BL488" s="80"/>
      <c r="BM488" s="80"/>
      <c r="BN488" s="80"/>
      <c r="BO488" s="80"/>
    </row>
    <row r="489">
      <c r="A489" s="86"/>
      <c r="B489" s="87"/>
      <c r="C489" s="80"/>
      <c r="D489" s="80"/>
      <c r="E489" s="81"/>
      <c r="F489" s="80"/>
      <c r="G489" s="80"/>
      <c r="H489" s="80"/>
      <c r="I489" s="80"/>
      <c r="J489" s="80"/>
      <c r="K489" s="80"/>
      <c r="L489" s="80"/>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c r="AP489" s="80"/>
      <c r="AQ489" s="80"/>
      <c r="AR489" s="80"/>
      <c r="AS489" s="80"/>
      <c r="AT489" s="80"/>
      <c r="AU489" s="80"/>
      <c r="AV489" s="80"/>
      <c r="AW489" s="80"/>
      <c r="AX489" s="80"/>
      <c r="AY489" s="80"/>
      <c r="AZ489" s="80"/>
      <c r="BA489" s="80"/>
      <c r="BB489" s="80"/>
      <c r="BC489" s="80"/>
      <c r="BD489" s="80"/>
      <c r="BE489" s="80"/>
      <c r="BF489" s="80"/>
      <c r="BG489" s="80"/>
      <c r="BH489" s="80"/>
      <c r="BI489" s="80"/>
      <c r="BJ489" s="80"/>
      <c r="BK489" s="80"/>
      <c r="BL489" s="80"/>
      <c r="BM489" s="80"/>
      <c r="BN489" s="80"/>
      <c r="BO489" s="80"/>
    </row>
    <row r="490">
      <c r="A490" s="86"/>
      <c r="B490" s="87"/>
      <c r="C490" s="80"/>
      <c r="D490" s="80"/>
      <c r="E490" s="81"/>
      <c r="F490" s="80"/>
      <c r="G490" s="80"/>
      <c r="H490" s="80"/>
      <c r="I490" s="80"/>
      <c r="J490" s="80"/>
      <c r="K490" s="80"/>
      <c r="L490" s="80"/>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c r="AP490" s="80"/>
      <c r="AQ490" s="80"/>
      <c r="AR490" s="80"/>
      <c r="AS490" s="80"/>
      <c r="AT490" s="80"/>
      <c r="AU490" s="80"/>
      <c r="AV490" s="80"/>
      <c r="AW490" s="80"/>
      <c r="AX490" s="80"/>
      <c r="AY490" s="80"/>
      <c r="AZ490" s="80"/>
      <c r="BA490" s="80"/>
      <c r="BB490" s="80"/>
      <c r="BC490" s="80"/>
      <c r="BD490" s="80"/>
      <c r="BE490" s="80"/>
      <c r="BF490" s="80"/>
      <c r="BG490" s="80"/>
      <c r="BH490" s="80"/>
      <c r="BI490" s="80"/>
      <c r="BJ490" s="80"/>
      <c r="BK490" s="80"/>
      <c r="BL490" s="80"/>
      <c r="BM490" s="80"/>
      <c r="BN490" s="80"/>
      <c r="BO490" s="80"/>
    </row>
    <row r="491">
      <c r="A491" s="86"/>
      <c r="B491" s="87"/>
      <c r="C491" s="80"/>
      <c r="D491" s="80"/>
      <c r="E491" s="81"/>
      <c r="F491" s="80"/>
      <c r="G491" s="80"/>
      <c r="H491" s="80"/>
      <c r="I491" s="80"/>
      <c r="J491" s="80"/>
      <c r="K491" s="80"/>
      <c r="L491" s="80"/>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c r="AP491" s="80"/>
      <c r="AQ491" s="80"/>
      <c r="AR491" s="80"/>
      <c r="AS491" s="80"/>
      <c r="AT491" s="80"/>
      <c r="AU491" s="80"/>
      <c r="AV491" s="80"/>
      <c r="AW491" s="80"/>
      <c r="AX491" s="80"/>
      <c r="AY491" s="80"/>
      <c r="AZ491" s="80"/>
      <c r="BA491" s="80"/>
      <c r="BB491" s="80"/>
      <c r="BC491" s="80"/>
      <c r="BD491" s="80"/>
      <c r="BE491" s="80"/>
      <c r="BF491" s="80"/>
      <c r="BG491" s="80"/>
      <c r="BH491" s="80"/>
      <c r="BI491" s="80"/>
      <c r="BJ491" s="80"/>
      <c r="BK491" s="80"/>
      <c r="BL491" s="80"/>
      <c r="BM491" s="80"/>
      <c r="BN491" s="80"/>
      <c r="BO491" s="80"/>
    </row>
    <row r="492">
      <c r="A492" s="86"/>
      <c r="B492" s="87"/>
      <c r="C492" s="80"/>
      <c r="D492" s="80"/>
      <c r="E492" s="81"/>
      <c r="F492" s="80"/>
      <c r="G492" s="80"/>
      <c r="H492" s="80"/>
      <c r="I492" s="80"/>
      <c r="J492" s="80"/>
      <c r="K492" s="80"/>
      <c r="L492" s="80"/>
      <c r="M492" s="80"/>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c r="AK492" s="80"/>
      <c r="AL492" s="80"/>
      <c r="AM492" s="80"/>
      <c r="AN492" s="80"/>
      <c r="AO492" s="80"/>
      <c r="AP492" s="80"/>
      <c r="AQ492" s="80"/>
      <c r="AR492" s="80"/>
      <c r="AS492" s="80"/>
      <c r="AT492" s="80"/>
      <c r="AU492" s="80"/>
      <c r="AV492" s="80"/>
      <c r="AW492" s="80"/>
      <c r="AX492" s="80"/>
      <c r="AY492" s="80"/>
      <c r="AZ492" s="80"/>
      <c r="BA492" s="80"/>
      <c r="BB492" s="80"/>
      <c r="BC492" s="80"/>
      <c r="BD492" s="80"/>
      <c r="BE492" s="80"/>
      <c r="BF492" s="80"/>
      <c r="BG492" s="80"/>
      <c r="BH492" s="80"/>
      <c r="BI492" s="80"/>
      <c r="BJ492" s="80"/>
      <c r="BK492" s="80"/>
      <c r="BL492" s="80"/>
      <c r="BM492" s="80"/>
      <c r="BN492" s="80"/>
      <c r="BO492" s="80"/>
    </row>
    <row r="493">
      <c r="A493" s="86"/>
      <c r="B493" s="87"/>
      <c r="C493" s="80"/>
      <c r="D493" s="80"/>
      <c r="E493" s="81"/>
      <c r="F493" s="80"/>
      <c r="G493" s="80"/>
      <c r="H493" s="80"/>
      <c r="I493" s="80"/>
      <c r="J493" s="80"/>
      <c r="K493" s="80"/>
      <c r="L493" s="80"/>
      <c r="M493" s="80"/>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c r="AK493" s="80"/>
      <c r="AL493" s="80"/>
      <c r="AM493" s="80"/>
      <c r="AN493" s="80"/>
      <c r="AO493" s="80"/>
      <c r="AP493" s="80"/>
      <c r="AQ493" s="80"/>
      <c r="AR493" s="80"/>
      <c r="AS493" s="80"/>
      <c r="AT493" s="80"/>
      <c r="AU493" s="80"/>
      <c r="AV493" s="80"/>
      <c r="AW493" s="80"/>
      <c r="AX493" s="80"/>
      <c r="AY493" s="80"/>
      <c r="AZ493" s="80"/>
      <c r="BA493" s="80"/>
      <c r="BB493" s="80"/>
      <c r="BC493" s="80"/>
      <c r="BD493" s="80"/>
      <c r="BE493" s="80"/>
      <c r="BF493" s="80"/>
      <c r="BG493" s="80"/>
      <c r="BH493" s="80"/>
      <c r="BI493" s="80"/>
      <c r="BJ493" s="80"/>
      <c r="BK493" s="80"/>
      <c r="BL493" s="80"/>
      <c r="BM493" s="80"/>
      <c r="BN493" s="80"/>
      <c r="BO493" s="80"/>
    </row>
    <row r="494">
      <c r="A494" s="86"/>
      <c r="B494" s="87"/>
      <c r="C494" s="80"/>
      <c r="D494" s="80"/>
      <c r="E494" s="81"/>
      <c r="F494" s="80"/>
      <c r="G494" s="80"/>
      <c r="H494" s="80"/>
      <c r="I494" s="80"/>
      <c r="J494" s="80"/>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c r="AP494" s="80"/>
      <c r="AQ494" s="80"/>
      <c r="AR494" s="80"/>
      <c r="AS494" s="80"/>
      <c r="AT494" s="80"/>
      <c r="AU494" s="80"/>
      <c r="AV494" s="80"/>
      <c r="AW494" s="80"/>
      <c r="AX494" s="80"/>
      <c r="AY494" s="80"/>
      <c r="AZ494" s="80"/>
      <c r="BA494" s="80"/>
      <c r="BB494" s="80"/>
      <c r="BC494" s="80"/>
      <c r="BD494" s="80"/>
      <c r="BE494" s="80"/>
      <c r="BF494" s="80"/>
      <c r="BG494" s="80"/>
      <c r="BH494" s="80"/>
      <c r="BI494" s="80"/>
      <c r="BJ494" s="80"/>
      <c r="BK494" s="80"/>
      <c r="BL494" s="80"/>
      <c r="BM494" s="80"/>
      <c r="BN494" s="80"/>
      <c r="BO494" s="80"/>
    </row>
    <row r="495">
      <c r="A495" s="86"/>
      <c r="B495" s="87"/>
      <c r="C495" s="80"/>
      <c r="D495" s="80"/>
      <c r="E495" s="81"/>
      <c r="F495" s="80"/>
      <c r="G495" s="80"/>
      <c r="H495" s="80"/>
      <c r="I495" s="80"/>
      <c r="J495" s="80"/>
      <c r="K495" s="80"/>
      <c r="L495" s="80"/>
      <c r="M495" s="80"/>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c r="AK495" s="80"/>
      <c r="AL495" s="80"/>
      <c r="AM495" s="80"/>
      <c r="AN495" s="80"/>
      <c r="AO495" s="80"/>
      <c r="AP495" s="80"/>
      <c r="AQ495" s="80"/>
      <c r="AR495" s="80"/>
      <c r="AS495" s="80"/>
      <c r="AT495" s="80"/>
      <c r="AU495" s="80"/>
      <c r="AV495" s="80"/>
      <c r="AW495" s="80"/>
      <c r="AX495" s="80"/>
      <c r="AY495" s="80"/>
      <c r="AZ495" s="80"/>
      <c r="BA495" s="80"/>
      <c r="BB495" s="80"/>
      <c r="BC495" s="80"/>
      <c r="BD495" s="80"/>
      <c r="BE495" s="80"/>
      <c r="BF495" s="80"/>
      <c r="BG495" s="80"/>
      <c r="BH495" s="80"/>
      <c r="BI495" s="80"/>
      <c r="BJ495" s="80"/>
      <c r="BK495" s="80"/>
      <c r="BL495" s="80"/>
      <c r="BM495" s="80"/>
      <c r="BN495" s="80"/>
      <c r="BO495" s="80"/>
    </row>
    <row r="496">
      <c r="A496" s="86"/>
      <c r="B496" s="87"/>
      <c r="C496" s="80"/>
      <c r="D496" s="80"/>
      <c r="E496" s="81"/>
      <c r="F496" s="80"/>
      <c r="G496" s="80"/>
      <c r="H496" s="80"/>
      <c r="I496" s="80"/>
      <c r="J496" s="80"/>
      <c r="K496" s="80"/>
      <c r="L496" s="80"/>
      <c r="M496" s="80"/>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c r="AK496" s="80"/>
      <c r="AL496" s="80"/>
      <c r="AM496" s="80"/>
      <c r="AN496" s="80"/>
      <c r="AO496" s="80"/>
      <c r="AP496" s="80"/>
      <c r="AQ496" s="80"/>
      <c r="AR496" s="80"/>
      <c r="AS496" s="80"/>
      <c r="AT496" s="80"/>
      <c r="AU496" s="80"/>
      <c r="AV496" s="80"/>
      <c r="AW496" s="80"/>
      <c r="AX496" s="80"/>
      <c r="AY496" s="80"/>
      <c r="AZ496" s="80"/>
      <c r="BA496" s="80"/>
      <c r="BB496" s="80"/>
      <c r="BC496" s="80"/>
      <c r="BD496" s="80"/>
      <c r="BE496" s="80"/>
      <c r="BF496" s="80"/>
      <c r="BG496" s="80"/>
      <c r="BH496" s="80"/>
      <c r="BI496" s="80"/>
      <c r="BJ496" s="80"/>
      <c r="BK496" s="80"/>
      <c r="BL496" s="80"/>
      <c r="BM496" s="80"/>
      <c r="BN496" s="80"/>
      <c r="BO496" s="80"/>
    </row>
    <row r="497">
      <c r="A497" s="86"/>
      <c r="B497" s="87"/>
      <c r="C497" s="80"/>
      <c r="D497" s="80"/>
      <c r="E497" s="81"/>
      <c r="F497" s="80"/>
      <c r="G497" s="80"/>
      <c r="H497" s="80"/>
      <c r="I497" s="80"/>
      <c r="J497" s="80"/>
      <c r="K497" s="80"/>
      <c r="L497" s="80"/>
      <c r="M497" s="80"/>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c r="AK497" s="80"/>
      <c r="AL497" s="80"/>
      <c r="AM497" s="80"/>
      <c r="AN497" s="80"/>
      <c r="AO497" s="80"/>
      <c r="AP497" s="80"/>
      <c r="AQ497" s="80"/>
      <c r="AR497" s="80"/>
      <c r="AS497" s="80"/>
      <c r="AT497" s="80"/>
      <c r="AU497" s="80"/>
      <c r="AV497" s="80"/>
      <c r="AW497" s="80"/>
      <c r="AX497" s="80"/>
      <c r="AY497" s="80"/>
      <c r="AZ497" s="80"/>
      <c r="BA497" s="80"/>
      <c r="BB497" s="80"/>
      <c r="BC497" s="80"/>
      <c r="BD497" s="80"/>
      <c r="BE497" s="80"/>
      <c r="BF497" s="80"/>
      <c r="BG497" s="80"/>
      <c r="BH497" s="80"/>
      <c r="BI497" s="80"/>
      <c r="BJ497" s="80"/>
      <c r="BK497" s="80"/>
      <c r="BL497" s="80"/>
      <c r="BM497" s="80"/>
      <c r="BN497" s="80"/>
      <c r="BO497" s="80"/>
    </row>
    <row r="498">
      <c r="A498" s="86"/>
      <c r="B498" s="87"/>
      <c r="C498" s="80"/>
      <c r="D498" s="80"/>
      <c r="E498" s="81"/>
      <c r="F498" s="80"/>
      <c r="G498" s="80"/>
      <c r="H498" s="80"/>
      <c r="I498" s="80"/>
      <c r="J498" s="80"/>
      <c r="K498" s="80"/>
      <c r="L498" s="80"/>
      <c r="M498" s="80"/>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c r="AK498" s="80"/>
      <c r="AL498" s="80"/>
      <c r="AM498" s="80"/>
      <c r="AN498" s="80"/>
      <c r="AO498" s="80"/>
      <c r="AP498" s="80"/>
      <c r="AQ498" s="80"/>
      <c r="AR498" s="80"/>
      <c r="AS498" s="80"/>
      <c r="AT498" s="80"/>
      <c r="AU498" s="80"/>
      <c r="AV498" s="80"/>
      <c r="AW498" s="80"/>
      <c r="AX498" s="80"/>
      <c r="AY498" s="80"/>
      <c r="AZ498" s="80"/>
      <c r="BA498" s="80"/>
      <c r="BB498" s="80"/>
      <c r="BC498" s="80"/>
      <c r="BD498" s="80"/>
      <c r="BE498" s="80"/>
      <c r="BF498" s="80"/>
      <c r="BG498" s="80"/>
      <c r="BH498" s="80"/>
      <c r="BI498" s="80"/>
      <c r="BJ498" s="80"/>
      <c r="BK498" s="80"/>
      <c r="BL498" s="80"/>
      <c r="BM498" s="80"/>
      <c r="BN498" s="80"/>
      <c r="BO498" s="80"/>
    </row>
    <row r="499">
      <c r="A499" s="86"/>
      <c r="B499" s="87"/>
      <c r="C499" s="80"/>
      <c r="D499" s="80"/>
      <c r="E499" s="81"/>
      <c r="F499" s="80"/>
      <c r="G499" s="80"/>
      <c r="H499" s="80"/>
      <c r="I499" s="80"/>
      <c r="J499" s="80"/>
      <c r="K499" s="80"/>
      <c r="L499" s="80"/>
      <c r="M499" s="80"/>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c r="AK499" s="80"/>
      <c r="AL499" s="80"/>
      <c r="AM499" s="80"/>
      <c r="AN499" s="80"/>
      <c r="AO499" s="80"/>
      <c r="AP499" s="80"/>
      <c r="AQ499" s="80"/>
      <c r="AR499" s="80"/>
      <c r="AS499" s="80"/>
      <c r="AT499" s="80"/>
      <c r="AU499" s="80"/>
      <c r="AV499" s="80"/>
      <c r="AW499" s="80"/>
      <c r="AX499" s="80"/>
      <c r="AY499" s="80"/>
      <c r="AZ499" s="80"/>
      <c r="BA499" s="80"/>
      <c r="BB499" s="80"/>
      <c r="BC499" s="80"/>
      <c r="BD499" s="80"/>
      <c r="BE499" s="80"/>
      <c r="BF499" s="80"/>
      <c r="BG499" s="80"/>
      <c r="BH499" s="80"/>
      <c r="BI499" s="80"/>
      <c r="BJ499" s="80"/>
      <c r="BK499" s="80"/>
      <c r="BL499" s="80"/>
      <c r="BM499" s="80"/>
      <c r="BN499" s="80"/>
      <c r="BO499" s="80"/>
    </row>
    <row r="500">
      <c r="A500" s="86"/>
      <c r="B500" s="87"/>
      <c r="C500" s="80"/>
      <c r="D500" s="80"/>
      <c r="E500" s="81"/>
      <c r="F500" s="80"/>
      <c r="G500" s="80"/>
      <c r="H500" s="80"/>
      <c r="I500" s="80"/>
      <c r="J500" s="80"/>
      <c r="K500" s="80"/>
      <c r="L500" s="80"/>
      <c r="M500" s="80"/>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c r="AK500" s="80"/>
      <c r="AL500" s="80"/>
      <c r="AM500" s="80"/>
      <c r="AN500" s="80"/>
      <c r="AO500" s="80"/>
      <c r="AP500" s="80"/>
      <c r="AQ500" s="80"/>
      <c r="AR500" s="80"/>
      <c r="AS500" s="80"/>
      <c r="AT500" s="80"/>
      <c r="AU500" s="80"/>
      <c r="AV500" s="80"/>
      <c r="AW500" s="80"/>
      <c r="AX500" s="80"/>
      <c r="AY500" s="80"/>
      <c r="AZ500" s="80"/>
      <c r="BA500" s="80"/>
      <c r="BB500" s="80"/>
      <c r="BC500" s="80"/>
      <c r="BD500" s="80"/>
      <c r="BE500" s="80"/>
      <c r="BF500" s="80"/>
      <c r="BG500" s="80"/>
      <c r="BH500" s="80"/>
      <c r="BI500" s="80"/>
      <c r="BJ500" s="80"/>
      <c r="BK500" s="80"/>
      <c r="BL500" s="80"/>
      <c r="BM500" s="80"/>
      <c r="BN500" s="80"/>
      <c r="BO500" s="80"/>
    </row>
    <row r="501">
      <c r="A501" s="86"/>
      <c r="B501" s="87"/>
      <c r="C501" s="80"/>
      <c r="D501" s="80"/>
      <c r="E501" s="81"/>
      <c r="F501" s="80"/>
      <c r="G501" s="80"/>
      <c r="H501" s="80"/>
      <c r="I501" s="80"/>
      <c r="J501" s="80"/>
      <c r="K501" s="80"/>
      <c r="L501" s="80"/>
      <c r="M501" s="80"/>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c r="AK501" s="80"/>
      <c r="AL501" s="80"/>
      <c r="AM501" s="80"/>
      <c r="AN501" s="80"/>
      <c r="AO501" s="80"/>
      <c r="AP501" s="80"/>
      <c r="AQ501" s="80"/>
      <c r="AR501" s="80"/>
      <c r="AS501" s="80"/>
      <c r="AT501" s="80"/>
      <c r="AU501" s="80"/>
      <c r="AV501" s="80"/>
      <c r="AW501" s="80"/>
      <c r="AX501" s="80"/>
      <c r="AY501" s="80"/>
      <c r="AZ501" s="80"/>
      <c r="BA501" s="80"/>
      <c r="BB501" s="80"/>
      <c r="BC501" s="80"/>
      <c r="BD501" s="80"/>
      <c r="BE501" s="80"/>
      <c r="BF501" s="80"/>
      <c r="BG501" s="80"/>
      <c r="BH501" s="80"/>
      <c r="BI501" s="80"/>
      <c r="BJ501" s="80"/>
      <c r="BK501" s="80"/>
      <c r="BL501" s="80"/>
      <c r="BM501" s="80"/>
      <c r="BN501" s="80"/>
      <c r="BO501" s="80"/>
    </row>
    <row r="502">
      <c r="A502" s="86"/>
      <c r="B502" s="87"/>
      <c r="C502" s="80"/>
      <c r="D502" s="80"/>
      <c r="E502" s="81"/>
      <c r="F502" s="80"/>
      <c r="G502" s="80"/>
      <c r="H502" s="80"/>
      <c r="I502" s="80"/>
      <c r="J502" s="80"/>
      <c r="K502" s="80"/>
      <c r="L502" s="80"/>
      <c r="M502" s="80"/>
      <c r="N502" s="80"/>
      <c r="O502" s="80"/>
      <c r="P502" s="80"/>
      <c r="Q502" s="80"/>
      <c r="R502" s="80"/>
      <c r="S502" s="80"/>
      <c r="T502" s="80"/>
      <c r="U502" s="80"/>
      <c r="V502" s="80"/>
      <c r="W502" s="80"/>
      <c r="X502" s="80"/>
      <c r="Y502" s="80"/>
      <c r="Z502" s="80"/>
      <c r="AA502" s="80"/>
      <c r="AB502" s="80"/>
      <c r="AC502" s="80"/>
      <c r="AD502" s="80"/>
      <c r="AE502" s="80"/>
      <c r="AF502" s="80"/>
      <c r="AG502" s="80"/>
      <c r="AH502" s="80"/>
      <c r="AI502" s="80"/>
      <c r="AJ502" s="80"/>
      <c r="AK502" s="80"/>
      <c r="AL502" s="80"/>
      <c r="AM502" s="80"/>
      <c r="AN502" s="80"/>
      <c r="AO502" s="80"/>
      <c r="AP502" s="80"/>
      <c r="AQ502" s="80"/>
      <c r="AR502" s="80"/>
      <c r="AS502" s="80"/>
      <c r="AT502" s="80"/>
      <c r="AU502" s="80"/>
      <c r="AV502" s="80"/>
      <c r="AW502" s="80"/>
      <c r="AX502" s="80"/>
      <c r="AY502" s="80"/>
      <c r="AZ502" s="80"/>
      <c r="BA502" s="80"/>
      <c r="BB502" s="80"/>
      <c r="BC502" s="80"/>
      <c r="BD502" s="80"/>
      <c r="BE502" s="80"/>
      <c r="BF502" s="80"/>
      <c r="BG502" s="80"/>
      <c r="BH502" s="80"/>
      <c r="BI502" s="80"/>
      <c r="BJ502" s="80"/>
      <c r="BK502" s="80"/>
      <c r="BL502" s="80"/>
      <c r="BM502" s="80"/>
      <c r="BN502" s="80"/>
      <c r="BO502" s="80"/>
    </row>
    <row r="503">
      <c r="A503" s="86"/>
      <c r="B503" s="87"/>
      <c r="C503" s="80"/>
      <c r="D503" s="80"/>
      <c r="E503" s="81"/>
      <c r="F503" s="80"/>
      <c r="G503" s="80"/>
      <c r="H503" s="80"/>
      <c r="I503" s="80"/>
      <c r="J503" s="80"/>
      <c r="K503" s="80"/>
      <c r="L503" s="80"/>
      <c r="M503" s="80"/>
      <c r="N503" s="80"/>
      <c r="O503" s="80"/>
      <c r="P503" s="80"/>
      <c r="Q503" s="80"/>
      <c r="R503" s="80"/>
      <c r="S503" s="80"/>
      <c r="T503" s="80"/>
      <c r="U503" s="80"/>
      <c r="V503" s="80"/>
      <c r="W503" s="80"/>
      <c r="X503" s="80"/>
      <c r="Y503" s="80"/>
      <c r="Z503" s="80"/>
      <c r="AA503" s="80"/>
      <c r="AB503" s="80"/>
      <c r="AC503" s="80"/>
      <c r="AD503" s="80"/>
      <c r="AE503" s="80"/>
      <c r="AF503" s="80"/>
      <c r="AG503" s="80"/>
      <c r="AH503" s="80"/>
      <c r="AI503" s="80"/>
      <c r="AJ503" s="80"/>
      <c r="AK503" s="80"/>
      <c r="AL503" s="80"/>
      <c r="AM503" s="80"/>
      <c r="AN503" s="80"/>
      <c r="AO503" s="80"/>
      <c r="AP503" s="80"/>
      <c r="AQ503" s="80"/>
      <c r="AR503" s="80"/>
      <c r="AS503" s="80"/>
      <c r="AT503" s="80"/>
      <c r="AU503" s="80"/>
      <c r="AV503" s="80"/>
      <c r="AW503" s="80"/>
      <c r="AX503" s="80"/>
      <c r="AY503" s="80"/>
      <c r="AZ503" s="80"/>
      <c r="BA503" s="80"/>
      <c r="BB503" s="80"/>
      <c r="BC503" s="80"/>
      <c r="BD503" s="80"/>
      <c r="BE503" s="80"/>
      <c r="BF503" s="80"/>
      <c r="BG503" s="80"/>
      <c r="BH503" s="80"/>
      <c r="BI503" s="80"/>
      <c r="BJ503" s="80"/>
      <c r="BK503" s="80"/>
      <c r="BL503" s="80"/>
      <c r="BM503" s="80"/>
      <c r="BN503" s="80"/>
      <c r="BO503" s="80"/>
    </row>
    <row r="504">
      <c r="A504" s="86"/>
      <c r="B504" s="87"/>
      <c r="C504" s="80"/>
      <c r="D504" s="80"/>
      <c r="E504" s="81"/>
      <c r="F504" s="80"/>
      <c r="G504" s="80"/>
      <c r="H504" s="80"/>
      <c r="I504" s="80"/>
      <c r="J504" s="80"/>
      <c r="K504" s="80"/>
      <c r="L504" s="80"/>
      <c r="M504" s="80"/>
      <c r="N504" s="80"/>
      <c r="O504" s="80"/>
      <c r="P504" s="80"/>
      <c r="Q504" s="80"/>
      <c r="R504" s="80"/>
      <c r="S504" s="80"/>
      <c r="T504" s="80"/>
      <c r="U504" s="80"/>
      <c r="V504" s="80"/>
      <c r="W504" s="80"/>
      <c r="X504" s="80"/>
      <c r="Y504" s="80"/>
      <c r="Z504" s="80"/>
      <c r="AA504" s="80"/>
      <c r="AB504" s="80"/>
      <c r="AC504" s="80"/>
      <c r="AD504" s="80"/>
      <c r="AE504" s="80"/>
      <c r="AF504" s="80"/>
      <c r="AG504" s="80"/>
      <c r="AH504" s="80"/>
      <c r="AI504" s="80"/>
      <c r="AJ504" s="80"/>
      <c r="AK504" s="80"/>
      <c r="AL504" s="80"/>
      <c r="AM504" s="80"/>
      <c r="AN504" s="80"/>
      <c r="AO504" s="80"/>
      <c r="AP504" s="80"/>
      <c r="AQ504" s="80"/>
      <c r="AR504" s="80"/>
      <c r="AS504" s="80"/>
      <c r="AT504" s="80"/>
      <c r="AU504" s="80"/>
      <c r="AV504" s="80"/>
      <c r="AW504" s="80"/>
      <c r="AX504" s="80"/>
      <c r="AY504" s="80"/>
      <c r="AZ504" s="80"/>
      <c r="BA504" s="80"/>
      <c r="BB504" s="80"/>
      <c r="BC504" s="80"/>
      <c r="BD504" s="80"/>
      <c r="BE504" s="80"/>
      <c r="BF504" s="80"/>
      <c r="BG504" s="80"/>
      <c r="BH504" s="80"/>
      <c r="BI504" s="80"/>
      <c r="BJ504" s="80"/>
      <c r="BK504" s="80"/>
      <c r="BL504" s="80"/>
      <c r="BM504" s="80"/>
      <c r="BN504" s="80"/>
      <c r="BO504" s="80"/>
    </row>
    <row r="505">
      <c r="A505" s="86"/>
      <c r="B505" s="87"/>
      <c r="C505" s="80"/>
      <c r="D505" s="80"/>
      <c r="E505" s="81"/>
      <c r="F505" s="80"/>
      <c r="G505" s="80"/>
      <c r="H505" s="80"/>
      <c r="I505" s="80"/>
      <c r="J505" s="80"/>
      <c r="K505" s="80"/>
      <c r="L505" s="80"/>
      <c r="M505" s="80"/>
      <c r="N505" s="80"/>
      <c r="O505" s="80"/>
      <c r="P505" s="80"/>
      <c r="Q505" s="80"/>
      <c r="R505" s="80"/>
      <c r="S505" s="80"/>
      <c r="T505" s="80"/>
      <c r="U505" s="80"/>
      <c r="V505" s="80"/>
      <c r="W505" s="80"/>
      <c r="X505" s="80"/>
      <c r="Y505" s="80"/>
      <c r="Z505" s="80"/>
      <c r="AA505" s="80"/>
      <c r="AB505" s="80"/>
      <c r="AC505" s="80"/>
      <c r="AD505" s="80"/>
      <c r="AE505" s="80"/>
      <c r="AF505" s="80"/>
      <c r="AG505" s="80"/>
      <c r="AH505" s="80"/>
      <c r="AI505" s="80"/>
      <c r="AJ505" s="80"/>
      <c r="AK505" s="80"/>
      <c r="AL505" s="80"/>
      <c r="AM505" s="80"/>
      <c r="AN505" s="80"/>
      <c r="AO505" s="80"/>
      <c r="AP505" s="80"/>
      <c r="AQ505" s="80"/>
      <c r="AR505" s="80"/>
      <c r="AS505" s="80"/>
      <c r="AT505" s="80"/>
      <c r="AU505" s="80"/>
      <c r="AV505" s="80"/>
      <c r="AW505" s="80"/>
      <c r="AX505" s="80"/>
      <c r="AY505" s="80"/>
      <c r="AZ505" s="80"/>
      <c r="BA505" s="80"/>
      <c r="BB505" s="80"/>
      <c r="BC505" s="80"/>
      <c r="BD505" s="80"/>
      <c r="BE505" s="80"/>
      <c r="BF505" s="80"/>
      <c r="BG505" s="80"/>
      <c r="BH505" s="80"/>
      <c r="BI505" s="80"/>
      <c r="BJ505" s="80"/>
      <c r="BK505" s="80"/>
      <c r="BL505" s="80"/>
      <c r="BM505" s="80"/>
      <c r="BN505" s="80"/>
      <c r="BO505" s="80"/>
    </row>
    <row r="506">
      <c r="A506" s="86"/>
      <c r="B506" s="87"/>
      <c r="C506" s="80"/>
      <c r="D506" s="80"/>
      <c r="E506" s="81"/>
      <c r="F506" s="80"/>
      <c r="G506" s="80"/>
      <c r="H506" s="80"/>
      <c r="I506" s="80"/>
      <c r="J506" s="80"/>
      <c r="K506" s="80"/>
      <c r="L506" s="80"/>
      <c r="M506" s="80"/>
      <c r="N506" s="80"/>
      <c r="O506" s="80"/>
      <c r="P506" s="80"/>
      <c r="Q506" s="80"/>
      <c r="R506" s="80"/>
      <c r="S506" s="80"/>
      <c r="T506" s="80"/>
      <c r="U506" s="80"/>
      <c r="V506" s="80"/>
      <c r="W506" s="80"/>
      <c r="X506" s="80"/>
      <c r="Y506" s="80"/>
      <c r="Z506" s="80"/>
      <c r="AA506" s="80"/>
      <c r="AB506" s="80"/>
      <c r="AC506" s="80"/>
      <c r="AD506" s="80"/>
      <c r="AE506" s="80"/>
      <c r="AF506" s="80"/>
      <c r="AG506" s="80"/>
      <c r="AH506" s="80"/>
      <c r="AI506" s="80"/>
      <c r="AJ506" s="80"/>
      <c r="AK506" s="80"/>
      <c r="AL506" s="80"/>
      <c r="AM506" s="80"/>
      <c r="AN506" s="80"/>
      <c r="AO506" s="80"/>
      <c r="AP506" s="80"/>
      <c r="AQ506" s="80"/>
      <c r="AR506" s="80"/>
      <c r="AS506" s="80"/>
      <c r="AT506" s="80"/>
      <c r="AU506" s="80"/>
      <c r="AV506" s="80"/>
      <c r="AW506" s="80"/>
      <c r="AX506" s="80"/>
      <c r="AY506" s="80"/>
      <c r="AZ506" s="80"/>
      <c r="BA506" s="80"/>
      <c r="BB506" s="80"/>
      <c r="BC506" s="80"/>
      <c r="BD506" s="80"/>
      <c r="BE506" s="80"/>
      <c r="BF506" s="80"/>
      <c r="BG506" s="80"/>
      <c r="BH506" s="80"/>
      <c r="BI506" s="80"/>
      <c r="BJ506" s="80"/>
      <c r="BK506" s="80"/>
      <c r="BL506" s="80"/>
      <c r="BM506" s="80"/>
      <c r="BN506" s="80"/>
      <c r="BO506" s="80"/>
    </row>
    <row r="507">
      <c r="A507" s="86"/>
      <c r="B507" s="87"/>
      <c r="C507" s="80"/>
      <c r="D507" s="80"/>
      <c r="E507" s="81"/>
      <c r="F507" s="80"/>
      <c r="G507" s="80"/>
      <c r="H507" s="80"/>
      <c r="I507" s="80"/>
      <c r="J507" s="80"/>
      <c r="K507" s="80"/>
      <c r="L507" s="80"/>
      <c r="M507" s="80"/>
      <c r="N507" s="80"/>
      <c r="O507" s="80"/>
      <c r="P507" s="80"/>
      <c r="Q507" s="80"/>
      <c r="R507" s="80"/>
      <c r="S507" s="80"/>
      <c r="T507" s="80"/>
      <c r="U507" s="80"/>
      <c r="V507" s="80"/>
      <c r="W507" s="80"/>
      <c r="X507" s="80"/>
      <c r="Y507" s="80"/>
      <c r="Z507" s="80"/>
      <c r="AA507" s="80"/>
      <c r="AB507" s="80"/>
      <c r="AC507" s="80"/>
      <c r="AD507" s="80"/>
      <c r="AE507" s="80"/>
      <c r="AF507" s="80"/>
      <c r="AG507" s="80"/>
      <c r="AH507" s="80"/>
      <c r="AI507" s="80"/>
      <c r="AJ507" s="80"/>
      <c r="AK507" s="80"/>
      <c r="AL507" s="80"/>
      <c r="AM507" s="80"/>
      <c r="AN507" s="80"/>
      <c r="AO507" s="80"/>
      <c r="AP507" s="80"/>
      <c r="AQ507" s="80"/>
      <c r="AR507" s="80"/>
      <c r="AS507" s="80"/>
      <c r="AT507" s="80"/>
      <c r="AU507" s="80"/>
      <c r="AV507" s="80"/>
      <c r="AW507" s="80"/>
      <c r="AX507" s="80"/>
      <c r="AY507" s="80"/>
      <c r="AZ507" s="80"/>
      <c r="BA507" s="80"/>
      <c r="BB507" s="80"/>
      <c r="BC507" s="80"/>
      <c r="BD507" s="80"/>
      <c r="BE507" s="80"/>
      <c r="BF507" s="80"/>
      <c r="BG507" s="80"/>
      <c r="BH507" s="80"/>
      <c r="BI507" s="80"/>
      <c r="BJ507" s="80"/>
      <c r="BK507" s="80"/>
      <c r="BL507" s="80"/>
      <c r="BM507" s="80"/>
      <c r="BN507" s="80"/>
      <c r="BO507" s="80"/>
    </row>
    <row r="508">
      <c r="A508" s="86"/>
      <c r="B508" s="87"/>
      <c r="C508" s="80"/>
      <c r="D508" s="80"/>
      <c r="E508" s="81"/>
      <c r="F508" s="80"/>
      <c r="G508" s="80"/>
      <c r="H508" s="80"/>
      <c r="I508" s="80"/>
      <c r="J508" s="80"/>
      <c r="K508" s="80"/>
      <c r="L508" s="80"/>
      <c r="M508" s="80"/>
      <c r="N508" s="80"/>
      <c r="O508" s="80"/>
      <c r="P508" s="80"/>
      <c r="Q508" s="80"/>
      <c r="R508" s="80"/>
      <c r="S508" s="80"/>
      <c r="T508" s="80"/>
      <c r="U508" s="80"/>
      <c r="V508" s="80"/>
      <c r="W508" s="80"/>
      <c r="X508" s="80"/>
      <c r="Y508" s="80"/>
      <c r="Z508" s="80"/>
      <c r="AA508" s="80"/>
      <c r="AB508" s="80"/>
      <c r="AC508" s="80"/>
      <c r="AD508" s="80"/>
      <c r="AE508" s="80"/>
      <c r="AF508" s="80"/>
      <c r="AG508" s="80"/>
      <c r="AH508" s="80"/>
      <c r="AI508" s="80"/>
      <c r="AJ508" s="80"/>
      <c r="AK508" s="80"/>
      <c r="AL508" s="80"/>
      <c r="AM508" s="80"/>
      <c r="AN508" s="80"/>
      <c r="AO508" s="80"/>
      <c r="AP508" s="80"/>
      <c r="AQ508" s="80"/>
      <c r="AR508" s="80"/>
      <c r="AS508" s="80"/>
      <c r="AT508" s="80"/>
      <c r="AU508" s="80"/>
      <c r="AV508" s="80"/>
      <c r="AW508" s="80"/>
      <c r="AX508" s="80"/>
      <c r="AY508" s="80"/>
      <c r="AZ508" s="80"/>
      <c r="BA508" s="80"/>
      <c r="BB508" s="80"/>
      <c r="BC508" s="80"/>
      <c r="BD508" s="80"/>
      <c r="BE508" s="80"/>
      <c r="BF508" s="80"/>
      <c r="BG508" s="80"/>
      <c r="BH508" s="80"/>
      <c r="BI508" s="80"/>
      <c r="BJ508" s="80"/>
      <c r="BK508" s="80"/>
      <c r="BL508" s="80"/>
      <c r="BM508" s="80"/>
      <c r="BN508" s="80"/>
      <c r="BO508" s="80"/>
    </row>
    <row r="509">
      <c r="A509" s="86"/>
      <c r="B509" s="87"/>
      <c r="C509" s="80"/>
      <c r="D509" s="80"/>
      <c r="E509" s="81"/>
      <c r="F509" s="80"/>
      <c r="G509" s="80"/>
      <c r="H509" s="80"/>
      <c r="I509" s="80"/>
      <c r="J509" s="80"/>
      <c r="K509" s="80"/>
      <c r="L509" s="80"/>
      <c r="M509" s="80"/>
      <c r="N509" s="80"/>
      <c r="O509" s="80"/>
      <c r="P509" s="80"/>
      <c r="Q509" s="80"/>
      <c r="R509" s="80"/>
      <c r="S509" s="80"/>
      <c r="T509" s="80"/>
      <c r="U509" s="80"/>
      <c r="V509" s="80"/>
      <c r="W509" s="80"/>
      <c r="X509" s="80"/>
      <c r="Y509" s="80"/>
      <c r="Z509" s="80"/>
      <c r="AA509" s="80"/>
      <c r="AB509" s="80"/>
      <c r="AC509" s="80"/>
      <c r="AD509" s="80"/>
      <c r="AE509" s="80"/>
      <c r="AF509" s="80"/>
      <c r="AG509" s="80"/>
      <c r="AH509" s="80"/>
      <c r="AI509" s="80"/>
      <c r="AJ509" s="80"/>
      <c r="AK509" s="80"/>
      <c r="AL509" s="80"/>
      <c r="AM509" s="80"/>
      <c r="AN509" s="80"/>
      <c r="AO509" s="80"/>
      <c r="AP509" s="80"/>
      <c r="AQ509" s="80"/>
      <c r="AR509" s="80"/>
      <c r="AS509" s="80"/>
      <c r="AT509" s="80"/>
      <c r="AU509" s="80"/>
      <c r="AV509" s="80"/>
      <c r="AW509" s="80"/>
      <c r="AX509" s="80"/>
      <c r="AY509" s="80"/>
      <c r="AZ509" s="80"/>
      <c r="BA509" s="80"/>
      <c r="BB509" s="80"/>
      <c r="BC509" s="80"/>
      <c r="BD509" s="80"/>
      <c r="BE509" s="80"/>
      <c r="BF509" s="80"/>
      <c r="BG509" s="80"/>
      <c r="BH509" s="80"/>
      <c r="BI509" s="80"/>
      <c r="BJ509" s="80"/>
      <c r="BK509" s="80"/>
      <c r="BL509" s="80"/>
      <c r="BM509" s="80"/>
      <c r="BN509" s="80"/>
      <c r="BO509" s="80"/>
    </row>
    <row r="510">
      <c r="A510" s="86"/>
      <c r="B510" s="87"/>
      <c r="C510" s="80"/>
      <c r="D510" s="80"/>
      <c r="E510" s="81"/>
      <c r="F510" s="80"/>
      <c r="G510" s="80"/>
      <c r="H510" s="80"/>
      <c r="I510" s="80"/>
      <c r="J510" s="80"/>
      <c r="K510" s="80"/>
      <c r="L510" s="80"/>
      <c r="M510" s="80"/>
      <c r="N510" s="80"/>
      <c r="O510" s="80"/>
      <c r="P510" s="80"/>
      <c r="Q510" s="80"/>
      <c r="R510" s="80"/>
      <c r="S510" s="80"/>
      <c r="T510" s="80"/>
      <c r="U510" s="80"/>
      <c r="V510" s="80"/>
      <c r="W510" s="80"/>
      <c r="X510" s="80"/>
      <c r="Y510" s="80"/>
      <c r="Z510" s="80"/>
      <c r="AA510" s="80"/>
      <c r="AB510" s="80"/>
      <c r="AC510" s="80"/>
      <c r="AD510" s="80"/>
      <c r="AE510" s="80"/>
      <c r="AF510" s="80"/>
      <c r="AG510" s="80"/>
      <c r="AH510" s="80"/>
      <c r="AI510" s="80"/>
      <c r="AJ510" s="80"/>
      <c r="AK510" s="80"/>
      <c r="AL510" s="80"/>
      <c r="AM510" s="80"/>
      <c r="AN510" s="80"/>
      <c r="AO510" s="80"/>
      <c r="AP510" s="80"/>
      <c r="AQ510" s="80"/>
      <c r="AR510" s="80"/>
      <c r="AS510" s="80"/>
      <c r="AT510" s="80"/>
      <c r="AU510" s="80"/>
      <c r="AV510" s="80"/>
      <c r="AW510" s="80"/>
      <c r="AX510" s="80"/>
      <c r="AY510" s="80"/>
      <c r="AZ510" s="80"/>
      <c r="BA510" s="80"/>
      <c r="BB510" s="80"/>
      <c r="BC510" s="80"/>
      <c r="BD510" s="80"/>
      <c r="BE510" s="80"/>
      <c r="BF510" s="80"/>
      <c r="BG510" s="80"/>
      <c r="BH510" s="80"/>
      <c r="BI510" s="80"/>
      <c r="BJ510" s="80"/>
      <c r="BK510" s="80"/>
      <c r="BL510" s="80"/>
      <c r="BM510" s="80"/>
      <c r="BN510" s="80"/>
      <c r="BO510" s="80"/>
    </row>
    <row r="511">
      <c r="A511" s="86"/>
      <c r="B511" s="87"/>
      <c r="C511" s="80"/>
      <c r="D511" s="80"/>
      <c r="E511" s="81"/>
      <c r="F511" s="80"/>
      <c r="G511" s="80"/>
      <c r="H511" s="80"/>
      <c r="I511" s="80"/>
      <c r="J511" s="80"/>
      <c r="K511" s="80"/>
      <c r="L511" s="80"/>
      <c r="M511" s="80"/>
      <c r="N511" s="80"/>
      <c r="O511" s="80"/>
      <c r="P511" s="80"/>
      <c r="Q511" s="80"/>
      <c r="R511" s="80"/>
      <c r="S511" s="80"/>
      <c r="T511" s="80"/>
      <c r="U511" s="80"/>
      <c r="V511" s="80"/>
      <c r="W511" s="80"/>
      <c r="X511" s="80"/>
      <c r="Y511" s="80"/>
      <c r="Z511" s="80"/>
      <c r="AA511" s="80"/>
      <c r="AB511" s="80"/>
      <c r="AC511" s="80"/>
      <c r="AD511" s="80"/>
      <c r="AE511" s="80"/>
      <c r="AF511" s="80"/>
      <c r="AG511" s="80"/>
      <c r="AH511" s="80"/>
      <c r="AI511" s="80"/>
      <c r="AJ511" s="80"/>
      <c r="AK511" s="80"/>
      <c r="AL511" s="80"/>
      <c r="AM511" s="80"/>
      <c r="AN511" s="80"/>
      <c r="AO511" s="80"/>
      <c r="AP511" s="80"/>
      <c r="AQ511" s="80"/>
      <c r="AR511" s="80"/>
      <c r="AS511" s="80"/>
      <c r="AT511" s="80"/>
      <c r="AU511" s="80"/>
      <c r="AV511" s="80"/>
      <c r="AW511" s="80"/>
      <c r="AX511" s="80"/>
      <c r="AY511" s="80"/>
      <c r="AZ511" s="80"/>
      <c r="BA511" s="80"/>
      <c r="BB511" s="80"/>
      <c r="BC511" s="80"/>
      <c r="BD511" s="80"/>
      <c r="BE511" s="80"/>
      <c r="BF511" s="80"/>
      <c r="BG511" s="80"/>
      <c r="BH511" s="80"/>
      <c r="BI511" s="80"/>
      <c r="BJ511" s="80"/>
      <c r="BK511" s="80"/>
      <c r="BL511" s="80"/>
      <c r="BM511" s="80"/>
      <c r="BN511" s="80"/>
      <c r="BO511" s="80"/>
    </row>
    <row r="512">
      <c r="A512" s="86"/>
      <c r="B512" s="87"/>
      <c r="C512" s="80"/>
      <c r="D512" s="80"/>
      <c r="E512" s="81"/>
      <c r="F512" s="80"/>
      <c r="G512" s="80"/>
      <c r="H512" s="80"/>
      <c r="I512" s="80"/>
      <c r="J512" s="80"/>
      <c r="K512" s="80"/>
      <c r="L512" s="80"/>
      <c r="M512" s="80"/>
      <c r="N512" s="80"/>
      <c r="O512" s="80"/>
      <c r="P512" s="80"/>
      <c r="Q512" s="80"/>
      <c r="R512" s="80"/>
      <c r="S512" s="80"/>
      <c r="T512" s="80"/>
      <c r="U512" s="80"/>
      <c r="V512" s="80"/>
      <c r="W512" s="80"/>
      <c r="X512" s="80"/>
      <c r="Y512" s="80"/>
      <c r="Z512" s="80"/>
      <c r="AA512" s="80"/>
      <c r="AB512" s="80"/>
      <c r="AC512" s="80"/>
      <c r="AD512" s="80"/>
      <c r="AE512" s="80"/>
      <c r="AF512" s="80"/>
      <c r="AG512" s="80"/>
      <c r="AH512" s="80"/>
      <c r="AI512" s="80"/>
      <c r="AJ512" s="80"/>
      <c r="AK512" s="80"/>
      <c r="AL512" s="80"/>
      <c r="AM512" s="80"/>
      <c r="AN512" s="80"/>
      <c r="AO512" s="80"/>
      <c r="AP512" s="80"/>
      <c r="AQ512" s="80"/>
      <c r="AR512" s="80"/>
      <c r="AS512" s="80"/>
      <c r="AT512" s="80"/>
      <c r="AU512" s="80"/>
      <c r="AV512" s="80"/>
      <c r="AW512" s="80"/>
      <c r="AX512" s="80"/>
      <c r="AY512" s="80"/>
      <c r="AZ512" s="80"/>
      <c r="BA512" s="80"/>
      <c r="BB512" s="80"/>
      <c r="BC512" s="80"/>
      <c r="BD512" s="80"/>
      <c r="BE512" s="80"/>
      <c r="BF512" s="80"/>
      <c r="BG512" s="80"/>
      <c r="BH512" s="80"/>
      <c r="BI512" s="80"/>
      <c r="BJ512" s="80"/>
      <c r="BK512" s="80"/>
      <c r="BL512" s="80"/>
      <c r="BM512" s="80"/>
      <c r="BN512" s="80"/>
      <c r="BO512" s="80"/>
    </row>
    <row r="513">
      <c r="A513" s="86"/>
      <c r="B513" s="87"/>
      <c r="C513" s="80"/>
      <c r="D513" s="80"/>
      <c r="E513" s="81"/>
      <c r="F513" s="80"/>
      <c r="G513" s="80"/>
      <c r="H513" s="80"/>
      <c r="I513" s="80"/>
      <c r="J513" s="80"/>
      <c r="K513" s="80"/>
      <c r="L513" s="80"/>
      <c r="M513" s="80"/>
      <c r="N513" s="80"/>
      <c r="O513" s="80"/>
      <c r="P513" s="80"/>
      <c r="Q513" s="80"/>
      <c r="R513" s="80"/>
      <c r="S513" s="80"/>
      <c r="T513" s="80"/>
      <c r="U513" s="80"/>
      <c r="V513" s="80"/>
      <c r="W513" s="80"/>
      <c r="X513" s="80"/>
      <c r="Y513" s="80"/>
      <c r="Z513" s="80"/>
      <c r="AA513" s="80"/>
      <c r="AB513" s="80"/>
      <c r="AC513" s="80"/>
      <c r="AD513" s="80"/>
      <c r="AE513" s="80"/>
      <c r="AF513" s="80"/>
      <c r="AG513" s="80"/>
      <c r="AH513" s="80"/>
      <c r="AI513" s="80"/>
      <c r="AJ513" s="80"/>
      <c r="AK513" s="80"/>
      <c r="AL513" s="80"/>
      <c r="AM513" s="80"/>
      <c r="AN513" s="80"/>
      <c r="AO513" s="80"/>
      <c r="AP513" s="80"/>
      <c r="AQ513" s="80"/>
      <c r="AR513" s="80"/>
      <c r="AS513" s="80"/>
      <c r="AT513" s="80"/>
      <c r="AU513" s="80"/>
      <c r="AV513" s="80"/>
      <c r="AW513" s="80"/>
      <c r="AX513" s="80"/>
      <c r="AY513" s="80"/>
      <c r="AZ513" s="80"/>
      <c r="BA513" s="80"/>
      <c r="BB513" s="80"/>
      <c r="BC513" s="80"/>
      <c r="BD513" s="80"/>
      <c r="BE513" s="80"/>
      <c r="BF513" s="80"/>
      <c r="BG513" s="80"/>
      <c r="BH513" s="80"/>
      <c r="BI513" s="80"/>
      <c r="BJ513" s="80"/>
      <c r="BK513" s="80"/>
      <c r="BL513" s="80"/>
      <c r="BM513" s="80"/>
      <c r="BN513" s="80"/>
      <c r="BO513" s="80"/>
    </row>
    <row r="514">
      <c r="A514" s="86"/>
      <c r="B514" s="87"/>
      <c r="C514" s="80"/>
      <c r="D514" s="80"/>
      <c r="E514" s="81"/>
      <c r="F514" s="80"/>
      <c r="G514" s="80"/>
      <c r="H514" s="80"/>
      <c r="I514" s="80"/>
      <c r="J514" s="80"/>
      <c r="K514" s="80"/>
      <c r="L514" s="80"/>
      <c r="M514" s="80"/>
      <c r="N514" s="80"/>
      <c r="O514" s="80"/>
      <c r="P514" s="80"/>
      <c r="Q514" s="80"/>
      <c r="R514" s="80"/>
      <c r="S514" s="80"/>
      <c r="T514" s="80"/>
      <c r="U514" s="80"/>
      <c r="V514" s="80"/>
      <c r="W514" s="80"/>
      <c r="X514" s="80"/>
      <c r="Y514" s="80"/>
      <c r="Z514" s="80"/>
      <c r="AA514" s="80"/>
      <c r="AB514" s="80"/>
      <c r="AC514" s="80"/>
      <c r="AD514" s="80"/>
      <c r="AE514" s="80"/>
      <c r="AF514" s="80"/>
      <c r="AG514" s="80"/>
      <c r="AH514" s="80"/>
      <c r="AI514" s="80"/>
      <c r="AJ514" s="80"/>
      <c r="AK514" s="80"/>
      <c r="AL514" s="80"/>
      <c r="AM514" s="80"/>
      <c r="AN514" s="80"/>
      <c r="AO514" s="80"/>
      <c r="AP514" s="80"/>
      <c r="AQ514" s="80"/>
      <c r="AR514" s="80"/>
      <c r="AS514" s="80"/>
      <c r="AT514" s="80"/>
      <c r="AU514" s="80"/>
      <c r="AV514" s="80"/>
      <c r="AW514" s="80"/>
      <c r="AX514" s="80"/>
      <c r="AY514" s="80"/>
      <c r="AZ514" s="80"/>
      <c r="BA514" s="80"/>
      <c r="BB514" s="80"/>
      <c r="BC514" s="80"/>
      <c r="BD514" s="80"/>
      <c r="BE514" s="80"/>
      <c r="BF514" s="80"/>
      <c r="BG514" s="80"/>
      <c r="BH514" s="80"/>
      <c r="BI514" s="80"/>
      <c r="BJ514" s="80"/>
      <c r="BK514" s="80"/>
      <c r="BL514" s="80"/>
      <c r="BM514" s="80"/>
      <c r="BN514" s="80"/>
      <c r="BO514" s="80"/>
    </row>
    <row r="515">
      <c r="A515" s="86"/>
      <c r="B515" s="87"/>
      <c r="C515" s="80"/>
      <c r="D515" s="80"/>
      <c r="E515" s="81"/>
      <c r="F515" s="80"/>
      <c r="G515" s="80"/>
      <c r="H515" s="80"/>
      <c r="I515" s="80"/>
      <c r="J515" s="80"/>
      <c r="K515" s="80"/>
      <c r="L515" s="80"/>
      <c r="M515" s="80"/>
      <c r="N515" s="80"/>
      <c r="O515" s="80"/>
      <c r="P515" s="80"/>
      <c r="Q515" s="80"/>
      <c r="R515" s="80"/>
      <c r="S515" s="80"/>
      <c r="T515" s="80"/>
      <c r="U515" s="80"/>
      <c r="V515" s="80"/>
      <c r="W515" s="80"/>
      <c r="X515" s="80"/>
      <c r="Y515" s="80"/>
      <c r="Z515" s="80"/>
      <c r="AA515" s="80"/>
      <c r="AB515" s="80"/>
      <c r="AC515" s="80"/>
      <c r="AD515" s="80"/>
      <c r="AE515" s="80"/>
      <c r="AF515" s="80"/>
      <c r="AG515" s="80"/>
      <c r="AH515" s="80"/>
      <c r="AI515" s="80"/>
      <c r="AJ515" s="80"/>
      <c r="AK515" s="80"/>
      <c r="AL515" s="80"/>
      <c r="AM515" s="80"/>
      <c r="AN515" s="80"/>
      <c r="AO515" s="80"/>
      <c r="AP515" s="80"/>
      <c r="AQ515" s="80"/>
      <c r="AR515" s="80"/>
      <c r="AS515" s="80"/>
      <c r="AT515" s="80"/>
      <c r="AU515" s="80"/>
      <c r="AV515" s="80"/>
      <c r="AW515" s="80"/>
      <c r="AX515" s="80"/>
      <c r="AY515" s="80"/>
      <c r="AZ515" s="80"/>
      <c r="BA515" s="80"/>
      <c r="BB515" s="80"/>
      <c r="BC515" s="80"/>
      <c r="BD515" s="80"/>
      <c r="BE515" s="80"/>
      <c r="BF515" s="80"/>
      <c r="BG515" s="80"/>
      <c r="BH515" s="80"/>
      <c r="BI515" s="80"/>
      <c r="BJ515" s="80"/>
      <c r="BK515" s="80"/>
      <c r="BL515" s="80"/>
      <c r="BM515" s="80"/>
      <c r="BN515" s="80"/>
      <c r="BO515" s="80"/>
    </row>
    <row r="516">
      <c r="A516" s="86"/>
      <c r="B516" s="87"/>
      <c r="C516" s="80"/>
      <c r="D516" s="80"/>
      <c r="E516" s="81"/>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80"/>
      <c r="AQ516" s="80"/>
      <c r="AR516" s="80"/>
      <c r="AS516" s="80"/>
      <c r="AT516" s="80"/>
      <c r="AU516" s="80"/>
      <c r="AV516" s="80"/>
      <c r="AW516" s="80"/>
      <c r="AX516" s="80"/>
      <c r="AY516" s="80"/>
      <c r="AZ516" s="80"/>
      <c r="BA516" s="80"/>
      <c r="BB516" s="80"/>
      <c r="BC516" s="80"/>
      <c r="BD516" s="80"/>
      <c r="BE516" s="80"/>
      <c r="BF516" s="80"/>
      <c r="BG516" s="80"/>
      <c r="BH516" s="80"/>
      <c r="BI516" s="80"/>
      <c r="BJ516" s="80"/>
      <c r="BK516" s="80"/>
      <c r="BL516" s="80"/>
      <c r="BM516" s="80"/>
      <c r="BN516" s="80"/>
      <c r="BO516" s="80"/>
    </row>
    <row r="517">
      <c r="A517" s="86"/>
      <c r="B517" s="87"/>
      <c r="C517" s="80"/>
      <c r="D517" s="80"/>
      <c r="E517" s="81"/>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80"/>
      <c r="AQ517" s="80"/>
      <c r="AR517" s="80"/>
      <c r="AS517" s="80"/>
      <c r="AT517" s="80"/>
      <c r="AU517" s="80"/>
      <c r="AV517" s="80"/>
      <c r="AW517" s="80"/>
      <c r="AX517" s="80"/>
      <c r="AY517" s="80"/>
      <c r="AZ517" s="80"/>
      <c r="BA517" s="80"/>
      <c r="BB517" s="80"/>
      <c r="BC517" s="80"/>
      <c r="BD517" s="80"/>
      <c r="BE517" s="80"/>
      <c r="BF517" s="80"/>
      <c r="BG517" s="80"/>
      <c r="BH517" s="80"/>
      <c r="BI517" s="80"/>
      <c r="BJ517" s="80"/>
      <c r="BK517" s="80"/>
      <c r="BL517" s="80"/>
      <c r="BM517" s="80"/>
      <c r="BN517" s="80"/>
      <c r="BO517" s="80"/>
    </row>
    <row r="518">
      <c r="A518" s="86"/>
      <c r="B518" s="87"/>
      <c r="C518" s="80"/>
      <c r="D518" s="80"/>
      <c r="E518" s="81"/>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80"/>
      <c r="AQ518" s="80"/>
      <c r="AR518" s="80"/>
      <c r="AS518" s="80"/>
      <c r="AT518" s="80"/>
      <c r="AU518" s="80"/>
      <c r="AV518" s="80"/>
      <c r="AW518" s="80"/>
      <c r="AX518" s="80"/>
      <c r="AY518" s="80"/>
      <c r="AZ518" s="80"/>
      <c r="BA518" s="80"/>
      <c r="BB518" s="80"/>
      <c r="BC518" s="80"/>
      <c r="BD518" s="80"/>
      <c r="BE518" s="80"/>
      <c r="BF518" s="80"/>
      <c r="BG518" s="80"/>
      <c r="BH518" s="80"/>
      <c r="BI518" s="80"/>
      <c r="BJ518" s="80"/>
      <c r="BK518" s="80"/>
      <c r="BL518" s="80"/>
      <c r="BM518" s="80"/>
      <c r="BN518" s="80"/>
      <c r="BO518" s="80"/>
    </row>
    <row r="519">
      <c r="A519" s="86"/>
      <c r="B519" s="87"/>
      <c r="C519" s="80"/>
      <c r="D519" s="80"/>
      <c r="E519" s="81"/>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80"/>
      <c r="AQ519" s="80"/>
      <c r="AR519" s="80"/>
      <c r="AS519" s="80"/>
      <c r="AT519" s="80"/>
      <c r="AU519" s="80"/>
      <c r="AV519" s="80"/>
      <c r="AW519" s="80"/>
      <c r="AX519" s="80"/>
      <c r="AY519" s="80"/>
      <c r="AZ519" s="80"/>
      <c r="BA519" s="80"/>
      <c r="BB519" s="80"/>
      <c r="BC519" s="80"/>
      <c r="BD519" s="80"/>
      <c r="BE519" s="80"/>
      <c r="BF519" s="80"/>
      <c r="BG519" s="80"/>
      <c r="BH519" s="80"/>
      <c r="BI519" s="80"/>
      <c r="BJ519" s="80"/>
      <c r="BK519" s="80"/>
      <c r="BL519" s="80"/>
      <c r="BM519" s="80"/>
      <c r="BN519" s="80"/>
      <c r="BO519" s="80"/>
    </row>
    <row r="520">
      <c r="A520" s="86"/>
      <c r="B520" s="87"/>
      <c r="C520" s="80"/>
      <c r="D520" s="80"/>
      <c r="E520" s="81"/>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80"/>
      <c r="AQ520" s="80"/>
      <c r="AR520" s="80"/>
      <c r="AS520" s="80"/>
      <c r="AT520" s="80"/>
      <c r="AU520" s="80"/>
      <c r="AV520" s="80"/>
      <c r="AW520" s="80"/>
      <c r="AX520" s="80"/>
      <c r="AY520" s="80"/>
      <c r="AZ520" s="80"/>
      <c r="BA520" s="80"/>
      <c r="BB520" s="80"/>
      <c r="BC520" s="80"/>
      <c r="BD520" s="80"/>
      <c r="BE520" s="80"/>
      <c r="BF520" s="80"/>
      <c r="BG520" s="80"/>
      <c r="BH520" s="80"/>
      <c r="BI520" s="80"/>
      <c r="BJ520" s="80"/>
      <c r="BK520" s="80"/>
      <c r="BL520" s="80"/>
      <c r="BM520" s="80"/>
      <c r="BN520" s="80"/>
      <c r="BO520" s="80"/>
    </row>
    <row r="521">
      <c r="A521" s="86"/>
      <c r="B521" s="87"/>
      <c r="C521" s="80"/>
      <c r="D521" s="80"/>
      <c r="E521" s="81"/>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80"/>
      <c r="AQ521" s="80"/>
      <c r="AR521" s="80"/>
      <c r="AS521" s="80"/>
      <c r="AT521" s="80"/>
      <c r="AU521" s="80"/>
      <c r="AV521" s="80"/>
      <c r="AW521" s="80"/>
      <c r="AX521" s="80"/>
      <c r="AY521" s="80"/>
      <c r="AZ521" s="80"/>
      <c r="BA521" s="80"/>
      <c r="BB521" s="80"/>
      <c r="BC521" s="80"/>
      <c r="BD521" s="80"/>
      <c r="BE521" s="80"/>
      <c r="BF521" s="80"/>
      <c r="BG521" s="80"/>
      <c r="BH521" s="80"/>
      <c r="BI521" s="80"/>
      <c r="BJ521" s="80"/>
      <c r="BK521" s="80"/>
      <c r="BL521" s="80"/>
      <c r="BM521" s="80"/>
      <c r="BN521" s="80"/>
      <c r="BO521" s="80"/>
    </row>
    <row r="522">
      <c r="A522" s="86"/>
      <c r="B522" s="87"/>
      <c r="C522" s="80"/>
      <c r="D522" s="80"/>
      <c r="E522" s="81"/>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80"/>
      <c r="AQ522" s="80"/>
      <c r="AR522" s="80"/>
      <c r="AS522" s="80"/>
      <c r="AT522" s="80"/>
      <c r="AU522" s="80"/>
      <c r="AV522" s="80"/>
      <c r="AW522" s="80"/>
      <c r="AX522" s="80"/>
      <c r="AY522" s="80"/>
      <c r="AZ522" s="80"/>
      <c r="BA522" s="80"/>
      <c r="BB522" s="80"/>
      <c r="BC522" s="80"/>
      <c r="BD522" s="80"/>
      <c r="BE522" s="80"/>
      <c r="BF522" s="80"/>
      <c r="BG522" s="80"/>
      <c r="BH522" s="80"/>
      <c r="BI522" s="80"/>
      <c r="BJ522" s="80"/>
      <c r="BK522" s="80"/>
      <c r="BL522" s="80"/>
      <c r="BM522" s="80"/>
      <c r="BN522" s="80"/>
      <c r="BO522" s="80"/>
    </row>
    <row r="523">
      <c r="A523" s="86"/>
      <c r="B523" s="87"/>
      <c r="C523" s="80"/>
      <c r="D523" s="80"/>
      <c r="E523" s="81"/>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80"/>
      <c r="AQ523" s="80"/>
      <c r="AR523" s="80"/>
      <c r="AS523" s="80"/>
      <c r="AT523" s="80"/>
      <c r="AU523" s="80"/>
      <c r="AV523" s="80"/>
      <c r="AW523" s="80"/>
      <c r="AX523" s="80"/>
      <c r="AY523" s="80"/>
      <c r="AZ523" s="80"/>
      <c r="BA523" s="80"/>
      <c r="BB523" s="80"/>
      <c r="BC523" s="80"/>
      <c r="BD523" s="80"/>
      <c r="BE523" s="80"/>
      <c r="BF523" s="80"/>
      <c r="BG523" s="80"/>
      <c r="BH523" s="80"/>
      <c r="BI523" s="80"/>
      <c r="BJ523" s="80"/>
      <c r="BK523" s="80"/>
      <c r="BL523" s="80"/>
      <c r="BM523" s="80"/>
      <c r="BN523" s="80"/>
      <c r="BO523" s="80"/>
    </row>
    <row r="524">
      <c r="A524" s="86"/>
      <c r="B524" s="87"/>
      <c r="C524" s="80"/>
      <c r="D524" s="80"/>
      <c r="E524" s="81"/>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80"/>
      <c r="AQ524" s="80"/>
      <c r="AR524" s="80"/>
      <c r="AS524" s="80"/>
      <c r="AT524" s="80"/>
      <c r="AU524" s="80"/>
      <c r="AV524" s="80"/>
      <c r="AW524" s="80"/>
      <c r="AX524" s="80"/>
      <c r="AY524" s="80"/>
      <c r="AZ524" s="80"/>
      <c r="BA524" s="80"/>
      <c r="BB524" s="80"/>
      <c r="BC524" s="80"/>
      <c r="BD524" s="80"/>
      <c r="BE524" s="80"/>
      <c r="BF524" s="80"/>
      <c r="BG524" s="80"/>
      <c r="BH524" s="80"/>
      <c r="BI524" s="80"/>
      <c r="BJ524" s="80"/>
      <c r="BK524" s="80"/>
      <c r="BL524" s="80"/>
      <c r="BM524" s="80"/>
      <c r="BN524" s="80"/>
      <c r="BO524" s="80"/>
    </row>
    <row r="525">
      <c r="A525" s="86"/>
      <c r="B525" s="87"/>
      <c r="C525" s="80"/>
      <c r="D525" s="80"/>
      <c r="E525" s="81"/>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80"/>
      <c r="AQ525" s="80"/>
      <c r="AR525" s="80"/>
      <c r="AS525" s="80"/>
      <c r="AT525" s="80"/>
      <c r="AU525" s="80"/>
      <c r="AV525" s="80"/>
      <c r="AW525" s="80"/>
      <c r="AX525" s="80"/>
      <c r="AY525" s="80"/>
      <c r="AZ525" s="80"/>
      <c r="BA525" s="80"/>
      <c r="BB525" s="80"/>
      <c r="BC525" s="80"/>
      <c r="BD525" s="80"/>
      <c r="BE525" s="80"/>
      <c r="BF525" s="80"/>
      <c r="BG525" s="80"/>
      <c r="BH525" s="80"/>
      <c r="BI525" s="80"/>
      <c r="BJ525" s="80"/>
      <c r="BK525" s="80"/>
      <c r="BL525" s="80"/>
      <c r="BM525" s="80"/>
      <c r="BN525" s="80"/>
      <c r="BO525" s="80"/>
    </row>
    <row r="526">
      <c r="A526" s="86"/>
      <c r="B526" s="87"/>
      <c r="C526" s="80"/>
      <c r="D526" s="80"/>
      <c r="E526" s="81"/>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80"/>
      <c r="AQ526" s="80"/>
      <c r="AR526" s="80"/>
      <c r="AS526" s="80"/>
      <c r="AT526" s="80"/>
      <c r="AU526" s="80"/>
      <c r="AV526" s="80"/>
      <c r="AW526" s="80"/>
      <c r="AX526" s="80"/>
      <c r="AY526" s="80"/>
      <c r="AZ526" s="80"/>
      <c r="BA526" s="80"/>
      <c r="BB526" s="80"/>
      <c r="BC526" s="80"/>
      <c r="BD526" s="80"/>
      <c r="BE526" s="80"/>
      <c r="BF526" s="80"/>
      <c r="BG526" s="80"/>
      <c r="BH526" s="80"/>
      <c r="BI526" s="80"/>
      <c r="BJ526" s="80"/>
      <c r="BK526" s="80"/>
      <c r="BL526" s="80"/>
      <c r="BM526" s="80"/>
      <c r="BN526" s="80"/>
      <c r="BO526" s="80"/>
    </row>
    <row r="527">
      <c r="A527" s="86"/>
      <c r="B527" s="87"/>
      <c r="C527" s="80"/>
      <c r="D527" s="80"/>
      <c r="E527" s="81"/>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80"/>
      <c r="AQ527" s="80"/>
      <c r="AR527" s="80"/>
      <c r="AS527" s="80"/>
      <c r="AT527" s="80"/>
      <c r="AU527" s="80"/>
      <c r="AV527" s="80"/>
      <c r="AW527" s="80"/>
      <c r="AX527" s="80"/>
      <c r="AY527" s="80"/>
      <c r="AZ527" s="80"/>
      <c r="BA527" s="80"/>
      <c r="BB527" s="80"/>
      <c r="BC527" s="80"/>
      <c r="BD527" s="80"/>
      <c r="BE527" s="80"/>
      <c r="BF527" s="80"/>
      <c r="BG527" s="80"/>
      <c r="BH527" s="80"/>
      <c r="BI527" s="80"/>
      <c r="BJ527" s="80"/>
      <c r="BK527" s="80"/>
      <c r="BL527" s="80"/>
      <c r="BM527" s="80"/>
      <c r="BN527" s="80"/>
      <c r="BO527" s="80"/>
    </row>
    <row r="528">
      <c r="A528" s="86"/>
      <c r="B528" s="87"/>
      <c r="C528" s="80"/>
      <c r="D528" s="80"/>
      <c r="E528" s="81"/>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80"/>
      <c r="AQ528" s="80"/>
      <c r="AR528" s="80"/>
      <c r="AS528" s="80"/>
      <c r="AT528" s="80"/>
      <c r="AU528" s="80"/>
      <c r="AV528" s="80"/>
      <c r="AW528" s="80"/>
      <c r="AX528" s="80"/>
      <c r="AY528" s="80"/>
      <c r="AZ528" s="80"/>
      <c r="BA528" s="80"/>
      <c r="BB528" s="80"/>
      <c r="BC528" s="80"/>
      <c r="BD528" s="80"/>
      <c r="BE528" s="80"/>
      <c r="BF528" s="80"/>
      <c r="BG528" s="80"/>
      <c r="BH528" s="80"/>
      <c r="BI528" s="80"/>
      <c r="BJ528" s="80"/>
      <c r="BK528" s="80"/>
      <c r="BL528" s="80"/>
      <c r="BM528" s="80"/>
      <c r="BN528" s="80"/>
      <c r="BO528" s="80"/>
    </row>
    <row r="529">
      <c r="A529" s="86"/>
      <c r="B529" s="87"/>
      <c r="C529" s="80"/>
      <c r="D529" s="80"/>
      <c r="E529" s="81"/>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80"/>
      <c r="AQ529" s="80"/>
      <c r="AR529" s="80"/>
      <c r="AS529" s="80"/>
      <c r="AT529" s="80"/>
      <c r="AU529" s="80"/>
      <c r="AV529" s="80"/>
      <c r="AW529" s="80"/>
      <c r="AX529" s="80"/>
      <c r="AY529" s="80"/>
      <c r="AZ529" s="80"/>
      <c r="BA529" s="80"/>
      <c r="BB529" s="80"/>
      <c r="BC529" s="80"/>
      <c r="BD529" s="80"/>
      <c r="BE529" s="80"/>
      <c r="BF529" s="80"/>
      <c r="BG529" s="80"/>
      <c r="BH529" s="80"/>
      <c r="BI529" s="80"/>
      <c r="BJ529" s="80"/>
      <c r="BK529" s="80"/>
      <c r="BL529" s="80"/>
      <c r="BM529" s="80"/>
      <c r="BN529" s="80"/>
      <c r="BO529" s="80"/>
    </row>
    <row r="530">
      <c r="A530" s="86"/>
      <c r="B530" s="87"/>
      <c r="C530" s="80"/>
      <c r="D530" s="80"/>
      <c r="E530" s="81"/>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80"/>
      <c r="AQ530" s="80"/>
      <c r="AR530" s="80"/>
      <c r="AS530" s="80"/>
      <c r="AT530" s="80"/>
      <c r="AU530" s="80"/>
      <c r="AV530" s="80"/>
      <c r="AW530" s="80"/>
      <c r="AX530" s="80"/>
      <c r="AY530" s="80"/>
      <c r="AZ530" s="80"/>
      <c r="BA530" s="80"/>
      <c r="BB530" s="80"/>
      <c r="BC530" s="80"/>
      <c r="BD530" s="80"/>
      <c r="BE530" s="80"/>
      <c r="BF530" s="80"/>
      <c r="BG530" s="80"/>
      <c r="BH530" s="80"/>
      <c r="BI530" s="80"/>
      <c r="BJ530" s="80"/>
      <c r="BK530" s="80"/>
      <c r="BL530" s="80"/>
      <c r="BM530" s="80"/>
      <c r="BN530" s="80"/>
      <c r="BO530" s="80"/>
    </row>
    <row r="531">
      <c r="A531" s="86"/>
      <c r="B531" s="87"/>
      <c r="C531" s="80"/>
      <c r="D531" s="80"/>
      <c r="E531" s="81"/>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80"/>
      <c r="AQ531" s="80"/>
      <c r="AR531" s="80"/>
      <c r="AS531" s="80"/>
      <c r="AT531" s="80"/>
      <c r="AU531" s="80"/>
      <c r="AV531" s="80"/>
      <c r="AW531" s="80"/>
      <c r="AX531" s="80"/>
      <c r="AY531" s="80"/>
      <c r="AZ531" s="80"/>
      <c r="BA531" s="80"/>
      <c r="BB531" s="80"/>
      <c r="BC531" s="80"/>
      <c r="BD531" s="80"/>
      <c r="BE531" s="80"/>
      <c r="BF531" s="80"/>
      <c r="BG531" s="80"/>
      <c r="BH531" s="80"/>
      <c r="BI531" s="80"/>
      <c r="BJ531" s="80"/>
      <c r="BK531" s="80"/>
      <c r="BL531" s="80"/>
      <c r="BM531" s="80"/>
      <c r="BN531" s="80"/>
      <c r="BO531" s="80"/>
    </row>
    <row r="532">
      <c r="A532" s="86"/>
      <c r="B532" s="87"/>
      <c r="C532" s="80"/>
      <c r="D532" s="80"/>
      <c r="E532" s="81"/>
      <c r="F532" s="80"/>
      <c r="G532" s="80"/>
      <c r="H532" s="80"/>
      <c r="I532" s="80"/>
      <c r="J532" s="80"/>
      <c r="K532" s="80"/>
      <c r="L532" s="80"/>
      <c r="M532" s="80"/>
      <c r="N532" s="80"/>
      <c r="O532" s="80"/>
      <c r="P532" s="80"/>
      <c r="Q532" s="80"/>
      <c r="R532" s="80"/>
      <c r="S532" s="80"/>
      <c r="T532" s="80"/>
      <c r="U532" s="80"/>
      <c r="V532" s="80"/>
      <c r="W532" s="80"/>
      <c r="X532" s="80"/>
      <c r="Y532" s="80"/>
      <c r="Z532" s="80"/>
      <c r="AA532" s="80"/>
      <c r="AB532" s="80"/>
      <c r="AC532" s="80"/>
      <c r="AD532" s="80"/>
      <c r="AE532" s="80"/>
      <c r="AF532" s="80"/>
      <c r="AG532" s="80"/>
      <c r="AH532" s="80"/>
      <c r="AI532" s="80"/>
      <c r="AJ532" s="80"/>
      <c r="AK532" s="80"/>
      <c r="AL532" s="80"/>
      <c r="AM532" s="80"/>
      <c r="AN532" s="80"/>
      <c r="AO532" s="80"/>
      <c r="AP532" s="80"/>
      <c r="AQ532" s="80"/>
      <c r="AR532" s="80"/>
      <c r="AS532" s="80"/>
      <c r="AT532" s="80"/>
      <c r="AU532" s="80"/>
      <c r="AV532" s="80"/>
      <c r="AW532" s="80"/>
      <c r="AX532" s="80"/>
      <c r="AY532" s="80"/>
      <c r="AZ532" s="80"/>
      <c r="BA532" s="80"/>
      <c r="BB532" s="80"/>
      <c r="BC532" s="80"/>
      <c r="BD532" s="80"/>
      <c r="BE532" s="80"/>
      <c r="BF532" s="80"/>
      <c r="BG532" s="80"/>
      <c r="BH532" s="80"/>
      <c r="BI532" s="80"/>
      <c r="BJ532" s="80"/>
      <c r="BK532" s="80"/>
      <c r="BL532" s="80"/>
      <c r="BM532" s="80"/>
      <c r="BN532" s="80"/>
      <c r="BO532" s="80"/>
    </row>
    <row r="533">
      <c r="A533" s="86"/>
      <c r="B533" s="87"/>
      <c r="C533" s="80"/>
      <c r="D533" s="80"/>
      <c r="E533" s="81"/>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80"/>
      <c r="AQ533" s="80"/>
      <c r="AR533" s="80"/>
      <c r="AS533" s="80"/>
      <c r="AT533" s="80"/>
      <c r="AU533" s="80"/>
      <c r="AV533" s="80"/>
      <c r="AW533" s="80"/>
      <c r="AX533" s="80"/>
      <c r="AY533" s="80"/>
      <c r="AZ533" s="80"/>
      <c r="BA533" s="80"/>
      <c r="BB533" s="80"/>
      <c r="BC533" s="80"/>
      <c r="BD533" s="80"/>
      <c r="BE533" s="80"/>
      <c r="BF533" s="80"/>
      <c r="BG533" s="80"/>
      <c r="BH533" s="80"/>
      <c r="BI533" s="80"/>
      <c r="BJ533" s="80"/>
      <c r="BK533" s="80"/>
      <c r="BL533" s="80"/>
      <c r="BM533" s="80"/>
      <c r="BN533" s="80"/>
      <c r="BO533" s="80"/>
    </row>
    <row r="534">
      <c r="A534" s="86"/>
      <c r="B534" s="87"/>
      <c r="C534" s="80"/>
      <c r="D534" s="80"/>
      <c r="E534" s="81"/>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80"/>
      <c r="AQ534" s="80"/>
      <c r="AR534" s="80"/>
      <c r="AS534" s="80"/>
      <c r="AT534" s="80"/>
      <c r="AU534" s="80"/>
      <c r="AV534" s="80"/>
      <c r="AW534" s="80"/>
      <c r="AX534" s="80"/>
      <c r="AY534" s="80"/>
      <c r="AZ534" s="80"/>
      <c r="BA534" s="80"/>
      <c r="BB534" s="80"/>
      <c r="BC534" s="80"/>
      <c r="BD534" s="80"/>
      <c r="BE534" s="80"/>
      <c r="BF534" s="80"/>
      <c r="BG534" s="80"/>
      <c r="BH534" s="80"/>
      <c r="BI534" s="80"/>
      <c r="BJ534" s="80"/>
      <c r="BK534" s="80"/>
      <c r="BL534" s="80"/>
      <c r="BM534" s="80"/>
      <c r="BN534" s="80"/>
      <c r="BO534" s="80"/>
    </row>
    <row r="535">
      <c r="A535" s="86"/>
      <c r="B535" s="87"/>
      <c r="C535" s="80"/>
      <c r="D535" s="80"/>
      <c r="E535" s="81"/>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80"/>
      <c r="AQ535" s="80"/>
      <c r="AR535" s="80"/>
      <c r="AS535" s="80"/>
      <c r="AT535" s="80"/>
      <c r="AU535" s="80"/>
      <c r="AV535" s="80"/>
      <c r="AW535" s="80"/>
      <c r="AX535" s="80"/>
      <c r="AY535" s="80"/>
      <c r="AZ535" s="80"/>
      <c r="BA535" s="80"/>
      <c r="BB535" s="80"/>
      <c r="BC535" s="80"/>
      <c r="BD535" s="80"/>
      <c r="BE535" s="80"/>
      <c r="BF535" s="80"/>
      <c r="BG535" s="80"/>
      <c r="BH535" s="80"/>
      <c r="BI535" s="80"/>
      <c r="BJ535" s="80"/>
      <c r="BK535" s="80"/>
      <c r="BL535" s="80"/>
      <c r="BM535" s="80"/>
      <c r="BN535" s="80"/>
      <c r="BO535" s="80"/>
    </row>
    <row r="536">
      <c r="A536" s="86"/>
      <c r="B536" s="87"/>
      <c r="C536" s="80"/>
      <c r="D536" s="80"/>
      <c r="E536" s="81"/>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80"/>
      <c r="AQ536" s="80"/>
      <c r="AR536" s="80"/>
      <c r="AS536" s="80"/>
      <c r="AT536" s="80"/>
      <c r="AU536" s="80"/>
      <c r="AV536" s="80"/>
      <c r="AW536" s="80"/>
      <c r="AX536" s="80"/>
      <c r="AY536" s="80"/>
      <c r="AZ536" s="80"/>
      <c r="BA536" s="80"/>
      <c r="BB536" s="80"/>
      <c r="BC536" s="80"/>
      <c r="BD536" s="80"/>
      <c r="BE536" s="80"/>
      <c r="BF536" s="80"/>
      <c r="BG536" s="80"/>
      <c r="BH536" s="80"/>
      <c r="BI536" s="80"/>
      <c r="BJ536" s="80"/>
      <c r="BK536" s="80"/>
      <c r="BL536" s="80"/>
      <c r="BM536" s="80"/>
      <c r="BN536" s="80"/>
      <c r="BO536" s="80"/>
    </row>
    <row r="537">
      <c r="A537" s="86"/>
      <c r="B537" s="87"/>
      <c r="C537" s="80"/>
      <c r="D537" s="80"/>
      <c r="E537" s="81"/>
      <c r="F537" s="80"/>
      <c r="G537" s="80"/>
      <c r="H537" s="80"/>
      <c r="I537" s="80"/>
      <c r="J537" s="80"/>
      <c r="K537" s="80"/>
      <c r="L537" s="80"/>
      <c r="M537" s="80"/>
      <c r="N537" s="80"/>
      <c r="O537" s="80"/>
      <c r="P537" s="80"/>
      <c r="Q537" s="80"/>
      <c r="R537" s="80"/>
      <c r="S537" s="80"/>
      <c r="T537" s="80"/>
      <c r="U537" s="80"/>
      <c r="V537" s="80"/>
      <c r="W537" s="80"/>
      <c r="X537" s="80"/>
      <c r="Y537" s="80"/>
      <c r="Z537" s="80"/>
      <c r="AA537" s="80"/>
      <c r="AB537" s="80"/>
      <c r="AC537" s="80"/>
      <c r="AD537" s="80"/>
      <c r="AE537" s="80"/>
      <c r="AF537" s="80"/>
      <c r="AG537" s="80"/>
      <c r="AH537" s="80"/>
      <c r="AI537" s="80"/>
      <c r="AJ537" s="80"/>
      <c r="AK537" s="80"/>
      <c r="AL537" s="80"/>
      <c r="AM537" s="80"/>
      <c r="AN537" s="80"/>
      <c r="AO537" s="80"/>
      <c r="AP537" s="80"/>
      <c r="AQ537" s="80"/>
      <c r="AR537" s="80"/>
      <c r="AS537" s="80"/>
      <c r="AT537" s="80"/>
      <c r="AU537" s="80"/>
      <c r="AV537" s="80"/>
      <c r="AW537" s="80"/>
      <c r="AX537" s="80"/>
      <c r="AY537" s="80"/>
      <c r="AZ537" s="80"/>
      <c r="BA537" s="80"/>
      <c r="BB537" s="80"/>
      <c r="BC537" s="80"/>
      <c r="BD537" s="80"/>
      <c r="BE537" s="80"/>
      <c r="BF537" s="80"/>
      <c r="BG537" s="80"/>
      <c r="BH537" s="80"/>
      <c r="BI537" s="80"/>
      <c r="BJ537" s="80"/>
      <c r="BK537" s="80"/>
      <c r="BL537" s="80"/>
      <c r="BM537" s="80"/>
      <c r="BN537" s="80"/>
      <c r="BO537" s="80"/>
    </row>
    <row r="538">
      <c r="A538" s="86"/>
      <c r="B538" s="87"/>
      <c r="C538" s="80"/>
      <c r="D538" s="80"/>
      <c r="E538" s="81"/>
      <c r="F538" s="80"/>
      <c r="G538" s="80"/>
      <c r="H538" s="80"/>
      <c r="I538" s="80"/>
      <c r="J538" s="80"/>
      <c r="K538" s="80"/>
      <c r="L538" s="80"/>
      <c r="M538" s="80"/>
      <c r="N538" s="80"/>
      <c r="O538" s="80"/>
      <c r="P538" s="80"/>
      <c r="Q538" s="80"/>
      <c r="R538" s="80"/>
      <c r="S538" s="80"/>
      <c r="T538" s="80"/>
      <c r="U538" s="80"/>
      <c r="V538" s="80"/>
      <c r="W538" s="80"/>
      <c r="X538" s="80"/>
      <c r="Y538" s="80"/>
      <c r="Z538" s="80"/>
      <c r="AA538" s="80"/>
      <c r="AB538" s="80"/>
      <c r="AC538" s="80"/>
      <c r="AD538" s="80"/>
      <c r="AE538" s="80"/>
      <c r="AF538" s="80"/>
      <c r="AG538" s="80"/>
      <c r="AH538" s="80"/>
      <c r="AI538" s="80"/>
      <c r="AJ538" s="80"/>
      <c r="AK538" s="80"/>
      <c r="AL538" s="80"/>
      <c r="AM538" s="80"/>
      <c r="AN538" s="80"/>
      <c r="AO538" s="80"/>
      <c r="AP538" s="80"/>
      <c r="AQ538" s="80"/>
      <c r="AR538" s="80"/>
      <c r="AS538" s="80"/>
      <c r="AT538" s="80"/>
      <c r="AU538" s="80"/>
      <c r="AV538" s="80"/>
      <c r="AW538" s="80"/>
      <c r="AX538" s="80"/>
      <c r="AY538" s="80"/>
      <c r="AZ538" s="80"/>
      <c r="BA538" s="80"/>
      <c r="BB538" s="80"/>
      <c r="BC538" s="80"/>
      <c r="BD538" s="80"/>
      <c r="BE538" s="80"/>
      <c r="BF538" s="80"/>
      <c r="BG538" s="80"/>
      <c r="BH538" s="80"/>
      <c r="BI538" s="80"/>
      <c r="BJ538" s="80"/>
      <c r="BK538" s="80"/>
      <c r="BL538" s="80"/>
      <c r="BM538" s="80"/>
      <c r="BN538" s="80"/>
      <c r="BO538" s="80"/>
    </row>
    <row r="539">
      <c r="A539" s="86"/>
      <c r="B539" s="87"/>
      <c r="C539" s="80"/>
      <c r="D539" s="80"/>
      <c r="E539" s="81"/>
      <c r="F539" s="80"/>
      <c r="G539" s="80"/>
      <c r="H539" s="80"/>
      <c r="I539" s="80"/>
      <c r="J539" s="80"/>
      <c r="K539" s="80"/>
      <c r="L539" s="80"/>
      <c r="M539" s="80"/>
      <c r="N539" s="80"/>
      <c r="O539" s="80"/>
      <c r="P539" s="80"/>
      <c r="Q539" s="80"/>
      <c r="R539" s="80"/>
      <c r="S539" s="80"/>
      <c r="T539" s="80"/>
      <c r="U539" s="80"/>
      <c r="V539" s="80"/>
      <c r="W539" s="80"/>
      <c r="X539" s="80"/>
      <c r="Y539" s="80"/>
      <c r="Z539" s="80"/>
      <c r="AA539" s="80"/>
      <c r="AB539" s="80"/>
      <c r="AC539" s="80"/>
      <c r="AD539" s="80"/>
      <c r="AE539" s="80"/>
      <c r="AF539" s="80"/>
      <c r="AG539" s="80"/>
      <c r="AH539" s="80"/>
      <c r="AI539" s="80"/>
      <c r="AJ539" s="80"/>
      <c r="AK539" s="80"/>
      <c r="AL539" s="80"/>
      <c r="AM539" s="80"/>
      <c r="AN539" s="80"/>
      <c r="AO539" s="80"/>
      <c r="AP539" s="80"/>
      <c r="AQ539" s="80"/>
      <c r="AR539" s="80"/>
      <c r="AS539" s="80"/>
      <c r="AT539" s="80"/>
      <c r="AU539" s="80"/>
      <c r="AV539" s="80"/>
      <c r="AW539" s="80"/>
      <c r="AX539" s="80"/>
      <c r="AY539" s="80"/>
      <c r="AZ539" s="80"/>
      <c r="BA539" s="80"/>
      <c r="BB539" s="80"/>
      <c r="BC539" s="80"/>
      <c r="BD539" s="80"/>
      <c r="BE539" s="80"/>
      <c r="BF539" s="80"/>
      <c r="BG539" s="80"/>
      <c r="BH539" s="80"/>
      <c r="BI539" s="80"/>
      <c r="BJ539" s="80"/>
      <c r="BK539" s="80"/>
      <c r="BL539" s="80"/>
      <c r="BM539" s="80"/>
      <c r="BN539" s="80"/>
      <c r="BO539" s="80"/>
    </row>
    <row r="540">
      <c r="A540" s="86"/>
      <c r="B540" s="87"/>
      <c r="C540" s="80"/>
      <c r="D540" s="80"/>
      <c r="E540" s="81"/>
      <c r="F540" s="80"/>
      <c r="G540" s="80"/>
      <c r="H540" s="80"/>
      <c r="I540" s="80"/>
      <c r="J540" s="80"/>
      <c r="K540" s="80"/>
      <c r="L540" s="80"/>
      <c r="M540" s="80"/>
      <c r="N540" s="80"/>
      <c r="O540" s="80"/>
      <c r="P540" s="80"/>
      <c r="Q540" s="80"/>
      <c r="R540" s="80"/>
      <c r="S540" s="80"/>
      <c r="T540" s="80"/>
      <c r="U540" s="80"/>
      <c r="V540" s="80"/>
      <c r="W540" s="80"/>
      <c r="X540" s="80"/>
      <c r="Y540" s="80"/>
      <c r="Z540" s="80"/>
      <c r="AA540" s="80"/>
      <c r="AB540" s="80"/>
      <c r="AC540" s="80"/>
      <c r="AD540" s="80"/>
      <c r="AE540" s="80"/>
      <c r="AF540" s="80"/>
      <c r="AG540" s="80"/>
      <c r="AH540" s="80"/>
      <c r="AI540" s="80"/>
      <c r="AJ540" s="80"/>
      <c r="AK540" s="80"/>
      <c r="AL540" s="80"/>
      <c r="AM540" s="80"/>
      <c r="AN540" s="80"/>
      <c r="AO540" s="80"/>
      <c r="AP540" s="80"/>
      <c r="AQ540" s="80"/>
      <c r="AR540" s="80"/>
      <c r="AS540" s="80"/>
      <c r="AT540" s="80"/>
      <c r="AU540" s="80"/>
      <c r="AV540" s="80"/>
      <c r="AW540" s="80"/>
      <c r="AX540" s="80"/>
      <c r="AY540" s="80"/>
      <c r="AZ540" s="80"/>
      <c r="BA540" s="80"/>
      <c r="BB540" s="80"/>
      <c r="BC540" s="80"/>
      <c r="BD540" s="80"/>
      <c r="BE540" s="80"/>
      <c r="BF540" s="80"/>
      <c r="BG540" s="80"/>
      <c r="BH540" s="80"/>
      <c r="BI540" s="80"/>
      <c r="BJ540" s="80"/>
      <c r="BK540" s="80"/>
      <c r="BL540" s="80"/>
      <c r="BM540" s="80"/>
      <c r="BN540" s="80"/>
      <c r="BO540" s="80"/>
    </row>
    <row r="541">
      <c r="A541" s="86"/>
      <c r="B541" s="87"/>
      <c r="C541" s="80"/>
      <c r="D541" s="80"/>
      <c r="E541" s="81"/>
      <c r="F541" s="80"/>
      <c r="G541" s="80"/>
      <c r="H541" s="80"/>
      <c r="I541" s="80"/>
      <c r="J541" s="80"/>
      <c r="K541" s="80"/>
      <c r="L541" s="80"/>
      <c r="M541" s="80"/>
      <c r="N541" s="80"/>
      <c r="O541" s="80"/>
      <c r="P541" s="80"/>
      <c r="Q541" s="80"/>
      <c r="R541" s="80"/>
      <c r="S541" s="80"/>
      <c r="T541" s="80"/>
      <c r="U541" s="80"/>
      <c r="V541" s="80"/>
      <c r="W541" s="80"/>
      <c r="X541" s="80"/>
      <c r="Y541" s="80"/>
      <c r="Z541" s="80"/>
      <c r="AA541" s="80"/>
      <c r="AB541" s="80"/>
      <c r="AC541" s="80"/>
      <c r="AD541" s="80"/>
      <c r="AE541" s="80"/>
      <c r="AF541" s="80"/>
      <c r="AG541" s="80"/>
      <c r="AH541" s="80"/>
      <c r="AI541" s="80"/>
      <c r="AJ541" s="80"/>
      <c r="AK541" s="80"/>
      <c r="AL541" s="80"/>
      <c r="AM541" s="80"/>
      <c r="AN541" s="80"/>
      <c r="AO541" s="80"/>
      <c r="AP541" s="80"/>
      <c r="AQ541" s="80"/>
      <c r="AR541" s="80"/>
      <c r="AS541" s="80"/>
      <c r="AT541" s="80"/>
      <c r="AU541" s="80"/>
      <c r="AV541" s="80"/>
      <c r="AW541" s="80"/>
      <c r="AX541" s="80"/>
      <c r="AY541" s="80"/>
      <c r="AZ541" s="80"/>
      <c r="BA541" s="80"/>
      <c r="BB541" s="80"/>
      <c r="BC541" s="80"/>
      <c r="BD541" s="80"/>
      <c r="BE541" s="80"/>
      <c r="BF541" s="80"/>
      <c r="BG541" s="80"/>
      <c r="BH541" s="80"/>
      <c r="BI541" s="80"/>
      <c r="BJ541" s="80"/>
      <c r="BK541" s="80"/>
      <c r="BL541" s="80"/>
      <c r="BM541" s="80"/>
      <c r="BN541" s="80"/>
      <c r="BO541" s="80"/>
    </row>
    <row r="542">
      <c r="A542" s="86"/>
      <c r="B542" s="87"/>
      <c r="C542" s="80"/>
      <c r="D542" s="80"/>
      <c r="E542" s="81"/>
      <c r="F542" s="80"/>
      <c r="G542" s="80"/>
      <c r="H542" s="80"/>
      <c r="I542" s="80"/>
      <c r="J542" s="80"/>
      <c r="K542" s="80"/>
      <c r="L542" s="80"/>
      <c r="M542" s="80"/>
      <c r="N542" s="80"/>
      <c r="O542" s="80"/>
      <c r="P542" s="80"/>
      <c r="Q542" s="80"/>
      <c r="R542" s="80"/>
      <c r="S542" s="80"/>
      <c r="T542" s="80"/>
      <c r="U542" s="80"/>
      <c r="V542" s="80"/>
      <c r="W542" s="80"/>
      <c r="X542" s="80"/>
      <c r="Y542" s="80"/>
      <c r="Z542" s="80"/>
      <c r="AA542" s="80"/>
      <c r="AB542" s="80"/>
      <c r="AC542" s="80"/>
      <c r="AD542" s="80"/>
      <c r="AE542" s="80"/>
      <c r="AF542" s="80"/>
      <c r="AG542" s="80"/>
      <c r="AH542" s="80"/>
      <c r="AI542" s="80"/>
      <c r="AJ542" s="80"/>
      <c r="AK542" s="80"/>
      <c r="AL542" s="80"/>
      <c r="AM542" s="80"/>
      <c r="AN542" s="80"/>
      <c r="AO542" s="80"/>
      <c r="AP542" s="80"/>
      <c r="AQ542" s="80"/>
      <c r="AR542" s="80"/>
      <c r="AS542" s="80"/>
      <c r="AT542" s="80"/>
      <c r="AU542" s="80"/>
      <c r="AV542" s="80"/>
      <c r="AW542" s="80"/>
      <c r="AX542" s="80"/>
      <c r="AY542" s="80"/>
      <c r="AZ542" s="80"/>
      <c r="BA542" s="80"/>
      <c r="BB542" s="80"/>
      <c r="BC542" s="80"/>
      <c r="BD542" s="80"/>
      <c r="BE542" s="80"/>
      <c r="BF542" s="80"/>
      <c r="BG542" s="80"/>
      <c r="BH542" s="80"/>
      <c r="BI542" s="80"/>
      <c r="BJ542" s="80"/>
      <c r="BK542" s="80"/>
      <c r="BL542" s="80"/>
      <c r="BM542" s="80"/>
      <c r="BN542" s="80"/>
      <c r="BO542" s="80"/>
    </row>
    <row r="543">
      <c r="A543" s="86"/>
      <c r="B543" s="87"/>
      <c r="C543" s="80"/>
      <c r="D543" s="80"/>
      <c r="E543" s="81"/>
      <c r="F543" s="80"/>
      <c r="G543" s="80"/>
      <c r="H543" s="80"/>
      <c r="I543" s="80"/>
      <c r="J543" s="80"/>
      <c r="K543" s="80"/>
      <c r="L543" s="80"/>
      <c r="M543" s="80"/>
      <c r="N543" s="80"/>
      <c r="O543" s="80"/>
      <c r="P543" s="80"/>
      <c r="Q543" s="80"/>
      <c r="R543" s="80"/>
      <c r="S543" s="80"/>
      <c r="T543" s="80"/>
      <c r="U543" s="80"/>
      <c r="V543" s="80"/>
      <c r="W543" s="80"/>
      <c r="X543" s="80"/>
      <c r="Y543" s="80"/>
      <c r="Z543" s="80"/>
      <c r="AA543" s="80"/>
      <c r="AB543" s="80"/>
      <c r="AC543" s="80"/>
      <c r="AD543" s="80"/>
      <c r="AE543" s="80"/>
      <c r="AF543" s="80"/>
      <c r="AG543" s="80"/>
      <c r="AH543" s="80"/>
      <c r="AI543" s="80"/>
      <c r="AJ543" s="80"/>
      <c r="AK543" s="80"/>
      <c r="AL543" s="80"/>
      <c r="AM543" s="80"/>
      <c r="AN543" s="80"/>
      <c r="AO543" s="80"/>
      <c r="AP543" s="80"/>
      <c r="AQ543" s="80"/>
      <c r="AR543" s="80"/>
      <c r="AS543" s="80"/>
      <c r="AT543" s="80"/>
      <c r="AU543" s="80"/>
      <c r="AV543" s="80"/>
      <c r="AW543" s="80"/>
      <c r="AX543" s="80"/>
      <c r="AY543" s="80"/>
      <c r="AZ543" s="80"/>
      <c r="BA543" s="80"/>
      <c r="BB543" s="80"/>
      <c r="BC543" s="80"/>
      <c r="BD543" s="80"/>
      <c r="BE543" s="80"/>
      <c r="BF543" s="80"/>
      <c r="BG543" s="80"/>
      <c r="BH543" s="80"/>
      <c r="BI543" s="80"/>
      <c r="BJ543" s="80"/>
      <c r="BK543" s="80"/>
      <c r="BL543" s="80"/>
      <c r="BM543" s="80"/>
      <c r="BN543" s="80"/>
      <c r="BO543" s="80"/>
    </row>
    <row r="544">
      <c r="A544" s="86"/>
      <c r="B544" s="87"/>
      <c r="C544" s="80"/>
      <c r="D544" s="80"/>
      <c r="E544" s="81"/>
      <c r="F544" s="80"/>
      <c r="G544" s="80"/>
      <c r="H544" s="80"/>
      <c r="I544" s="80"/>
      <c r="J544" s="80"/>
      <c r="K544" s="80"/>
      <c r="L544" s="80"/>
      <c r="M544" s="80"/>
      <c r="N544" s="80"/>
      <c r="O544" s="80"/>
      <c r="P544" s="80"/>
      <c r="Q544" s="80"/>
      <c r="R544" s="80"/>
      <c r="S544" s="80"/>
      <c r="T544" s="80"/>
      <c r="U544" s="80"/>
      <c r="V544" s="80"/>
      <c r="W544" s="80"/>
      <c r="X544" s="80"/>
      <c r="Y544" s="80"/>
      <c r="Z544" s="80"/>
      <c r="AA544" s="80"/>
      <c r="AB544" s="80"/>
      <c r="AC544" s="80"/>
      <c r="AD544" s="80"/>
      <c r="AE544" s="80"/>
      <c r="AF544" s="80"/>
      <c r="AG544" s="80"/>
      <c r="AH544" s="80"/>
      <c r="AI544" s="80"/>
      <c r="AJ544" s="80"/>
      <c r="AK544" s="80"/>
      <c r="AL544" s="80"/>
      <c r="AM544" s="80"/>
      <c r="AN544" s="80"/>
      <c r="AO544" s="80"/>
      <c r="AP544" s="80"/>
      <c r="AQ544" s="80"/>
      <c r="AR544" s="80"/>
      <c r="AS544" s="80"/>
      <c r="AT544" s="80"/>
      <c r="AU544" s="80"/>
      <c r="AV544" s="80"/>
      <c r="AW544" s="80"/>
      <c r="AX544" s="80"/>
      <c r="AY544" s="80"/>
      <c r="AZ544" s="80"/>
      <c r="BA544" s="80"/>
      <c r="BB544" s="80"/>
      <c r="BC544" s="80"/>
      <c r="BD544" s="80"/>
      <c r="BE544" s="80"/>
      <c r="BF544" s="80"/>
      <c r="BG544" s="80"/>
      <c r="BH544" s="80"/>
      <c r="BI544" s="80"/>
      <c r="BJ544" s="80"/>
      <c r="BK544" s="80"/>
      <c r="BL544" s="80"/>
      <c r="BM544" s="80"/>
      <c r="BN544" s="80"/>
      <c r="BO544" s="80"/>
    </row>
    <row r="545">
      <c r="A545" s="86"/>
      <c r="B545" s="87"/>
      <c r="C545" s="80"/>
      <c r="D545" s="80"/>
      <c r="E545" s="81"/>
      <c r="F545" s="80"/>
      <c r="G545" s="80"/>
      <c r="H545" s="80"/>
      <c r="I545" s="80"/>
      <c r="J545" s="80"/>
      <c r="K545" s="80"/>
      <c r="L545" s="80"/>
      <c r="M545" s="80"/>
      <c r="N545" s="80"/>
      <c r="O545" s="80"/>
      <c r="P545" s="80"/>
      <c r="Q545" s="80"/>
      <c r="R545" s="80"/>
      <c r="S545" s="80"/>
      <c r="T545" s="80"/>
      <c r="U545" s="80"/>
      <c r="V545" s="80"/>
      <c r="W545" s="80"/>
      <c r="X545" s="80"/>
      <c r="Y545" s="80"/>
      <c r="Z545" s="80"/>
      <c r="AA545" s="80"/>
      <c r="AB545" s="80"/>
      <c r="AC545" s="80"/>
      <c r="AD545" s="80"/>
      <c r="AE545" s="80"/>
      <c r="AF545" s="80"/>
      <c r="AG545" s="80"/>
      <c r="AH545" s="80"/>
      <c r="AI545" s="80"/>
      <c r="AJ545" s="80"/>
      <c r="AK545" s="80"/>
      <c r="AL545" s="80"/>
      <c r="AM545" s="80"/>
      <c r="AN545" s="80"/>
      <c r="AO545" s="80"/>
      <c r="AP545" s="80"/>
      <c r="AQ545" s="80"/>
      <c r="AR545" s="80"/>
      <c r="AS545" s="80"/>
      <c r="AT545" s="80"/>
      <c r="AU545" s="80"/>
      <c r="AV545" s="80"/>
      <c r="AW545" s="80"/>
      <c r="AX545" s="80"/>
      <c r="AY545" s="80"/>
      <c r="AZ545" s="80"/>
      <c r="BA545" s="80"/>
      <c r="BB545" s="80"/>
      <c r="BC545" s="80"/>
      <c r="BD545" s="80"/>
      <c r="BE545" s="80"/>
      <c r="BF545" s="80"/>
      <c r="BG545" s="80"/>
      <c r="BH545" s="80"/>
      <c r="BI545" s="80"/>
      <c r="BJ545" s="80"/>
      <c r="BK545" s="80"/>
      <c r="BL545" s="80"/>
      <c r="BM545" s="80"/>
      <c r="BN545" s="80"/>
      <c r="BO545" s="80"/>
    </row>
    <row r="546">
      <c r="A546" s="86"/>
      <c r="B546" s="87"/>
      <c r="C546" s="80"/>
      <c r="D546" s="80"/>
      <c r="E546" s="81"/>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80"/>
      <c r="AQ546" s="80"/>
      <c r="AR546" s="80"/>
      <c r="AS546" s="80"/>
      <c r="AT546" s="80"/>
      <c r="AU546" s="80"/>
      <c r="AV546" s="80"/>
      <c r="AW546" s="80"/>
      <c r="AX546" s="80"/>
      <c r="AY546" s="80"/>
      <c r="AZ546" s="80"/>
      <c r="BA546" s="80"/>
      <c r="BB546" s="80"/>
      <c r="BC546" s="80"/>
      <c r="BD546" s="80"/>
      <c r="BE546" s="80"/>
      <c r="BF546" s="80"/>
      <c r="BG546" s="80"/>
      <c r="BH546" s="80"/>
      <c r="BI546" s="80"/>
      <c r="BJ546" s="80"/>
      <c r="BK546" s="80"/>
      <c r="BL546" s="80"/>
      <c r="BM546" s="80"/>
      <c r="BN546" s="80"/>
      <c r="BO546" s="80"/>
    </row>
    <row r="547">
      <c r="A547" s="86"/>
      <c r="B547" s="87"/>
      <c r="C547" s="80"/>
      <c r="D547" s="80"/>
      <c r="E547" s="81"/>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80"/>
      <c r="AQ547" s="80"/>
      <c r="AR547" s="80"/>
      <c r="AS547" s="80"/>
      <c r="AT547" s="80"/>
      <c r="AU547" s="80"/>
      <c r="AV547" s="80"/>
      <c r="AW547" s="80"/>
      <c r="AX547" s="80"/>
      <c r="AY547" s="80"/>
      <c r="AZ547" s="80"/>
      <c r="BA547" s="80"/>
      <c r="BB547" s="80"/>
      <c r="BC547" s="80"/>
      <c r="BD547" s="80"/>
      <c r="BE547" s="80"/>
      <c r="BF547" s="80"/>
      <c r="BG547" s="80"/>
      <c r="BH547" s="80"/>
      <c r="BI547" s="80"/>
      <c r="BJ547" s="80"/>
      <c r="BK547" s="80"/>
      <c r="BL547" s="80"/>
      <c r="BM547" s="80"/>
      <c r="BN547" s="80"/>
      <c r="BO547" s="80"/>
    </row>
    <row r="548">
      <c r="A548" s="86"/>
      <c r="B548" s="87"/>
      <c r="C548" s="80"/>
      <c r="D548" s="80"/>
      <c r="E548" s="81"/>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80"/>
      <c r="AQ548" s="80"/>
      <c r="AR548" s="80"/>
      <c r="AS548" s="80"/>
      <c r="AT548" s="80"/>
      <c r="AU548" s="80"/>
      <c r="AV548" s="80"/>
      <c r="AW548" s="80"/>
      <c r="AX548" s="80"/>
      <c r="AY548" s="80"/>
      <c r="AZ548" s="80"/>
      <c r="BA548" s="80"/>
      <c r="BB548" s="80"/>
      <c r="BC548" s="80"/>
      <c r="BD548" s="80"/>
      <c r="BE548" s="80"/>
      <c r="BF548" s="80"/>
      <c r="BG548" s="80"/>
      <c r="BH548" s="80"/>
      <c r="BI548" s="80"/>
      <c r="BJ548" s="80"/>
      <c r="BK548" s="80"/>
      <c r="BL548" s="80"/>
      <c r="BM548" s="80"/>
      <c r="BN548" s="80"/>
      <c r="BO548" s="80"/>
    </row>
    <row r="549">
      <c r="A549" s="86"/>
      <c r="B549" s="87"/>
      <c r="C549" s="80"/>
      <c r="D549" s="80"/>
      <c r="E549" s="81"/>
      <c r="F549" s="80"/>
      <c r="G549" s="80"/>
      <c r="H549" s="80"/>
      <c r="I549" s="80"/>
      <c r="J549" s="80"/>
      <c r="K549" s="80"/>
      <c r="L549" s="80"/>
      <c r="M549" s="80"/>
      <c r="N549" s="80"/>
      <c r="O549" s="80"/>
      <c r="P549" s="80"/>
      <c r="Q549" s="80"/>
      <c r="R549" s="80"/>
      <c r="S549" s="80"/>
      <c r="T549" s="80"/>
      <c r="U549" s="80"/>
      <c r="V549" s="80"/>
      <c r="W549" s="80"/>
      <c r="X549" s="80"/>
      <c r="Y549" s="80"/>
      <c r="Z549" s="80"/>
      <c r="AA549" s="80"/>
      <c r="AB549" s="80"/>
      <c r="AC549" s="80"/>
      <c r="AD549" s="80"/>
      <c r="AE549" s="80"/>
      <c r="AF549" s="80"/>
      <c r="AG549" s="80"/>
      <c r="AH549" s="80"/>
      <c r="AI549" s="80"/>
      <c r="AJ549" s="80"/>
      <c r="AK549" s="80"/>
      <c r="AL549" s="80"/>
      <c r="AM549" s="80"/>
      <c r="AN549" s="80"/>
      <c r="AO549" s="80"/>
      <c r="AP549" s="80"/>
      <c r="AQ549" s="80"/>
      <c r="AR549" s="80"/>
      <c r="AS549" s="80"/>
      <c r="AT549" s="80"/>
      <c r="AU549" s="80"/>
      <c r="AV549" s="80"/>
      <c r="AW549" s="80"/>
      <c r="AX549" s="80"/>
      <c r="AY549" s="80"/>
      <c r="AZ549" s="80"/>
      <c r="BA549" s="80"/>
      <c r="BB549" s="80"/>
      <c r="BC549" s="80"/>
      <c r="BD549" s="80"/>
      <c r="BE549" s="80"/>
      <c r="BF549" s="80"/>
      <c r="BG549" s="80"/>
      <c r="BH549" s="80"/>
      <c r="BI549" s="80"/>
      <c r="BJ549" s="80"/>
      <c r="BK549" s="80"/>
      <c r="BL549" s="80"/>
      <c r="BM549" s="80"/>
      <c r="BN549" s="80"/>
      <c r="BO549" s="80"/>
    </row>
    <row r="550">
      <c r="A550" s="86"/>
      <c r="B550" s="87"/>
      <c r="C550" s="80"/>
      <c r="D550" s="80"/>
      <c r="E550" s="81"/>
      <c r="F550" s="80"/>
      <c r="G550" s="80"/>
      <c r="H550" s="80"/>
      <c r="I550" s="80"/>
      <c r="J550" s="80"/>
      <c r="K550" s="80"/>
      <c r="L550" s="80"/>
      <c r="M550" s="80"/>
      <c r="N550" s="80"/>
      <c r="O550" s="80"/>
      <c r="P550" s="80"/>
      <c r="Q550" s="80"/>
      <c r="R550" s="80"/>
      <c r="S550" s="80"/>
      <c r="T550" s="80"/>
      <c r="U550" s="80"/>
      <c r="V550" s="80"/>
      <c r="W550" s="80"/>
      <c r="X550" s="80"/>
      <c r="Y550" s="80"/>
      <c r="Z550" s="80"/>
      <c r="AA550" s="80"/>
      <c r="AB550" s="80"/>
      <c r="AC550" s="80"/>
      <c r="AD550" s="80"/>
      <c r="AE550" s="80"/>
      <c r="AF550" s="80"/>
      <c r="AG550" s="80"/>
      <c r="AH550" s="80"/>
      <c r="AI550" s="80"/>
      <c r="AJ550" s="80"/>
      <c r="AK550" s="80"/>
      <c r="AL550" s="80"/>
      <c r="AM550" s="80"/>
      <c r="AN550" s="80"/>
      <c r="AO550" s="80"/>
      <c r="AP550" s="80"/>
      <c r="AQ550" s="80"/>
      <c r="AR550" s="80"/>
      <c r="AS550" s="80"/>
      <c r="AT550" s="80"/>
      <c r="AU550" s="80"/>
      <c r="AV550" s="80"/>
      <c r="AW550" s="80"/>
      <c r="AX550" s="80"/>
      <c r="AY550" s="80"/>
      <c r="AZ550" s="80"/>
      <c r="BA550" s="80"/>
      <c r="BB550" s="80"/>
      <c r="BC550" s="80"/>
      <c r="BD550" s="80"/>
      <c r="BE550" s="80"/>
      <c r="BF550" s="80"/>
      <c r="BG550" s="80"/>
      <c r="BH550" s="80"/>
      <c r="BI550" s="80"/>
      <c r="BJ550" s="80"/>
      <c r="BK550" s="80"/>
      <c r="BL550" s="80"/>
      <c r="BM550" s="80"/>
      <c r="BN550" s="80"/>
      <c r="BO550" s="80"/>
    </row>
    <row r="551">
      <c r="A551" s="86"/>
      <c r="B551" s="87"/>
      <c r="C551" s="80"/>
      <c r="D551" s="80"/>
      <c r="E551" s="81"/>
      <c r="F551" s="80"/>
      <c r="G551" s="80"/>
      <c r="H551" s="80"/>
      <c r="I551" s="80"/>
      <c r="J551" s="80"/>
      <c r="K551" s="80"/>
      <c r="L551" s="80"/>
      <c r="M551" s="80"/>
      <c r="N551" s="80"/>
      <c r="O551" s="80"/>
      <c r="P551" s="80"/>
      <c r="Q551" s="80"/>
      <c r="R551" s="80"/>
      <c r="S551" s="80"/>
      <c r="T551" s="80"/>
      <c r="U551" s="80"/>
      <c r="V551" s="80"/>
      <c r="W551" s="80"/>
      <c r="X551" s="80"/>
      <c r="Y551" s="80"/>
      <c r="Z551" s="80"/>
      <c r="AA551" s="80"/>
      <c r="AB551" s="80"/>
      <c r="AC551" s="80"/>
      <c r="AD551" s="80"/>
      <c r="AE551" s="80"/>
      <c r="AF551" s="80"/>
      <c r="AG551" s="80"/>
      <c r="AH551" s="80"/>
      <c r="AI551" s="80"/>
      <c r="AJ551" s="80"/>
      <c r="AK551" s="80"/>
      <c r="AL551" s="80"/>
      <c r="AM551" s="80"/>
      <c r="AN551" s="80"/>
      <c r="AO551" s="80"/>
      <c r="AP551" s="80"/>
      <c r="AQ551" s="80"/>
      <c r="AR551" s="80"/>
      <c r="AS551" s="80"/>
      <c r="AT551" s="80"/>
      <c r="AU551" s="80"/>
      <c r="AV551" s="80"/>
      <c r="AW551" s="80"/>
      <c r="AX551" s="80"/>
      <c r="AY551" s="80"/>
      <c r="AZ551" s="80"/>
      <c r="BA551" s="80"/>
      <c r="BB551" s="80"/>
      <c r="BC551" s="80"/>
      <c r="BD551" s="80"/>
      <c r="BE551" s="80"/>
      <c r="BF551" s="80"/>
      <c r="BG551" s="80"/>
      <c r="BH551" s="80"/>
      <c r="BI551" s="80"/>
      <c r="BJ551" s="80"/>
      <c r="BK551" s="80"/>
      <c r="BL551" s="80"/>
      <c r="BM551" s="80"/>
      <c r="BN551" s="80"/>
      <c r="BO551" s="80"/>
    </row>
    <row r="552">
      <c r="A552" s="86"/>
      <c r="B552" s="87"/>
      <c r="C552" s="80"/>
      <c r="D552" s="80"/>
      <c r="E552" s="81"/>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80"/>
      <c r="AQ552" s="80"/>
      <c r="AR552" s="80"/>
      <c r="AS552" s="80"/>
      <c r="AT552" s="80"/>
      <c r="AU552" s="80"/>
      <c r="AV552" s="80"/>
      <c r="AW552" s="80"/>
      <c r="AX552" s="80"/>
      <c r="AY552" s="80"/>
      <c r="AZ552" s="80"/>
      <c r="BA552" s="80"/>
      <c r="BB552" s="80"/>
      <c r="BC552" s="80"/>
      <c r="BD552" s="80"/>
      <c r="BE552" s="80"/>
      <c r="BF552" s="80"/>
      <c r="BG552" s="80"/>
      <c r="BH552" s="80"/>
      <c r="BI552" s="80"/>
      <c r="BJ552" s="80"/>
      <c r="BK552" s="80"/>
      <c r="BL552" s="80"/>
      <c r="BM552" s="80"/>
      <c r="BN552" s="80"/>
      <c r="BO552" s="80"/>
    </row>
    <row r="553">
      <c r="A553" s="86"/>
      <c r="B553" s="87"/>
      <c r="C553" s="80"/>
      <c r="D553" s="80"/>
      <c r="E553" s="81"/>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80"/>
      <c r="AQ553" s="80"/>
      <c r="AR553" s="80"/>
      <c r="AS553" s="80"/>
      <c r="AT553" s="80"/>
      <c r="AU553" s="80"/>
      <c r="AV553" s="80"/>
      <c r="AW553" s="80"/>
      <c r="AX553" s="80"/>
      <c r="AY553" s="80"/>
      <c r="AZ553" s="80"/>
      <c r="BA553" s="80"/>
      <c r="BB553" s="80"/>
      <c r="BC553" s="80"/>
      <c r="BD553" s="80"/>
      <c r="BE553" s="80"/>
      <c r="BF553" s="80"/>
      <c r="BG553" s="80"/>
      <c r="BH553" s="80"/>
      <c r="BI553" s="80"/>
      <c r="BJ553" s="80"/>
      <c r="BK553" s="80"/>
      <c r="BL553" s="80"/>
      <c r="BM553" s="80"/>
      <c r="BN553" s="80"/>
      <c r="BO553" s="80"/>
    </row>
    <row r="554">
      <c r="A554" s="86"/>
      <c r="B554" s="87"/>
      <c r="C554" s="80"/>
      <c r="D554" s="80"/>
      <c r="E554" s="81"/>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80"/>
      <c r="AQ554" s="80"/>
      <c r="AR554" s="80"/>
      <c r="AS554" s="80"/>
      <c r="AT554" s="80"/>
      <c r="AU554" s="80"/>
      <c r="AV554" s="80"/>
      <c r="AW554" s="80"/>
      <c r="AX554" s="80"/>
      <c r="AY554" s="80"/>
      <c r="AZ554" s="80"/>
      <c r="BA554" s="80"/>
      <c r="BB554" s="80"/>
      <c r="BC554" s="80"/>
      <c r="BD554" s="80"/>
      <c r="BE554" s="80"/>
      <c r="BF554" s="80"/>
      <c r="BG554" s="80"/>
      <c r="BH554" s="80"/>
      <c r="BI554" s="80"/>
      <c r="BJ554" s="80"/>
      <c r="BK554" s="80"/>
      <c r="BL554" s="80"/>
      <c r="BM554" s="80"/>
      <c r="BN554" s="80"/>
      <c r="BO554" s="80"/>
    </row>
    <row r="555">
      <c r="A555" s="86"/>
      <c r="B555" s="87"/>
      <c r="C555" s="80"/>
      <c r="D555" s="80"/>
      <c r="E555" s="81"/>
      <c r="F555" s="80"/>
      <c r="G555" s="80"/>
      <c r="H555" s="80"/>
      <c r="I555" s="80"/>
      <c r="J555" s="80"/>
      <c r="K555" s="80"/>
      <c r="L555" s="80"/>
      <c r="M555" s="80"/>
      <c r="N555" s="80"/>
      <c r="O555" s="80"/>
      <c r="P555" s="80"/>
      <c r="Q555" s="80"/>
      <c r="R555" s="80"/>
      <c r="S555" s="80"/>
      <c r="T555" s="80"/>
      <c r="U555" s="80"/>
      <c r="V555" s="80"/>
      <c r="W555" s="80"/>
      <c r="X555" s="80"/>
      <c r="Y555" s="80"/>
      <c r="Z555" s="80"/>
      <c r="AA555" s="80"/>
      <c r="AB555" s="80"/>
      <c r="AC555" s="80"/>
      <c r="AD555" s="80"/>
      <c r="AE555" s="80"/>
      <c r="AF555" s="80"/>
      <c r="AG555" s="80"/>
      <c r="AH555" s="80"/>
      <c r="AI555" s="80"/>
      <c r="AJ555" s="80"/>
      <c r="AK555" s="80"/>
      <c r="AL555" s="80"/>
      <c r="AM555" s="80"/>
      <c r="AN555" s="80"/>
      <c r="AO555" s="80"/>
      <c r="AP555" s="80"/>
      <c r="AQ555" s="80"/>
      <c r="AR555" s="80"/>
      <c r="AS555" s="80"/>
      <c r="AT555" s="80"/>
      <c r="AU555" s="80"/>
      <c r="AV555" s="80"/>
      <c r="AW555" s="80"/>
      <c r="AX555" s="80"/>
      <c r="AY555" s="80"/>
      <c r="AZ555" s="80"/>
      <c r="BA555" s="80"/>
      <c r="BB555" s="80"/>
      <c r="BC555" s="80"/>
      <c r="BD555" s="80"/>
      <c r="BE555" s="80"/>
      <c r="BF555" s="80"/>
      <c r="BG555" s="80"/>
      <c r="BH555" s="80"/>
      <c r="BI555" s="80"/>
      <c r="BJ555" s="80"/>
      <c r="BK555" s="80"/>
      <c r="BL555" s="80"/>
      <c r="BM555" s="80"/>
      <c r="BN555" s="80"/>
      <c r="BO555" s="80"/>
    </row>
    <row r="556">
      <c r="A556" s="86"/>
      <c r="B556" s="87"/>
      <c r="C556" s="80"/>
      <c r="D556" s="80"/>
      <c r="E556" s="81"/>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80"/>
      <c r="AQ556" s="80"/>
      <c r="AR556" s="80"/>
      <c r="AS556" s="80"/>
      <c r="AT556" s="80"/>
      <c r="AU556" s="80"/>
      <c r="AV556" s="80"/>
      <c r="AW556" s="80"/>
      <c r="AX556" s="80"/>
      <c r="AY556" s="80"/>
      <c r="AZ556" s="80"/>
      <c r="BA556" s="80"/>
      <c r="BB556" s="80"/>
      <c r="BC556" s="80"/>
      <c r="BD556" s="80"/>
      <c r="BE556" s="80"/>
      <c r="BF556" s="80"/>
      <c r="BG556" s="80"/>
      <c r="BH556" s="80"/>
      <c r="BI556" s="80"/>
      <c r="BJ556" s="80"/>
      <c r="BK556" s="80"/>
      <c r="BL556" s="80"/>
      <c r="BM556" s="80"/>
      <c r="BN556" s="80"/>
      <c r="BO556" s="80"/>
    </row>
    <row r="557">
      <c r="A557" s="86"/>
      <c r="B557" s="87"/>
      <c r="C557" s="80"/>
      <c r="D557" s="80"/>
      <c r="E557" s="81"/>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80"/>
      <c r="AQ557" s="80"/>
      <c r="AR557" s="80"/>
      <c r="AS557" s="80"/>
      <c r="AT557" s="80"/>
      <c r="AU557" s="80"/>
      <c r="AV557" s="80"/>
      <c r="AW557" s="80"/>
      <c r="AX557" s="80"/>
      <c r="AY557" s="80"/>
      <c r="AZ557" s="80"/>
      <c r="BA557" s="80"/>
      <c r="BB557" s="80"/>
      <c r="BC557" s="80"/>
      <c r="BD557" s="80"/>
      <c r="BE557" s="80"/>
      <c r="BF557" s="80"/>
      <c r="BG557" s="80"/>
      <c r="BH557" s="80"/>
      <c r="BI557" s="80"/>
      <c r="BJ557" s="80"/>
      <c r="BK557" s="80"/>
      <c r="BL557" s="80"/>
      <c r="BM557" s="80"/>
      <c r="BN557" s="80"/>
      <c r="BO557" s="80"/>
    </row>
    <row r="558">
      <c r="A558" s="86"/>
      <c r="B558" s="87"/>
      <c r="C558" s="80"/>
      <c r="D558" s="80"/>
      <c r="E558" s="81"/>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80"/>
      <c r="AQ558" s="80"/>
      <c r="AR558" s="80"/>
      <c r="AS558" s="80"/>
      <c r="AT558" s="80"/>
      <c r="AU558" s="80"/>
      <c r="AV558" s="80"/>
      <c r="AW558" s="80"/>
      <c r="AX558" s="80"/>
      <c r="AY558" s="80"/>
      <c r="AZ558" s="80"/>
      <c r="BA558" s="80"/>
      <c r="BB558" s="80"/>
      <c r="BC558" s="80"/>
      <c r="BD558" s="80"/>
      <c r="BE558" s="80"/>
      <c r="BF558" s="80"/>
      <c r="BG558" s="80"/>
      <c r="BH558" s="80"/>
      <c r="BI558" s="80"/>
      <c r="BJ558" s="80"/>
      <c r="BK558" s="80"/>
      <c r="BL558" s="80"/>
      <c r="BM558" s="80"/>
      <c r="BN558" s="80"/>
      <c r="BO558" s="80"/>
    </row>
    <row r="559">
      <c r="A559" s="86"/>
      <c r="B559" s="87"/>
      <c r="C559" s="80"/>
      <c r="D559" s="80"/>
      <c r="E559" s="81"/>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80"/>
      <c r="AQ559" s="80"/>
      <c r="AR559" s="80"/>
      <c r="AS559" s="80"/>
      <c r="AT559" s="80"/>
      <c r="AU559" s="80"/>
      <c r="AV559" s="80"/>
      <c r="AW559" s="80"/>
      <c r="AX559" s="80"/>
      <c r="AY559" s="80"/>
      <c r="AZ559" s="80"/>
      <c r="BA559" s="80"/>
      <c r="BB559" s="80"/>
      <c r="BC559" s="80"/>
      <c r="BD559" s="80"/>
      <c r="BE559" s="80"/>
      <c r="BF559" s="80"/>
      <c r="BG559" s="80"/>
      <c r="BH559" s="80"/>
      <c r="BI559" s="80"/>
      <c r="BJ559" s="80"/>
      <c r="BK559" s="80"/>
      <c r="BL559" s="80"/>
      <c r="BM559" s="80"/>
      <c r="BN559" s="80"/>
      <c r="BO559" s="80"/>
    </row>
    <row r="560">
      <c r="A560" s="86"/>
      <c r="B560" s="87"/>
      <c r="C560" s="80"/>
      <c r="D560" s="80"/>
      <c r="E560" s="81"/>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80"/>
      <c r="AQ560" s="80"/>
      <c r="AR560" s="80"/>
      <c r="AS560" s="80"/>
      <c r="AT560" s="80"/>
      <c r="AU560" s="80"/>
      <c r="AV560" s="80"/>
      <c r="AW560" s="80"/>
      <c r="AX560" s="80"/>
      <c r="AY560" s="80"/>
      <c r="AZ560" s="80"/>
      <c r="BA560" s="80"/>
      <c r="BB560" s="80"/>
      <c r="BC560" s="80"/>
      <c r="BD560" s="80"/>
      <c r="BE560" s="80"/>
      <c r="BF560" s="80"/>
      <c r="BG560" s="80"/>
      <c r="BH560" s="80"/>
      <c r="BI560" s="80"/>
      <c r="BJ560" s="80"/>
      <c r="BK560" s="80"/>
      <c r="BL560" s="80"/>
      <c r="BM560" s="80"/>
      <c r="BN560" s="80"/>
      <c r="BO560" s="80"/>
    </row>
    <row r="561">
      <c r="A561" s="86"/>
      <c r="B561" s="87"/>
      <c r="C561" s="80"/>
      <c r="D561" s="80"/>
      <c r="E561" s="81"/>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80"/>
      <c r="AQ561" s="80"/>
      <c r="AR561" s="80"/>
      <c r="AS561" s="80"/>
      <c r="AT561" s="80"/>
      <c r="AU561" s="80"/>
      <c r="AV561" s="80"/>
      <c r="AW561" s="80"/>
      <c r="AX561" s="80"/>
      <c r="AY561" s="80"/>
      <c r="AZ561" s="80"/>
      <c r="BA561" s="80"/>
      <c r="BB561" s="80"/>
      <c r="BC561" s="80"/>
      <c r="BD561" s="80"/>
      <c r="BE561" s="80"/>
      <c r="BF561" s="80"/>
      <c r="BG561" s="80"/>
      <c r="BH561" s="80"/>
      <c r="BI561" s="80"/>
      <c r="BJ561" s="80"/>
      <c r="BK561" s="80"/>
      <c r="BL561" s="80"/>
      <c r="BM561" s="80"/>
      <c r="BN561" s="80"/>
      <c r="BO561" s="80"/>
    </row>
    <row r="562">
      <c r="A562" s="86"/>
      <c r="B562" s="87"/>
      <c r="C562" s="80"/>
      <c r="D562" s="80"/>
      <c r="E562" s="81"/>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80"/>
      <c r="AQ562" s="80"/>
      <c r="AR562" s="80"/>
      <c r="AS562" s="80"/>
      <c r="AT562" s="80"/>
      <c r="AU562" s="80"/>
      <c r="AV562" s="80"/>
      <c r="AW562" s="80"/>
      <c r="AX562" s="80"/>
      <c r="AY562" s="80"/>
      <c r="AZ562" s="80"/>
      <c r="BA562" s="80"/>
      <c r="BB562" s="80"/>
      <c r="BC562" s="80"/>
      <c r="BD562" s="80"/>
      <c r="BE562" s="80"/>
      <c r="BF562" s="80"/>
      <c r="BG562" s="80"/>
      <c r="BH562" s="80"/>
      <c r="BI562" s="80"/>
      <c r="BJ562" s="80"/>
      <c r="BK562" s="80"/>
      <c r="BL562" s="80"/>
      <c r="BM562" s="80"/>
      <c r="BN562" s="80"/>
      <c r="BO562" s="80"/>
    </row>
    <row r="563">
      <c r="A563" s="86"/>
      <c r="B563" s="87"/>
      <c r="C563" s="80"/>
      <c r="D563" s="80"/>
      <c r="E563" s="81"/>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80"/>
      <c r="AQ563" s="80"/>
      <c r="AR563" s="80"/>
      <c r="AS563" s="80"/>
      <c r="AT563" s="80"/>
      <c r="AU563" s="80"/>
      <c r="AV563" s="80"/>
      <c r="AW563" s="80"/>
      <c r="AX563" s="80"/>
      <c r="AY563" s="80"/>
      <c r="AZ563" s="80"/>
      <c r="BA563" s="80"/>
      <c r="BB563" s="80"/>
      <c r="BC563" s="80"/>
      <c r="BD563" s="80"/>
      <c r="BE563" s="80"/>
      <c r="BF563" s="80"/>
      <c r="BG563" s="80"/>
      <c r="BH563" s="80"/>
      <c r="BI563" s="80"/>
      <c r="BJ563" s="80"/>
      <c r="BK563" s="80"/>
      <c r="BL563" s="80"/>
      <c r="BM563" s="80"/>
      <c r="BN563" s="80"/>
      <c r="BO563" s="80"/>
    </row>
    <row r="564">
      <c r="A564" s="86"/>
      <c r="B564" s="87"/>
      <c r="C564" s="80"/>
      <c r="D564" s="80"/>
      <c r="E564" s="81"/>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80"/>
      <c r="AQ564" s="80"/>
      <c r="AR564" s="80"/>
      <c r="AS564" s="80"/>
      <c r="AT564" s="80"/>
      <c r="AU564" s="80"/>
      <c r="AV564" s="80"/>
      <c r="AW564" s="80"/>
      <c r="AX564" s="80"/>
      <c r="AY564" s="80"/>
      <c r="AZ564" s="80"/>
      <c r="BA564" s="80"/>
      <c r="BB564" s="80"/>
      <c r="BC564" s="80"/>
      <c r="BD564" s="80"/>
      <c r="BE564" s="80"/>
      <c r="BF564" s="80"/>
      <c r="BG564" s="80"/>
      <c r="BH564" s="80"/>
      <c r="BI564" s="80"/>
      <c r="BJ564" s="80"/>
      <c r="BK564" s="80"/>
      <c r="BL564" s="80"/>
      <c r="BM564" s="80"/>
      <c r="BN564" s="80"/>
      <c r="BO564" s="80"/>
    </row>
    <row r="565">
      <c r="A565" s="86"/>
      <c r="B565" s="87"/>
      <c r="C565" s="80"/>
      <c r="D565" s="80"/>
      <c r="E565" s="81"/>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80"/>
      <c r="AQ565" s="80"/>
      <c r="AR565" s="80"/>
      <c r="AS565" s="80"/>
      <c r="AT565" s="80"/>
      <c r="AU565" s="80"/>
      <c r="AV565" s="80"/>
      <c r="AW565" s="80"/>
      <c r="AX565" s="80"/>
      <c r="AY565" s="80"/>
      <c r="AZ565" s="80"/>
      <c r="BA565" s="80"/>
      <c r="BB565" s="80"/>
      <c r="BC565" s="80"/>
      <c r="BD565" s="80"/>
      <c r="BE565" s="80"/>
      <c r="BF565" s="80"/>
      <c r="BG565" s="80"/>
      <c r="BH565" s="80"/>
      <c r="BI565" s="80"/>
      <c r="BJ565" s="80"/>
      <c r="BK565" s="80"/>
      <c r="BL565" s="80"/>
      <c r="BM565" s="80"/>
      <c r="BN565" s="80"/>
      <c r="BO565" s="80"/>
    </row>
    <row r="566">
      <c r="A566" s="86"/>
      <c r="B566" s="87"/>
      <c r="C566" s="80"/>
      <c r="D566" s="80"/>
      <c r="E566" s="81"/>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80"/>
      <c r="AQ566" s="80"/>
      <c r="AR566" s="80"/>
      <c r="AS566" s="80"/>
      <c r="AT566" s="80"/>
      <c r="AU566" s="80"/>
      <c r="AV566" s="80"/>
      <c r="AW566" s="80"/>
      <c r="AX566" s="80"/>
      <c r="AY566" s="80"/>
      <c r="AZ566" s="80"/>
      <c r="BA566" s="80"/>
      <c r="BB566" s="80"/>
      <c r="BC566" s="80"/>
      <c r="BD566" s="80"/>
      <c r="BE566" s="80"/>
      <c r="BF566" s="80"/>
      <c r="BG566" s="80"/>
      <c r="BH566" s="80"/>
      <c r="BI566" s="80"/>
      <c r="BJ566" s="80"/>
      <c r="BK566" s="80"/>
      <c r="BL566" s="80"/>
      <c r="BM566" s="80"/>
      <c r="BN566" s="80"/>
      <c r="BO566" s="80"/>
    </row>
    <row r="567">
      <c r="A567" s="86"/>
      <c r="B567" s="87"/>
      <c r="C567" s="80"/>
      <c r="D567" s="80"/>
      <c r="E567" s="81"/>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80"/>
      <c r="AQ567" s="80"/>
      <c r="AR567" s="80"/>
      <c r="AS567" s="80"/>
      <c r="AT567" s="80"/>
      <c r="AU567" s="80"/>
      <c r="AV567" s="80"/>
      <c r="AW567" s="80"/>
      <c r="AX567" s="80"/>
      <c r="AY567" s="80"/>
      <c r="AZ567" s="80"/>
      <c r="BA567" s="80"/>
      <c r="BB567" s="80"/>
      <c r="BC567" s="80"/>
      <c r="BD567" s="80"/>
      <c r="BE567" s="80"/>
      <c r="BF567" s="80"/>
      <c r="BG567" s="80"/>
      <c r="BH567" s="80"/>
      <c r="BI567" s="80"/>
      <c r="BJ567" s="80"/>
      <c r="BK567" s="80"/>
      <c r="BL567" s="80"/>
      <c r="BM567" s="80"/>
      <c r="BN567" s="80"/>
      <c r="BO567" s="80"/>
    </row>
    <row r="568">
      <c r="A568" s="86"/>
      <c r="B568" s="87"/>
      <c r="C568" s="80"/>
      <c r="D568" s="80"/>
      <c r="E568" s="81"/>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80"/>
      <c r="AQ568" s="80"/>
      <c r="AR568" s="80"/>
      <c r="AS568" s="80"/>
      <c r="AT568" s="80"/>
      <c r="AU568" s="80"/>
      <c r="AV568" s="80"/>
      <c r="AW568" s="80"/>
      <c r="AX568" s="80"/>
      <c r="AY568" s="80"/>
      <c r="AZ568" s="80"/>
      <c r="BA568" s="80"/>
      <c r="BB568" s="80"/>
      <c r="BC568" s="80"/>
      <c r="BD568" s="80"/>
      <c r="BE568" s="80"/>
      <c r="BF568" s="80"/>
      <c r="BG568" s="80"/>
      <c r="BH568" s="80"/>
      <c r="BI568" s="80"/>
      <c r="BJ568" s="80"/>
      <c r="BK568" s="80"/>
      <c r="BL568" s="80"/>
      <c r="BM568" s="80"/>
      <c r="BN568" s="80"/>
      <c r="BO568" s="80"/>
    </row>
    <row r="569">
      <c r="A569" s="86"/>
      <c r="B569" s="87"/>
      <c r="C569" s="80"/>
      <c r="D569" s="80"/>
      <c r="E569" s="81"/>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80"/>
      <c r="AQ569" s="80"/>
      <c r="AR569" s="80"/>
      <c r="AS569" s="80"/>
      <c r="AT569" s="80"/>
      <c r="AU569" s="80"/>
      <c r="AV569" s="80"/>
      <c r="AW569" s="80"/>
      <c r="AX569" s="80"/>
      <c r="AY569" s="80"/>
      <c r="AZ569" s="80"/>
      <c r="BA569" s="80"/>
      <c r="BB569" s="80"/>
      <c r="BC569" s="80"/>
      <c r="BD569" s="80"/>
      <c r="BE569" s="80"/>
      <c r="BF569" s="80"/>
      <c r="BG569" s="80"/>
      <c r="BH569" s="80"/>
      <c r="BI569" s="80"/>
      <c r="BJ569" s="80"/>
      <c r="BK569" s="80"/>
      <c r="BL569" s="80"/>
      <c r="BM569" s="80"/>
      <c r="BN569" s="80"/>
      <c r="BO569" s="80"/>
    </row>
    <row r="570">
      <c r="A570" s="86"/>
      <c r="B570" s="87"/>
      <c r="C570" s="80"/>
      <c r="D570" s="80"/>
      <c r="E570" s="81"/>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80"/>
      <c r="AQ570" s="80"/>
      <c r="AR570" s="80"/>
      <c r="AS570" s="80"/>
      <c r="AT570" s="80"/>
      <c r="AU570" s="80"/>
      <c r="AV570" s="80"/>
      <c r="AW570" s="80"/>
      <c r="AX570" s="80"/>
      <c r="AY570" s="80"/>
      <c r="AZ570" s="80"/>
      <c r="BA570" s="80"/>
      <c r="BB570" s="80"/>
      <c r="BC570" s="80"/>
      <c r="BD570" s="80"/>
      <c r="BE570" s="80"/>
      <c r="BF570" s="80"/>
      <c r="BG570" s="80"/>
      <c r="BH570" s="80"/>
      <c r="BI570" s="80"/>
      <c r="BJ570" s="80"/>
      <c r="BK570" s="80"/>
      <c r="BL570" s="80"/>
      <c r="BM570" s="80"/>
      <c r="BN570" s="80"/>
      <c r="BO570" s="80"/>
    </row>
    <row r="571">
      <c r="A571" s="86"/>
      <c r="B571" s="87"/>
      <c r="C571" s="80"/>
      <c r="D571" s="80"/>
      <c r="E571" s="81"/>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80"/>
      <c r="AQ571" s="80"/>
      <c r="AR571" s="80"/>
      <c r="AS571" s="80"/>
      <c r="AT571" s="80"/>
      <c r="AU571" s="80"/>
      <c r="AV571" s="80"/>
      <c r="AW571" s="80"/>
      <c r="AX571" s="80"/>
      <c r="AY571" s="80"/>
      <c r="AZ571" s="80"/>
      <c r="BA571" s="80"/>
      <c r="BB571" s="80"/>
      <c r="BC571" s="80"/>
      <c r="BD571" s="80"/>
      <c r="BE571" s="80"/>
      <c r="BF571" s="80"/>
      <c r="BG571" s="80"/>
      <c r="BH571" s="80"/>
      <c r="BI571" s="80"/>
      <c r="BJ571" s="80"/>
      <c r="BK571" s="80"/>
      <c r="BL571" s="80"/>
      <c r="BM571" s="80"/>
      <c r="BN571" s="80"/>
      <c r="BO571" s="80"/>
    </row>
    <row r="572">
      <c r="A572" s="86"/>
      <c r="B572" s="87"/>
      <c r="C572" s="80"/>
      <c r="D572" s="80"/>
      <c r="E572" s="81"/>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80"/>
      <c r="AQ572" s="80"/>
      <c r="AR572" s="80"/>
      <c r="AS572" s="80"/>
      <c r="AT572" s="80"/>
      <c r="AU572" s="80"/>
      <c r="AV572" s="80"/>
      <c r="AW572" s="80"/>
      <c r="AX572" s="80"/>
      <c r="AY572" s="80"/>
      <c r="AZ572" s="80"/>
      <c r="BA572" s="80"/>
      <c r="BB572" s="80"/>
      <c r="BC572" s="80"/>
      <c r="BD572" s="80"/>
      <c r="BE572" s="80"/>
      <c r="BF572" s="80"/>
      <c r="BG572" s="80"/>
      <c r="BH572" s="80"/>
      <c r="BI572" s="80"/>
      <c r="BJ572" s="80"/>
      <c r="BK572" s="80"/>
      <c r="BL572" s="80"/>
      <c r="BM572" s="80"/>
      <c r="BN572" s="80"/>
      <c r="BO572" s="80"/>
    </row>
    <row r="573">
      <c r="A573" s="86"/>
      <c r="B573" s="87"/>
      <c r="C573" s="80"/>
      <c r="D573" s="80"/>
      <c r="E573" s="81"/>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80"/>
      <c r="AQ573" s="80"/>
      <c r="AR573" s="80"/>
      <c r="AS573" s="80"/>
      <c r="AT573" s="80"/>
      <c r="AU573" s="80"/>
      <c r="AV573" s="80"/>
      <c r="AW573" s="80"/>
      <c r="AX573" s="80"/>
      <c r="AY573" s="80"/>
      <c r="AZ573" s="80"/>
      <c r="BA573" s="80"/>
      <c r="BB573" s="80"/>
      <c r="BC573" s="80"/>
      <c r="BD573" s="80"/>
      <c r="BE573" s="80"/>
      <c r="BF573" s="80"/>
      <c r="BG573" s="80"/>
      <c r="BH573" s="80"/>
      <c r="BI573" s="80"/>
      <c r="BJ573" s="80"/>
      <c r="BK573" s="80"/>
      <c r="BL573" s="80"/>
      <c r="BM573" s="80"/>
      <c r="BN573" s="80"/>
      <c r="BO573" s="80"/>
    </row>
    <row r="574">
      <c r="A574" s="86"/>
      <c r="B574" s="87"/>
      <c r="C574" s="80"/>
      <c r="D574" s="80"/>
      <c r="E574" s="81"/>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80"/>
      <c r="AQ574" s="80"/>
      <c r="AR574" s="80"/>
      <c r="AS574" s="80"/>
      <c r="AT574" s="80"/>
      <c r="AU574" s="80"/>
      <c r="AV574" s="80"/>
      <c r="AW574" s="80"/>
      <c r="AX574" s="80"/>
      <c r="AY574" s="80"/>
      <c r="AZ574" s="80"/>
      <c r="BA574" s="80"/>
      <c r="BB574" s="80"/>
      <c r="BC574" s="80"/>
      <c r="BD574" s="80"/>
      <c r="BE574" s="80"/>
      <c r="BF574" s="80"/>
      <c r="BG574" s="80"/>
      <c r="BH574" s="80"/>
      <c r="BI574" s="80"/>
      <c r="BJ574" s="80"/>
      <c r="BK574" s="80"/>
      <c r="BL574" s="80"/>
      <c r="BM574" s="80"/>
      <c r="BN574" s="80"/>
      <c r="BO574" s="80"/>
    </row>
    <row r="575">
      <c r="A575" s="86"/>
      <c r="B575" s="87"/>
      <c r="C575" s="80"/>
      <c r="D575" s="80"/>
      <c r="E575" s="81"/>
      <c r="F575" s="80"/>
      <c r="G575" s="80"/>
      <c r="H575" s="80"/>
      <c r="I575" s="80"/>
      <c r="J575" s="80"/>
      <c r="K575" s="80"/>
      <c r="L575" s="80"/>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80"/>
      <c r="AU575" s="80"/>
      <c r="AV575" s="80"/>
      <c r="AW575" s="80"/>
      <c r="AX575" s="80"/>
      <c r="AY575" s="80"/>
      <c r="AZ575" s="80"/>
      <c r="BA575" s="80"/>
      <c r="BB575" s="80"/>
      <c r="BC575" s="80"/>
      <c r="BD575" s="80"/>
      <c r="BE575" s="80"/>
      <c r="BF575" s="80"/>
      <c r="BG575" s="80"/>
      <c r="BH575" s="80"/>
      <c r="BI575" s="80"/>
      <c r="BJ575" s="80"/>
      <c r="BK575" s="80"/>
      <c r="BL575" s="80"/>
      <c r="BM575" s="80"/>
      <c r="BN575" s="80"/>
      <c r="BO575" s="80"/>
    </row>
    <row r="576">
      <c r="A576" s="86"/>
      <c r="B576" s="87"/>
      <c r="C576" s="80"/>
      <c r="D576" s="80"/>
      <c r="E576" s="81"/>
      <c r="F576" s="80"/>
      <c r="G576" s="80"/>
      <c r="H576" s="80"/>
      <c r="I576" s="80"/>
      <c r="J576" s="80"/>
      <c r="K576" s="80"/>
      <c r="L576" s="80"/>
      <c r="M576" s="80"/>
      <c r="N576" s="80"/>
      <c r="O576" s="80"/>
      <c r="P576" s="80"/>
      <c r="Q576" s="80"/>
      <c r="R576" s="80"/>
      <c r="S576" s="80"/>
      <c r="T576" s="80"/>
      <c r="U576" s="80"/>
      <c r="V576" s="80"/>
      <c r="W576" s="80"/>
      <c r="X576" s="80"/>
      <c r="Y576" s="80"/>
      <c r="Z576" s="80"/>
      <c r="AA576" s="80"/>
      <c r="AB576" s="80"/>
      <c r="AC576" s="80"/>
      <c r="AD576" s="80"/>
      <c r="AE576" s="80"/>
      <c r="AF576" s="80"/>
      <c r="AG576" s="80"/>
      <c r="AH576" s="80"/>
      <c r="AI576" s="80"/>
      <c r="AJ576" s="80"/>
      <c r="AK576" s="80"/>
      <c r="AL576" s="80"/>
      <c r="AM576" s="80"/>
      <c r="AN576" s="80"/>
      <c r="AO576" s="80"/>
      <c r="AP576" s="80"/>
      <c r="AQ576" s="80"/>
      <c r="AR576" s="80"/>
      <c r="AS576" s="80"/>
      <c r="AT576" s="80"/>
      <c r="AU576" s="80"/>
      <c r="AV576" s="80"/>
      <c r="AW576" s="80"/>
      <c r="AX576" s="80"/>
      <c r="AY576" s="80"/>
      <c r="AZ576" s="80"/>
      <c r="BA576" s="80"/>
      <c r="BB576" s="80"/>
      <c r="BC576" s="80"/>
      <c r="BD576" s="80"/>
      <c r="BE576" s="80"/>
      <c r="BF576" s="80"/>
      <c r="BG576" s="80"/>
      <c r="BH576" s="80"/>
      <c r="BI576" s="80"/>
      <c r="BJ576" s="80"/>
      <c r="BK576" s="80"/>
      <c r="BL576" s="80"/>
      <c r="BM576" s="80"/>
      <c r="BN576" s="80"/>
      <c r="BO576" s="80"/>
    </row>
    <row r="577">
      <c r="A577" s="86"/>
      <c r="B577" s="87"/>
      <c r="C577" s="80"/>
      <c r="D577" s="80"/>
      <c r="E577" s="81"/>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80"/>
      <c r="AQ577" s="80"/>
      <c r="AR577" s="80"/>
      <c r="AS577" s="80"/>
      <c r="AT577" s="80"/>
      <c r="AU577" s="80"/>
      <c r="AV577" s="80"/>
      <c r="AW577" s="80"/>
      <c r="AX577" s="80"/>
      <c r="AY577" s="80"/>
      <c r="AZ577" s="80"/>
      <c r="BA577" s="80"/>
      <c r="BB577" s="80"/>
      <c r="BC577" s="80"/>
      <c r="BD577" s="80"/>
      <c r="BE577" s="80"/>
      <c r="BF577" s="80"/>
      <c r="BG577" s="80"/>
      <c r="BH577" s="80"/>
      <c r="BI577" s="80"/>
      <c r="BJ577" s="80"/>
      <c r="BK577" s="80"/>
      <c r="BL577" s="80"/>
      <c r="BM577" s="80"/>
      <c r="BN577" s="80"/>
      <c r="BO577" s="80"/>
    </row>
    <row r="578">
      <c r="A578" s="86"/>
      <c r="B578" s="87"/>
      <c r="C578" s="80"/>
      <c r="D578" s="80"/>
      <c r="E578" s="81"/>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80"/>
      <c r="AQ578" s="80"/>
      <c r="AR578" s="80"/>
      <c r="AS578" s="80"/>
      <c r="AT578" s="80"/>
      <c r="AU578" s="80"/>
      <c r="AV578" s="80"/>
      <c r="AW578" s="80"/>
      <c r="AX578" s="80"/>
      <c r="AY578" s="80"/>
      <c r="AZ578" s="80"/>
      <c r="BA578" s="80"/>
      <c r="BB578" s="80"/>
      <c r="BC578" s="80"/>
      <c r="BD578" s="80"/>
      <c r="BE578" s="80"/>
      <c r="BF578" s="80"/>
      <c r="BG578" s="80"/>
      <c r="BH578" s="80"/>
      <c r="BI578" s="80"/>
      <c r="BJ578" s="80"/>
      <c r="BK578" s="80"/>
      <c r="BL578" s="80"/>
      <c r="BM578" s="80"/>
      <c r="BN578" s="80"/>
      <c r="BO578" s="80"/>
    </row>
    <row r="579">
      <c r="A579" s="86"/>
      <c r="B579" s="87"/>
      <c r="C579" s="80"/>
      <c r="D579" s="80"/>
      <c r="E579" s="81"/>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80"/>
      <c r="AQ579" s="80"/>
      <c r="AR579" s="80"/>
      <c r="AS579" s="80"/>
      <c r="AT579" s="80"/>
      <c r="AU579" s="80"/>
      <c r="AV579" s="80"/>
      <c r="AW579" s="80"/>
      <c r="AX579" s="80"/>
      <c r="AY579" s="80"/>
      <c r="AZ579" s="80"/>
      <c r="BA579" s="80"/>
      <c r="BB579" s="80"/>
      <c r="BC579" s="80"/>
      <c r="BD579" s="80"/>
      <c r="BE579" s="80"/>
      <c r="BF579" s="80"/>
      <c r="BG579" s="80"/>
      <c r="BH579" s="80"/>
      <c r="BI579" s="80"/>
      <c r="BJ579" s="80"/>
      <c r="BK579" s="80"/>
      <c r="BL579" s="80"/>
      <c r="BM579" s="80"/>
      <c r="BN579" s="80"/>
      <c r="BO579" s="80"/>
    </row>
    <row r="580">
      <c r="A580" s="86"/>
      <c r="B580" s="87"/>
      <c r="C580" s="80"/>
      <c r="D580" s="80"/>
      <c r="E580" s="81"/>
      <c r="F580" s="80"/>
      <c r="G580" s="80"/>
      <c r="H580" s="80"/>
      <c r="I580" s="80"/>
      <c r="J580" s="80"/>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80"/>
      <c r="AU580" s="80"/>
      <c r="AV580" s="80"/>
      <c r="AW580" s="80"/>
      <c r="AX580" s="80"/>
      <c r="AY580" s="80"/>
      <c r="AZ580" s="80"/>
      <c r="BA580" s="80"/>
      <c r="BB580" s="80"/>
      <c r="BC580" s="80"/>
      <c r="BD580" s="80"/>
      <c r="BE580" s="80"/>
      <c r="BF580" s="80"/>
      <c r="BG580" s="80"/>
      <c r="BH580" s="80"/>
      <c r="BI580" s="80"/>
      <c r="BJ580" s="80"/>
      <c r="BK580" s="80"/>
      <c r="BL580" s="80"/>
      <c r="BM580" s="80"/>
      <c r="BN580" s="80"/>
      <c r="BO580" s="80"/>
    </row>
    <row r="581">
      <c r="A581" s="86"/>
      <c r="B581" s="87"/>
      <c r="C581" s="80"/>
      <c r="D581" s="80"/>
      <c r="E581" s="81"/>
      <c r="F581" s="80"/>
      <c r="G581" s="80"/>
      <c r="H581" s="80"/>
      <c r="I581" s="80"/>
      <c r="J581" s="80"/>
      <c r="K581" s="80"/>
      <c r="L581" s="80"/>
      <c r="M581" s="80"/>
      <c r="N581" s="80"/>
      <c r="O581" s="80"/>
      <c r="P581" s="80"/>
      <c r="Q581" s="80"/>
      <c r="R581" s="80"/>
      <c r="S581" s="80"/>
      <c r="T581" s="80"/>
      <c r="U581" s="80"/>
      <c r="V581" s="80"/>
      <c r="W581" s="80"/>
      <c r="X581" s="80"/>
      <c r="Y581" s="80"/>
      <c r="Z581" s="80"/>
      <c r="AA581" s="80"/>
      <c r="AB581" s="80"/>
      <c r="AC581" s="80"/>
      <c r="AD581" s="80"/>
      <c r="AE581" s="80"/>
      <c r="AF581" s="80"/>
      <c r="AG581" s="80"/>
      <c r="AH581" s="80"/>
      <c r="AI581" s="80"/>
      <c r="AJ581" s="80"/>
      <c r="AK581" s="80"/>
      <c r="AL581" s="80"/>
      <c r="AM581" s="80"/>
      <c r="AN581" s="80"/>
      <c r="AO581" s="80"/>
      <c r="AP581" s="80"/>
      <c r="AQ581" s="80"/>
      <c r="AR581" s="80"/>
      <c r="AS581" s="80"/>
      <c r="AT581" s="80"/>
      <c r="AU581" s="80"/>
      <c r="AV581" s="80"/>
      <c r="AW581" s="80"/>
      <c r="AX581" s="80"/>
      <c r="AY581" s="80"/>
      <c r="AZ581" s="80"/>
      <c r="BA581" s="80"/>
      <c r="BB581" s="80"/>
      <c r="BC581" s="80"/>
      <c r="BD581" s="80"/>
      <c r="BE581" s="80"/>
      <c r="BF581" s="80"/>
      <c r="BG581" s="80"/>
      <c r="BH581" s="80"/>
      <c r="BI581" s="80"/>
      <c r="BJ581" s="80"/>
      <c r="BK581" s="80"/>
      <c r="BL581" s="80"/>
      <c r="BM581" s="80"/>
      <c r="BN581" s="80"/>
      <c r="BO581" s="80"/>
    </row>
    <row r="582">
      <c r="A582" s="86"/>
      <c r="B582" s="87"/>
      <c r="C582" s="80"/>
      <c r="D582" s="80"/>
      <c r="E582" s="81"/>
      <c r="F582" s="80"/>
      <c r="G582" s="80"/>
      <c r="H582" s="80"/>
      <c r="I582" s="80"/>
      <c r="J582" s="80"/>
      <c r="K582" s="80"/>
      <c r="L582" s="80"/>
      <c r="M582" s="80"/>
      <c r="N582" s="80"/>
      <c r="O582" s="80"/>
      <c r="P582" s="80"/>
      <c r="Q582" s="80"/>
      <c r="R582" s="80"/>
      <c r="S582" s="80"/>
      <c r="T582" s="80"/>
      <c r="U582" s="80"/>
      <c r="V582" s="80"/>
      <c r="W582" s="80"/>
      <c r="X582" s="80"/>
      <c r="Y582" s="80"/>
      <c r="Z582" s="80"/>
      <c r="AA582" s="80"/>
      <c r="AB582" s="80"/>
      <c r="AC582" s="80"/>
      <c r="AD582" s="80"/>
      <c r="AE582" s="80"/>
      <c r="AF582" s="80"/>
      <c r="AG582" s="80"/>
      <c r="AH582" s="80"/>
      <c r="AI582" s="80"/>
      <c r="AJ582" s="80"/>
      <c r="AK582" s="80"/>
      <c r="AL582" s="80"/>
      <c r="AM582" s="80"/>
      <c r="AN582" s="80"/>
      <c r="AO582" s="80"/>
      <c r="AP582" s="80"/>
      <c r="AQ582" s="80"/>
      <c r="AR582" s="80"/>
      <c r="AS582" s="80"/>
      <c r="AT582" s="80"/>
      <c r="AU582" s="80"/>
      <c r="AV582" s="80"/>
      <c r="AW582" s="80"/>
      <c r="AX582" s="80"/>
      <c r="AY582" s="80"/>
      <c r="AZ582" s="80"/>
      <c r="BA582" s="80"/>
      <c r="BB582" s="80"/>
      <c r="BC582" s="80"/>
      <c r="BD582" s="80"/>
      <c r="BE582" s="80"/>
      <c r="BF582" s="80"/>
      <c r="BG582" s="80"/>
      <c r="BH582" s="80"/>
      <c r="BI582" s="80"/>
      <c r="BJ582" s="80"/>
      <c r="BK582" s="80"/>
      <c r="BL582" s="80"/>
      <c r="BM582" s="80"/>
      <c r="BN582" s="80"/>
      <c r="BO582" s="80"/>
    </row>
    <row r="583">
      <c r="A583" s="86"/>
      <c r="B583" s="87"/>
      <c r="C583" s="80"/>
      <c r="D583" s="80"/>
      <c r="E583" s="81"/>
      <c r="F583" s="80"/>
      <c r="G583" s="80"/>
      <c r="H583" s="80"/>
      <c r="I583" s="80"/>
      <c r="J583" s="80"/>
      <c r="K583" s="80"/>
      <c r="L583" s="80"/>
      <c r="M583" s="80"/>
      <c r="N583" s="80"/>
      <c r="O583" s="80"/>
      <c r="P583" s="80"/>
      <c r="Q583" s="80"/>
      <c r="R583" s="80"/>
      <c r="S583" s="80"/>
      <c r="T583" s="80"/>
      <c r="U583" s="80"/>
      <c r="V583" s="80"/>
      <c r="W583" s="80"/>
      <c r="X583" s="80"/>
      <c r="Y583" s="80"/>
      <c r="Z583" s="80"/>
      <c r="AA583" s="80"/>
      <c r="AB583" s="80"/>
      <c r="AC583" s="80"/>
      <c r="AD583" s="80"/>
      <c r="AE583" s="80"/>
      <c r="AF583" s="80"/>
      <c r="AG583" s="80"/>
      <c r="AH583" s="80"/>
      <c r="AI583" s="80"/>
      <c r="AJ583" s="80"/>
      <c r="AK583" s="80"/>
      <c r="AL583" s="80"/>
      <c r="AM583" s="80"/>
      <c r="AN583" s="80"/>
      <c r="AO583" s="80"/>
      <c r="AP583" s="80"/>
      <c r="AQ583" s="80"/>
      <c r="AR583" s="80"/>
      <c r="AS583" s="80"/>
      <c r="AT583" s="80"/>
      <c r="AU583" s="80"/>
      <c r="AV583" s="80"/>
      <c r="AW583" s="80"/>
      <c r="AX583" s="80"/>
      <c r="AY583" s="80"/>
      <c r="AZ583" s="80"/>
      <c r="BA583" s="80"/>
      <c r="BB583" s="80"/>
      <c r="BC583" s="80"/>
      <c r="BD583" s="80"/>
      <c r="BE583" s="80"/>
      <c r="BF583" s="80"/>
      <c r="BG583" s="80"/>
      <c r="BH583" s="80"/>
      <c r="BI583" s="80"/>
      <c r="BJ583" s="80"/>
      <c r="BK583" s="80"/>
      <c r="BL583" s="80"/>
      <c r="BM583" s="80"/>
      <c r="BN583" s="80"/>
      <c r="BO583" s="80"/>
    </row>
    <row r="584">
      <c r="A584" s="86"/>
      <c r="B584" s="87"/>
      <c r="C584" s="80"/>
      <c r="D584" s="80"/>
      <c r="E584" s="81"/>
      <c r="F584" s="80"/>
      <c r="G584" s="80"/>
      <c r="H584" s="80"/>
      <c r="I584" s="80"/>
      <c r="J584" s="80"/>
      <c r="K584" s="80"/>
      <c r="L584" s="80"/>
      <c r="M584" s="80"/>
      <c r="N584" s="80"/>
      <c r="O584" s="80"/>
      <c r="P584" s="80"/>
      <c r="Q584" s="80"/>
      <c r="R584" s="80"/>
      <c r="S584" s="80"/>
      <c r="T584" s="80"/>
      <c r="U584" s="80"/>
      <c r="V584" s="80"/>
      <c r="W584" s="80"/>
      <c r="X584" s="80"/>
      <c r="Y584" s="80"/>
      <c r="Z584" s="80"/>
      <c r="AA584" s="80"/>
      <c r="AB584" s="80"/>
      <c r="AC584" s="80"/>
      <c r="AD584" s="80"/>
      <c r="AE584" s="80"/>
      <c r="AF584" s="80"/>
      <c r="AG584" s="80"/>
      <c r="AH584" s="80"/>
      <c r="AI584" s="80"/>
      <c r="AJ584" s="80"/>
      <c r="AK584" s="80"/>
      <c r="AL584" s="80"/>
      <c r="AM584" s="80"/>
      <c r="AN584" s="80"/>
      <c r="AO584" s="80"/>
      <c r="AP584" s="80"/>
      <c r="AQ584" s="80"/>
      <c r="AR584" s="80"/>
      <c r="AS584" s="80"/>
      <c r="AT584" s="80"/>
      <c r="AU584" s="80"/>
      <c r="AV584" s="80"/>
      <c r="AW584" s="80"/>
      <c r="AX584" s="80"/>
      <c r="AY584" s="80"/>
      <c r="AZ584" s="80"/>
      <c r="BA584" s="80"/>
      <c r="BB584" s="80"/>
      <c r="BC584" s="80"/>
      <c r="BD584" s="80"/>
      <c r="BE584" s="80"/>
      <c r="BF584" s="80"/>
      <c r="BG584" s="80"/>
      <c r="BH584" s="80"/>
      <c r="BI584" s="80"/>
      <c r="BJ584" s="80"/>
      <c r="BK584" s="80"/>
      <c r="BL584" s="80"/>
      <c r="BM584" s="80"/>
      <c r="BN584" s="80"/>
      <c r="BO584" s="80"/>
    </row>
    <row r="585">
      <c r="A585" s="86"/>
      <c r="B585" s="87"/>
      <c r="C585" s="80"/>
      <c r="D585" s="80"/>
      <c r="E585" s="81"/>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80"/>
      <c r="AQ585" s="80"/>
      <c r="AR585" s="80"/>
      <c r="AS585" s="80"/>
      <c r="AT585" s="80"/>
      <c r="AU585" s="80"/>
      <c r="AV585" s="80"/>
      <c r="AW585" s="80"/>
      <c r="AX585" s="80"/>
      <c r="AY585" s="80"/>
      <c r="AZ585" s="80"/>
      <c r="BA585" s="80"/>
      <c r="BB585" s="80"/>
      <c r="BC585" s="80"/>
      <c r="BD585" s="80"/>
      <c r="BE585" s="80"/>
      <c r="BF585" s="80"/>
      <c r="BG585" s="80"/>
      <c r="BH585" s="80"/>
      <c r="BI585" s="80"/>
      <c r="BJ585" s="80"/>
      <c r="BK585" s="80"/>
      <c r="BL585" s="80"/>
      <c r="BM585" s="80"/>
      <c r="BN585" s="80"/>
      <c r="BO585" s="80"/>
    </row>
    <row r="586">
      <c r="A586" s="86"/>
      <c r="B586" s="87"/>
      <c r="C586" s="80"/>
      <c r="D586" s="80"/>
      <c r="E586" s="81"/>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80"/>
      <c r="AQ586" s="80"/>
      <c r="AR586" s="80"/>
      <c r="AS586" s="80"/>
      <c r="AT586" s="80"/>
      <c r="AU586" s="80"/>
      <c r="AV586" s="80"/>
      <c r="AW586" s="80"/>
      <c r="AX586" s="80"/>
      <c r="AY586" s="80"/>
      <c r="AZ586" s="80"/>
      <c r="BA586" s="80"/>
      <c r="BB586" s="80"/>
      <c r="BC586" s="80"/>
      <c r="BD586" s="80"/>
      <c r="BE586" s="80"/>
      <c r="BF586" s="80"/>
      <c r="BG586" s="80"/>
      <c r="BH586" s="80"/>
      <c r="BI586" s="80"/>
      <c r="BJ586" s="80"/>
      <c r="BK586" s="80"/>
      <c r="BL586" s="80"/>
      <c r="BM586" s="80"/>
      <c r="BN586" s="80"/>
      <c r="BO586" s="80"/>
    </row>
    <row r="587">
      <c r="A587" s="86"/>
      <c r="B587" s="87"/>
      <c r="C587" s="80"/>
      <c r="D587" s="80"/>
      <c r="E587" s="81"/>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80"/>
      <c r="AQ587" s="80"/>
      <c r="AR587" s="80"/>
      <c r="AS587" s="80"/>
      <c r="AT587" s="80"/>
      <c r="AU587" s="80"/>
      <c r="AV587" s="80"/>
      <c r="AW587" s="80"/>
      <c r="AX587" s="80"/>
      <c r="AY587" s="80"/>
      <c r="AZ587" s="80"/>
      <c r="BA587" s="80"/>
      <c r="BB587" s="80"/>
      <c r="BC587" s="80"/>
      <c r="BD587" s="80"/>
      <c r="BE587" s="80"/>
      <c r="BF587" s="80"/>
      <c r="BG587" s="80"/>
      <c r="BH587" s="80"/>
      <c r="BI587" s="80"/>
      <c r="BJ587" s="80"/>
      <c r="BK587" s="80"/>
      <c r="BL587" s="80"/>
      <c r="BM587" s="80"/>
      <c r="BN587" s="80"/>
      <c r="BO587" s="80"/>
    </row>
    <row r="588">
      <c r="A588" s="86"/>
      <c r="B588" s="87"/>
      <c r="C588" s="80"/>
      <c r="D588" s="80"/>
      <c r="E588" s="81"/>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80"/>
      <c r="AQ588" s="80"/>
      <c r="AR588" s="80"/>
      <c r="AS588" s="80"/>
      <c r="AT588" s="80"/>
      <c r="AU588" s="80"/>
      <c r="AV588" s="80"/>
      <c r="AW588" s="80"/>
      <c r="AX588" s="80"/>
      <c r="AY588" s="80"/>
      <c r="AZ588" s="80"/>
      <c r="BA588" s="80"/>
      <c r="BB588" s="80"/>
      <c r="BC588" s="80"/>
      <c r="BD588" s="80"/>
      <c r="BE588" s="80"/>
      <c r="BF588" s="80"/>
      <c r="BG588" s="80"/>
      <c r="BH588" s="80"/>
      <c r="BI588" s="80"/>
      <c r="BJ588" s="80"/>
      <c r="BK588" s="80"/>
      <c r="BL588" s="80"/>
      <c r="BM588" s="80"/>
      <c r="BN588" s="80"/>
      <c r="BO588" s="80"/>
    </row>
    <row r="589">
      <c r="A589" s="86"/>
      <c r="B589" s="87"/>
      <c r="C589" s="80"/>
      <c r="D589" s="80"/>
      <c r="E589" s="81"/>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80"/>
      <c r="AQ589" s="80"/>
      <c r="AR589" s="80"/>
      <c r="AS589" s="80"/>
      <c r="AT589" s="80"/>
      <c r="AU589" s="80"/>
      <c r="AV589" s="80"/>
      <c r="AW589" s="80"/>
      <c r="AX589" s="80"/>
      <c r="AY589" s="80"/>
      <c r="AZ589" s="80"/>
      <c r="BA589" s="80"/>
      <c r="BB589" s="80"/>
      <c r="BC589" s="80"/>
      <c r="BD589" s="80"/>
      <c r="BE589" s="80"/>
      <c r="BF589" s="80"/>
      <c r="BG589" s="80"/>
      <c r="BH589" s="80"/>
      <c r="BI589" s="80"/>
      <c r="BJ589" s="80"/>
      <c r="BK589" s="80"/>
      <c r="BL589" s="80"/>
      <c r="BM589" s="80"/>
      <c r="BN589" s="80"/>
      <c r="BO589" s="80"/>
    </row>
    <row r="590">
      <c r="A590" s="86"/>
      <c r="B590" s="87"/>
      <c r="C590" s="80"/>
      <c r="D590" s="80"/>
      <c r="E590" s="81"/>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80"/>
      <c r="AQ590" s="80"/>
      <c r="AR590" s="80"/>
      <c r="AS590" s="80"/>
      <c r="AT590" s="80"/>
      <c r="AU590" s="80"/>
      <c r="AV590" s="80"/>
      <c r="AW590" s="80"/>
      <c r="AX590" s="80"/>
      <c r="AY590" s="80"/>
      <c r="AZ590" s="80"/>
      <c r="BA590" s="80"/>
      <c r="BB590" s="80"/>
      <c r="BC590" s="80"/>
      <c r="BD590" s="80"/>
      <c r="BE590" s="80"/>
      <c r="BF590" s="80"/>
      <c r="BG590" s="80"/>
      <c r="BH590" s="80"/>
      <c r="BI590" s="80"/>
      <c r="BJ590" s="80"/>
      <c r="BK590" s="80"/>
      <c r="BL590" s="80"/>
      <c r="BM590" s="80"/>
      <c r="BN590" s="80"/>
      <c r="BO590" s="80"/>
    </row>
    <row r="591">
      <c r="A591" s="86"/>
      <c r="B591" s="87"/>
      <c r="C591" s="80"/>
      <c r="D591" s="80"/>
      <c r="E591" s="81"/>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80"/>
      <c r="AQ591" s="80"/>
      <c r="AR591" s="80"/>
      <c r="AS591" s="80"/>
      <c r="AT591" s="80"/>
      <c r="AU591" s="80"/>
      <c r="AV591" s="80"/>
      <c r="AW591" s="80"/>
      <c r="AX591" s="80"/>
      <c r="AY591" s="80"/>
      <c r="AZ591" s="80"/>
      <c r="BA591" s="80"/>
      <c r="BB591" s="80"/>
      <c r="BC591" s="80"/>
      <c r="BD591" s="80"/>
      <c r="BE591" s="80"/>
      <c r="BF591" s="80"/>
      <c r="BG591" s="80"/>
      <c r="BH591" s="80"/>
      <c r="BI591" s="80"/>
      <c r="BJ591" s="80"/>
      <c r="BK591" s="80"/>
      <c r="BL591" s="80"/>
      <c r="BM591" s="80"/>
      <c r="BN591" s="80"/>
      <c r="BO591" s="80"/>
    </row>
    <row r="592">
      <c r="A592" s="86"/>
      <c r="B592" s="87"/>
      <c r="C592" s="80"/>
      <c r="D592" s="80"/>
      <c r="E592" s="81"/>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80"/>
      <c r="AQ592" s="80"/>
      <c r="AR592" s="80"/>
      <c r="AS592" s="80"/>
      <c r="AT592" s="80"/>
      <c r="AU592" s="80"/>
      <c r="AV592" s="80"/>
      <c r="AW592" s="80"/>
      <c r="AX592" s="80"/>
      <c r="AY592" s="80"/>
      <c r="AZ592" s="80"/>
      <c r="BA592" s="80"/>
      <c r="BB592" s="80"/>
      <c r="BC592" s="80"/>
      <c r="BD592" s="80"/>
      <c r="BE592" s="80"/>
      <c r="BF592" s="80"/>
      <c r="BG592" s="80"/>
      <c r="BH592" s="80"/>
      <c r="BI592" s="80"/>
      <c r="BJ592" s="80"/>
      <c r="BK592" s="80"/>
      <c r="BL592" s="80"/>
      <c r="BM592" s="80"/>
      <c r="BN592" s="80"/>
      <c r="BO592" s="80"/>
    </row>
    <row r="593">
      <c r="A593" s="86"/>
      <c r="B593" s="87"/>
      <c r="C593" s="80"/>
      <c r="D593" s="80"/>
      <c r="E593" s="81"/>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80"/>
      <c r="AQ593" s="80"/>
      <c r="AR593" s="80"/>
      <c r="AS593" s="80"/>
      <c r="AT593" s="80"/>
      <c r="AU593" s="80"/>
      <c r="AV593" s="80"/>
      <c r="AW593" s="80"/>
      <c r="AX593" s="80"/>
      <c r="AY593" s="80"/>
      <c r="AZ593" s="80"/>
      <c r="BA593" s="80"/>
      <c r="BB593" s="80"/>
      <c r="BC593" s="80"/>
      <c r="BD593" s="80"/>
      <c r="BE593" s="80"/>
      <c r="BF593" s="80"/>
      <c r="BG593" s="80"/>
      <c r="BH593" s="80"/>
      <c r="BI593" s="80"/>
      <c r="BJ593" s="80"/>
      <c r="BK593" s="80"/>
      <c r="BL593" s="80"/>
      <c r="BM593" s="80"/>
      <c r="BN593" s="80"/>
      <c r="BO593" s="80"/>
    </row>
    <row r="594">
      <c r="A594" s="86"/>
      <c r="B594" s="87"/>
      <c r="C594" s="80"/>
      <c r="D594" s="80"/>
      <c r="E594" s="81"/>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80"/>
      <c r="AQ594" s="80"/>
      <c r="AR594" s="80"/>
      <c r="AS594" s="80"/>
      <c r="AT594" s="80"/>
      <c r="AU594" s="80"/>
      <c r="AV594" s="80"/>
      <c r="AW594" s="80"/>
      <c r="AX594" s="80"/>
      <c r="AY594" s="80"/>
      <c r="AZ594" s="80"/>
      <c r="BA594" s="80"/>
      <c r="BB594" s="80"/>
      <c r="BC594" s="80"/>
      <c r="BD594" s="80"/>
      <c r="BE594" s="80"/>
      <c r="BF594" s="80"/>
      <c r="BG594" s="80"/>
      <c r="BH594" s="80"/>
      <c r="BI594" s="80"/>
      <c r="BJ594" s="80"/>
      <c r="BK594" s="80"/>
      <c r="BL594" s="80"/>
      <c r="BM594" s="80"/>
      <c r="BN594" s="80"/>
      <c r="BO594" s="80"/>
    </row>
    <row r="595">
      <c r="A595" s="86"/>
      <c r="B595" s="87"/>
      <c r="C595" s="80"/>
      <c r="D595" s="80"/>
      <c r="E595" s="81"/>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80"/>
      <c r="AQ595" s="80"/>
      <c r="AR595" s="80"/>
      <c r="AS595" s="80"/>
      <c r="AT595" s="80"/>
      <c r="AU595" s="80"/>
      <c r="AV595" s="80"/>
      <c r="AW595" s="80"/>
      <c r="AX595" s="80"/>
      <c r="AY595" s="80"/>
      <c r="AZ595" s="80"/>
      <c r="BA595" s="80"/>
      <c r="BB595" s="80"/>
      <c r="BC595" s="80"/>
      <c r="BD595" s="80"/>
      <c r="BE595" s="80"/>
      <c r="BF595" s="80"/>
      <c r="BG595" s="80"/>
      <c r="BH595" s="80"/>
      <c r="BI595" s="80"/>
      <c r="BJ595" s="80"/>
      <c r="BK595" s="80"/>
      <c r="BL595" s="80"/>
      <c r="BM595" s="80"/>
      <c r="BN595" s="80"/>
      <c r="BO595" s="80"/>
    </row>
    <row r="596">
      <c r="A596" s="86"/>
      <c r="B596" s="87"/>
      <c r="C596" s="80"/>
      <c r="D596" s="80"/>
      <c r="E596" s="81"/>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80"/>
      <c r="AQ596" s="80"/>
      <c r="AR596" s="80"/>
      <c r="AS596" s="80"/>
      <c r="AT596" s="80"/>
      <c r="AU596" s="80"/>
      <c r="AV596" s="80"/>
      <c r="AW596" s="80"/>
      <c r="AX596" s="80"/>
      <c r="AY596" s="80"/>
      <c r="AZ596" s="80"/>
      <c r="BA596" s="80"/>
      <c r="BB596" s="80"/>
      <c r="BC596" s="80"/>
      <c r="BD596" s="80"/>
      <c r="BE596" s="80"/>
      <c r="BF596" s="80"/>
      <c r="BG596" s="80"/>
      <c r="BH596" s="80"/>
      <c r="BI596" s="80"/>
      <c r="BJ596" s="80"/>
      <c r="BK596" s="80"/>
      <c r="BL596" s="80"/>
      <c r="BM596" s="80"/>
      <c r="BN596" s="80"/>
      <c r="BO596" s="80"/>
    </row>
    <row r="597">
      <c r="A597" s="86"/>
      <c r="B597" s="87"/>
      <c r="C597" s="80"/>
      <c r="D597" s="80"/>
      <c r="E597" s="81"/>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80"/>
      <c r="AQ597" s="80"/>
      <c r="AR597" s="80"/>
      <c r="AS597" s="80"/>
      <c r="AT597" s="80"/>
      <c r="AU597" s="80"/>
      <c r="AV597" s="80"/>
      <c r="AW597" s="80"/>
      <c r="AX597" s="80"/>
      <c r="AY597" s="80"/>
      <c r="AZ597" s="80"/>
      <c r="BA597" s="80"/>
      <c r="BB597" s="80"/>
      <c r="BC597" s="80"/>
      <c r="BD597" s="80"/>
      <c r="BE597" s="80"/>
      <c r="BF597" s="80"/>
      <c r="BG597" s="80"/>
      <c r="BH597" s="80"/>
      <c r="BI597" s="80"/>
      <c r="BJ597" s="80"/>
      <c r="BK597" s="80"/>
      <c r="BL597" s="80"/>
      <c r="BM597" s="80"/>
      <c r="BN597" s="80"/>
      <c r="BO597" s="80"/>
    </row>
    <row r="598">
      <c r="A598" s="86"/>
      <c r="B598" s="87"/>
      <c r="C598" s="80"/>
      <c r="D598" s="80"/>
      <c r="E598" s="81"/>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80"/>
      <c r="AQ598" s="80"/>
      <c r="AR598" s="80"/>
      <c r="AS598" s="80"/>
      <c r="AT598" s="80"/>
      <c r="AU598" s="80"/>
      <c r="AV598" s="80"/>
      <c r="AW598" s="80"/>
      <c r="AX598" s="80"/>
      <c r="AY598" s="80"/>
      <c r="AZ598" s="80"/>
      <c r="BA598" s="80"/>
      <c r="BB598" s="80"/>
      <c r="BC598" s="80"/>
      <c r="BD598" s="80"/>
      <c r="BE598" s="80"/>
      <c r="BF598" s="80"/>
      <c r="BG598" s="80"/>
      <c r="BH598" s="80"/>
      <c r="BI598" s="80"/>
      <c r="BJ598" s="80"/>
      <c r="BK598" s="80"/>
      <c r="BL598" s="80"/>
      <c r="BM598" s="80"/>
      <c r="BN598" s="80"/>
      <c r="BO598" s="80"/>
    </row>
    <row r="599">
      <c r="A599" s="86"/>
      <c r="B599" s="87"/>
      <c r="C599" s="80"/>
      <c r="D599" s="80"/>
      <c r="E599" s="81"/>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80"/>
      <c r="AQ599" s="80"/>
      <c r="AR599" s="80"/>
      <c r="AS599" s="80"/>
      <c r="AT599" s="80"/>
      <c r="AU599" s="80"/>
      <c r="AV599" s="80"/>
      <c r="AW599" s="80"/>
      <c r="AX599" s="80"/>
      <c r="AY599" s="80"/>
      <c r="AZ599" s="80"/>
      <c r="BA599" s="80"/>
      <c r="BB599" s="80"/>
      <c r="BC599" s="80"/>
      <c r="BD599" s="80"/>
      <c r="BE599" s="80"/>
      <c r="BF599" s="80"/>
      <c r="BG599" s="80"/>
      <c r="BH599" s="80"/>
      <c r="BI599" s="80"/>
      <c r="BJ599" s="80"/>
      <c r="BK599" s="80"/>
      <c r="BL599" s="80"/>
      <c r="BM599" s="80"/>
      <c r="BN599" s="80"/>
      <c r="BO599" s="80"/>
    </row>
    <row r="600">
      <c r="A600" s="86"/>
      <c r="B600" s="87"/>
      <c r="C600" s="80"/>
      <c r="D600" s="80"/>
      <c r="E600" s="81"/>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80"/>
      <c r="AQ600" s="80"/>
      <c r="AR600" s="80"/>
      <c r="AS600" s="80"/>
      <c r="AT600" s="80"/>
      <c r="AU600" s="80"/>
      <c r="AV600" s="80"/>
      <c r="AW600" s="80"/>
      <c r="AX600" s="80"/>
      <c r="AY600" s="80"/>
      <c r="AZ600" s="80"/>
      <c r="BA600" s="80"/>
      <c r="BB600" s="80"/>
      <c r="BC600" s="80"/>
      <c r="BD600" s="80"/>
      <c r="BE600" s="80"/>
      <c r="BF600" s="80"/>
      <c r="BG600" s="80"/>
      <c r="BH600" s="80"/>
      <c r="BI600" s="80"/>
      <c r="BJ600" s="80"/>
      <c r="BK600" s="80"/>
      <c r="BL600" s="80"/>
      <c r="BM600" s="80"/>
      <c r="BN600" s="80"/>
      <c r="BO600" s="80"/>
    </row>
    <row r="601">
      <c r="A601" s="86"/>
      <c r="B601" s="87"/>
      <c r="C601" s="80"/>
      <c r="D601" s="80"/>
      <c r="E601" s="81"/>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80"/>
      <c r="AQ601" s="80"/>
      <c r="AR601" s="80"/>
      <c r="AS601" s="80"/>
      <c r="AT601" s="80"/>
      <c r="AU601" s="80"/>
      <c r="AV601" s="80"/>
      <c r="AW601" s="80"/>
      <c r="AX601" s="80"/>
      <c r="AY601" s="80"/>
      <c r="AZ601" s="80"/>
      <c r="BA601" s="80"/>
      <c r="BB601" s="80"/>
      <c r="BC601" s="80"/>
      <c r="BD601" s="80"/>
      <c r="BE601" s="80"/>
      <c r="BF601" s="80"/>
      <c r="BG601" s="80"/>
      <c r="BH601" s="80"/>
      <c r="BI601" s="80"/>
      <c r="BJ601" s="80"/>
      <c r="BK601" s="80"/>
      <c r="BL601" s="80"/>
      <c r="BM601" s="80"/>
      <c r="BN601" s="80"/>
      <c r="BO601" s="80"/>
    </row>
    <row r="602">
      <c r="A602" s="86"/>
      <c r="B602" s="87"/>
      <c r="C602" s="80"/>
      <c r="D602" s="80"/>
      <c r="E602" s="81"/>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80"/>
      <c r="AQ602" s="80"/>
      <c r="AR602" s="80"/>
      <c r="AS602" s="80"/>
      <c r="AT602" s="80"/>
      <c r="AU602" s="80"/>
      <c r="AV602" s="80"/>
      <c r="AW602" s="80"/>
      <c r="AX602" s="80"/>
      <c r="AY602" s="80"/>
      <c r="AZ602" s="80"/>
      <c r="BA602" s="80"/>
      <c r="BB602" s="80"/>
      <c r="BC602" s="80"/>
      <c r="BD602" s="80"/>
      <c r="BE602" s="80"/>
      <c r="BF602" s="80"/>
      <c r="BG602" s="80"/>
      <c r="BH602" s="80"/>
      <c r="BI602" s="80"/>
      <c r="BJ602" s="80"/>
      <c r="BK602" s="80"/>
      <c r="BL602" s="80"/>
      <c r="BM602" s="80"/>
      <c r="BN602" s="80"/>
      <c r="BO602" s="80"/>
    </row>
    <row r="603">
      <c r="A603" s="86"/>
      <c r="B603" s="87"/>
      <c r="C603" s="80"/>
      <c r="D603" s="80"/>
      <c r="E603" s="81"/>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80"/>
      <c r="AQ603" s="80"/>
      <c r="AR603" s="80"/>
      <c r="AS603" s="80"/>
      <c r="AT603" s="80"/>
      <c r="AU603" s="80"/>
      <c r="AV603" s="80"/>
      <c r="AW603" s="80"/>
      <c r="AX603" s="80"/>
      <c r="AY603" s="80"/>
      <c r="AZ603" s="80"/>
      <c r="BA603" s="80"/>
      <c r="BB603" s="80"/>
      <c r="BC603" s="80"/>
      <c r="BD603" s="80"/>
      <c r="BE603" s="80"/>
      <c r="BF603" s="80"/>
      <c r="BG603" s="80"/>
      <c r="BH603" s="80"/>
      <c r="BI603" s="80"/>
      <c r="BJ603" s="80"/>
      <c r="BK603" s="80"/>
      <c r="BL603" s="80"/>
      <c r="BM603" s="80"/>
      <c r="BN603" s="80"/>
      <c r="BO603" s="80"/>
    </row>
    <row r="604">
      <c r="A604" s="86"/>
      <c r="B604" s="87"/>
      <c r="C604" s="80"/>
      <c r="D604" s="80"/>
      <c r="E604" s="81"/>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80"/>
      <c r="AQ604" s="80"/>
      <c r="AR604" s="80"/>
      <c r="AS604" s="80"/>
      <c r="AT604" s="80"/>
      <c r="AU604" s="80"/>
      <c r="AV604" s="80"/>
      <c r="AW604" s="80"/>
      <c r="AX604" s="80"/>
      <c r="AY604" s="80"/>
      <c r="AZ604" s="80"/>
      <c r="BA604" s="80"/>
      <c r="BB604" s="80"/>
      <c r="BC604" s="80"/>
      <c r="BD604" s="80"/>
      <c r="BE604" s="80"/>
      <c r="BF604" s="80"/>
      <c r="BG604" s="80"/>
      <c r="BH604" s="80"/>
      <c r="BI604" s="80"/>
      <c r="BJ604" s="80"/>
      <c r="BK604" s="80"/>
      <c r="BL604" s="80"/>
      <c r="BM604" s="80"/>
      <c r="BN604" s="80"/>
      <c r="BO604" s="80"/>
    </row>
    <row r="605">
      <c r="A605" s="86"/>
      <c r="B605" s="87"/>
      <c r="C605" s="80"/>
      <c r="D605" s="80"/>
      <c r="E605" s="81"/>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80"/>
      <c r="AQ605" s="80"/>
      <c r="AR605" s="80"/>
      <c r="AS605" s="80"/>
      <c r="AT605" s="80"/>
      <c r="AU605" s="80"/>
      <c r="AV605" s="80"/>
      <c r="AW605" s="80"/>
      <c r="AX605" s="80"/>
      <c r="AY605" s="80"/>
      <c r="AZ605" s="80"/>
      <c r="BA605" s="80"/>
      <c r="BB605" s="80"/>
      <c r="BC605" s="80"/>
      <c r="BD605" s="80"/>
      <c r="BE605" s="80"/>
      <c r="BF605" s="80"/>
      <c r="BG605" s="80"/>
      <c r="BH605" s="80"/>
      <c r="BI605" s="80"/>
      <c r="BJ605" s="80"/>
      <c r="BK605" s="80"/>
      <c r="BL605" s="80"/>
      <c r="BM605" s="80"/>
      <c r="BN605" s="80"/>
      <c r="BO605" s="80"/>
    </row>
    <row r="606">
      <c r="A606" s="86"/>
      <c r="B606" s="87"/>
      <c r="C606" s="80"/>
      <c r="D606" s="80"/>
      <c r="E606" s="81"/>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80"/>
      <c r="AQ606" s="80"/>
      <c r="AR606" s="80"/>
      <c r="AS606" s="80"/>
      <c r="AT606" s="80"/>
      <c r="AU606" s="80"/>
      <c r="AV606" s="80"/>
      <c r="AW606" s="80"/>
      <c r="AX606" s="80"/>
      <c r="AY606" s="80"/>
      <c r="AZ606" s="80"/>
      <c r="BA606" s="80"/>
      <c r="BB606" s="80"/>
      <c r="BC606" s="80"/>
      <c r="BD606" s="80"/>
      <c r="BE606" s="80"/>
      <c r="BF606" s="80"/>
      <c r="BG606" s="80"/>
      <c r="BH606" s="80"/>
      <c r="BI606" s="80"/>
      <c r="BJ606" s="80"/>
      <c r="BK606" s="80"/>
      <c r="BL606" s="80"/>
      <c r="BM606" s="80"/>
      <c r="BN606" s="80"/>
      <c r="BO606" s="80"/>
    </row>
    <row r="607">
      <c r="A607" s="86"/>
      <c r="B607" s="87"/>
      <c r="C607" s="80"/>
      <c r="D607" s="80"/>
      <c r="E607" s="81"/>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80"/>
      <c r="AQ607" s="80"/>
      <c r="AR607" s="80"/>
      <c r="AS607" s="80"/>
      <c r="AT607" s="80"/>
      <c r="AU607" s="80"/>
      <c r="AV607" s="80"/>
      <c r="AW607" s="80"/>
      <c r="AX607" s="80"/>
      <c r="AY607" s="80"/>
      <c r="AZ607" s="80"/>
      <c r="BA607" s="80"/>
      <c r="BB607" s="80"/>
      <c r="BC607" s="80"/>
      <c r="BD607" s="80"/>
      <c r="BE607" s="80"/>
      <c r="BF607" s="80"/>
      <c r="BG607" s="80"/>
      <c r="BH607" s="80"/>
      <c r="BI607" s="80"/>
      <c r="BJ607" s="80"/>
      <c r="BK607" s="80"/>
      <c r="BL607" s="80"/>
      <c r="BM607" s="80"/>
      <c r="BN607" s="80"/>
      <c r="BO607" s="80"/>
    </row>
    <row r="608">
      <c r="A608" s="86"/>
      <c r="B608" s="87"/>
      <c r="C608" s="80"/>
      <c r="D608" s="80"/>
      <c r="E608" s="81"/>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80"/>
      <c r="AQ608" s="80"/>
      <c r="AR608" s="80"/>
      <c r="AS608" s="80"/>
      <c r="AT608" s="80"/>
      <c r="AU608" s="80"/>
      <c r="AV608" s="80"/>
      <c r="AW608" s="80"/>
      <c r="AX608" s="80"/>
      <c r="AY608" s="80"/>
      <c r="AZ608" s="80"/>
      <c r="BA608" s="80"/>
      <c r="BB608" s="80"/>
      <c r="BC608" s="80"/>
      <c r="BD608" s="80"/>
      <c r="BE608" s="80"/>
      <c r="BF608" s="80"/>
      <c r="BG608" s="80"/>
      <c r="BH608" s="80"/>
      <c r="BI608" s="80"/>
      <c r="BJ608" s="80"/>
      <c r="BK608" s="80"/>
      <c r="BL608" s="80"/>
      <c r="BM608" s="80"/>
      <c r="BN608" s="80"/>
      <c r="BO608" s="80"/>
    </row>
    <row r="609">
      <c r="A609" s="86"/>
      <c r="B609" s="87"/>
      <c r="C609" s="80"/>
      <c r="D609" s="80"/>
      <c r="E609" s="81"/>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80"/>
      <c r="AQ609" s="80"/>
      <c r="AR609" s="80"/>
      <c r="AS609" s="80"/>
      <c r="AT609" s="80"/>
      <c r="AU609" s="80"/>
      <c r="AV609" s="80"/>
      <c r="AW609" s="80"/>
      <c r="AX609" s="80"/>
      <c r="AY609" s="80"/>
      <c r="AZ609" s="80"/>
      <c r="BA609" s="80"/>
      <c r="BB609" s="80"/>
      <c r="BC609" s="80"/>
      <c r="BD609" s="80"/>
      <c r="BE609" s="80"/>
      <c r="BF609" s="80"/>
      <c r="BG609" s="80"/>
      <c r="BH609" s="80"/>
      <c r="BI609" s="80"/>
      <c r="BJ609" s="80"/>
      <c r="BK609" s="80"/>
      <c r="BL609" s="80"/>
      <c r="BM609" s="80"/>
      <c r="BN609" s="80"/>
      <c r="BO609" s="80"/>
    </row>
    <row r="610">
      <c r="A610" s="86"/>
      <c r="B610" s="87"/>
      <c r="C610" s="80"/>
      <c r="D610" s="80"/>
      <c r="E610" s="81"/>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80"/>
      <c r="AQ610" s="80"/>
      <c r="AR610" s="80"/>
      <c r="AS610" s="80"/>
      <c r="AT610" s="80"/>
      <c r="AU610" s="80"/>
      <c r="AV610" s="80"/>
      <c r="AW610" s="80"/>
      <c r="AX610" s="80"/>
      <c r="AY610" s="80"/>
      <c r="AZ610" s="80"/>
      <c r="BA610" s="80"/>
      <c r="BB610" s="80"/>
      <c r="BC610" s="80"/>
      <c r="BD610" s="80"/>
      <c r="BE610" s="80"/>
      <c r="BF610" s="80"/>
      <c r="BG610" s="80"/>
      <c r="BH610" s="80"/>
      <c r="BI610" s="80"/>
      <c r="BJ610" s="80"/>
      <c r="BK610" s="80"/>
      <c r="BL610" s="80"/>
      <c r="BM610" s="80"/>
      <c r="BN610" s="80"/>
      <c r="BO610" s="80"/>
    </row>
    <row r="611">
      <c r="A611" s="86"/>
      <c r="B611" s="87"/>
      <c r="C611" s="80"/>
      <c r="D611" s="80"/>
      <c r="E611" s="81"/>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80"/>
      <c r="AQ611" s="80"/>
      <c r="AR611" s="80"/>
      <c r="AS611" s="80"/>
      <c r="AT611" s="80"/>
      <c r="AU611" s="80"/>
      <c r="AV611" s="80"/>
      <c r="AW611" s="80"/>
      <c r="AX611" s="80"/>
      <c r="AY611" s="80"/>
      <c r="AZ611" s="80"/>
      <c r="BA611" s="80"/>
      <c r="BB611" s="80"/>
      <c r="BC611" s="80"/>
      <c r="BD611" s="80"/>
      <c r="BE611" s="80"/>
      <c r="BF611" s="80"/>
      <c r="BG611" s="80"/>
      <c r="BH611" s="80"/>
      <c r="BI611" s="80"/>
      <c r="BJ611" s="80"/>
      <c r="BK611" s="80"/>
      <c r="BL611" s="80"/>
      <c r="BM611" s="80"/>
      <c r="BN611" s="80"/>
      <c r="BO611" s="80"/>
    </row>
    <row r="612">
      <c r="A612" s="86"/>
      <c r="B612" s="87"/>
      <c r="C612" s="80"/>
      <c r="D612" s="80"/>
      <c r="E612" s="81"/>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80"/>
      <c r="AQ612" s="80"/>
      <c r="AR612" s="80"/>
      <c r="AS612" s="80"/>
      <c r="AT612" s="80"/>
      <c r="AU612" s="80"/>
      <c r="AV612" s="80"/>
      <c r="AW612" s="80"/>
      <c r="AX612" s="80"/>
      <c r="AY612" s="80"/>
      <c r="AZ612" s="80"/>
      <c r="BA612" s="80"/>
      <c r="BB612" s="80"/>
      <c r="BC612" s="80"/>
      <c r="BD612" s="80"/>
      <c r="BE612" s="80"/>
      <c r="BF612" s="80"/>
      <c r="BG612" s="80"/>
      <c r="BH612" s="80"/>
      <c r="BI612" s="80"/>
      <c r="BJ612" s="80"/>
      <c r="BK612" s="80"/>
      <c r="BL612" s="80"/>
      <c r="BM612" s="80"/>
      <c r="BN612" s="80"/>
      <c r="BO612" s="80"/>
    </row>
    <row r="613">
      <c r="A613" s="86"/>
      <c r="B613" s="87"/>
      <c r="C613" s="80"/>
      <c r="D613" s="80"/>
      <c r="E613" s="81"/>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80"/>
      <c r="AQ613" s="80"/>
      <c r="AR613" s="80"/>
      <c r="AS613" s="80"/>
      <c r="AT613" s="80"/>
      <c r="AU613" s="80"/>
      <c r="AV613" s="80"/>
      <c r="AW613" s="80"/>
      <c r="AX613" s="80"/>
      <c r="AY613" s="80"/>
      <c r="AZ613" s="80"/>
      <c r="BA613" s="80"/>
      <c r="BB613" s="80"/>
      <c r="BC613" s="80"/>
      <c r="BD613" s="80"/>
      <c r="BE613" s="80"/>
      <c r="BF613" s="80"/>
      <c r="BG613" s="80"/>
      <c r="BH613" s="80"/>
      <c r="BI613" s="80"/>
      <c r="BJ613" s="80"/>
      <c r="BK613" s="80"/>
      <c r="BL613" s="80"/>
      <c r="BM613" s="80"/>
      <c r="BN613" s="80"/>
      <c r="BO613" s="80"/>
    </row>
    <row r="614">
      <c r="A614" s="86"/>
      <c r="B614" s="87"/>
      <c r="C614" s="80"/>
      <c r="D614" s="80"/>
      <c r="E614" s="81"/>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80"/>
      <c r="AQ614" s="80"/>
      <c r="AR614" s="80"/>
      <c r="AS614" s="80"/>
      <c r="AT614" s="80"/>
      <c r="AU614" s="80"/>
      <c r="AV614" s="80"/>
      <c r="AW614" s="80"/>
      <c r="AX614" s="80"/>
      <c r="AY614" s="80"/>
      <c r="AZ614" s="80"/>
      <c r="BA614" s="80"/>
      <c r="BB614" s="80"/>
      <c r="BC614" s="80"/>
      <c r="BD614" s="80"/>
      <c r="BE614" s="80"/>
      <c r="BF614" s="80"/>
      <c r="BG614" s="80"/>
      <c r="BH614" s="80"/>
      <c r="BI614" s="80"/>
      <c r="BJ614" s="80"/>
      <c r="BK614" s="80"/>
      <c r="BL614" s="80"/>
      <c r="BM614" s="80"/>
      <c r="BN614" s="80"/>
      <c r="BO614" s="80"/>
    </row>
    <row r="615">
      <c r="A615" s="86"/>
      <c r="B615" s="87"/>
      <c r="C615" s="80"/>
      <c r="D615" s="80"/>
      <c r="E615" s="81"/>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80"/>
      <c r="AQ615" s="80"/>
      <c r="AR615" s="80"/>
      <c r="AS615" s="80"/>
      <c r="AT615" s="80"/>
      <c r="AU615" s="80"/>
      <c r="AV615" s="80"/>
      <c r="AW615" s="80"/>
      <c r="AX615" s="80"/>
      <c r="AY615" s="80"/>
      <c r="AZ615" s="80"/>
      <c r="BA615" s="80"/>
      <c r="BB615" s="80"/>
      <c r="BC615" s="80"/>
      <c r="BD615" s="80"/>
      <c r="BE615" s="80"/>
      <c r="BF615" s="80"/>
      <c r="BG615" s="80"/>
      <c r="BH615" s="80"/>
      <c r="BI615" s="80"/>
      <c r="BJ615" s="80"/>
      <c r="BK615" s="80"/>
      <c r="BL615" s="80"/>
      <c r="BM615" s="80"/>
      <c r="BN615" s="80"/>
      <c r="BO615" s="80"/>
    </row>
    <row r="616">
      <c r="A616" s="86"/>
      <c r="B616" s="87"/>
      <c r="C616" s="80"/>
      <c r="D616" s="80"/>
      <c r="E616" s="81"/>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80"/>
      <c r="AQ616" s="80"/>
      <c r="AR616" s="80"/>
      <c r="AS616" s="80"/>
      <c r="AT616" s="80"/>
      <c r="AU616" s="80"/>
      <c r="AV616" s="80"/>
      <c r="AW616" s="80"/>
      <c r="AX616" s="80"/>
      <c r="AY616" s="80"/>
      <c r="AZ616" s="80"/>
      <c r="BA616" s="80"/>
      <c r="BB616" s="80"/>
      <c r="BC616" s="80"/>
      <c r="BD616" s="80"/>
      <c r="BE616" s="80"/>
      <c r="BF616" s="80"/>
      <c r="BG616" s="80"/>
      <c r="BH616" s="80"/>
      <c r="BI616" s="80"/>
      <c r="BJ616" s="80"/>
      <c r="BK616" s="80"/>
      <c r="BL616" s="80"/>
      <c r="BM616" s="80"/>
      <c r="BN616" s="80"/>
      <c r="BO616" s="80"/>
    </row>
    <row r="617">
      <c r="A617" s="86"/>
      <c r="B617" s="87"/>
      <c r="C617" s="80"/>
      <c r="D617" s="80"/>
      <c r="E617" s="81"/>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80"/>
      <c r="AQ617" s="80"/>
      <c r="AR617" s="80"/>
      <c r="AS617" s="80"/>
      <c r="AT617" s="80"/>
      <c r="AU617" s="80"/>
      <c r="AV617" s="80"/>
      <c r="AW617" s="80"/>
      <c r="AX617" s="80"/>
      <c r="AY617" s="80"/>
      <c r="AZ617" s="80"/>
      <c r="BA617" s="80"/>
      <c r="BB617" s="80"/>
      <c r="BC617" s="80"/>
      <c r="BD617" s="80"/>
      <c r="BE617" s="80"/>
      <c r="BF617" s="80"/>
      <c r="BG617" s="80"/>
      <c r="BH617" s="80"/>
      <c r="BI617" s="80"/>
      <c r="BJ617" s="80"/>
      <c r="BK617" s="80"/>
      <c r="BL617" s="80"/>
      <c r="BM617" s="80"/>
      <c r="BN617" s="80"/>
      <c r="BO617" s="80"/>
    </row>
  </sheetData>
  <mergeCells count="5002">
    <mergeCell ref="BL243:BM243"/>
    <mergeCell ref="BN243:BO243"/>
    <mergeCell ref="AX243:AY243"/>
    <mergeCell ref="AZ243:BA243"/>
    <mergeCell ref="BB243:BC243"/>
    <mergeCell ref="BD243:BE243"/>
    <mergeCell ref="BF243:BG243"/>
    <mergeCell ref="BH243:BI243"/>
    <mergeCell ref="BJ243:BK243"/>
    <mergeCell ref="R241:S241"/>
    <mergeCell ref="T241:U241"/>
    <mergeCell ref="V241:W241"/>
    <mergeCell ref="X241:Y241"/>
    <mergeCell ref="Z241:AA241"/>
    <mergeCell ref="AB241:AC241"/>
    <mergeCell ref="AD241:AE241"/>
    <mergeCell ref="AF241:AG241"/>
    <mergeCell ref="AH241:AI241"/>
    <mergeCell ref="AJ241:AK241"/>
    <mergeCell ref="AL241:AM241"/>
    <mergeCell ref="AN241:AO241"/>
    <mergeCell ref="AP241:AQ241"/>
    <mergeCell ref="AR241:AS241"/>
    <mergeCell ref="BH241:BI241"/>
    <mergeCell ref="BJ241:BK241"/>
    <mergeCell ref="BL241:BM241"/>
    <mergeCell ref="BN241:BO241"/>
    <mergeCell ref="AT241:AU241"/>
    <mergeCell ref="AV241:AW241"/>
    <mergeCell ref="AX241:AY241"/>
    <mergeCell ref="AZ241:BA241"/>
    <mergeCell ref="BB241:BC241"/>
    <mergeCell ref="BD241:BE241"/>
    <mergeCell ref="BF241:BG241"/>
    <mergeCell ref="C241:D241"/>
    <mergeCell ref="F241:G241"/>
    <mergeCell ref="H241:I241"/>
    <mergeCell ref="J241:K241"/>
    <mergeCell ref="L241:M241"/>
    <mergeCell ref="N241:O241"/>
    <mergeCell ref="P241:Q241"/>
    <mergeCell ref="C243:D243"/>
    <mergeCell ref="F243:G243"/>
    <mergeCell ref="H243:I243"/>
    <mergeCell ref="J243:K243"/>
    <mergeCell ref="L243:M243"/>
    <mergeCell ref="N243:O243"/>
    <mergeCell ref="P243:Q243"/>
    <mergeCell ref="R243:S243"/>
    <mergeCell ref="T243:U243"/>
    <mergeCell ref="V243:W243"/>
    <mergeCell ref="X243:Y243"/>
    <mergeCell ref="Z243:AA243"/>
    <mergeCell ref="AB243:AC243"/>
    <mergeCell ref="AD243:AE243"/>
    <mergeCell ref="BL231:BM231"/>
    <mergeCell ref="BN231:BO231"/>
    <mergeCell ref="AX231:AY231"/>
    <mergeCell ref="AZ231:BA231"/>
    <mergeCell ref="BB231:BC231"/>
    <mergeCell ref="BD231:BE231"/>
    <mergeCell ref="BF231:BG231"/>
    <mergeCell ref="BH231:BI231"/>
    <mergeCell ref="BJ231:BK231"/>
    <mergeCell ref="R229:S229"/>
    <mergeCell ref="T229:U229"/>
    <mergeCell ref="V229:W229"/>
    <mergeCell ref="X229:Y229"/>
    <mergeCell ref="Z229:AA229"/>
    <mergeCell ref="AB229:AC229"/>
    <mergeCell ref="AD229:AE229"/>
    <mergeCell ref="AF229:AG229"/>
    <mergeCell ref="AH229:AI229"/>
    <mergeCell ref="AJ229:AK229"/>
    <mergeCell ref="AL229:AM229"/>
    <mergeCell ref="AN229:AO229"/>
    <mergeCell ref="AP229:AQ229"/>
    <mergeCell ref="AR229:AS229"/>
    <mergeCell ref="BH229:BI229"/>
    <mergeCell ref="BJ229:BK229"/>
    <mergeCell ref="BL229:BM229"/>
    <mergeCell ref="BN229:BO229"/>
    <mergeCell ref="AT229:AU229"/>
    <mergeCell ref="AV229:AW229"/>
    <mergeCell ref="AX229:AY229"/>
    <mergeCell ref="AZ229:BA229"/>
    <mergeCell ref="BB229:BC229"/>
    <mergeCell ref="BD229:BE229"/>
    <mergeCell ref="BF229:BG229"/>
    <mergeCell ref="C229:D229"/>
    <mergeCell ref="F229:G229"/>
    <mergeCell ref="H229:I229"/>
    <mergeCell ref="J229:K229"/>
    <mergeCell ref="L229:M229"/>
    <mergeCell ref="N229:O229"/>
    <mergeCell ref="P229:Q229"/>
    <mergeCell ref="C231:D231"/>
    <mergeCell ref="F231:G231"/>
    <mergeCell ref="H231:I231"/>
    <mergeCell ref="J231:K231"/>
    <mergeCell ref="L231:M231"/>
    <mergeCell ref="N231:O231"/>
    <mergeCell ref="P231:Q231"/>
    <mergeCell ref="R231:S231"/>
    <mergeCell ref="T231:U231"/>
    <mergeCell ref="V231:W231"/>
    <mergeCell ref="X231:Y231"/>
    <mergeCell ref="Z231:AA231"/>
    <mergeCell ref="AB231:AC231"/>
    <mergeCell ref="AD231:AE231"/>
    <mergeCell ref="AT231:AU231"/>
    <mergeCell ref="AV231:AW231"/>
    <mergeCell ref="AF231:AG231"/>
    <mergeCell ref="AH231:AI231"/>
    <mergeCell ref="AJ231:AK231"/>
    <mergeCell ref="AL231:AM231"/>
    <mergeCell ref="AN231:AO231"/>
    <mergeCell ref="AP231:AQ231"/>
    <mergeCell ref="AR231:AS231"/>
    <mergeCell ref="R233:S233"/>
    <mergeCell ref="T233:U233"/>
    <mergeCell ref="V233:W233"/>
    <mergeCell ref="X233:Y233"/>
    <mergeCell ref="Z233:AA233"/>
    <mergeCell ref="AB233:AC233"/>
    <mergeCell ref="AD233:AE233"/>
    <mergeCell ref="AF233:AG233"/>
    <mergeCell ref="AH233:AI233"/>
    <mergeCell ref="AJ233:AK233"/>
    <mergeCell ref="AL233:AM233"/>
    <mergeCell ref="AN233:AO233"/>
    <mergeCell ref="AP233:AQ233"/>
    <mergeCell ref="AR233:AS233"/>
    <mergeCell ref="BH233:BI233"/>
    <mergeCell ref="BJ233:BK233"/>
    <mergeCell ref="BL233:BM233"/>
    <mergeCell ref="BN233:BO233"/>
    <mergeCell ref="AT233:AU233"/>
    <mergeCell ref="AV233:AW233"/>
    <mergeCell ref="AX233:AY233"/>
    <mergeCell ref="AZ233:BA233"/>
    <mergeCell ref="BB233:BC233"/>
    <mergeCell ref="BD233:BE233"/>
    <mergeCell ref="BF233:BG233"/>
    <mergeCell ref="C233:D233"/>
    <mergeCell ref="F233:G233"/>
    <mergeCell ref="H233:I233"/>
    <mergeCell ref="J233:K233"/>
    <mergeCell ref="L233:M233"/>
    <mergeCell ref="N233:O233"/>
    <mergeCell ref="P233:Q233"/>
    <mergeCell ref="BL237:BM237"/>
    <mergeCell ref="BN237:BO237"/>
    <mergeCell ref="AX237:AY237"/>
    <mergeCell ref="AZ237:BA237"/>
    <mergeCell ref="BB237:BC237"/>
    <mergeCell ref="BD237:BE237"/>
    <mergeCell ref="BF237:BG237"/>
    <mergeCell ref="BH237:BI237"/>
    <mergeCell ref="BJ237:BK237"/>
    <mergeCell ref="R235:S235"/>
    <mergeCell ref="T235:U235"/>
    <mergeCell ref="V235:W235"/>
    <mergeCell ref="X235:Y235"/>
    <mergeCell ref="Z235:AA235"/>
    <mergeCell ref="AB235:AC235"/>
    <mergeCell ref="AD235:AE235"/>
    <mergeCell ref="AF235:AG235"/>
    <mergeCell ref="AH235:AI235"/>
    <mergeCell ref="AJ235:AK235"/>
    <mergeCell ref="AL235:AM235"/>
    <mergeCell ref="AN235:AO235"/>
    <mergeCell ref="AP235:AQ235"/>
    <mergeCell ref="AR235:AS235"/>
    <mergeCell ref="BH235:BI235"/>
    <mergeCell ref="BJ235:BK235"/>
    <mergeCell ref="BL235:BM235"/>
    <mergeCell ref="BN235:BO235"/>
    <mergeCell ref="AT235:AU235"/>
    <mergeCell ref="AV235:AW235"/>
    <mergeCell ref="AX235:AY235"/>
    <mergeCell ref="AZ235:BA235"/>
    <mergeCell ref="BB235:BC235"/>
    <mergeCell ref="BD235:BE235"/>
    <mergeCell ref="BF235:BG235"/>
    <mergeCell ref="C235:D235"/>
    <mergeCell ref="F235:G235"/>
    <mergeCell ref="H235:I235"/>
    <mergeCell ref="J235:K235"/>
    <mergeCell ref="L235:M235"/>
    <mergeCell ref="N235:O235"/>
    <mergeCell ref="P235:Q235"/>
    <mergeCell ref="C237:D237"/>
    <mergeCell ref="F237:G237"/>
    <mergeCell ref="H237:I237"/>
    <mergeCell ref="J237:K237"/>
    <mergeCell ref="L237:M237"/>
    <mergeCell ref="N237:O237"/>
    <mergeCell ref="P237:Q237"/>
    <mergeCell ref="R237:S237"/>
    <mergeCell ref="T237:U237"/>
    <mergeCell ref="V237:W237"/>
    <mergeCell ref="X237:Y237"/>
    <mergeCell ref="Z237:AA237"/>
    <mergeCell ref="AB237:AC237"/>
    <mergeCell ref="AD237:AE237"/>
    <mergeCell ref="AT237:AU237"/>
    <mergeCell ref="AV237:AW237"/>
    <mergeCell ref="AF237:AG237"/>
    <mergeCell ref="AH237:AI237"/>
    <mergeCell ref="AJ237:AK237"/>
    <mergeCell ref="AL237:AM237"/>
    <mergeCell ref="AN237:AO237"/>
    <mergeCell ref="AP237:AQ237"/>
    <mergeCell ref="AR237:AS237"/>
    <mergeCell ref="R239:S239"/>
    <mergeCell ref="T239:U239"/>
    <mergeCell ref="V239:W239"/>
    <mergeCell ref="X239:Y239"/>
    <mergeCell ref="Z239:AA239"/>
    <mergeCell ref="AB239:AC239"/>
    <mergeCell ref="AD239:AE239"/>
    <mergeCell ref="AF239:AG239"/>
    <mergeCell ref="AH239:AI239"/>
    <mergeCell ref="AJ239:AK239"/>
    <mergeCell ref="AL239:AM239"/>
    <mergeCell ref="AN239:AO239"/>
    <mergeCell ref="AP239:AQ239"/>
    <mergeCell ref="AR239:AS239"/>
    <mergeCell ref="BH239:BI239"/>
    <mergeCell ref="BJ239:BK239"/>
    <mergeCell ref="BL239:BM239"/>
    <mergeCell ref="BN239:BO239"/>
    <mergeCell ref="AT239:AU239"/>
    <mergeCell ref="AV239:AW239"/>
    <mergeCell ref="AX239:AY239"/>
    <mergeCell ref="AZ239:BA239"/>
    <mergeCell ref="BB239:BC239"/>
    <mergeCell ref="BD239:BE239"/>
    <mergeCell ref="BF239:BG239"/>
    <mergeCell ref="C239:D239"/>
    <mergeCell ref="F239:G239"/>
    <mergeCell ref="H239:I239"/>
    <mergeCell ref="J239:K239"/>
    <mergeCell ref="L239:M239"/>
    <mergeCell ref="N239:O239"/>
    <mergeCell ref="P239:Q239"/>
    <mergeCell ref="AT243:AU243"/>
    <mergeCell ref="AV243:AW243"/>
    <mergeCell ref="AF243:AG243"/>
    <mergeCell ref="AH243:AI243"/>
    <mergeCell ref="AJ243:AK243"/>
    <mergeCell ref="AL243:AM243"/>
    <mergeCell ref="AN243:AO243"/>
    <mergeCell ref="AP243:AQ243"/>
    <mergeCell ref="AR243:AS243"/>
    <mergeCell ref="P247:Q247"/>
    <mergeCell ref="R247:S247"/>
    <mergeCell ref="T247:U247"/>
    <mergeCell ref="V247:W247"/>
    <mergeCell ref="X247:Y247"/>
    <mergeCell ref="Z247:AA247"/>
    <mergeCell ref="AB247:AC247"/>
    <mergeCell ref="AD247:AE247"/>
    <mergeCell ref="AF247:AG247"/>
    <mergeCell ref="AH247:AI247"/>
    <mergeCell ref="AJ247:AK247"/>
    <mergeCell ref="AL247:AM247"/>
    <mergeCell ref="AN247:AO247"/>
    <mergeCell ref="AP247:AQ247"/>
    <mergeCell ref="BF247:BG247"/>
    <mergeCell ref="BH247:BI247"/>
    <mergeCell ref="BJ247:BK247"/>
    <mergeCell ref="BL247:BM247"/>
    <mergeCell ref="BN247:BO247"/>
    <mergeCell ref="AR247:AS247"/>
    <mergeCell ref="AT247:AU247"/>
    <mergeCell ref="AV247:AW247"/>
    <mergeCell ref="AX247:AY247"/>
    <mergeCell ref="AZ247:BA247"/>
    <mergeCell ref="BB247:BC247"/>
    <mergeCell ref="BD247:BE247"/>
    <mergeCell ref="C244:D244"/>
    <mergeCell ref="C247:D247"/>
    <mergeCell ref="F247:G247"/>
    <mergeCell ref="H247:I247"/>
    <mergeCell ref="J247:K247"/>
    <mergeCell ref="L247:M247"/>
    <mergeCell ref="N247:O247"/>
    <mergeCell ref="BL263:BM263"/>
    <mergeCell ref="BN263:BO263"/>
    <mergeCell ref="AX263:AY263"/>
    <mergeCell ref="AZ263:BA263"/>
    <mergeCell ref="BB263:BC263"/>
    <mergeCell ref="BD263:BE263"/>
    <mergeCell ref="BF263:BG263"/>
    <mergeCell ref="BH263:BI263"/>
    <mergeCell ref="BJ263:BK263"/>
    <mergeCell ref="R261:S261"/>
    <mergeCell ref="T261:U261"/>
    <mergeCell ref="V261:W261"/>
    <mergeCell ref="X261:Y261"/>
    <mergeCell ref="Z261:AA261"/>
    <mergeCell ref="AB261:AC261"/>
    <mergeCell ref="AD261:AE261"/>
    <mergeCell ref="AF261:AG261"/>
    <mergeCell ref="AH261:AI261"/>
    <mergeCell ref="AJ261:AK261"/>
    <mergeCell ref="AL261:AM261"/>
    <mergeCell ref="AN261:AO261"/>
    <mergeCell ref="AP261:AQ261"/>
    <mergeCell ref="AR261:AS261"/>
    <mergeCell ref="BH261:BI261"/>
    <mergeCell ref="BJ261:BK261"/>
    <mergeCell ref="BL261:BM261"/>
    <mergeCell ref="BN261:BO261"/>
    <mergeCell ref="AT261:AU261"/>
    <mergeCell ref="AV261:AW261"/>
    <mergeCell ref="AX261:AY261"/>
    <mergeCell ref="AZ261:BA261"/>
    <mergeCell ref="BB261:BC261"/>
    <mergeCell ref="BD261:BE261"/>
    <mergeCell ref="BF261:BG261"/>
    <mergeCell ref="C261:D261"/>
    <mergeCell ref="F261:G261"/>
    <mergeCell ref="H261:I261"/>
    <mergeCell ref="J261:K261"/>
    <mergeCell ref="L261:M261"/>
    <mergeCell ref="N261:O261"/>
    <mergeCell ref="P261:Q261"/>
    <mergeCell ref="C263:D263"/>
    <mergeCell ref="F263:G263"/>
    <mergeCell ref="H263:I263"/>
    <mergeCell ref="J263:K263"/>
    <mergeCell ref="L263:M263"/>
    <mergeCell ref="N263:O263"/>
    <mergeCell ref="P263:Q263"/>
    <mergeCell ref="R263:S263"/>
    <mergeCell ref="T263:U263"/>
    <mergeCell ref="V263:W263"/>
    <mergeCell ref="X263:Y263"/>
    <mergeCell ref="Z263:AA263"/>
    <mergeCell ref="AB263:AC263"/>
    <mergeCell ref="AD263:AE263"/>
    <mergeCell ref="BL251:BM251"/>
    <mergeCell ref="BN251:BO251"/>
    <mergeCell ref="AX251:AY251"/>
    <mergeCell ref="AZ251:BA251"/>
    <mergeCell ref="BB251:BC251"/>
    <mergeCell ref="BD251:BE251"/>
    <mergeCell ref="BF251:BG251"/>
    <mergeCell ref="BH251:BI251"/>
    <mergeCell ref="BJ251:BK251"/>
    <mergeCell ref="R249:S249"/>
    <mergeCell ref="T249:U249"/>
    <mergeCell ref="V249:W249"/>
    <mergeCell ref="X249:Y249"/>
    <mergeCell ref="Z249:AA249"/>
    <mergeCell ref="AB249:AC249"/>
    <mergeCell ref="AD249:AE249"/>
    <mergeCell ref="AF249:AG249"/>
    <mergeCell ref="AH249:AI249"/>
    <mergeCell ref="AJ249:AK249"/>
    <mergeCell ref="AL249:AM249"/>
    <mergeCell ref="AN249:AO249"/>
    <mergeCell ref="AP249:AQ249"/>
    <mergeCell ref="AR249:AS249"/>
    <mergeCell ref="BH249:BI249"/>
    <mergeCell ref="BJ249:BK249"/>
    <mergeCell ref="BL249:BM249"/>
    <mergeCell ref="BN249:BO249"/>
    <mergeCell ref="AT249:AU249"/>
    <mergeCell ref="AV249:AW249"/>
    <mergeCell ref="AX249:AY249"/>
    <mergeCell ref="AZ249:BA249"/>
    <mergeCell ref="BB249:BC249"/>
    <mergeCell ref="BD249:BE249"/>
    <mergeCell ref="BF249:BG249"/>
    <mergeCell ref="C249:D249"/>
    <mergeCell ref="F249:G249"/>
    <mergeCell ref="H249:I249"/>
    <mergeCell ref="J249:K249"/>
    <mergeCell ref="L249:M249"/>
    <mergeCell ref="N249:O249"/>
    <mergeCell ref="P249:Q249"/>
    <mergeCell ref="C251:D251"/>
    <mergeCell ref="F251:G251"/>
    <mergeCell ref="H251:I251"/>
    <mergeCell ref="J251:K251"/>
    <mergeCell ref="L251:M251"/>
    <mergeCell ref="N251:O251"/>
    <mergeCell ref="P251:Q251"/>
    <mergeCell ref="R251:S251"/>
    <mergeCell ref="T251:U251"/>
    <mergeCell ref="V251:W251"/>
    <mergeCell ref="X251:Y251"/>
    <mergeCell ref="Z251:AA251"/>
    <mergeCell ref="AB251:AC251"/>
    <mergeCell ref="AD251:AE251"/>
    <mergeCell ref="AT251:AU251"/>
    <mergeCell ref="AV251:AW251"/>
    <mergeCell ref="AF251:AG251"/>
    <mergeCell ref="AH251:AI251"/>
    <mergeCell ref="AJ251:AK251"/>
    <mergeCell ref="AL251:AM251"/>
    <mergeCell ref="AN251:AO251"/>
    <mergeCell ref="AP251:AQ251"/>
    <mergeCell ref="AR251:AS251"/>
    <mergeCell ref="R253:S253"/>
    <mergeCell ref="T253:U253"/>
    <mergeCell ref="V253:W253"/>
    <mergeCell ref="X253:Y253"/>
    <mergeCell ref="Z253:AA253"/>
    <mergeCell ref="AB253:AC253"/>
    <mergeCell ref="AD253:AE253"/>
    <mergeCell ref="AF253:AG253"/>
    <mergeCell ref="AH253:AI253"/>
    <mergeCell ref="AJ253:AK253"/>
    <mergeCell ref="AL253:AM253"/>
    <mergeCell ref="AN253:AO253"/>
    <mergeCell ref="AP253:AQ253"/>
    <mergeCell ref="AR253:AS253"/>
    <mergeCell ref="BH253:BI253"/>
    <mergeCell ref="BJ253:BK253"/>
    <mergeCell ref="BL253:BM253"/>
    <mergeCell ref="BN253:BO253"/>
    <mergeCell ref="AT253:AU253"/>
    <mergeCell ref="AV253:AW253"/>
    <mergeCell ref="AX253:AY253"/>
    <mergeCell ref="AZ253:BA253"/>
    <mergeCell ref="BB253:BC253"/>
    <mergeCell ref="BD253:BE253"/>
    <mergeCell ref="BF253:BG253"/>
    <mergeCell ref="C253:D253"/>
    <mergeCell ref="F253:G253"/>
    <mergeCell ref="H253:I253"/>
    <mergeCell ref="J253:K253"/>
    <mergeCell ref="L253:M253"/>
    <mergeCell ref="N253:O253"/>
    <mergeCell ref="P253:Q253"/>
    <mergeCell ref="BL257:BM257"/>
    <mergeCell ref="BN257:BO257"/>
    <mergeCell ref="AX257:AY257"/>
    <mergeCell ref="AZ257:BA257"/>
    <mergeCell ref="BB257:BC257"/>
    <mergeCell ref="BD257:BE257"/>
    <mergeCell ref="BF257:BG257"/>
    <mergeCell ref="BH257:BI257"/>
    <mergeCell ref="BJ257:BK257"/>
    <mergeCell ref="R255:S255"/>
    <mergeCell ref="T255:U255"/>
    <mergeCell ref="V255:W255"/>
    <mergeCell ref="X255:Y255"/>
    <mergeCell ref="Z255:AA255"/>
    <mergeCell ref="AB255:AC255"/>
    <mergeCell ref="AD255:AE255"/>
    <mergeCell ref="AF255:AG255"/>
    <mergeCell ref="AH255:AI255"/>
    <mergeCell ref="AJ255:AK255"/>
    <mergeCell ref="AL255:AM255"/>
    <mergeCell ref="AN255:AO255"/>
    <mergeCell ref="AP255:AQ255"/>
    <mergeCell ref="AR255:AS255"/>
    <mergeCell ref="BH255:BI255"/>
    <mergeCell ref="BJ255:BK255"/>
    <mergeCell ref="BL255:BM255"/>
    <mergeCell ref="BN255:BO255"/>
    <mergeCell ref="AT255:AU255"/>
    <mergeCell ref="AV255:AW255"/>
    <mergeCell ref="AX255:AY255"/>
    <mergeCell ref="AZ255:BA255"/>
    <mergeCell ref="BB255:BC255"/>
    <mergeCell ref="BD255:BE255"/>
    <mergeCell ref="BF255:BG255"/>
    <mergeCell ref="C255:D255"/>
    <mergeCell ref="F255:G255"/>
    <mergeCell ref="H255:I255"/>
    <mergeCell ref="J255:K255"/>
    <mergeCell ref="L255:M255"/>
    <mergeCell ref="N255:O255"/>
    <mergeCell ref="P255:Q255"/>
    <mergeCell ref="C257:D257"/>
    <mergeCell ref="F257:G257"/>
    <mergeCell ref="H257:I257"/>
    <mergeCell ref="J257:K257"/>
    <mergeCell ref="L257:M257"/>
    <mergeCell ref="N257:O257"/>
    <mergeCell ref="P257:Q257"/>
    <mergeCell ref="R257:S257"/>
    <mergeCell ref="T257:U257"/>
    <mergeCell ref="V257:W257"/>
    <mergeCell ref="X257:Y257"/>
    <mergeCell ref="Z257:AA257"/>
    <mergeCell ref="AB257:AC257"/>
    <mergeCell ref="AD257:AE257"/>
    <mergeCell ref="AT257:AU257"/>
    <mergeCell ref="AV257:AW257"/>
    <mergeCell ref="AF257:AG257"/>
    <mergeCell ref="AH257:AI257"/>
    <mergeCell ref="AJ257:AK257"/>
    <mergeCell ref="AL257:AM257"/>
    <mergeCell ref="AN257:AO257"/>
    <mergeCell ref="AP257:AQ257"/>
    <mergeCell ref="AR257:AS257"/>
    <mergeCell ref="R259:S259"/>
    <mergeCell ref="T259:U259"/>
    <mergeCell ref="V259:W259"/>
    <mergeCell ref="X259:Y259"/>
    <mergeCell ref="Z259:AA259"/>
    <mergeCell ref="AB259:AC259"/>
    <mergeCell ref="AD259:AE259"/>
    <mergeCell ref="AF259:AG259"/>
    <mergeCell ref="AH259:AI259"/>
    <mergeCell ref="AJ259:AK259"/>
    <mergeCell ref="AL259:AM259"/>
    <mergeCell ref="AN259:AO259"/>
    <mergeCell ref="AP259:AQ259"/>
    <mergeCell ref="AR259:AS259"/>
    <mergeCell ref="BH259:BI259"/>
    <mergeCell ref="BJ259:BK259"/>
    <mergeCell ref="BL259:BM259"/>
    <mergeCell ref="BN259:BO259"/>
    <mergeCell ref="AT259:AU259"/>
    <mergeCell ref="AV259:AW259"/>
    <mergeCell ref="AX259:AY259"/>
    <mergeCell ref="AZ259:BA259"/>
    <mergeCell ref="BB259:BC259"/>
    <mergeCell ref="BD259:BE259"/>
    <mergeCell ref="BF259:BG259"/>
    <mergeCell ref="C259:D259"/>
    <mergeCell ref="F259:G259"/>
    <mergeCell ref="H259:I259"/>
    <mergeCell ref="J259:K259"/>
    <mergeCell ref="L259:M259"/>
    <mergeCell ref="N259:O259"/>
    <mergeCell ref="P259:Q259"/>
    <mergeCell ref="AT263:AU263"/>
    <mergeCell ref="AV263:AW263"/>
    <mergeCell ref="AF263:AG263"/>
    <mergeCell ref="AH263:AI263"/>
    <mergeCell ref="AJ263:AK263"/>
    <mergeCell ref="AL263:AM263"/>
    <mergeCell ref="AN263:AO263"/>
    <mergeCell ref="AP263:AQ263"/>
    <mergeCell ref="AR263:AS263"/>
    <mergeCell ref="R265:S265"/>
    <mergeCell ref="T265:U265"/>
    <mergeCell ref="V265:W265"/>
    <mergeCell ref="X265:Y265"/>
    <mergeCell ref="Z265:AA265"/>
    <mergeCell ref="AB265:AC265"/>
    <mergeCell ref="AD265:AE265"/>
    <mergeCell ref="AF265:AG265"/>
    <mergeCell ref="AH265:AI265"/>
    <mergeCell ref="AJ265:AK265"/>
    <mergeCell ref="AL265:AM265"/>
    <mergeCell ref="AN265:AO265"/>
    <mergeCell ref="AP265:AQ265"/>
    <mergeCell ref="AR265:AS265"/>
    <mergeCell ref="BH265:BI265"/>
    <mergeCell ref="BJ265:BK265"/>
    <mergeCell ref="BL265:BM265"/>
    <mergeCell ref="BN265:BO265"/>
    <mergeCell ref="AT265:AU265"/>
    <mergeCell ref="AV265:AW265"/>
    <mergeCell ref="AX265:AY265"/>
    <mergeCell ref="AZ265:BA265"/>
    <mergeCell ref="BB265:BC265"/>
    <mergeCell ref="BD265:BE265"/>
    <mergeCell ref="BF265:BG265"/>
    <mergeCell ref="C265:D265"/>
    <mergeCell ref="F265:G265"/>
    <mergeCell ref="H265:I265"/>
    <mergeCell ref="J265:K265"/>
    <mergeCell ref="L265:M265"/>
    <mergeCell ref="N265:O265"/>
    <mergeCell ref="P265:Q265"/>
    <mergeCell ref="BL284:BM284"/>
    <mergeCell ref="BN284:BO284"/>
    <mergeCell ref="AX284:AY284"/>
    <mergeCell ref="AZ284:BA284"/>
    <mergeCell ref="BB284:BC284"/>
    <mergeCell ref="BD284:BE284"/>
    <mergeCell ref="BF284:BG284"/>
    <mergeCell ref="BH284:BI284"/>
    <mergeCell ref="BJ284:BK284"/>
    <mergeCell ref="R282:S282"/>
    <mergeCell ref="T282:U282"/>
    <mergeCell ref="V282:W282"/>
    <mergeCell ref="X282:Y282"/>
    <mergeCell ref="Z282:AA282"/>
    <mergeCell ref="AB282:AC282"/>
    <mergeCell ref="AD282:AE282"/>
    <mergeCell ref="AF282:AG282"/>
    <mergeCell ref="AH282:AI282"/>
    <mergeCell ref="AJ282:AK282"/>
    <mergeCell ref="AL282:AM282"/>
    <mergeCell ref="AN282:AO282"/>
    <mergeCell ref="AP282:AQ282"/>
    <mergeCell ref="AR282:AS282"/>
    <mergeCell ref="BH282:BI282"/>
    <mergeCell ref="BJ282:BK282"/>
    <mergeCell ref="BL282:BM282"/>
    <mergeCell ref="BN282:BO282"/>
    <mergeCell ref="AT282:AU282"/>
    <mergeCell ref="AV282:AW282"/>
    <mergeCell ref="AX282:AY282"/>
    <mergeCell ref="AZ282:BA282"/>
    <mergeCell ref="BB282:BC282"/>
    <mergeCell ref="BD282:BE282"/>
    <mergeCell ref="BF282:BG282"/>
    <mergeCell ref="C282:D282"/>
    <mergeCell ref="F282:G282"/>
    <mergeCell ref="H282:I282"/>
    <mergeCell ref="J282:K282"/>
    <mergeCell ref="L282:M282"/>
    <mergeCell ref="N282:O282"/>
    <mergeCell ref="P282:Q282"/>
    <mergeCell ref="C284:D284"/>
    <mergeCell ref="F284:G284"/>
    <mergeCell ref="H284:I284"/>
    <mergeCell ref="J284:K284"/>
    <mergeCell ref="L284:M284"/>
    <mergeCell ref="N284:O284"/>
    <mergeCell ref="P284:Q284"/>
    <mergeCell ref="R284:S284"/>
    <mergeCell ref="T284:U284"/>
    <mergeCell ref="V284:W284"/>
    <mergeCell ref="X284:Y284"/>
    <mergeCell ref="Z284:AA284"/>
    <mergeCell ref="AB284:AC284"/>
    <mergeCell ref="AD284:AE284"/>
    <mergeCell ref="BL269:BM269"/>
    <mergeCell ref="BN269:BO269"/>
    <mergeCell ref="AX269:AY269"/>
    <mergeCell ref="AZ269:BA269"/>
    <mergeCell ref="BB269:BC269"/>
    <mergeCell ref="BD269:BE269"/>
    <mergeCell ref="BF269:BG269"/>
    <mergeCell ref="BH269:BI269"/>
    <mergeCell ref="BJ269:BK269"/>
    <mergeCell ref="R267:S267"/>
    <mergeCell ref="T267:U267"/>
    <mergeCell ref="V267:W267"/>
    <mergeCell ref="X267:Y267"/>
    <mergeCell ref="Z267:AA267"/>
    <mergeCell ref="AB267:AC267"/>
    <mergeCell ref="AD267:AE267"/>
    <mergeCell ref="AF267:AG267"/>
    <mergeCell ref="AH267:AI267"/>
    <mergeCell ref="AJ267:AK267"/>
    <mergeCell ref="AL267:AM267"/>
    <mergeCell ref="AN267:AO267"/>
    <mergeCell ref="AP267:AQ267"/>
    <mergeCell ref="AR267:AS267"/>
    <mergeCell ref="BH267:BI267"/>
    <mergeCell ref="BJ267:BK267"/>
    <mergeCell ref="BL267:BM267"/>
    <mergeCell ref="BN267:BO267"/>
    <mergeCell ref="AT267:AU267"/>
    <mergeCell ref="AV267:AW267"/>
    <mergeCell ref="AX267:AY267"/>
    <mergeCell ref="AZ267:BA267"/>
    <mergeCell ref="BB267:BC267"/>
    <mergeCell ref="BD267:BE267"/>
    <mergeCell ref="BF267:BG267"/>
    <mergeCell ref="C267:D267"/>
    <mergeCell ref="F267:G267"/>
    <mergeCell ref="H267:I267"/>
    <mergeCell ref="J267:K267"/>
    <mergeCell ref="L267:M267"/>
    <mergeCell ref="N267:O267"/>
    <mergeCell ref="P267:Q267"/>
    <mergeCell ref="C269:D269"/>
    <mergeCell ref="F269:G269"/>
    <mergeCell ref="H269:I269"/>
    <mergeCell ref="J269:K269"/>
    <mergeCell ref="L269:M269"/>
    <mergeCell ref="N269:O269"/>
    <mergeCell ref="P269:Q269"/>
    <mergeCell ref="R269:S269"/>
    <mergeCell ref="T269:U269"/>
    <mergeCell ref="V269:W269"/>
    <mergeCell ref="X269:Y269"/>
    <mergeCell ref="Z269:AA269"/>
    <mergeCell ref="AB269:AC269"/>
    <mergeCell ref="AD269:AE269"/>
    <mergeCell ref="AT269:AU269"/>
    <mergeCell ref="AV269:AW269"/>
    <mergeCell ref="AF269:AG269"/>
    <mergeCell ref="AH269:AI269"/>
    <mergeCell ref="AJ269:AK269"/>
    <mergeCell ref="AL269:AM269"/>
    <mergeCell ref="AN269:AO269"/>
    <mergeCell ref="AP269:AQ269"/>
    <mergeCell ref="AR269:AS269"/>
    <mergeCell ref="R271:S271"/>
    <mergeCell ref="T271:U271"/>
    <mergeCell ref="V271:W271"/>
    <mergeCell ref="X271:Y271"/>
    <mergeCell ref="Z271:AA271"/>
    <mergeCell ref="AB271:AC271"/>
    <mergeCell ref="AD271:AE271"/>
    <mergeCell ref="AF271:AG271"/>
    <mergeCell ref="AH271:AI271"/>
    <mergeCell ref="AJ271:AK271"/>
    <mergeCell ref="AL271:AM271"/>
    <mergeCell ref="AN271:AO271"/>
    <mergeCell ref="AP271:AQ271"/>
    <mergeCell ref="AR271:AS271"/>
    <mergeCell ref="BH271:BI271"/>
    <mergeCell ref="BJ271:BK271"/>
    <mergeCell ref="BL271:BM271"/>
    <mergeCell ref="BN271:BO271"/>
    <mergeCell ref="AT271:AU271"/>
    <mergeCell ref="AV271:AW271"/>
    <mergeCell ref="AX271:AY271"/>
    <mergeCell ref="AZ271:BA271"/>
    <mergeCell ref="BB271:BC271"/>
    <mergeCell ref="BD271:BE271"/>
    <mergeCell ref="BF271:BG271"/>
    <mergeCell ref="C271:D271"/>
    <mergeCell ref="F271:G271"/>
    <mergeCell ref="H271:I271"/>
    <mergeCell ref="J271:K271"/>
    <mergeCell ref="L271:M271"/>
    <mergeCell ref="N271:O271"/>
    <mergeCell ref="P271:Q271"/>
    <mergeCell ref="BL278:BM278"/>
    <mergeCell ref="BN278:BO278"/>
    <mergeCell ref="AX278:AY278"/>
    <mergeCell ref="AZ278:BA278"/>
    <mergeCell ref="BB278:BC278"/>
    <mergeCell ref="BD278:BE278"/>
    <mergeCell ref="BF278:BG278"/>
    <mergeCell ref="BH278:BI278"/>
    <mergeCell ref="BJ278:BK278"/>
    <mergeCell ref="P276:Q276"/>
    <mergeCell ref="R276:S276"/>
    <mergeCell ref="T276:U276"/>
    <mergeCell ref="V276:W276"/>
    <mergeCell ref="X276:Y276"/>
    <mergeCell ref="Z276:AA276"/>
    <mergeCell ref="AB276:AC276"/>
    <mergeCell ref="AD276:AE276"/>
    <mergeCell ref="AF276:AG276"/>
    <mergeCell ref="AH276:AI276"/>
    <mergeCell ref="AJ276:AK276"/>
    <mergeCell ref="AL276:AM276"/>
    <mergeCell ref="AN276:AO276"/>
    <mergeCell ref="AP276:AQ276"/>
    <mergeCell ref="BF276:BG276"/>
    <mergeCell ref="BH276:BI276"/>
    <mergeCell ref="BJ276:BK276"/>
    <mergeCell ref="BL276:BM276"/>
    <mergeCell ref="BN276:BO276"/>
    <mergeCell ref="AR276:AS276"/>
    <mergeCell ref="AT276:AU276"/>
    <mergeCell ref="AV276:AW276"/>
    <mergeCell ref="AX276:AY276"/>
    <mergeCell ref="AZ276:BA276"/>
    <mergeCell ref="BB276:BC276"/>
    <mergeCell ref="BD276:BE276"/>
    <mergeCell ref="C273:D273"/>
    <mergeCell ref="C276:D276"/>
    <mergeCell ref="F276:G276"/>
    <mergeCell ref="H276:I276"/>
    <mergeCell ref="J276:K276"/>
    <mergeCell ref="L276:M276"/>
    <mergeCell ref="N276:O276"/>
    <mergeCell ref="C278:D278"/>
    <mergeCell ref="F278:G278"/>
    <mergeCell ref="H278:I278"/>
    <mergeCell ref="J278:K278"/>
    <mergeCell ref="L278:M278"/>
    <mergeCell ref="N278:O278"/>
    <mergeCell ref="P278:Q278"/>
    <mergeCell ref="R278:S278"/>
    <mergeCell ref="T278:U278"/>
    <mergeCell ref="V278:W278"/>
    <mergeCell ref="X278:Y278"/>
    <mergeCell ref="Z278:AA278"/>
    <mergeCell ref="AB278:AC278"/>
    <mergeCell ref="AD278:AE278"/>
    <mergeCell ref="AT278:AU278"/>
    <mergeCell ref="AV278:AW278"/>
    <mergeCell ref="AF278:AG278"/>
    <mergeCell ref="AH278:AI278"/>
    <mergeCell ref="AJ278:AK278"/>
    <mergeCell ref="AL278:AM278"/>
    <mergeCell ref="AN278:AO278"/>
    <mergeCell ref="AP278:AQ278"/>
    <mergeCell ref="AR278:AS278"/>
    <mergeCell ref="R280:S280"/>
    <mergeCell ref="T280:U280"/>
    <mergeCell ref="V280:W280"/>
    <mergeCell ref="X280:Y280"/>
    <mergeCell ref="Z280:AA280"/>
    <mergeCell ref="AB280:AC280"/>
    <mergeCell ref="AD280:AE280"/>
    <mergeCell ref="AF280:AG280"/>
    <mergeCell ref="AH280:AI280"/>
    <mergeCell ref="AJ280:AK280"/>
    <mergeCell ref="AL280:AM280"/>
    <mergeCell ref="AN280:AO280"/>
    <mergeCell ref="AP280:AQ280"/>
    <mergeCell ref="AR280:AS280"/>
    <mergeCell ref="BH280:BI280"/>
    <mergeCell ref="BJ280:BK280"/>
    <mergeCell ref="BL280:BM280"/>
    <mergeCell ref="BN280:BO280"/>
    <mergeCell ref="AT280:AU280"/>
    <mergeCell ref="AV280:AW280"/>
    <mergeCell ref="AX280:AY280"/>
    <mergeCell ref="AZ280:BA280"/>
    <mergeCell ref="BB280:BC280"/>
    <mergeCell ref="BD280:BE280"/>
    <mergeCell ref="BF280:BG280"/>
    <mergeCell ref="C280:D280"/>
    <mergeCell ref="F280:G280"/>
    <mergeCell ref="H280:I280"/>
    <mergeCell ref="J280:K280"/>
    <mergeCell ref="L280:M280"/>
    <mergeCell ref="N280:O280"/>
    <mergeCell ref="P280:Q280"/>
    <mergeCell ref="AT284:AU284"/>
    <mergeCell ref="AV284:AW284"/>
    <mergeCell ref="AF284:AG284"/>
    <mergeCell ref="AH284:AI284"/>
    <mergeCell ref="AJ284:AK284"/>
    <mergeCell ref="AL284:AM284"/>
    <mergeCell ref="AN284:AO284"/>
    <mergeCell ref="AP284:AQ284"/>
    <mergeCell ref="AR284:AS284"/>
    <mergeCell ref="R286:S286"/>
    <mergeCell ref="T286:U286"/>
    <mergeCell ref="V286:W286"/>
    <mergeCell ref="X286:Y286"/>
    <mergeCell ref="Z286:AA286"/>
    <mergeCell ref="AB286:AC286"/>
    <mergeCell ref="AD286:AE286"/>
    <mergeCell ref="AF286:AG286"/>
    <mergeCell ref="AH286:AI286"/>
    <mergeCell ref="AJ286:AK286"/>
    <mergeCell ref="AL286:AM286"/>
    <mergeCell ref="AN286:AO286"/>
    <mergeCell ref="AP286:AQ286"/>
    <mergeCell ref="AR286:AS286"/>
    <mergeCell ref="BH286:BI286"/>
    <mergeCell ref="BJ286:BK286"/>
    <mergeCell ref="BL286:BM286"/>
    <mergeCell ref="BN286:BO286"/>
    <mergeCell ref="AT286:AU286"/>
    <mergeCell ref="AV286:AW286"/>
    <mergeCell ref="AX286:AY286"/>
    <mergeCell ref="AZ286:BA286"/>
    <mergeCell ref="BB286:BC286"/>
    <mergeCell ref="BD286:BE286"/>
    <mergeCell ref="BF286:BG286"/>
    <mergeCell ref="C286:D286"/>
    <mergeCell ref="F286:G286"/>
    <mergeCell ref="H286:I286"/>
    <mergeCell ref="J286:K286"/>
    <mergeCell ref="L286:M286"/>
    <mergeCell ref="N286:O286"/>
    <mergeCell ref="P286:Q286"/>
    <mergeCell ref="BL305:BM305"/>
    <mergeCell ref="BN305:BO305"/>
    <mergeCell ref="AX305:AY305"/>
    <mergeCell ref="AZ305:BA305"/>
    <mergeCell ref="BB305:BC305"/>
    <mergeCell ref="BD305:BE305"/>
    <mergeCell ref="BF305:BG305"/>
    <mergeCell ref="BH305:BI305"/>
    <mergeCell ref="BJ305:BK305"/>
    <mergeCell ref="R303:S303"/>
    <mergeCell ref="T303:U303"/>
    <mergeCell ref="V303:W303"/>
    <mergeCell ref="X303:Y303"/>
    <mergeCell ref="Z303:AA303"/>
    <mergeCell ref="AB303:AC303"/>
    <mergeCell ref="AD303:AE303"/>
    <mergeCell ref="AF303:AG303"/>
    <mergeCell ref="AH303:AI303"/>
    <mergeCell ref="AJ303:AK303"/>
    <mergeCell ref="AL303:AM303"/>
    <mergeCell ref="AN303:AO303"/>
    <mergeCell ref="AP303:AQ303"/>
    <mergeCell ref="AR303:AS303"/>
    <mergeCell ref="BH303:BI303"/>
    <mergeCell ref="BJ303:BK303"/>
    <mergeCell ref="BL303:BM303"/>
    <mergeCell ref="BN303:BO303"/>
    <mergeCell ref="AT303:AU303"/>
    <mergeCell ref="AV303:AW303"/>
    <mergeCell ref="AX303:AY303"/>
    <mergeCell ref="AZ303:BA303"/>
    <mergeCell ref="BB303:BC303"/>
    <mergeCell ref="BD303:BE303"/>
    <mergeCell ref="BF303:BG303"/>
    <mergeCell ref="C303:D303"/>
    <mergeCell ref="F303:G303"/>
    <mergeCell ref="H303:I303"/>
    <mergeCell ref="J303:K303"/>
    <mergeCell ref="L303:M303"/>
    <mergeCell ref="N303:O303"/>
    <mergeCell ref="P303:Q303"/>
    <mergeCell ref="C305:D305"/>
    <mergeCell ref="F305:G305"/>
    <mergeCell ref="H305:I305"/>
    <mergeCell ref="J305:K305"/>
    <mergeCell ref="L305:M305"/>
    <mergeCell ref="N305:O305"/>
    <mergeCell ref="P305:Q305"/>
    <mergeCell ref="R305:S305"/>
    <mergeCell ref="T305:U305"/>
    <mergeCell ref="V305:W305"/>
    <mergeCell ref="X305:Y305"/>
    <mergeCell ref="Z305:AA305"/>
    <mergeCell ref="AB305:AC305"/>
    <mergeCell ref="AD305:AE305"/>
    <mergeCell ref="BL290:BM290"/>
    <mergeCell ref="BN290:BO290"/>
    <mergeCell ref="AX290:AY290"/>
    <mergeCell ref="AZ290:BA290"/>
    <mergeCell ref="BB290:BC290"/>
    <mergeCell ref="BD290:BE290"/>
    <mergeCell ref="BF290:BG290"/>
    <mergeCell ref="BH290:BI290"/>
    <mergeCell ref="BJ290:BK290"/>
    <mergeCell ref="R288:S288"/>
    <mergeCell ref="T288:U288"/>
    <mergeCell ref="V288:W288"/>
    <mergeCell ref="X288:Y288"/>
    <mergeCell ref="Z288:AA288"/>
    <mergeCell ref="AB288:AC288"/>
    <mergeCell ref="AD288:AE288"/>
    <mergeCell ref="AF288:AG288"/>
    <mergeCell ref="AH288:AI288"/>
    <mergeCell ref="AJ288:AK288"/>
    <mergeCell ref="AL288:AM288"/>
    <mergeCell ref="AN288:AO288"/>
    <mergeCell ref="AP288:AQ288"/>
    <mergeCell ref="AR288:AS288"/>
    <mergeCell ref="BH288:BI288"/>
    <mergeCell ref="BJ288:BK288"/>
    <mergeCell ref="BL288:BM288"/>
    <mergeCell ref="BN288:BO288"/>
    <mergeCell ref="AT288:AU288"/>
    <mergeCell ref="AV288:AW288"/>
    <mergeCell ref="AX288:AY288"/>
    <mergeCell ref="AZ288:BA288"/>
    <mergeCell ref="BB288:BC288"/>
    <mergeCell ref="BD288:BE288"/>
    <mergeCell ref="BF288:BG288"/>
    <mergeCell ref="C288:D288"/>
    <mergeCell ref="F288:G288"/>
    <mergeCell ref="H288:I288"/>
    <mergeCell ref="J288:K288"/>
    <mergeCell ref="L288:M288"/>
    <mergeCell ref="N288:O288"/>
    <mergeCell ref="P288:Q288"/>
    <mergeCell ref="C290:D290"/>
    <mergeCell ref="F290:G290"/>
    <mergeCell ref="H290:I290"/>
    <mergeCell ref="J290:K290"/>
    <mergeCell ref="L290:M290"/>
    <mergeCell ref="N290:O290"/>
    <mergeCell ref="P290:Q290"/>
    <mergeCell ref="R290:S290"/>
    <mergeCell ref="T290:U290"/>
    <mergeCell ref="V290:W290"/>
    <mergeCell ref="X290:Y290"/>
    <mergeCell ref="Z290:AA290"/>
    <mergeCell ref="AB290:AC290"/>
    <mergeCell ref="AD290:AE290"/>
    <mergeCell ref="AT290:AU290"/>
    <mergeCell ref="AV290:AW290"/>
    <mergeCell ref="AF290:AG290"/>
    <mergeCell ref="AH290:AI290"/>
    <mergeCell ref="AJ290:AK290"/>
    <mergeCell ref="AL290:AM290"/>
    <mergeCell ref="AN290:AO290"/>
    <mergeCell ref="AP290:AQ290"/>
    <mergeCell ref="AR290:AS290"/>
    <mergeCell ref="R292:S292"/>
    <mergeCell ref="T292:U292"/>
    <mergeCell ref="V292:W292"/>
    <mergeCell ref="X292:Y292"/>
    <mergeCell ref="Z292:AA292"/>
    <mergeCell ref="AB292:AC292"/>
    <mergeCell ref="AD292:AE292"/>
    <mergeCell ref="AF292:AG292"/>
    <mergeCell ref="AH292:AI292"/>
    <mergeCell ref="AJ292:AK292"/>
    <mergeCell ref="AL292:AM292"/>
    <mergeCell ref="AN292:AO292"/>
    <mergeCell ref="AP292:AQ292"/>
    <mergeCell ref="AR292:AS292"/>
    <mergeCell ref="BH292:BI292"/>
    <mergeCell ref="BJ292:BK292"/>
    <mergeCell ref="BL292:BM292"/>
    <mergeCell ref="BN292:BO292"/>
    <mergeCell ref="AT292:AU292"/>
    <mergeCell ref="AV292:AW292"/>
    <mergeCell ref="AX292:AY292"/>
    <mergeCell ref="AZ292:BA292"/>
    <mergeCell ref="BB292:BC292"/>
    <mergeCell ref="BD292:BE292"/>
    <mergeCell ref="BF292:BG292"/>
    <mergeCell ref="C292:D292"/>
    <mergeCell ref="F292:G292"/>
    <mergeCell ref="H292:I292"/>
    <mergeCell ref="J292:K292"/>
    <mergeCell ref="L292:M292"/>
    <mergeCell ref="N292:O292"/>
    <mergeCell ref="P292:Q292"/>
    <mergeCell ref="BL299:BM299"/>
    <mergeCell ref="BN299:BO299"/>
    <mergeCell ref="AX299:AY299"/>
    <mergeCell ref="AZ299:BA299"/>
    <mergeCell ref="BB299:BC299"/>
    <mergeCell ref="BD299:BE299"/>
    <mergeCell ref="BF299:BG299"/>
    <mergeCell ref="BH299:BI299"/>
    <mergeCell ref="BJ299:BK299"/>
    <mergeCell ref="P297:Q297"/>
    <mergeCell ref="R297:S297"/>
    <mergeCell ref="T297:U297"/>
    <mergeCell ref="V297:W297"/>
    <mergeCell ref="X297:Y297"/>
    <mergeCell ref="Z297:AA297"/>
    <mergeCell ref="AB297:AC297"/>
    <mergeCell ref="AD297:AE297"/>
    <mergeCell ref="AF297:AG297"/>
    <mergeCell ref="AH297:AI297"/>
    <mergeCell ref="AJ297:AK297"/>
    <mergeCell ref="AL297:AM297"/>
    <mergeCell ref="AN297:AO297"/>
    <mergeCell ref="AP297:AQ297"/>
    <mergeCell ref="BF297:BG297"/>
    <mergeCell ref="BH297:BI297"/>
    <mergeCell ref="BJ297:BK297"/>
    <mergeCell ref="BL297:BM297"/>
    <mergeCell ref="BN297:BO297"/>
    <mergeCell ref="AR297:AS297"/>
    <mergeCell ref="AT297:AU297"/>
    <mergeCell ref="AV297:AW297"/>
    <mergeCell ref="AX297:AY297"/>
    <mergeCell ref="AZ297:BA297"/>
    <mergeCell ref="BB297:BC297"/>
    <mergeCell ref="BD297:BE297"/>
    <mergeCell ref="C294:D294"/>
    <mergeCell ref="C297:D297"/>
    <mergeCell ref="F297:G297"/>
    <mergeCell ref="H297:I297"/>
    <mergeCell ref="J297:K297"/>
    <mergeCell ref="L297:M297"/>
    <mergeCell ref="N297:O297"/>
    <mergeCell ref="C299:D299"/>
    <mergeCell ref="F299:G299"/>
    <mergeCell ref="H299:I299"/>
    <mergeCell ref="J299:K299"/>
    <mergeCell ref="L299:M299"/>
    <mergeCell ref="N299:O299"/>
    <mergeCell ref="P299:Q299"/>
    <mergeCell ref="R299:S299"/>
    <mergeCell ref="T299:U299"/>
    <mergeCell ref="V299:W299"/>
    <mergeCell ref="X299:Y299"/>
    <mergeCell ref="Z299:AA299"/>
    <mergeCell ref="AB299:AC299"/>
    <mergeCell ref="AD299:AE299"/>
    <mergeCell ref="AT299:AU299"/>
    <mergeCell ref="AV299:AW299"/>
    <mergeCell ref="AF299:AG299"/>
    <mergeCell ref="AH299:AI299"/>
    <mergeCell ref="AJ299:AK299"/>
    <mergeCell ref="AL299:AM299"/>
    <mergeCell ref="AN299:AO299"/>
    <mergeCell ref="AP299:AQ299"/>
    <mergeCell ref="AR299:AS299"/>
    <mergeCell ref="R301:S301"/>
    <mergeCell ref="T301:U301"/>
    <mergeCell ref="V301:W301"/>
    <mergeCell ref="X301:Y301"/>
    <mergeCell ref="Z301:AA301"/>
    <mergeCell ref="AB301:AC301"/>
    <mergeCell ref="AD301:AE301"/>
    <mergeCell ref="AF301:AG301"/>
    <mergeCell ref="AH301:AI301"/>
    <mergeCell ref="AJ301:AK301"/>
    <mergeCell ref="AL301:AM301"/>
    <mergeCell ref="AN301:AO301"/>
    <mergeCell ref="AP301:AQ301"/>
    <mergeCell ref="AR301:AS301"/>
    <mergeCell ref="BH301:BI301"/>
    <mergeCell ref="BJ301:BK301"/>
    <mergeCell ref="BL301:BM301"/>
    <mergeCell ref="BN301:BO301"/>
    <mergeCell ref="AT301:AU301"/>
    <mergeCell ref="AV301:AW301"/>
    <mergeCell ref="AX301:AY301"/>
    <mergeCell ref="AZ301:BA301"/>
    <mergeCell ref="BB301:BC301"/>
    <mergeCell ref="BD301:BE301"/>
    <mergeCell ref="BF301:BG301"/>
    <mergeCell ref="C301:D301"/>
    <mergeCell ref="F301:G301"/>
    <mergeCell ref="H301:I301"/>
    <mergeCell ref="J301:K301"/>
    <mergeCell ref="L301:M301"/>
    <mergeCell ref="N301:O301"/>
    <mergeCell ref="P301:Q301"/>
    <mergeCell ref="AT305:AU305"/>
    <mergeCell ref="AV305:AW305"/>
    <mergeCell ref="AF305:AG305"/>
    <mergeCell ref="AH305:AI305"/>
    <mergeCell ref="AJ305:AK305"/>
    <mergeCell ref="AL305:AM305"/>
    <mergeCell ref="AN305:AO305"/>
    <mergeCell ref="AP305:AQ305"/>
    <mergeCell ref="AR305:AS305"/>
    <mergeCell ref="R307:S307"/>
    <mergeCell ref="T307:U307"/>
    <mergeCell ref="V307:W307"/>
    <mergeCell ref="X307:Y307"/>
    <mergeCell ref="Z307:AA307"/>
    <mergeCell ref="AB307:AC307"/>
    <mergeCell ref="AD307:AE307"/>
    <mergeCell ref="AF307:AG307"/>
    <mergeCell ref="AH307:AI307"/>
    <mergeCell ref="AJ307:AK307"/>
    <mergeCell ref="AL307:AM307"/>
    <mergeCell ref="AN307:AO307"/>
    <mergeCell ref="AP307:AQ307"/>
    <mergeCell ref="AR307:AS307"/>
    <mergeCell ref="BH307:BI307"/>
    <mergeCell ref="BJ307:BK307"/>
    <mergeCell ref="BL307:BM307"/>
    <mergeCell ref="BN307:BO307"/>
    <mergeCell ref="AT307:AU307"/>
    <mergeCell ref="AV307:AW307"/>
    <mergeCell ref="AX307:AY307"/>
    <mergeCell ref="AZ307:BA307"/>
    <mergeCell ref="BB307:BC307"/>
    <mergeCell ref="BD307:BE307"/>
    <mergeCell ref="BF307:BG307"/>
    <mergeCell ref="C307:D307"/>
    <mergeCell ref="F307:G307"/>
    <mergeCell ref="H307:I307"/>
    <mergeCell ref="J307:K307"/>
    <mergeCell ref="L307:M307"/>
    <mergeCell ref="N307:O307"/>
    <mergeCell ref="P307:Q307"/>
    <mergeCell ref="BL323:BM323"/>
    <mergeCell ref="BN323:BO323"/>
    <mergeCell ref="AX323:AY323"/>
    <mergeCell ref="AZ323:BA323"/>
    <mergeCell ref="BB323:BC323"/>
    <mergeCell ref="BD323:BE323"/>
    <mergeCell ref="BF323:BG323"/>
    <mergeCell ref="BH323:BI323"/>
    <mergeCell ref="BJ323:BK323"/>
    <mergeCell ref="R321:S321"/>
    <mergeCell ref="T321:U321"/>
    <mergeCell ref="V321:W321"/>
    <mergeCell ref="X321:Y321"/>
    <mergeCell ref="Z321:AA321"/>
    <mergeCell ref="AB321:AC321"/>
    <mergeCell ref="AD321:AE321"/>
    <mergeCell ref="AF321:AG321"/>
    <mergeCell ref="AH321:AI321"/>
    <mergeCell ref="AJ321:AK321"/>
    <mergeCell ref="AL321:AM321"/>
    <mergeCell ref="AN321:AO321"/>
    <mergeCell ref="AP321:AQ321"/>
    <mergeCell ref="AR321:AS321"/>
    <mergeCell ref="BH321:BI321"/>
    <mergeCell ref="BJ321:BK321"/>
    <mergeCell ref="BL321:BM321"/>
    <mergeCell ref="BN321:BO321"/>
    <mergeCell ref="AT321:AU321"/>
    <mergeCell ref="AV321:AW321"/>
    <mergeCell ref="AX321:AY321"/>
    <mergeCell ref="AZ321:BA321"/>
    <mergeCell ref="BB321:BC321"/>
    <mergeCell ref="BD321:BE321"/>
    <mergeCell ref="BF321:BG321"/>
    <mergeCell ref="C321:D321"/>
    <mergeCell ref="F321:G321"/>
    <mergeCell ref="H321:I321"/>
    <mergeCell ref="J321:K321"/>
    <mergeCell ref="L321:M321"/>
    <mergeCell ref="N321:O321"/>
    <mergeCell ref="P321:Q321"/>
    <mergeCell ref="C323:D323"/>
    <mergeCell ref="F323:G323"/>
    <mergeCell ref="H323:I323"/>
    <mergeCell ref="J323:K323"/>
    <mergeCell ref="L323:M323"/>
    <mergeCell ref="N323:O323"/>
    <mergeCell ref="P323:Q323"/>
    <mergeCell ref="R323:S323"/>
    <mergeCell ref="T323:U323"/>
    <mergeCell ref="V323:W323"/>
    <mergeCell ref="X323:Y323"/>
    <mergeCell ref="Z323:AA323"/>
    <mergeCell ref="AB323:AC323"/>
    <mergeCell ref="AD323:AE323"/>
    <mergeCell ref="BL311:BM311"/>
    <mergeCell ref="BN311:BO311"/>
    <mergeCell ref="AX311:AY311"/>
    <mergeCell ref="AZ311:BA311"/>
    <mergeCell ref="BB311:BC311"/>
    <mergeCell ref="BD311:BE311"/>
    <mergeCell ref="BF311:BG311"/>
    <mergeCell ref="BH311:BI311"/>
    <mergeCell ref="BJ311:BK311"/>
    <mergeCell ref="R309:S309"/>
    <mergeCell ref="T309:U309"/>
    <mergeCell ref="V309:W309"/>
    <mergeCell ref="X309:Y309"/>
    <mergeCell ref="Z309:AA309"/>
    <mergeCell ref="AB309:AC309"/>
    <mergeCell ref="AD309:AE309"/>
    <mergeCell ref="AF309:AG309"/>
    <mergeCell ref="AH309:AI309"/>
    <mergeCell ref="AJ309:AK309"/>
    <mergeCell ref="AL309:AM309"/>
    <mergeCell ref="AN309:AO309"/>
    <mergeCell ref="AP309:AQ309"/>
    <mergeCell ref="AR309:AS309"/>
    <mergeCell ref="BH309:BI309"/>
    <mergeCell ref="BJ309:BK309"/>
    <mergeCell ref="BL309:BM309"/>
    <mergeCell ref="BN309:BO309"/>
    <mergeCell ref="AT309:AU309"/>
    <mergeCell ref="AV309:AW309"/>
    <mergeCell ref="AX309:AY309"/>
    <mergeCell ref="AZ309:BA309"/>
    <mergeCell ref="BB309:BC309"/>
    <mergeCell ref="BD309:BE309"/>
    <mergeCell ref="BF309:BG309"/>
    <mergeCell ref="C309:D309"/>
    <mergeCell ref="F309:G309"/>
    <mergeCell ref="H309:I309"/>
    <mergeCell ref="J309:K309"/>
    <mergeCell ref="L309:M309"/>
    <mergeCell ref="N309:O309"/>
    <mergeCell ref="P309:Q309"/>
    <mergeCell ref="C311:D311"/>
    <mergeCell ref="F311:G311"/>
    <mergeCell ref="H311:I311"/>
    <mergeCell ref="J311:K311"/>
    <mergeCell ref="L311:M311"/>
    <mergeCell ref="N311:O311"/>
    <mergeCell ref="P311:Q311"/>
    <mergeCell ref="R311:S311"/>
    <mergeCell ref="T311:U311"/>
    <mergeCell ref="V311:W311"/>
    <mergeCell ref="X311:Y311"/>
    <mergeCell ref="Z311:AA311"/>
    <mergeCell ref="AB311:AC311"/>
    <mergeCell ref="AD311:AE311"/>
    <mergeCell ref="AR317:AS317"/>
    <mergeCell ref="AT317:AU317"/>
    <mergeCell ref="AD317:AE317"/>
    <mergeCell ref="AF317:AG317"/>
    <mergeCell ref="AH317:AI317"/>
    <mergeCell ref="AJ317:AK317"/>
    <mergeCell ref="AL317:AM317"/>
    <mergeCell ref="AN317:AO317"/>
    <mergeCell ref="AP317:AQ317"/>
    <mergeCell ref="BJ317:BK317"/>
    <mergeCell ref="BL317:BM317"/>
    <mergeCell ref="AV317:AW317"/>
    <mergeCell ref="AX317:AY317"/>
    <mergeCell ref="AZ317:BA317"/>
    <mergeCell ref="BB317:BC317"/>
    <mergeCell ref="BD317:BE317"/>
    <mergeCell ref="BF317:BG317"/>
    <mergeCell ref="BH317:BI317"/>
    <mergeCell ref="AT311:AU311"/>
    <mergeCell ref="AV311:AW311"/>
    <mergeCell ref="AF311:AG311"/>
    <mergeCell ref="AH311:AI311"/>
    <mergeCell ref="AJ311:AK311"/>
    <mergeCell ref="AL311:AM311"/>
    <mergeCell ref="AN311:AO311"/>
    <mergeCell ref="AP311:AQ311"/>
    <mergeCell ref="AR311:AS311"/>
    <mergeCell ref="R313:S313"/>
    <mergeCell ref="T313:U313"/>
    <mergeCell ref="V313:W313"/>
    <mergeCell ref="X313:Y313"/>
    <mergeCell ref="Z313:AA313"/>
    <mergeCell ref="AB313:AC313"/>
    <mergeCell ref="AD313:AE313"/>
    <mergeCell ref="AF313:AG313"/>
    <mergeCell ref="AH313:AI313"/>
    <mergeCell ref="AJ313:AK313"/>
    <mergeCell ref="AL313:AM313"/>
    <mergeCell ref="AN313:AO313"/>
    <mergeCell ref="AP313:AQ313"/>
    <mergeCell ref="AR313:AS313"/>
    <mergeCell ref="BH313:BI313"/>
    <mergeCell ref="BJ313:BK313"/>
    <mergeCell ref="BL313:BM313"/>
    <mergeCell ref="BN313:BO313"/>
    <mergeCell ref="BN317:BO317"/>
    <mergeCell ref="AT313:AU313"/>
    <mergeCell ref="AV313:AW313"/>
    <mergeCell ref="AX313:AY313"/>
    <mergeCell ref="AZ313:BA313"/>
    <mergeCell ref="BB313:BC313"/>
    <mergeCell ref="BD313:BE313"/>
    <mergeCell ref="BF313:BG313"/>
    <mergeCell ref="P317:Q317"/>
    <mergeCell ref="R317:S317"/>
    <mergeCell ref="T317:U317"/>
    <mergeCell ref="V317:W317"/>
    <mergeCell ref="X317:Y317"/>
    <mergeCell ref="Z317:AA317"/>
    <mergeCell ref="AB317:AC317"/>
    <mergeCell ref="C313:D313"/>
    <mergeCell ref="F313:G313"/>
    <mergeCell ref="H313:I313"/>
    <mergeCell ref="J313:K313"/>
    <mergeCell ref="L313:M313"/>
    <mergeCell ref="N313:O313"/>
    <mergeCell ref="P313:Q313"/>
    <mergeCell ref="C314:D314"/>
    <mergeCell ref="C317:D317"/>
    <mergeCell ref="F317:G317"/>
    <mergeCell ref="H317:I317"/>
    <mergeCell ref="J317:K317"/>
    <mergeCell ref="L317:M317"/>
    <mergeCell ref="N317:O317"/>
    <mergeCell ref="R319:S319"/>
    <mergeCell ref="T319:U319"/>
    <mergeCell ref="V319:W319"/>
    <mergeCell ref="X319:Y319"/>
    <mergeCell ref="Z319:AA319"/>
    <mergeCell ref="AB319:AC319"/>
    <mergeCell ref="AD319:AE319"/>
    <mergeCell ref="AF319:AG319"/>
    <mergeCell ref="AH319:AI319"/>
    <mergeCell ref="AJ319:AK319"/>
    <mergeCell ref="AL319:AM319"/>
    <mergeCell ref="AN319:AO319"/>
    <mergeCell ref="AP319:AQ319"/>
    <mergeCell ref="AR319:AS319"/>
    <mergeCell ref="BH319:BI319"/>
    <mergeCell ref="BJ319:BK319"/>
    <mergeCell ref="BL319:BM319"/>
    <mergeCell ref="BN319:BO319"/>
    <mergeCell ref="AT319:AU319"/>
    <mergeCell ref="AV319:AW319"/>
    <mergeCell ref="AX319:AY319"/>
    <mergeCell ref="AZ319:BA319"/>
    <mergeCell ref="BB319:BC319"/>
    <mergeCell ref="BD319:BE319"/>
    <mergeCell ref="BF319:BG319"/>
    <mergeCell ref="C319:D319"/>
    <mergeCell ref="F319:G319"/>
    <mergeCell ref="H319:I319"/>
    <mergeCell ref="J319:K319"/>
    <mergeCell ref="L319:M319"/>
    <mergeCell ref="N319:O319"/>
    <mergeCell ref="P319:Q319"/>
    <mergeCell ref="AT323:AU323"/>
    <mergeCell ref="AV323:AW323"/>
    <mergeCell ref="AF323:AG323"/>
    <mergeCell ref="AH323:AI323"/>
    <mergeCell ref="AJ323:AK323"/>
    <mergeCell ref="AL323:AM323"/>
    <mergeCell ref="AN323:AO323"/>
    <mergeCell ref="AP323:AQ323"/>
    <mergeCell ref="AR323:AS323"/>
    <mergeCell ref="R325:S325"/>
    <mergeCell ref="T325:U325"/>
    <mergeCell ref="V325:W325"/>
    <mergeCell ref="X325:Y325"/>
    <mergeCell ref="Z325:AA325"/>
    <mergeCell ref="AB325:AC325"/>
    <mergeCell ref="AD325:AE325"/>
    <mergeCell ref="AF325:AG325"/>
    <mergeCell ref="AH325:AI325"/>
    <mergeCell ref="AJ325:AK325"/>
    <mergeCell ref="AL325:AM325"/>
    <mergeCell ref="AN325:AO325"/>
    <mergeCell ref="AP325:AQ325"/>
    <mergeCell ref="AR325:AS325"/>
    <mergeCell ref="BH325:BI325"/>
    <mergeCell ref="BJ325:BK325"/>
    <mergeCell ref="BL325:BM325"/>
    <mergeCell ref="BN325:BO325"/>
    <mergeCell ref="AT325:AU325"/>
    <mergeCell ref="AV325:AW325"/>
    <mergeCell ref="AX325:AY325"/>
    <mergeCell ref="AZ325:BA325"/>
    <mergeCell ref="BB325:BC325"/>
    <mergeCell ref="BD325:BE325"/>
    <mergeCell ref="BF325:BG325"/>
    <mergeCell ref="C325:D325"/>
    <mergeCell ref="F325:G325"/>
    <mergeCell ref="H325:I325"/>
    <mergeCell ref="J325:K325"/>
    <mergeCell ref="L325:M325"/>
    <mergeCell ref="N325:O325"/>
    <mergeCell ref="P325:Q325"/>
    <mergeCell ref="AT77:AU77"/>
    <mergeCell ref="AV77:AW77"/>
    <mergeCell ref="AF77:AG77"/>
    <mergeCell ref="AH77:AI77"/>
    <mergeCell ref="AJ77:AK77"/>
    <mergeCell ref="AL77:AM77"/>
    <mergeCell ref="AN77:AO77"/>
    <mergeCell ref="AP77:AQ77"/>
    <mergeCell ref="AR77:AS77"/>
    <mergeCell ref="BL77:BM77"/>
    <mergeCell ref="BN77:BO77"/>
    <mergeCell ref="AX77:AY77"/>
    <mergeCell ref="AZ77:BA77"/>
    <mergeCell ref="BB77:BC77"/>
    <mergeCell ref="BD77:BE77"/>
    <mergeCell ref="BF77:BG77"/>
    <mergeCell ref="BH77:BI77"/>
    <mergeCell ref="BJ77:BK77"/>
    <mergeCell ref="AT72:AU72"/>
    <mergeCell ref="AV72:AW72"/>
    <mergeCell ref="AF72:AG72"/>
    <mergeCell ref="AH72:AI72"/>
    <mergeCell ref="AJ72:AK72"/>
    <mergeCell ref="AL72:AM72"/>
    <mergeCell ref="AN72:AO72"/>
    <mergeCell ref="AP72:AQ72"/>
    <mergeCell ref="AR72:AS72"/>
    <mergeCell ref="R74:S74"/>
    <mergeCell ref="T74:U74"/>
    <mergeCell ref="V74:W74"/>
    <mergeCell ref="X74:Y74"/>
    <mergeCell ref="Z74:AA74"/>
    <mergeCell ref="AB74:AC74"/>
    <mergeCell ref="AD74:AE74"/>
    <mergeCell ref="AF74:AG74"/>
    <mergeCell ref="AH74:AI74"/>
    <mergeCell ref="AJ74:AK74"/>
    <mergeCell ref="AL74:AM74"/>
    <mergeCell ref="AN74:AO74"/>
    <mergeCell ref="AP74:AQ74"/>
    <mergeCell ref="AR74:AS74"/>
    <mergeCell ref="BH74:BI74"/>
    <mergeCell ref="BJ74:BK74"/>
    <mergeCell ref="BL74:BM74"/>
    <mergeCell ref="BN74:BO74"/>
    <mergeCell ref="AT74:AU74"/>
    <mergeCell ref="AV74:AW74"/>
    <mergeCell ref="AX74:AY74"/>
    <mergeCell ref="AZ74:BA74"/>
    <mergeCell ref="BB74:BC74"/>
    <mergeCell ref="BD74:BE74"/>
    <mergeCell ref="BF74:BG74"/>
    <mergeCell ref="P77:Q77"/>
    <mergeCell ref="T77:U77"/>
    <mergeCell ref="V77:W77"/>
    <mergeCell ref="X77:Y77"/>
    <mergeCell ref="Z77:AA77"/>
    <mergeCell ref="AB77:AC77"/>
    <mergeCell ref="AD77:AE77"/>
    <mergeCell ref="BL60:BM60"/>
    <mergeCell ref="BN60:BO60"/>
    <mergeCell ref="AX60:AY60"/>
    <mergeCell ref="AZ60:BA60"/>
    <mergeCell ref="BB60:BC60"/>
    <mergeCell ref="BD60:BE60"/>
    <mergeCell ref="BF60:BG60"/>
    <mergeCell ref="BH60:BI60"/>
    <mergeCell ref="BJ60:BK60"/>
    <mergeCell ref="R58:S58"/>
    <mergeCell ref="T58:U58"/>
    <mergeCell ref="V58:W58"/>
    <mergeCell ref="X58:Y58"/>
    <mergeCell ref="Z58:AA58"/>
    <mergeCell ref="AB58:AC58"/>
    <mergeCell ref="AD58:AE58"/>
    <mergeCell ref="AF58:AG58"/>
    <mergeCell ref="AH58:AI58"/>
    <mergeCell ref="AJ58:AK58"/>
    <mergeCell ref="AL58:AM58"/>
    <mergeCell ref="AN58:AO58"/>
    <mergeCell ref="AP58:AQ58"/>
    <mergeCell ref="AR58:AS58"/>
    <mergeCell ref="BH58:BI58"/>
    <mergeCell ref="BJ58:BK58"/>
    <mergeCell ref="BL58:BM58"/>
    <mergeCell ref="BN58:BO58"/>
    <mergeCell ref="AT58:AU58"/>
    <mergeCell ref="AV58:AW58"/>
    <mergeCell ref="AX58:AY58"/>
    <mergeCell ref="AZ58:BA58"/>
    <mergeCell ref="BB58:BC58"/>
    <mergeCell ref="BD58:BE58"/>
    <mergeCell ref="BF58:BG58"/>
    <mergeCell ref="C58:D58"/>
    <mergeCell ref="F58:G58"/>
    <mergeCell ref="H58:I58"/>
    <mergeCell ref="J58:K58"/>
    <mergeCell ref="L58:M58"/>
    <mergeCell ref="N58:O58"/>
    <mergeCell ref="P58:Q58"/>
    <mergeCell ref="C60:D60"/>
    <mergeCell ref="F60:G60"/>
    <mergeCell ref="H60:I60"/>
    <mergeCell ref="J60:K60"/>
    <mergeCell ref="L60:M60"/>
    <mergeCell ref="N60:O60"/>
    <mergeCell ref="P60:Q60"/>
    <mergeCell ref="R60:S60"/>
    <mergeCell ref="T60:U60"/>
    <mergeCell ref="V60:W60"/>
    <mergeCell ref="X60:Y60"/>
    <mergeCell ref="Z60:AA60"/>
    <mergeCell ref="AB60:AC60"/>
    <mergeCell ref="AD60:AE60"/>
    <mergeCell ref="AT60:AU60"/>
    <mergeCell ref="AV60:AW60"/>
    <mergeCell ref="AF60:AG60"/>
    <mergeCell ref="AH60:AI60"/>
    <mergeCell ref="AJ60:AK60"/>
    <mergeCell ref="AL60:AM60"/>
    <mergeCell ref="AN60:AO60"/>
    <mergeCell ref="AP60:AQ60"/>
    <mergeCell ref="AR60:AS60"/>
    <mergeCell ref="R62:S62"/>
    <mergeCell ref="T62:U62"/>
    <mergeCell ref="V62:W62"/>
    <mergeCell ref="X62:Y62"/>
    <mergeCell ref="Z62:AA62"/>
    <mergeCell ref="AB62:AC62"/>
    <mergeCell ref="AD62:AE62"/>
    <mergeCell ref="AF62:AG62"/>
    <mergeCell ref="AH62:AI62"/>
    <mergeCell ref="AJ62:AK62"/>
    <mergeCell ref="AL62:AM62"/>
    <mergeCell ref="AN62:AO62"/>
    <mergeCell ref="AP62:AQ62"/>
    <mergeCell ref="AR62:AS62"/>
    <mergeCell ref="BH62:BI62"/>
    <mergeCell ref="BJ62:BK62"/>
    <mergeCell ref="BL62:BM62"/>
    <mergeCell ref="BN62:BO62"/>
    <mergeCell ref="AT62:AU62"/>
    <mergeCell ref="AV62:AW62"/>
    <mergeCell ref="AX62:AY62"/>
    <mergeCell ref="AZ62:BA62"/>
    <mergeCell ref="BB62:BC62"/>
    <mergeCell ref="BD62:BE62"/>
    <mergeCell ref="BF62:BG62"/>
    <mergeCell ref="C62:D62"/>
    <mergeCell ref="F62:G62"/>
    <mergeCell ref="H62:I62"/>
    <mergeCell ref="J62:K62"/>
    <mergeCell ref="L62:M62"/>
    <mergeCell ref="N62:O62"/>
    <mergeCell ref="P62:Q62"/>
    <mergeCell ref="BL66:BM66"/>
    <mergeCell ref="BN66:BO66"/>
    <mergeCell ref="AX66:AY66"/>
    <mergeCell ref="AZ66:BA66"/>
    <mergeCell ref="BB66:BC66"/>
    <mergeCell ref="BD66:BE66"/>
    <mergeCell ref="BF66:BG66"/>
    <mergeCell ref="BH66:BI66"/>
    <mergeCell ref="BJ66:BK66"/>
    <mergeCell ref="R64:S64"/>
    <mergeCell ref="T64:U64"/>
    <mergeCell ref="V64:W64"/>
    <mergeCell ref="X64:Y64"/>
    <mergeCell ref="Z64:AA64"/>
    <mergeCell ref="AB64:AC64"/>
    <mergeCell ref="AD64:AE64"/>
    <mergeCell ref="AF64:AG64"/>
    <mergeCell ref="AH64:AI64"/>
    <mergeCell ref="AJ64:AK64"/>
    <mergeCell ref="AL64:AM64"/>
    <mergeCell ref="AN64:AO64"/>
    <mergeCell ref="AP64:AQ64"/>
    <mergeCell ref="AR64:AS64"/>
    <mergeCell ref="BH64:BI64"/>
    <mergeCell ref="BJ64:BK64"/>
    <mergeCell ref="BL64:BM64"/>
    <mergeCell ref="BN64:BO64"/>
    <mergeCell ref="AT64:AU64"/>
    <mergeCell ref="AV64:AW64"/>
    <mergeCell ref="AX64:AY64"/>
    <mergeCell ref="AZ64:BA64"/>
    <mergeCell ref="BB64:BC64"/>
    <mergeCell ref="BD64:BE64"/>
    <mergeCell ref="BF64:BG64"/>
    <mergeCell ref="C64:D64"/>
    <mergeCell ref="F64:G64"/>
    <mergeCell ref="H64:I64"/>
    <mergeCell ref="J64:K64"/>
    <mergeCell ref="L64:M64"/>
    <mergeCell ref="N64:O64"/>
    <mergeCell ref="P64:Q64"/>
    <mergeCell ref="C66:D66"/>
    <mergeCell ref="F66:G66"/>
    <mergeCell ref="H66:I66"/>
    <mergeCell ref="J66:K66"/>
    <mergeCell ref="L66:M66"/>
    <mergeCell ref="N66:O66"/>
    <mergeCell ref="P66:Q66"/>
    <mergeCell ref="R66:S66"/>
    <mergeCell ref="T66:U66"/>
    <mergeCell ref="V66:W66"/>
    <mergeCell ref="X66:Y66"/>
    <mergeCell ref="Z66:AA66"/>
    <mergeCell ref="AB66:AC66"/>
    <mergeCell ref="AD66:AE66"/>
    <mergeCell ref="AT66:AU66"/>
    <mergeCell ref="AV66:AW66"/>
    <mergeCell ref="AF66:AG66"/>
    <mergeCell ref="AH66:AI66"/>
    <mergeCell ref="AJ66:AK66"/>
    <mergeCell ref="AL66:AM66"/>
    <mergeCell ref="AN66:AO66"/>
    <mergeCell ref="AP66:AQ66"/>
    <mergeCell ref="AR66:AS66"/>
    <mergeCell ref="R68:S68"/>
    <mergeCell ref="T68:U68"/>
    <mergeCell ref="V68:W68"/>
    <mergeCell ref="X68:Y68"/>
    <mergeCell ref="Z68:AA68"/>
    <mergeCell ref="AB68:AC68"/>
    <mergeCell ref="AD68:AE68"/>
    <mergeCell ref="AF68:AG68"/>
    <mergeCell ref="AH68:AI68"/>
    <mergeCell ref="AJ68:AK68"/>
    <mergeCell ref="AL68:AM68"/>
    <mergeCell ref="AN68:AO68"/>
    <mergeCell ref="AP68:AQ68"/>
    <mergeCell ref="AR68:AS68"/>
    <mergeCell ref="BH68:BI68"/>
    <mergeCell ref="BJ68:BK68"/>
    <mergeCell ref="BL68:BM68"/>
    <mergeCell ref="BN68:BO68"/>
    <mergeCell ref="AT68:AU68"/>
    <mergeCell ref="AV68:AW68"/>
    <mergeCell ref="AX68:AY68"/>
    <mergeCell ref="AZ68:BA68"/>
    <mergeCell ref="BB68:BC68"/>
    <mergeCell ref="BD68:BE68"/>
    <mergeCell ref="BF68:BG68"/>
    <mergeCell ref="C68:D68"/>
    <mergeCell ref="F68:G68"/>
    <mergeCell ref="H68:I68"/>
    <mergeCell ref="J68:K68"/>
    <mergeCell ref="L68:M68"/>
    <mergeCell ref="N68:O68"/>
    <mergeCell ref="P68:Q68"/>
    <mergeCell ref="C74:D74"/>
    <mergeCell ref="F74:G74"/>
    <mergeCell ref="H74:I74"/>
    <mergeCell ref="J74:K74"/>
    <mergeCell ref="L74:M74"/>
    <mergeCell ref="N74:O74"/>
    <mergeCell ref="P74:Q74"/>
    <mergeCell ref="C75:D75"/>
    <mergeCell ref="C77:D77"/>
    <mergeCell ref="F77:G77"/>
    <mergeCell ref="H77:I77"/>
    <mergeCell ref="J77:K77"/>
    <mergeCell ref="L77:M77"/>
    <mergeCell ref="N77:O77"/>
    <mergeCell ref="R79:S79"/>
    <mergeCell ref="T79:U79"/>
    <mergeCell ref="V79:W79"/>
    <mergeCell ref="X79:Y79"/>
    <mergeCell ref="Z79:AA79"/>
    <mergeCell ref="AB79:AC79"/>
    <mergeCell ref="AD79:AE79"/>
    <mergeCell ref="AF79:AG79"/>
    <mergeCell ref="AH79:AI79"/>
    <mergeCell ref="AJ79:AK79"/>
    <mergeCell ref="AL79:AM79"/>
    <mergeCell ref="AN79:AO79"/>
    <mergeCell ref="AP79:AQ79"/>
    <mergeCell ref="AR79:AS79"/>
    <mergeCell ref="BH79:BI79"/>
    <mergeCell ref="BJ79:BK79"/>
    <mergeCell ref="BL79:BM79"/>
    <mergeCell ref="BN79:BO79"/>
    <mergeCell ref="AT79:AU79"/>
    <mergeCell ref="AV79:AW79"/>
    <mergeCell ref="AX79:AY79"/>
    <mergeCell ref="AZ79:BA79"/>
    <mergeCell ref="BB79:BC79"/>
    <mergeCell ref="BD79:BE79"/>
    <mergeCell ref="BF79:BG79"/>
    <mergeCell ref="C79:D79"/>
    <mergeCell ref="F79:G79"/>
    <mergeCell ref="H79:I79"/>
    <mergeCell ref="J79:K79"/>
    <mergeCell ref="L79:M79"/>
    <mergeCell ref="N79:O79"/>
    <mergeCell ref="P79:Q79"/>
    <mergeCell ref="BL96:BM96"/>
    <mergeCell ref="BN96:BO96"/>
    <mergeCell ref="AX96:AY96"/>
    <mergeCell ref="AZ96:BA96"/>
    <mergeCell ref="BB96:BC96"/>
    <mergeCell ref="BD96:BE96"/>
    <mergeCell ref="BF96:BG96"/>
    <mergeCell ref="BH96:BI96"/>
    <mergeCell ref="BJ96:BK96"/>
    <mergeCell ref="R93:S93"/>
    <mergeCell ref="T93:U93"/>
    <mergeCell ref="V93:W93"/>
    <mergeCell ref="X93:Y93"/>
    <mergeCell ref="Z93:AA93"/>
    <mergeCell ref="AB93:AC93"/>
    <mergeCell ref="AD93:AE93"/>
    <mergeCell ref="AF93:AG93"/>
    <mergeCell ref="AH93:AI93"/>
    <mergeCell ref="AJ93:AK93"/>
    <mergeCell ref="AL93:AM93"/>
    <mergeCell ref="AN93:AO93"/>
    <mergeCell ref="AP93:AQ93"/>
    <mergeCell ref="AR93:AS93"/>
    <mergeCell ref="BH93:BI93"/>
    <mergeCell ref="BJ93:BK93"/>
    <mergeCell ref="BL93:BM93"/>
    <mergeCell ref="BN93:BO93"/>
    <mergeCell ref="AT93:AU93"/>
    <mergeCell ref="AV93:AW93"/>
    <mergeCell ref="AX93:AY93"/>
    <mergeCell ref="AZ93:BA93"/>
    <mergeCell ref="BB93:BC93"/>
    <mergeCell ref="BD93:BE93"/>
    <mergeCell ref="BF93:BG93"/>
    <mergeCell ref="C93:D93"/>
    <mergeCell ref="F93:G93"/>
    <mergeCell ref="H93:I93"/>
    <mergeCell ref="J93:K93"/>
    <mergeCell ref="L93:M93"/>
    <mergeCell ref="N93:O93"/>
    <mergeCell ref="P93:Q93"/>
    <mergeCell ref="C94:D94"/>
    <mergeCell ref="C96:D96"/>
    <mergeCell ref="F96:G96"/>
    <mergeCell ref="H96:I96"/>
    <mergeCell ref="J96:K96"/>
    <mergeCell ref="L96:M96"/>
    <mergeCell ref="N96:O96"/>
    <mergeCell ref="P96:Q96"/>
    <mergeCell ref="T96:U96"/>
    <mergeCell ref="V96:W96"/>
    <mergeCell ref="X96:Y96"/>
    <mergeCell ref="Z96:AA96"/>
    <mergeCell ref="AB96:AC96"/>
    <mergeCell ref="AD96:AE96"/>
    <mergeCell ref="BL83:BM83"/>
    <mergeCell ref="BN83:BO83"/>
    <mergeCell ref="AX83:AY83"/>
    <mergeCell ref="AZ83:BA83"/>
    <mergeCell ref="BB83:BC83"/>
    <mergeCell ref="BD83:BE83"/>
    <mergeCell ref="BF83:BG83"/>
    <mergeCell ref="BH83:BI83"/>
    <mergeCell ref="BJ83:BK83"/>
    <mergeCell ref="R81:S81"/>
    <mergeCell ref="T81:U81"/>
    <mergeCell ref="V81:W81"/>
    <mergeCell ref="X81:Y81"/>
    <mergeCell ref="Z81:AA81"/>
    <mergeCell ref="AB81:AC81"/>
    <mergeCell ref="AD81:AE81"/>
    <mergeCell ref="AF81:AG81"/>
    <mergeCell ref="AH81:AI81"/>
    <mergeCell ref="AJ81:AK81"/>
    <mergeCell ref="AL81:AM81"/>
    <mergeCell ref="AN81:AO81"/>
    <mergeCell ref="AP81:AQ81"/>
    <mergeCell ref="AR81:AS81"/>
    <mergeCell ref="BH81:BI81"/>
    <mergeCell ref="BJ81:BK81"/>
    <mergeCell ref="BL81:BM81"/>
    <mergeCell ref="BN81:BO81"/>
    <mergeCell ref="AT81:AU81"/>
    <mergeCell ref="AV81:AW81"/>
    <mergeCell ref="AX81:AY81"/>
    <mergeCell ref="AZ81:BA81"/>
    <mergeCell ref="BB81:BC81"/>
    <mergeCell ref="BD81:BE81"/>
    <mergeCell ref="BF81:BG81"/>
    <mergeCell ref="C81:D81"/>
    <mergeCell ref="F81:G81"/>
    <mergeCell ref="H81:I81"/>
    <mergeCell ref="J81:K81"/>
    <mergeCell ref="L81:M81"/>
    <mergeCell ref="N81:O81"/>
    <mergeCell ref="P81:Q81"/>
    <mergeCell ref="C83:D83"/>
    <mergeCell ref="F83:G83"/>
    <mergeCell ref="H83:I83"/>
    <mergeCell ref="J83:K83"/>
    <mergeCell ref="L83:M83"/>
    <mergeCell ref="N83:O83"/>
    <mergeCell ref="P83:Q83"/>
    <mergeCell ref="R83:S83"/>
    <mergeCell ref="T83:U83"/>
    <mergeCell ref="V83:W83"/>
    <mergeCell ref="X83:Y83"/>
    <mergeCell ref="Z83:AA83"/>
    <mergeCell ref="AB83:AC83"/>
    <mergeCell ref="AD83:AE83"/>
    <mergeCell ref="AT83:AU83"/>
    <mergeCell ref="AV83:AW83"/>
    <mergeCell ref="AF83:AG83"/>
    <mergeCell ref="AH83:AI83"/>
    <mergeCell ref="AJ83:AK83"/>
    <mergeCell ref="AL83:AM83"/>
    <mergeCell ref="AN83:AO83"/>
    <mergeCell ref="AP83:AQ83"/>
    <mergeCell ref="AR83:AS83"/>
    <mergeCell ref="R85:S85"/>
    <mergeCell ref="T85:U85"/>
    <mergeCell ref="V85:W85"/>
    <mergeCell ref="X85:Y85"/>
    <mergeCell ref="Z85:AA85"/>
    <mergeCell ref="AB85:AC85"/>
    <mergeCell ref="AD85:AE85"/>
    <mergeCell ref="AF85:AG85"/>
    <mergeCell ref="AH85:AI85"/>
    <mergeCell ref="AJ85:AK85"/>
    <mergeCell ref="AL85:AM85"/>
    <mergeCell ref="AN85:AO85"/>
    <mergeCell ref="AP85:AQ85"/>
    <mergeCell ref="AR85:AS85"/>
    <mergeCell ref="BH85:BI85"/>
    <mergeCell ref="BJ85:BK85"/>
    <mergeCell ref="BL85:BM85"/>
    <mergeCell ref="BN85:BO85"/>
    <mergeCell ref="AT85:AU85"/>
    <mergeCell ref="AV85:AW85"/>
    <mergeCell ref="AX85:AY85"/>
    <mergeCell ref="AZ85:BA85"/>
    <mergeCell ref="BB85:BC85"/>
    <mergeCell ref="BD85:BE85"/>
    <mergeCell ref="BF85:BG85"/>
    <mergeCell ref="C85:D85"/>
    <mergeCell ref="F85:G85"/>
    <mergeCell ref="H85:I85"/>
    <mergeCell ref="J85:K85"/>
    <mergeCell ref="L85:M85"/>
    <mergeCell ref="N85:O85"/>
    <mergeCell ref="P85:Q85"/>
    <mergeCell ref="BL89:BM89"/>
    <mergeCell ref="BN89:BO89"/>
    <mergeCell ref="AX89:AY89"/>
    <mergeCell ref="AZ89:BA89"/>
    <mergeCell ref="BB89:BC89"/>
    <mergeCell ref="BD89:BE89"/>
    <mergeCell ref="BF89:BG89"/>
    <mergeCell ref="BH89:BI89"/>
    <mergeCell ref="BJ89:BK89"/>
    <mergeCell ref="R87:S87"/>
    <mergeCell ref="T87:U87"/>
    <mergeCell ref="V87:W87"/>
    <mergeCell ref="X87:Y87"/>
    <mergeCell ref="Z87:AA87"/>
    <mergeCell ref="AB87:AC87"/>
    <mergeCell ref="AD87:AE87"/>
    <mergeCell ref="AF87:AG87"/>
    <mergeCell ref="AH87:AI87"/>
    <mergeCell ref="AJ87:AK87"/>
    <mergeCell ref="AL87:AM87"/>
    <mergeCell ref="AN87:AO87"/>
    <mergeCell ref="AP87:AQ87"/>
    <mergeCell ref="AR87:AS87"/>
    <mergeCell ref="BH87:BI87"/>
    <mergeCell ref="BJ87:BK87"/>
    <mergeCell ref="BL87:BM87"/>
    <mergeCell ref="BN87:BO87"/>
    <mergeCell ref="AT87:AU87"/>
    <mergeCell ref="AV87:AW87"/>
    <mergeCell ref="AX87:AY87"/>
    <mergeCell ref="AZ87:BA87"/>
    <mergeCell ref="BB87:BC87"/>
    <mergeCell ref="BD87:BE87"/>
    <mergeCell ref="BF87:BG87"/>
    <mergeCell ref="C87:D87"/>
    <mergeCell ref="F87:G87"/>
    <mergeCell ref="H87:I87"/>
    <mergeCell ref="J87:K87"/>
    <mergeCell ref="L87:M87"/>
    <mergeCell ref="N87:O87"/>
    <mergeCell ref="P87:Q87"/>
    <mergeCell ref="C89:D89"/>
    <mergeCell ref="F89:G89"/>
    <mergeCell ref="H89:I89"/>
    <mergeCell ref="J89:K89"/>
    <mergeCell ref="L89:M89"/>
    <mergeCell ref="N89:O89"/>
    <mergeCell ref="P89:Q89"/>
    <mergeCell ref="R89:S89"/>
    <mergeCell ref="T89:U89"/>
    <mergeCell ref="V89:W89"/>
    <mergeCell ref="X89:Y89"/>
    <mergeCell ref="Z89:AA89"/>
    <mergeCell ref="AB89:AC89"/>
    <mergeCell ref="AD89:AE89"/>
    <mergeCell ref="AT89:AU89"/>
    <mergeCell ref="AV89:AW89"/>
    <mergeCell ref="AF89:AG89"/>
    <mergeCell ref="AH89:AI89"/>
    <mergeCell ref="AJ89:AK89"/>
    <mergeCell ref="AL89:AM89"/>
    <mergeCell ref="AN89:AO89"/>
    <mergeCell ref="AP89:AQ89"/>
    <mergeCell ref="AR89:AS89"/>
    <mergeCell ref="R91:S91"/>
    <mergeCell ref="T91:U91"/>
    <mergeCell ref="V91:W91"/>
    <mergeCell ref="X91:Y91"/>
    <mergeCell ref="Z91:AA91"/>
    <mergeCell ref="AB91:AC91"/>
    <mergeCell ref="AD91:AE91"/>
    <mergeCell ref="AF91:AG91"/>
    <mergeCell ref="AH91:AI91"/>
    <mergeCell ref="AJ91:AK91"/>
    <mergeCell ref="AL91:AM91"/>
    <mergeCell ref="AN91:AO91"/>
    <mergeCell ref="AP91:AQ91"/>
    <mergeCell ref="AR91:AS91"/>
    <mergeCell ref="BH91:BI91"/>
    <mergeCell ref="BJ91:BK91"/>
    <mergeCell ref="BL91:BM91"/>
    <mergeCell ref="BN91:BO91"/>
    <mergeCell ref="AT91:AU91"/>
    <mergeCell ref="AV91:AW91"/>
    <mergeCell ref="AX91:AY91"/>
    <mergeCell ref="AZ91:BA91"/>
    <mergeCell ref="BB91:BC91"/>
    <mergeCell ref="BD91:BE91"/>
    <mergeCell ref="BF91:BG91"/>
    <mergeCell ref="C91:D91"/>
    <mergeCell ref="F91:G91"/>
    <mergeCell ref="H91:I91"/>
    <mergeCell ref="J91:K91"/>
    <mergeCell ref="L91:M91"/>
    <mergeCell ref="N91:O91"/>
    <mergeCell ref="P91:Q91"/>
    <mergeCell ref="AT96:AU96"/>
    <mergeCell ref="AV96:AW96"/>
    <mergeCell ref="AF96:AG96"/>
    <mergeCell ref="AH96:AI96"/>
    <mergeCell ref="AJ96:AK96"/>
    <mergeCell ref="AL96:AM96"/>
    <mergeCell ref="AN96:AO96"/>
    <mergeCell ref="AP96:AQ96"/>
    <mergeCell ref="AR96:AS96"/>
    <mergeCell ref="R98:S98"/>
    <mergeCell ref="T98:U98"/>
    <mergeCell ref="V98:W98"/>
    <mergeCell ref="X98:Y98"/>
    <mergeCell ref="Z98:AA98"/>
    <mergeCell ref="AB98:AC98"/>
    <mergeCell ref="AD98:AE98"/>
    <mergeCell ref="AF98:AG98"/>
    <mergeCell ref="AH98:AI98"/>
    <mergeCell ref="AJ98:AK98"/>
    <mergeCell ref="AL98:AM98"/>
    <mergeCell ref="AN98:AO98"/>
    <mergeCell ref="AP98:AQ98"/>
    <mergeCell ref="AR98:AS98"/>
    <mergeCell ref="BH98:BI98"/>
    <mergeCell ref="BJ98:BK98"/>
    <mergeCell ref="BL98:BM98"/>
    <mergeCell ref="BN98:BO98"/>
    <mergeCell ref="AT98:AU98"/>
    <mergeCell ref="AV98:AW98"/>
    <mergeCell ref="AX98:AY98"/>
    <mergeCell ref="AZ98:BA98"/>
    <mergeCell ref="BB98:BC98"/>
    <mergeCell ref="BD98:BE98"/>
    <mergeCell ref="BF98:BG98"/>
    <mergeCell ref="C98:D98"/>
    <mergeCell ref="F98:G98"/>
    <mergeCell ref="H98:I98"/>
    <mergeCell ref="J98:K98"/>
    <mergeCell ref="L98:M98"/>
    <mergeCell ref="N98:O98"/>
    <mergeCell ref="P98:Q98"/>
    <mergeCell ref="BL114:BM114"/>
    <mergeCell ref="BN114:BO114"/>
    <mergeCell ref="AX114:AY114"/>
    <mergeCell ref="AZ114:BA114"/>
    <mergeCell ref="BB114:BC114"/>
    <mergeCell ref="BD114:BE114"/>
    <mergeCell ref="BF114:BG114"/>
    <mergeCell ref="BH114:BI114"/>
    <mergeCell ref="BJ114:BK114"/>
    <mergeCell ref="R112:S112"/>
    <mergeCell ref="T112:U112"/>
    <mergeCell ref="V112:W112"/>
    <mergeCell ref="X112:Y112"/>
    <mergeCell ref="Z112:AA112"/>
    <mergeCell ref="AB112:AC112"/>
    <mergeCell ref="AD112:AE112"/>
    <mergeCell ref="AF112:AG112"/>
    <mergeCell ref="AH112:AI112"/>
    <mergeCell ref="AJ112:AK112"/>
    <mergeCell ref="AL112:AM112"/>
    <mergeCell ref="AN112:AO112"/>
    <mergeCell ref="AP112:AQ112"/>
    <mergeCell ref="AR112:AS112"/>
    <mergeCell ref="BH112:BI112"/>
    <mergeCell ref="BJ112:BK112"/>
    <mergeCell ref="BL112:BM112"/>
    <mergeCell ref="BN112:BO112"/>
    <mergeCell ref="AT112:AU112"/>
    <mergeCell ref="AV112:AW112"/>
    <mergeCell ref="AX112:AY112"/>
    <mergeCell ref="AZ112:BA112"/>
    <mergeCell ref="BB112:BC112"/>
    <mergeCell ref="BD112:BE112"/>
    <mergeCell ref="BF112:BG112"/>
    <mergeCell ref="C112:D112"/>
    <mergeCell ref="F112:G112"/>
    <mergeCell ref="H112:I112"/>
    <mergeCell ref="J112:K112"/>
    <mergeCell ref="L112:M112"/>
    <mergeCell ref="N112:O112"/>
    <mergeCell ref="P112:Q112"/>
    <mergeCell ref="C114:D114"/>
    <mergeCell ref="F114:G114"/>
    <mergeCell ref="H114:I114"/>
    <mergeCell ref="J114:K114"/>
    <mergeCell ref="L114:M114"/>
    <mergeCell ref="N114:O114"/>
    <mergeCell ref="P114:Q114"/>
    <mergeCell ref="R114:S114"/>
    <mergeCell ref="T114:U114"/>
    <mergeCell ref="V114:W114"/>
    <mergeCell ref="X114:Y114"/>
    <mergeCell ref="Z114:AA114"/>
    <mergeCell ref="AB114:AC114"/>
    <mergeCell ref="AD114:AE114"/>
    <mergeCell ref="BL102:BM102"/>
    <mergeCell ref="BN102:BO102"/>
    <mergeCell ref="AX102:AY102"/>
    <mergeCell ref="AZ102:BA102"/>
    <mergeCell ref="BB102:BC102"/>
    <mergeCell ref="BD102:BE102"/>
    <mergeCell ref="BF102:BG102"/>
    <mergeCell ref="BH102:BI102"/>
    <mergeCell ref="BJ102:BK102"/>
    <mergeCell ref="R100:S100"/>
    <mergeCell ref="T100:U100"/>
    <mergeCell ref="V100:W100"/>
    <mergeCell ref="X100:Y100"/>
    <mergeCell ref="Z100:AA100"/>
    <mergeCell ref="AB100:AC100"/>
    <mergeCell ref="AD100:AE100"/>
    <mergeCell ref="AF100:AG100"/>
    <mergeCell ref="AH100:AI100"/>
    <mergeCell ref="AJ100:AK100"/>
    <mergeCell ref="AL100:AM100"/>
    <mergeCell ref="AN100:AO100"/>
    <mergeCell ref="AP100:AQ100"/>
    <mergeCell ref="AR100:AS100"/>
    <mergeCell ref="BH100:BI100"/>
    <mergeCell ref="BJ100:BK100"/>
    <mergeCell ref="BL100:BM100"/>
    <mergeCell ref="BN100:BO100"/>
    <mergeCell ref="AT100:AU100"/>
    <mergeCell ref="AV100:AW100"/>
    <mergeCell ref="AX100:AY100"/>
    <mergeCell ref="AZ100:BA100"/>
    <mergeCell ref="BB100:BC100"/>
    <mergeCell ref="BD100:BE100"/>
    <mergeCell ref="BF100:BG100"/>
    <mergeCell ref="C100:D100"/>
    <mergeCell ref="F100:G100"/>
    <mergeCell ref="H100:I100"/>
    <mergeCell ref="J100:K100"/>
    <mergeCell ref="L100:M100"/>
    <mergeCell ref="N100:O100"/>
    <mergeCell ref="P100:Q100"/>
    <mergeCell ref="C102:D102"/>
    <mergeCell ref="F102:G102"/>
    <mergeCell ref="H102:I102"/>
    <mergeCell ref="J102:K102"/>
    <mergeCell ref="L102:M102"/>
    <mergeCell ref="N102:O102"/>
    <mergeCell ref="P102:Q102"/>
    <mergeCell ref="R102:S102"/>
    <mergeCell ref="T102:U102"/>
    <mergeCell ref="V102:W102"/>
    <mergeCell ref="X102:Y102"/>
    <mergeCell ref="Z102:AA102"/>
    <mergeCell ref="AB102:AC102"/>
    <mergeCell ref="AD102:AE102"/>
    <mergeCell ref="AT102:AU102"/>
    <mergeCell ref="AV102:AW102"/>
    <mergeCell ref="AF102:AG102"/>
    <mergeCell ref="AH102:AI102"/>
    <mergeCell ref="AJ102:AK102"/>
    <mergeCell ref="AL102:AM102"/>
    <mergeCell ref="AN102:AO102"/>
    <mergeCell ref="AP102:AQ102"/>
    <mergeCell ref="AR102:AS102"/>
    <mergeCell ref="R104:S104"/>
    <mergeCell ref="T104:U104"/>
    <mergeCell ref="V104:W104"/>
    <mergeCell ref="X104:Y104"/>
    <mergeCell ref="Z104:AA104"/>
    <mergeCell ref="AB104:AC104"/>
    <mergeCell ref="AD104:AE104"/>
    <mergeCell ref="AF104:AG104"/>
    <mergeCell ref="AH104:AI104"/>
    <mergeCell ref="AJ104:AK104"/>
    <mergeCell ref="AL104:AM104"/>
    <mergeCell ref="AN104:AO104"/>
    <mergeCell ref="AP104:AQ104"/>
    <mergeCell ref="AR104:AS104"/>
    <mergeCell ref="BH104:BI104"/>
    <mergeCell ref="BJ104:BK104"/>
    <mergeCell ref="BL104:BM104"/>
    <mergeCell ref="BN104:BO104"/>
    <mergeCell ref="AT104:AU104"/>
    <mergeCell ref="AV104:AW104"/>
    <mergeCell ref="AX104:AY104"/>
    <mergeCell ref="AZ104:BA104"/>
    <mergeCell ref="BB104:BC104"/>
    <mergeCell ref="BD104:BE104"/>
    <mergeCell ref="BF104:BG104"/>
    <mergeCell ref="C104:D104"/>
    <mergeCell ref="F104:G104"/>
    <mergeCell ref="H104:I104"/>
    <mergeCell ref="J104:K104"/>
    <mergeCell ref="L104:M104"/>
    <mergeCell ref="N104:O104"/>
    <mergeCell ref="P104:Q104"/>
    <mergeCell ref="BL108:BM108"/>
    <mergeCell ref="BN108:BO108"/>
    <mergeCell ref="AX108:AY108"/>
    <mergeCell ref="AZ108:BA108"/>
    <mergeCell ref="BB108:BC108"/>
    <mergeCell ref="BD108:BE108"/>
    <mergeCell ref="BF108:BG108"/>
    <mergeCell ref="BH108:BI108"/>
    <mergeCell ref="BJ108:BK108"/>
    <mergeCell ref="R106:S106"/>
    <mergeCell ref="T106:U106"/>
    <mergeCell ref="V106:W106"/>
    <mergeCell ref="X106:Y106"/>
    <mergeCell ref="Z106:AA106"/>
    <mergeCell ref="AB106:AC106"/>
    <mergeCell ref="AD106:AE106"/>
    <mergeCell ref="AF106:AG106"/>
    <mergeCell ref="AH106:AI106"/>
    <mergeCell ref="AJ106:AK106"/>
    <mergeCell ref="AL106:AM106"/>
    <mergeCell ref="AN106:AO106"/>
    <mergeCell ref="AP106:AQ106"/>
    <mergeCell ref="AR106:AS106"/>
    <mergeCell ref="BH106:BI106"/>
    <mergeCell ref="BJ106:BK106"/>
    <mergeCell ref="BL106:BM106"/>
    <mergeCell ref="BN106:BO106"/>
    <mergeCell ref="AT106:AU106"/>
    <mergeCell ref="AV106:AW106"/>
    <mergeCell ref="AX106:AY106"/>
    <mergeCell ref="AZ106:BA106"/>
    <mergeCell ref="BB106:BC106"/>
    <mergeCell ref="BD106:BE106"/>
    <mergeCell ref="BF106:BG106"/>
    <mergeCell ref="C106:D106"/>
    <mergeCell ref="F106:G106"/>
    <mergeCell ref="H106:I106"/>
    <mergeCell ref="J106:K106"/>
    <mergeCell ref="L106:M106"/>
    <mergeCell ref="N106:O106"/>
    <mergeCell ref="P106:Q106"/>
    <mergeCell ref="C108:D108"/>
    <mergeCell ref="F108:G108"/>
    <mergeCell ref="H108:I108"/>
    <mergeCell ref="J108:K108"/>
    <mergeCell ref="L108:M108"/>
    <mergeCell ref="N108:O108"/>
    <mergeCell ref="P108:Q108"/>
    <mergeCell ref="R108:S108"/>
    <mergeCell ref="T108:U108"/>
    <mergeCell ref="V108:W108"/>
    <mergeCell ref="X108:Y108"/>
    <mergeCell ref="Z108:AA108"/>
    <mergeCell ref="AB108:AC108"/>
    <mergeCell ref="AD108:AE108"/>
    <mergeCell ref="AT108:AU108"/>
    <mergeCell ref="AV108:AW108"/>
    <mergeCell ref="AF108:AG108"/>
    <mergeCell ref="AH108:AI108"/>
    <mergeCell ref="AJ108:AK108"/>
    <mergeCell ref="AL108:AM108"/>
    <mergeCell ref="AN108:AO108"/>
    <mergeCell ref="AP108:AQ108"/>
    <mergeCell ref="AR108:AS108"/>
    <mergeCell ref="R110:S110"/>
    <mergeCell ref="T110:U110"/>
    <mergeCell ref="V110:W110"/>
    <mergeCell ref="X110:Y110"/>
    <mergeCell ref="Z110:AA110"/>
    <mergeCell ref="AB110:AC110"/>
    <mergeCell ref="AD110:AE110"/>
    <mergeCell ref="AF110:AG110"/>
    <mergeCell ref="AH110:AI110"/>
    <mergeCell ref="AJ110:AK110"/>
    <mergeCell ref="AL110:AM110"/>
    <mergeCell ref="AN110:AO110"/>
    <mergeCell ref="AP110:AQ110"/>
    <mergeCell ref="AR110:AS110"/>
    <mergeCell ref="BH110:BI110"/>
    <mergeCell ref="BJ110:BK110"/>
    <mergeCell ref="BL110:BM110"/>
    <mergeCell ref="BN110:BO110"/>
    <mergeCell ref="AT110:AU110"/>
    <mergeCell ref="AV110:AW110"/>
    <mergeCell ref="AX110:AY110"/>
    <mergeCell ref="AZ110:BA110"/>
    <mergeCell ref="BB110:BC110"/>
    <mergeCell ref="BD110:BE110"/>
    <mergeCell ref="BF110:BG110"/>
    <mergeCell ref="C110:D110"/>
    <mergeCell ref="F110:G110"/>
    <mergeCell ref="H110:I110"/>
    <mergeCell ref="J110:K110"/>
    <mergeCell ref="L110:M110"/>
    <mergeCell ref="N110:O110"/>
    <mergeCell ref="P110:Q110"/>
    <mergeCell ref="AT114:AU114"/>
    <mergeCell ref="AV114:AW114"/>
    <mergeCell ref="AF114:AG114"/>
    <mergeCell ref="AH114:AI114"/>
    <mergeCell ref="AJ114:AK114"/>
    <mergeCell ref="AL114:AM114"/>
    <mergeCell ref="AN114:AO114"/>
    <mergeCell ref="AP114:AQ114"/>
    <mergeCell ref="AR114:AS114"/>
    <mergeCell ref="P118:Q118"/>
    <mergeCell ref="T118:U118"/>
    <mergeCell ref="V118:W118"/>
    <mergeCell ref="X118:Y118"/>
    <mergeCell ref="Z118:AA118"/>
    <mergeCell ref="AB118:AC118"/>
    <mergeCell ref="AD118:AE118"/>
    <mergeCell ref="AF118:AG118"/>
    <mergeCell ref="AH118:AI118"/>
    <mergeCell ref="AJ118:AK118"/>
    <mergeCell ref="AL118:AM118"/>
    <mergeCell ref="AN118:AO118"/>
    <mergeCell ref="AP118:AQ118"/>
    <mergeCell ref="AR118:AS118"/>
    <mergeCell ref="BH118:BI118"/>
    <mergeCell ref="BJ118:BK118"/>
    <mergeCell ref="BL118:BM118"/>
    <mergeCell ref="BN118:BO118"/>
    <mergeCell ref="AT118:AU118"/>
    <mergeCell ref="AV118:AW118"/>
    <mergeCell ref="AX118:AY118"/>
    <mergeCell ref="AZ118:BA118"/>
    <mergeCell ref="BB118:BC118"/>
    <mergeCell ref="BD118:BE118"/>
    <mergeCell ref="BF118:BG118"/>
    <mergeCell ref="C116:D116"/>
    <mergeCell ref="C118:D118"/>
    <mergeCell ref="F118:G118"/>
    <mergeCell ref="H118:I118"/>
    <mergeCell ref="J118:K118"/>
    <mergeCell ref="L118:M118"/>
    <mergeCell ref="N118:O118"/>
    <mergeCell ref="BL329:BM329"/>
    <mergeCell ref="BN329:BO329"/>
    <mergeCell ref="AX329:AY329"/>
    <mergeCell ref="AZ329:BA329"/>
    <mergeCell ref="BB329:BC329"/>
    <mergeCell ref="BD329:BE329"/>
    <mergeCell ref="BF329:BG329"/>
    <mergeCell ref="BH329:BI329"/>
    <mergeCell ref="BJ329:BK329"/>
    <mergeCell ref="R327:S327"/>
    <mergeCell ref="T327:U327"/>
    <mergeCell ref="V327:W327"/>
    <mergeCell ref="X327:Y327"/>
    <mergeCell ref="Z327:AA327"/>
    <mergeCell ref="AB327:AC327"/>
    <mergeCell ref="AD327:AE327"/>
    <mergeCell ref="AF327:AG327"/>
    <mergeCell ref="AH327:AI327"/>
    <mergeCell ref="AJ327:AK327"/>
    <mergeCell ref="AL327:AM327"/>
    <mergeCell ref="AN327:AO327"/>
    <mergeCell ref="AP327:AQ327"/>
    <mergeCell ref="AR327:AS327"/>
    <mergeCell ref="BH327:BI327"/>
    <mergeCell ref="BJ327:BK327"/>
    <mergeCell ref="BL327:BM327"/>
    <mergeCell ref="BN327:BO327"/>
    <mergeCell ref="AT327:AU327"/>
    <mergeCell ref="AV327:AW327"/>
    <mergeCell ref="AX327:AY327"/>
    <mergeCell ref="AZ327:BA327"/>
    <mergeCell ref="BB327:BC327"/>
    <mergeCell ref="BD327:BE327"/>
    <mergeCell ref="BF327:BG327"/>
    <mergeCell ref="C327:D327"/>
    <mergeCell ref="F327:G327"/>
    <mergeCell ref="H327:I327"/>
    <mergeCell ref="J327:K327"/>
    <mergeCell ref="L327:M327"/>
    <mergeCell ref="N327:O327"/>
    <mergeCell ref="P327:Q327"/>
    <mergeCell ref="C329:D329"/>
    <mergeCell ref="F329:G329"/>
    <mergeCell ref="H329:I329"/>
    <mergeCell ref="J329:K329"/>
    <mergeCell ref="L329:M329"/>
    <mergeCell ref="N329:O329"/>
    <mergeCell ref="P329:Q329"/>
    <mergeCell ref="R329:S329"/>
    <mergeCell ref="T329:U329"/>
    <mergeCell ref="V329:W329"/>
    <mergeCell ref="X329:Y329"/>
    <mergeCell ref="Z329:AA329"/>
    <mergeCell ref="AB329:AC329"/>
    <mergeCell ref="AD329:AE329"/>
    <mergeCell ref="AT329:AU329"/>
    <mergeCell ref="AV329:AW329"/>
    <mergeCell ref="AF329:AG329"/>
    <mergeCell ref="AH329:AI329"/>
    <mergeCell ref="AJ329:AK329"/>
    <mergeCell ref="AL329:AM329"/>
    <mergeCell ref="AN329:AO329"/>
    <mergeCell ref="AP329:AQ329"/>
    <mergeCell ref="AR329:AS329"/>
    <mergeCell ref="R331:S331"/>
    <mergeCell ref="T331:U331"/>
    <mergeCell ref="V331:W331"/>
    <mergeCell ref="X331:Y331"/>
    <mergeCell ref="Z331:AA331"/>
    <mergeCell ref="AB331:AC331"/>
    <mergeCell ref="AD331:AE331"/>
    <mergeCell ref="AF331:AG331"/>
    <mergeCell ref="AH331:AI331"/>
    <mergeCell ref="AJ331:AK331"/>
    <mergeCell ref="AL331:AM331"/>
    <mergeCell ref="AN331:AO331"/>
    <mergeCell ref="AP331:AQ331"/>
    <mergeCell ref="AR331:AS331"/>
    <mergeCell ref="BH331:BI331"/>
    <mergeCell ref="BJ331:BK331"/>
    <mergeCell ref="BL331:BM331"/>
    <mergeCell ref="BN331:BO331"/>
    <mergeCell ref="AT331:AU331"/>
    <mergeCell ref="AV331:AW331"/>
    <mergeCell ref="AX331:AY331"/>
    <mergeCell ref="AZ331:BA331"/>
    <mergeCell ref="BB331:BC331"/>
    <mergeCell ref="BD331:BE331"/>
    <mergeCell ref="BF331:BG331"/>
    <mergeCell ref="C331:D331"/>
    <mergeCell ref="F331:G331"/>
    <mergeCell ref="H331:I331"/>
    <mergeCell ref="J331:K331"/>
    <mergeCell ref="L331:M331"/>
    <mergeCell ref="N331:O331"/>
    <mergeCell ref="P331:Q331"/>
    <mergeCell ref="AT335:AU335"/>
    <mergeCell ref="AV335:AW335"/>
    <mergeCell ref="AF335:AG335"/>
    <mergeCell ref="AH335:AI335"/>
    <mergeCell ref="AJ335:AK335"/>
    <mergeCell ref="AL335:AM335"/>
    <mergeCell ref="AN335:AO335"/>
    <mergeCell ref="AP335:AQ335"/>
    <mergeCell ref="AR335:AS335"/>
    <mergeCell ref="BL335:BM335"/>
    <mergeCell ref="BN335:BO335"/>
    <mergeCell ref="AX335:AY335"/>
    <mergeCell ref="AZ335:BA335"/>
    <mergeCell ref="BB335:BC335"/>
    <mergeCell ref="BD335:BE335"/>
    <mergeCell ref="BF335:BG335"/>
    <mergeCell ref="BH335:BI335"/>
    <mergeCell ref="BJ335:BK335"/>
    <mergeCell ref="R333:S333"/>
    <mergeCell ref="T333:U333"/>
    <mergeCell ref="V333:W333"/>
    <mergeCell ref="X333:Y333"/>
    <mergeCell ref="Z333:AA333"/>
    <mergeCell ref="AB333:AC333"/>
    <mergeCell ref="AD333:AE333"/>
    <mergeCell ref="AF333:AG333"/>
    <mergeCell ref="AH333:AI333"/>
    <mergeCell ref="AJ333:AK333"/>
    <mergeCell ref="AL333:AM333"/>
    <mergeCell ref="AN333:AO333"/>
    <mergeCell ref="AP333:AQ333"/>
    <mergeCell ref="AR333:AS333"/>
    <mergeCell ref="BH333:BI333"/>
    <mergeCell ref="BJ333:BK333"/>
    <mergeCell ref="BL333:BM333"/>
    <mergeCell ref="BN333:BO333"/>
    <mergeCell ref="AT333:AU333"/>
    <mergeCell ref="AV333:AW333"/>
    <mergeCell ref="AX333:AY333"/>
    <mergeCell ref="AZ333:BA333"/>
    <mergeCell ref="BB333:BC333"/>
    <mergeCell ref="BD333:BE333"/>
    <mergeCell ref="BF333:BG333"/>
    <mergeCell ref="C333:D333"/>
    <mergeCell ref="F333:G333"/>
    <mergeCell ref="H333:I333"/>
    <mergeCell ref="J333:K333"/>
    <mergeCell ref="L333:M333"/>
    <mergeCell ref="N333:O333"/>
    <mergeCell ref="P333:Q333"/>
    <mergeCell ref="C335:D335"/>
    <mergeCell ref="F335:G335"/>
    <mergeCell ref="H335:I335"/>
    <mergeCell ref="J335:K335"/>
    <mergeCell ref="L335:M335"/>
    <mergeCell ref="N335:O335"/>
    <mergeCell ref="P335:Q335"/>
    <mergeCell ref="R335:S335"/>
    <mergeCell ref="T335:U335"/>
    <mergeCell ref="V335:W335"/>
    <mergeCell ref="X335:Y335"/>
    <mergeCell ref="Z335:AA335"/>
    <mergeCell ref="AB335:AC335"/>
    <mergeCell ref="AD335:AE335"/>
    <mergeCell ref="BL17:BM17"/>
    <mergeCell ref="BN17:BO17"/>
    <mergeCell ref="AX17:AY17"/>
    <mergeCell ref="AZ17:BA17"/>
    <mergeCell ref="BB17:BC17"/>
    <mergeCell ref="BD17:BE17"/>
    <mergeCell ref="BF17:BG17"/>
    <mergeCell ref="BH17:BI17"/>
    <mergeCell ref="BJ17:BK17"/>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BH15:BI15"/>
    <mergeCell ref="BJ15:BK15"/>
    <mergeCell ref="BL15:BM15"/>
    <mergeCell ref="BN15:BO15"/>
    <mergeCell ref="AT15:AU15"/>
    <mergeCell ref="AV15:AW15"/>
    <mergeCell ref="AX15:AY15"/>
    <mergeCell ref="AZ15:BA15"/>
    <mergeCell ref="BB15:BC15"/>
    <mergeCell ref="BD15:BE15"/>
    <mergeCell ref="BF15:BG15"/>
    <mergeCell ref="C15:D15"/>
    <mergeCell ref="F15:G15"/>
    <mergeCell ref="H15:I15"/>
    <mergeCell ref="J15:K15"/>
    <mergeCell ref="L15:M15"/>
    <mergeCell ref="N15:O15"/>
    <mergeCell ref="P15:Q15"/>
    <mergeCell ref="C17:D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BJ5:BK5"/>
    <mergeCell ref="BL5:BM5"/>
    <mergeCell ref="AV5:AW5"/>
    <mergeCell ref="AX5:AY5"/>
    <mergeCell ref="AZ5:BA5"/>
    <mergeCell ref="BB5:BC5"/>
    <mergeCell ref="BD5:BE5"/>
    <mergeCell ref="BF5:BG5"/>
    <mergeCell ref="BH5:BI5"/>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BH1:BI1"/>
    <mergeCell ref="BJ1:BK1"/>
    <mergeCell ref="BL1:BM1"/>
    <mergeCell ref="BN1:BO1"/>
    <mergeCell ref="BN5:BO5"/>
    <mergeCell ref="AT1:AU1"/>
    <mergeCell ref="AV1:AW1"/>
    <mergeCell ref="AX1:AY1"/>
    <mergeCell ref="AZ1:BA1"/>
    <mergeCell ref="BB1:BC1"/>
    <mergeCell ref="BD1:BE1"/>
    <mergeCell ref="BF1:BG1"/>
    <mergeCell ref="C1:D1"/>
    <mergeCell ref="F1:G1"/>
    <mergeCell ref="H1:I1"/>
    <mergeCell ref="J1:K1"/>
    <mergeCell ref="L1:M1"/>
    <mergeCell ref="N1:O1"/>
    <mergeCell ref="P1:Q1"/>
    <mergeCell ref="C2:D2"/>
    <mergeCell ref="C5:D5"/>
    <mergeCell ref="F5:G5"/>
    <mergeCell ref="H5:I5"/>
    <mergeCell ref="J5:K5"/>
    <mergeCell ref="L5:M5"/>
    <mergeCell ref="N5:O5"/>
    <mergeCell ref="P5:Q5"/>
    <mergeCell ref="R5:S5"/>
    <mergeCell ref="T5:U5"/>
    <mergeCell ref="V5:W5"/>
    <mergeCell ref="X5:Y5"/>
    <mergeCell ref="Z5:AA5"/>
    <mergeCell ref="AB5:AC5"/>
    <mergeCell ref="AR5:AS5"/>
    <mergeCell ref="AT5:AU5"/>
    <mergeCell ref="AD5:AE5"/>
    <mergeCell ref="AF5:AG5"/>
    <mergeCell ref="AH5:AI5"/>
    <mergeCell ref="AJ5:AK5"/>
    <mergeCell ref="AL5:AM5"/>
    <mergeCell ref="AN5:AO5"/>
    <mergeCell ref="AP5:AQ5"/>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BH7:BI7"/>
    <mergeCell ref="BJ7:BK7"/>
    <mergeCell ref="BL7:BM7"/>
    <mergeCell ref="BN7:BO7"/>
    <mergeCell ref="AT7:AU7"/>
    <mergeCell ref="AV7:AW7"/>
    <mergeCell ref="AX7:AY7"/>
    <mergeCell ref="AZ7:BA7"/>
    <mergeCell ref="BB7:BC7"/>
    <mergeCell ref="BD7:BE7"/>
    <mergeCell ref="BF7:BG7"/>
    <mergeCell ref="C7:D7"/>
    <mergeCell ref="F7:G7"/>
    <mergeCell ref="H7:I7"/>
    <mergeCell ref="J7:K7"/>
    <mergeCell ref="L7:M7"/>
    <mergeCell ref="N7:O7"/>
    <mergeCell ref="P7:Q7"/>
    <mergeCell ref="BL11:BM11"/>
    <mergeCell ref="BN11:BO11"/>
    <mergeCell ref="AX11:AY11"/>
    <mergeCell ref="AZ11:BA11"/>
    <mergeCell ref="BB11:BC11"/>
    <mergeCell ref="BD11:BE11"/>
    <mergeCell ref="BF11:BG11"/>
    <mergeCell ref="BH11:BI11"/>
    <mergeCell ref="BJ11:BK11"/>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BH9:BI9"/>
    <mergeCell ref="BJ9:BK9"/>
    <mergeCell ref="BL9:BM9"/>
    <mergeCell ref="BN9:BO9"/>
    <mergeCell ref="AT9:AU9"/>
    <mergeCell ref="AV9:AW9"/>
    <mergeCell ref="AX9:AY9"/>
    <mergeCell ref="AZ9:BA9"/>
    <mergeCell ref="BB9:BC9"/>
    <mergeCell ref="BD9:BE9"/>
    <mergeCell ref="BF9:BG9"/>
    <mergeCell ref="C9:D9"/>
    <mergeCell ref="F9:G9"/>
    <mergeCell ref="H9:I9"/>
    <mergeCell ref="J9:K9"/>
    <mergeCell ref="L9:M9"/>
    <mergeCell ref="N9:O9"/>
    <mergeCell ref="P9:Q9"/>
    <mergeCell ref="C11:D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T11:AU11"/>
    <mergeCell ref="AV11:AW11"/>
    <mergeCell ref="AF11:AG11"/>
    <mergeCell ref="AH11:AI11"/>
    <mergeCell ref="AJ11:AK11"/>
    <mergeCell ref="AL11:AM11"/>
    <mergeCell ref="AN11:AO11"/>
    <mergeCell ref="AP11:AQ11"/>
    <mergeCell ref="AR11:AS11"/>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BH13:BI13"/>
    <mergeCell ref="BJ13:BK13"/>
    <mergeCell ref="BL13:BM13"/>
    <mergeCell ref="BN13:BO13"/>
    <mergeCell ref="AT13:AU13"/>
    <mergeCell ref="AV13:AW13"/>
    <mergeCell ref="AX13:AY13"/>
    <mergeCell ref="AZ13:BA13"/>
    <mergeCell ref="BB13:BC13"/>
    <mergeCell ref="BD13:BE13"/>
    <mergeCell ref="BF13:BG13"/>
    <mergeCell ref="C13:D13"/>
    <mergeCell ref="F13:G13"/>
    <mergeCell ref="H13:I13"/>
    <mergeCell ref="J13:K13"/>
    <mergeCell ref="L13:M13"/>
    <mergeCell ref="N13:O13"/>
    <mergeCell ref="P13:Q13"/>
    <mergeCell ref="AT17:AU17"/>
    <mergeCell ref="AV17:AW17"/>
    <mergeCell ref="AF17:AG17"/>
    <mergeCell ref="AH17:AI17"/>
    <mergeCell ref="AJ17:AK17"/>
    <mergeCell ref="AL17:AM17"/>
    <mergeCell ref="AN17:AO17"/>
    <mergeCell ref="AP17:AQ17"/>
    <mergeCell ref="AR17:AS17"/>
    <mergeCell ref="R19:S19"/>
    <mergeCell ref="T19:U19"/>
    <mergeCell ref="V19:W19"/>
    <mergeCell ref="X19:Y19"/>
    <mergeCell ref="Z19:AA19"/>
    <mergeCell ref="AB19:AC19"/>
    <mergeCell ref="AD19:AE19"/>
    <mergeCell ref="AF19:AG19"/>
    <mergeCell ref="AH19:AI19"/>
    <mergeCell ref="AJ19:AK19"/>
    <mergeCell ref="AL19:AM19"/>
    <mergeCell ref="AN19:AO19"/>
    <mergeCell ref="AP19:AQ19"/>
    <mergeCell ref="AR19:AS19"/>
    <mergeCell ref="BH19:BI19"/>
    <mergeCell ref="BJ19:BK19"/>
    <mergeCell ref="BL19:BM19"/>
    <mergeCell ref="BN19:BO19"/>
    <mergeCell ref="AT19:AU19"/>
    <mergeCell ref="AV19:AW19"/>
    <mergeCell ref="AX19:AY19"/>
    <mergeCell ref="AZ19:BA19"/>
    <mergeCell ref="BB19:BC19"/>
    <mergeCell ref="BD19:BE19"/>
    <mergeCell ref="BF19:BG19"/>
    <mergeCell ref="C19:D19"/>
    <mergeCell ref="F19:G19"/>
    <mergeCell ref="H19:I19"/>
    <mergeCell ref="J19:K19"/>
    <mergeCell ref="L19:M19"/>
    <mergeCell ref="N19:O19"/>
    <mergeCell ref="P19:Q19"/>
    <mergeCell ref="BJ37:BK37"/>
    <mergeCell ref="BL37:BM37"/>
    <mergeCell ref="AV37:AW37"/>
    <mergeCell ref="AX37:AY37"/>
    <mergeCell ref="AZ37:BA37"/>
    <mergeCell ref="BB37:BC37"/>
    <mergeCell ref="BD37:BE37"/>
    <mergeCell ref="BF37:BG37"/>
    <mergeCell ref="BH37:BI37"/>
    <mergeCell ref="R35:S35"/>
    <mergeCell ref="T35:U35"/>
    <mergeCell ref="V35:W35"/>
    <mergeCell ref="X35:Y35"/>
    <mergeCell ref="Z35:AA35"/>
    <mergeCell ref="AB35:AC35"/>
    <mergeCell ref="AD35:AE35"/>
    <mergeCell ref="AF35:AG35"/>
    <mergeCell ref="AH35:AI35"/>
    <mergeCell ref="AJ35:AK35"/>
    <mergeCell ref="AL35:AM35"/>
    <mergeCell ref="AN35:AO35"/>
    <mergeCell ref="AP35:AQ35"/>
    <mergeCell ref="AR35:AS35"/>
    <mergeCell ref="BH35:BI35"/>
    <mergeCell ref="BJ35:BK35"/>
    <mergeCell ref="BL35:BM35"/>
    <mergeCell ref="BN35:BO35"/>
    <mergeCell ref="BN37:BO37"/>
    <mergeCell ref="AT35:AU35"/>
    <mergeCell ref="AV35:AW35"/>
    <mergeCell ref="AX35:AY35"/>
    <mergeCell ref="AZ35:BA35"/>
    <mergeCell ref="BB35:BC35"/>
    <mergeCell ref="BD35:BE35"/>
    <mergeCell ref="BF35:BG35"/>
    <mergeCell ref="C35:D35"/>
    <mergeCell ref="F35:G35"/>
    <mergeCell ref="H35:I35"/>
    <mergeCell ref="J35:K35"/>
    <mergeCell ref="L35:M35"/>
    <mergeCell ref="N35:O35"/>
    <mergeCell ref="P35:Q35"/>
    <mergeCell ref="A37:B37"/>
    <mergeCell ref="C37:D37"/>
    <mergeCell ref="F37:G37"/>
    <mergeCell ref="H37:I37"/>
    <mergeCell ref="J37:K37"/>
    <mergeCell ref="L37:M37"/>
    <mergeCell ref="N37:O37"/>
    <mergeCell ref="P37:Q37"/>
    <mergeCell ref="R37:S37"/>
    <mergeCell ref="T37:U37"/>
    <mergeCell ref="V37:W37"/>
    <mergeCell ref="X37:Y37"/>
    <mergeCell ref="Z37:AA37"/>
    <mergeCell ref="AB37:AC37"/>
    <mergeCell ref="BL23:BM23"/>
    <mergeCell ref="BN23:BO23"/>
    <mergeCell ref="AX23:AY23"/>
    <mergeCell ref="AZ23:BA23"/>
    <mergeCell ref="BB23:BC23"/>
    <mergeCell ref="BD23:BE23"/>
    <mergeCell ref="BF23:BG23"/>
    <mergeCell ref="BH23:BI23"/>
    <mergeCell ref="BJ23:BK23"/>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BH21:BI21"/>
    <mergeCell ref="BJ21:BK21"/>
    <mergeCell ref="BL21:BM21"/>
    <mergeCell ref="BN21:BO21"/>
    <mergeCell ref="AT21:AU21"/>
    <mergeCell ref="AV21:AW21"/>
    <mergeCell ref="AX21:AY21"/>
    <mergeCell ref="AZ21:BA21"/>
    <mergeCell ref="BB21:BC21"/>
    <mergeCell ref="BD21:BE21"/>
    <mergeCell ref="BF21:BG21"/>
    <mergeCell ref="C21:D21"/>
    <mergeCell ref="F21:G21"/>
    <mergeCell ref="H21:I21"/>
    <mergeCell ref="J21:K21"/>
    <mergeCell ref="L21:M21"/>
    <mergeCell ref="N21:O21"/>
    <mergeCell ref="P21:Q21"/>
    <mergeCell ref="C23:D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T23:AU23"/>
    <mergeCell ref="AV23:AW23"/>
    <mergeCell ref="AF23:AG23"/>
    <mergeCell ref="AH23:AI23"/>
    <mergeCell ref="AJ23:AK23"/>
    <mergeCell ref="AL23:AM23"/>
    <mergeCell ref="AN23:AO23"/>
    <mergeCell ref="AP23:AQ23"/>
    <mergeCell ref="AR23:AS23"/>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BH25:BI25"/>
    <mergeCell ref="BJ25:BK25"/>
    <mergeCell ref="BL25:BM25"/>
    <mergeCell ref="BN25:BO25"/>
    <mergeCell ref="AT25:AU25"/>
    <mergeCell ref="AV25:AW25"/>
    <mergeCell ref="AX25:AY25"/>
    <mergeCell ref="AZ25:BA25"/>
    <mergeCell ref="BB25:BC25"/>
    <mergeCell ref="BD25:BE25"/>
    <mergeCell ref="BF25:BG25"/>
    <mergeCell ref="C25:D25"/>
    <mergeCell ref="F25:G25"/>
    <mergeCell ref="H25:I25"/>
    <mergeCell ref="J25:K25"/>
    <mergeCell ref="L25:M25"/>
    <mergeCell ref="N25:O25"/>
    <mergeCell ref="P25:Q25"/>
    <mergeCell ref="BJ31:BK31"/>
    <mergeCell ref="BL31:BM31"/>
    <mergeCell ref="AV31:AW31"/>
    <mergeCell ref="AX31:AY31"/>
    <mergeCell ref="AZ31:BA31"/>
    <mergeCell ref="BB31:BC31"/>
    <mergeCell ref="BD31:BE31"/>
    <mergeCell ref="BF31:BG31"/>
    <mergeCell ref="BH31:BI31"/>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BH27:BI27"/>
    <mergeCell ref="BJ27:BK27"/>
    <mergeCell ref="BL27:BM27"/>
    <mergeCell ref="BN27:BO27"/>
    <mergeCell ref="BN31:BO31"/>
    <mergeCell ref="AT27:AU27"/>
    <mergeCell ref="AV27:AW27"/>
    <mergeCell ref="AX27:AY27"/>
    <mergeCell ref="AZ27:BA27"/>
    <mergeCell ref="BB27:BC27"/>
    <mergeCell ref="BD27:BE27"/>
    <mergeCell ref="BF27:BG27"/>
    <mergeCell ref="C27:D27"/>
    <mergeCell ref="F27:G27"/>
    <mergeCell ref="H27:I27"/>
    <mergeCell ref="J27:K27"/>
    <mergeCell ref="L27:M27"/>
    <mergeCell ref="N27:O27"/>
    <mergeCell ref="P27:Q27"/>
    <mergeCell ref="C28:D28"/>
    <mergeCell ref="C31:D31"/>
    <mergeCell ref="F31:G31"/>
    <mergeCell ref="H31:I31"/>
    <mergeCell ref="J31:K31"/>
    <mergeCell ref="L31:M31"/>
    <mergeCell ref="N31:O31"/>
    <mergeCell ref="P31:Q31"/>
    <mergeCell ref="R31:S31"/>
    <mergeCell ref="T31:U31"/>
    <mergeCell ref="V31:W31"/>
    <mergeCell ref="X31:Y31"/>
    <mergeCell ref="Z31:AA31"/>
    <mergeCell ref="AB31:AC31"/>
    <mergeCell ref="AR31:AS31"/>
    <mergeCell ref="AT31:AU31"/>
    <mergeCell ref="AD31:AE31"/>
    <mergeCell ref="AF31:AG31"/>
    <mergeCell ref="AH31:AI31"/>
    <mergeCell ref="AJ31:AK31"/>
    <mergeCell ref="AL31:AM31"/>
    <mergeCell ref="AN31:AO31"/>
    <mergeCell ref="AP31:AQ31"/>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H33:BI33"/>
    <mergeCell ref="BJ33:BK33"/>
    <mergeCell ref="BL33:BM33"/>
    <mergeCell ref="BN33:BO33"/>
    <mergeCell ref="AT33:AU33"/>
    <mergeCell ref="AV33:AW33"/>
    <mergeCell ref="AX33:AY33"/>
    <mergeCell ref="AZ33:BA33"/>
    <mergeCell ref="BB33:BC33"/>
    <mergeCell ref="BD33:BE33"/>
    <mergeCell ref="BF33:BG33"/>
    <mergeCell ref="C33:D33"/>
    <mergeCell ref="F33:G33"/>
    <mergeCell ref="H33:I33"/>
    <mergeCell ref="J33:K33"/>
    <mergeCell ref="L33:M33"/>
    <mergeCell ref="N33:O33"/>
    <mergeCell ref="P33:Q33"/>
    <mergeCell ref="AR37:AS37"/>
    <mergeCell ref="AT37:AU37"/>
    <mergeCell ref="AD37:AE37"/>
    <mergeCell ref="AF37:AG37"/>
    <mergeCell ref="AH37:AI37"/>
    <mergeCell ref="AJ37:AK37"/>
    <mergeCell ref="AL37:AM37"/>
    <mergeCell ref="AN37:AO37"/>
    <mergeCell ref="AP37:AQ37"/>
    <mergeCell ref="R39:S39"/>
    <mergeCell ref="T39:U39"/>
    <mergeCell ref="V39:W39"/>
    <mergeCell ref="X39:Y39"/>
    <mergeCell ref="Z39:AA39"/>
    <mergeCell ref="AB39:AC39"/>
    <mergeCell ref="AD39:AE39"/>
    <mergeCell ref="AF39:AG39"/>
    <mergeCell ref="AH39:AI39"/>
    <mergeCell ref="AJ39:AK39"/>
    <mergeCell ref="AL39:AM39"/>
    <mergeCell ref="AN39:AO39"/>
    <mergeCell ref="AP39:AQ39"/>
    <mergeCell ref="AR39:AS39"/>
    <mergeCell ref="BH39:BI39"/>
    <mergeCell ref="BJ39:BK39"/>
    <mergeCell ref="BL39:BM39"/>
    <mergeCell ref="BN39:BO39"/>
    <mergeCell ref="AT39:AU39"/>
    <mergeCell ref="AV39:AW39"/>
    <mergeCell ref="AX39:AY39"/>
    <mergeCell ref="AZ39:BA39"/>
    <mergeCell ref="BB39:BC39"/>
    <mergeCell ref="BD39:BE39"/>
    <mergeCell ref="BF39:BG39"/>
    <mergeCell ref="C39:D39"/>
    <mergeCell ref="F39:G39"/>
    <mergeCell ref="H39:I39"/>
    <mergeCell ref="J39:K39"/>
    <mergeCell ref="L39:M39"/>
    <mergeCell ref="N39:O39"/>
    <mergeCell ref="P39:Q39"/>
    <mergeCell ref="BJ54:BK54"/>
    <mergeCell ref="BL54:BM54"/>
    <mergeCell ref="AV54:AW54"/>
    <mergeCell ref="AX54:AY54"/>
    <mergeCell ref="AZ54:BA54"/>
    <mergeCell ref="BB54:BC54"/>
    <mergeCell ref="BD54:BE54"/>
    <mergeCell ref="BF54:BG54"/>
    <mergeCell ref="BH54:BI54"/>
    <mergeCell ref="AT49:AU49"/>
    <mergeCell ref="AV49:AW49"/>
    <mergeCell ref="AF49:AG49"/>
    <mergeCell ref="AH49:AI49"/>
    <mergeCell ref="AJ49:AK49"/>
    <mergeCell ref="AL49:AM49"/>
    <mergeCell ref="AN49:AO49"/>
    <mergeCell ref="AP49:AQ49"/>
    <mergeCell ref="AR49:AS49"/>
    <mergeCell ref="R51:S51"/>
    <mergeCell ref="T51:U51"/>
    <mergeCell ref="V51:W51"/>
    <mergeCell ref="X51:Y51"/>
    <mergeCell ref="Z51:AA51"/>
    <mergeCell ref="AB51:AC51"/>
    <mergeCell ref="AD51:AE51"/>
    <mergeCell ref="AF51:AG51"/>
    <mergeCell ref="AH51:AI51"/>
    <mergeCell ref="AJ51:AK51"/>
    <mergeCell ref="AL51:AM51"/>
    <mergeCell ref="AN51:AO51"/>
    <mergeCell ref="AP51:AQ51"/>
    <mergeCell ref="AR51:AS51"/>
    <mergeCell ref="BH51:BI51"/>
    <mergeCell ref="BJ51:BK51"/>
    <mergeCell ref="BL51:BM51"/>
    <mergeCell ref="BN51:BO51"/>
    <mergeCell ref="BN54:BO54"/>
    <mergeCell ref="AT51:AU51"/>
    <mergeCell ref="AV51:AW51"/>
    <mergeCell ref="AX51:AY51"/>
    <mergeCell ref="AZ51:BA51"/>
    <mergeCell ref="BB51:BC51"/>
    <mergeCell ref="BD51:BE51"/>
    <mergeCell ref="BF51:BG51"/>
    <mergeCell ref="P54:Q54"/>
    <mergeCell ref="R54:S54"/>
    <mergeCell ref="T54:U54"/>
    <mergeCell ref="V54:W54"/>
    <mergeCell ref="X54:Y54"/>
    <mergeCell ref="Z54:AA54"/>
    <mergeCell ref="AB54:AC54"/>
    <mergeCell ref="BL43:BM43"/>
    <mergeCell ref="BN43:BO43"/>
    <mergeCell ref="AX43:AY43"/>
    <mergeCell ref="AZ43:BA43"/>
    <mergeCell ref="BB43:BC43"/>
    <mergeCell ref="BD43:BE43"/>
    <mergeCell ref="BF43:BG43"/>
    <mergeCell ref="BH43:BI43"/>
    <mergeCell ref="BJ43:BK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H41:BI41"/>
    <mergeCell ref="BJ41:BK41"/>
    <mergeCell ref="BL41:BM41"/>
    <mergeCell ref="BN41:BO41"/>
    <mergeCell ref="AT41:AU41"/>
    <mergeCell ref="AV41:AW41"/>
    <mergeCell ref="AX41:AY41"/>
    <mergeCell ref="AZ41:BA41"/>
    <mergeCell ref="BB41:BC41"/>
    <mergeCell ref="BD41:BE41"/>
    <mergeCell ref="BF41:BG41"/>
    <mergeCell ref="C41:D41"/>
    <mergeCell ref="F41:G41"/>
    <mergeCell ref="H41:I41"/>
    <mergeCell ref="J41:K41"/>
    <mergeCell ref="L41:M41"/>
    <mergeCell ref="N41:O41"/>
    <mergeCell ref="P41:Q41"/>
    <mergeCell ref="C43:D43"/>
    <mergeCell ref="F43:G43"/>
    <mergeCell ref="H43:I43"/>
    <mergeCell ref="J43:K43"/>
    <mergeCell ref="L43:M43"/>
    <mergeCell ref="N43:O43"/>
    <mergeCell ref="P43:Q43"/>
    <mergeCell ref="R43:S43"/>
    <mergeCell ref="T43:U43"/>
    <mergeCell ref="V43:W43"/>
    <mergeCell ref="X43:Y43"/>
    <mergeCell ref="Z43:AA43"/>
    <mergeCell ref="AB43:AC43"/>
    <mergeCell ref="AD43:AE43"/>
    <mergeCell ref="AT43:AU43"/>
    <mergeCell ref="AV43:AW43"/>
    <mergeCell ref="AF43:AG43"/>
    <mergeCell ref="AH43:AI43"/>
    <mergeCell ref="AJ43:AK43"/>
    <mergeCell ref="AL43:AM43"/>
    <mergeCell ref="AN43:AO43"/>
    <mergeCell ref="AP43:AQ43"/>
    <mergeCell ref="AR43:AS43"/>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H45:BI45"/>
    <mergeCell ref="BJ45:BK45"/>
    <mergeCell ref="BL45:BM45"/>
    <mergeCell ref="BN45:BO45"/>
    <mergeCell ref="AT45:AU45"/>
    <mergeCell ref="AV45:AW45"/>
    <mergeCell ref="AX45:AY45"/>
    <mergeCell ref="AZ45:BA45"/>
    <mergeCell ref="BB45:BC45"/>
    <mergeCell ref="BD45:BE45"/>
    <mergeCell ref="BF45:BG45"/>
    <mergeCell ref="C45:D45"/>
    <mergeCell ref="F45:G45"/>
    <mergeCell ref="H45:I45"/>
    <mergeCell ref="J45:K45"/>
    <mergeCell ref="L45:M45"/>
    <mergeCell ref="N45:O45"/>
    <mergeCell ref="P45:Q45"/>
    <mergeCell ref="BL49:BM49"/>
    <mergeCell ref="BN49:BO49"/>
    <mergeCell ref="AX49:AY49"/>
    <mergeCell ref="AZ49:BA49"/>
    <mergeCell ref="BB49:BC49"/>
    <mergeCell ref="BD49:BE49"/>
    <mergeCell ref="BF49:BG49"/>
    <mergeCell ref="BH49:BI49"/>
    <mergeCell ref="BJ49:BK49"/>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H47:BI47"/>
    <mergeCell ref="BJ47:BK47"/>
    <mergeCell ref="BL47:BM47"/>
    <mergeCell ref="BN47:BO47"/>
    <mergeCell ref="AT47:AU47"/>
    <mergeCell ref="AV47:AW47"/>
    <mergeCell ref="AX47:AY47"/>
    <mergeCell ref="AZ47:BA47"/>
    <mergeCell ref="BB47:BC47"/>
    <mergeCell ref="BD47:BE47"/>
    <mergeCell ref="BF47:BG47"/>
    <mergeCell ref="C47:D47"/>
    <mergeCell ref="F47:G47"/>
    <mergeCell ref="H47:I47"/>
    <mergeCell ref="J47:K47"/>
    <mergeCell ref="L47:M47"/>
    <mergeCell ref="N47:O47"/>
    <mergeCell ref="P47:Q47"/>
    <mergeCell ref="C49:D49"/>
    <mergeCell ref="F49:G49"/>
    <mergeCell ref="H49:I49"/>
    <mergeCell ref="J49:K49"/>
    <mergeCell ref="L49:M49"/>
    <mergeCell ref="N49:O49"/>
    <mergeCell ref="P49:Q49"/>
    <mergeCell ref="R49:S49"/>
    <mergeCell ref="T49:U49"/>
    <mergeCell ref="V49:W49"/>
    <mergeCell ref="X49:Y49"/>
    <mergeCell ref="Z49:AA49"/>
    <mergeCell ref="AB49:AC49"/>
    <mergeCell ref="AD49:AE49"/>
    <mergeCell ref="AR54:AS54"/>
    <mergeCell ref="AT54:AU54"/>
    <mergeCell ref="AD54:AE54"/>
    <mergeCell ref="AF54:AG54"/>
    <mergeCell ref="AH54:AI54"/>
    <mergeCell ref="AJ54:AK54"/>
    <mergeCell ref="AL54:AM54"/>
    <mergeCell ref="AN54:AO54"/>
    <mergeCell ref="AP54:AQ54"/>
    <mergeCell ref="C51:D51"/>
    <mergeCell ref="F51:G51"/>
    <mergeCell ref="H51:I51"/>
    <mergeCell ref="J51:K51"/>
    <mergeCell ref="L51:M51"/>
    <mergeCell ref="N51:O51"/>
    <mergeCell ref="P51:Q51"/>
    <mergeCell ref="C52:D52"/>
    <mergeCell ref="C54:D54"/>
    <mergeCell ref="F54:G54"/>
    <mergeCell ref="H54:I54"/>
    <mergeCell ref="J54:K54"/>
    <mergeCell ref="L54:M54"/>
    <mergeCell ref="N54:O54"/>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AT56:AU56"/>
    <mergeCell ref="AV56:AW56"/>
    <mergeCell ref="AX56:AY56"/>
    <mergeCell ref="AZ56:BA56"/>
    <mergeCell ref="BB56:BC56"/>
    <mergeCell ref="BD56:BE56"/>
    <mergeCell ref="BF56:BG56"/>
    <mergeCell ref="C56:D56"/>
    <mergeCell ref="F56:G56"/>
    <mergeCell ref="H56:I56"/>
    <mergeCell ref="J56:K56"/>
    <mergeCell ref="L56:M56"/>
    <mergeCell ref="N56:O56"/>
    <mergeCell ref="P56:Q56"/>
    <mergeCell ref="BL72:BM72"/>
    <mergeCell ref="BN72:BO72"/>
    <mergeCell ref="AX72:AY72"/>
    <mergeCell ref="AZ72:BA72"/>
    <mergeCell ref="BB72:BC72"/>
    <mergeCell ref="BD72:BE72"/>
    <mergeCell ref="BF72:BG72"/>
    <mergeCell ref="BH72:BI72"/>
    <mergeCell ref="BJ72:BK72"/>
    <mergeCell ref="R70:S70"/>
    <mergeCell ref="T70:U70"/>
    <mergeCell ref="V70:W70"/>
    <mergeCell ref="X70:Y70"/>
    <mergeCell ref="Z70:AA70"/>
    <mergeCell ref="AB70:AC70"/>
    <mergeCell ref="AD70:AE70"/>
    <mergeCell ref="AF70:AG70"/>
    <mergeCell ref="AH70:AI70"/>
    <mergeCell ref="AJ70:AK70"/>
    <mergeCell ref="AL70:AM70"/>
    <mergeCell ref="AN70:AO70"/>
    <mergeCell ref="AP70:AQ70"/>
    <mergeCell ref="AR70:AS70"/>
    <mergeCell ref="BH70:BI70"/>
    <mergeCell ref="BJ70:BK70"/>
    <mergeCell ref="BL70:BM70"/>
    <mergeCell ref="BN70:BO70"/>
    <mergeCell ref="AT70:AU70"/>
    <mergeCell ref="AV70:AW70"/>
    <mergeCell ref="AX70:AY70"/>
    <mergeCell ref="AZ70:BA70"/>
    <mergeCell ref="BB70:BC70"/>
    <mergeCell ref="BD70:BE70"/>
    <mergeCell ref="BF70:BG70"/>
    <mergeCell ref="C70:D70"/>
    <mergeCell ref="F70:G70"/>
    <mergeCell ref="H70:I70"/>
    <mergeCell ref="J70:K70"/>
    <mergeCell ref="L70:M70"/>
    <mergeCell ref="N70:O70"/>
    <mergeCell ref="P70:Q70"/>
    <mergeCell ref="C72:D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BL134:BM134"/>
    <mergeCell ref="BN134:BO134"/>
    <mergeCell ref="AX134:AY134"/>
    <mergeCell ref="AZ134:BA134"/>
    <mergeCell ref="BB134:BC134"/>
    <mergeCell ref="BD134:BE134"/>
    <mergeCell ref="BF134:BG134"/>
    <mergeCell ref="BH134:BI134"/>
    <mergeCell ref="BJ134:BK134"/>
    <mergeCell ref="R132:S132"/>
    <mergeCell ref="T132:U132"/>
    <mergeCell ref="V132:W132"/>
    <mergeCell ref="X132:Y132"/>
    <mergeCell ref="Z132:AA132"/>
    <mergeCell ref="AB132:AC132"/>
    <mergeCell ref="AD132:AE132"/>
    <mergeCell ref="AF132:AG132"/>
    <mergeCell ref="AH132:AI132"/>
    <mergeCell ref="AJ132:AK132"/>
    <mergeCell ref="AL132:AM132"/>
    <mergeCell ref="AN132:AO132"/>
    <mergeCell ref="AP132:AQ132"/>
    <mergeCell ref="AR132:AS132"/>
    <mergeCell ref="BH132:BI132"/>
    <mergeCell ref="BJ132:BK132"/>
    <mergeCell ref="BL132:BM132"/>
    <mergeCell ref="BN132:BO132"/>
    <mergeCell ref="AT132:AU132"/>
    <mergeCell ref="AV132:AW132"/>
    <mergeCell ref="AX132:AY132"/>
    <mergeCell ref="AZ132:BA132"/>
    <mergeCell ref="BB132:BC132"/>
    <mergeCell ref="BD132:BE132"/>
    <mergeCell ref="BF132:BG132"/>
    <mergeCell ref="C132:D132"/>
    <mergeCell ref="F132:G132"/>
    <mergeCell ref="H132:I132"/>
    <mergeCell ref="J132:K132"/>
    <mergeCell ref="L132:M132"/>
    <mergeCell ref="N132:O132"/>
    <mergeCell ref="P132:Q132"/>
    <mergeCell ref="C134:D134"/>
    <mergeCell ref="F134:G134"/>
    <mergeCell ref="H134:I134"/>
    <mergeCell ref="J134:K134"/>
    <mergeCell ref="L134:M134"/>
    <mergeCell ref="N134:O134"/>
    <mergeCell ref="P134:Q134"/>
    <mergeCell ref="R134:S134"/>
    <mergeCell ref="T134:U134"/>
    <mergeCell ref="V134:W134"/>
    <mergeCell ref="X134:Y134"/>
    <mergeCell ref="Z134:AA134"/>
    <mergeCell ref="AB134:AC134"/>
    <mergeCell ref="AD134:AE134"/>
    <mergeCell ref="BL122:BM122"/>
    <mergeCell ref="BN122:BO122"/>
    <mergeCell ref="AX122:AY122"/>
    <mergeCell ref="AZ122:BA122"/>
    <mergeCell ref="BB122:BC122"/>
    <mergeCell ref="BD122:BE122"/>
    <mergeCell ref="BF122:BG122"/>
    <mergeCell ref="BH122:BI122"/>
    <mergeCell ref="BJ122:BK122"/>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BH120:BI120"/>
    <mergeCell ref="BJ120:BK120"/>
    <mergeCell ref="BL120:BM120"/>
    <mergeCell ref="BN120:BO120"/>
    <mergeCell ref="AT120:AU120"/>
    <mergeCell ref="AV120:AW120"/>
    <mergeCell ref="AX120:AY120"/>
    <mergeCell ref="AZ120:BA120"/>
    <mergeCell ref="BB120:BC120"/>
    <mergeCell ref="BD120:BE120"/>
    <mergeCell ref="BF120:BG120"/>
    <mergeCell ref="C120:D120"/>
    <mergeCell ref="F120:G120"/>
    <mergeCell ref="H120:I120"/>
    <mergeCell ref="J120:K120"/>
    <mergeCell ref="L120:M120"/>
    <mergeCell ref="N120:O120"/>
    <mergeCell ref="P120:Q120"/>
    <mergeCell ref="C122:D122"/>
    <mergeCell ref="F122:G122"/>
    <mergeCell ref="H122:I122"/>
    <mergeCell ref="J122:K122"/>
    <mergeCell ref="L122:M122"/>
    <mergeCell ref="N122:O122"/>
    <mergeCell ref="P122:Q122"/>
    <mergeCell ref="R122:S122"/>
    <mergeCell ref="T122:U122"/>
    <mergeCell ref="V122:W122"/>
    <mergeCell ref="X122:Y122"/>
    <mergeCell ref="Z122:AA122"/>
    <mergeCell ref="AB122:AC122"/>
    <mergeCell ref="AD122:AE122"/>
    <mergeCell ref="AT122:AU122"/>
    <mergeCell ref="AV122:AW122"/>
    <mergeCell ref="AF122:AG122"/>
    <mergeCell ref="AH122:AI122"/>
    <mergeCell ref="AJ122:AK122"/>
    <mergeCell ref="AL122:AM122"/>
    <mergeCell ref="AN122:AO122"/>
    <mergeCell ref="AP122:AQ122"/>
    <mergeCell ref="AR122:AS122"/>
    <mergeCell ref="R124:S124"/>
    <mergeCell ref="T124:U124"/>
    <mergeCell ref="V124:W124"/>
    <mergeCell ref="X124:Y124"/>
    <mergeCell ref="Z124:AA124"/>
    <mergeCell ref="AB124:AC124"/>
    <mergeCell ref="AD124:AE124"/>
    <mergeCell ref="AF124:AG124"/>
    <mergeCell ref="AH124:AI124"/>
    <mergeCell ref="AJ124:AK124"/>
    <mergeCell ref="AL124:AM124"/>
    <mergeCell ref="AN124:AO124"/>
    <mergeCell ref="AP124:AQ124"/>
    <mergeCell ref="AR124:AS124"/>
    <mergeCell ref="BH124:BI124"/>
    <mergeCell ref="BJ124:BK124"/>
    <mergeCell ref="BL124:BM124"/>
    <mergeCell ref="BN124:BO124"/>
    <mergeCell ref="AT124:AU124"/>
    <mergeCell ref="AV124:AW124"/>
    <mergeCell ref="AX124:AY124"/>
    <mergeCell ref="AZ124:BA124"/>
    <mergeCell ref="BB124:BC124"/>
    <mergeCell ref="BD124:BE124"/>
    <mergeCell ref="BF124:BG124"/>
    <mergeCell ref="C124:D124"/>
    <mergeCell ref="F124:G124"/>
    <mergeCell ref="H124:I124"/>
    <mergeCell ref="J124:K124"/>
    <mergeCell ref="L124:M124"/>
    <mergeCell ref="N124:O124"/>
    <mergeCell ref="P124:Q124"/>
    <mergeCell ref="BL128:BM128"/>
    <mergeCell ref="BN128:BO128"/>
    <mergeCell ref="AX128:AY128"/>
    <mergeCell ref="AZ128:BA128"/>
    <mergeCell ref="BB128:BC128"/>
    <mergeCell ref="BD128:BE128"/>
    <mergeCell ref="BF128:BG128"/>
    <mergeCell ref="BH128:BI128"/>
    <mergeCell ref="BJ128:BK128"/>
    <mergeCell ref="R126:S126"/>
    <mergeCell ref="T126:U126"/>
    <mergeCell ref="V126:W126"/>
    <mergeCell ref="X126:Y126"/>
    <mergeCell ref="Z126:AA126"/>
    <mergeCell ref="AB126:AC126"/>
    <mergeCell ref="AD126:AE126"/>
    <mergeCell ref="AF126:AG126"/>
    <mergeCell ref="AH126:AI126"/>
    <mergeCell ref="AJ126:AK126"/>
    <mergeCell ref="AL126:AM126"/>
    <mergeCell ref="AN126:AO126"/>
    <mergeCell ref="AP126:AQ126"/>
    <mergeCell ref="AR126:AS126"/>
    <mergeCell ref="BH126:BI126"/>
    <mergeCell ref="BJ126:BK126"/>
    <mergeCell ref="BL126:BM126"/>
    <mergeCell ref="BN126:BO126"/>
    <mergeCell ref="AT126:AU126"/>
    <mergeCell ref="AV126:AW126"/>
    <mergeCell ref="AX126:AY126"/>
    <mergeCell ref="AZ126:BA126"/>
    <mergeCell ref="BB126:BC126"/>
    <mergeCell ref="BD126:BE126"/>
    <mergeCell ref="BF126:BG126"/>
    <mergeCell ref="C126:D126"/>
    <mergeCell ref="F126:G126"/>
    <mergeCell ref="H126:I126"/>
    <mergeCell ref="J126:K126"/>
    <mergeCell ref="L126:M126"/>
    <mergeCell ref="N126:O126"/>
    <mergeCell ref="P126:Q126"/>
    <mergeCell ref="C128:D128"/>
    <mergeCell ref="F128:G128"/>
    <mergeCell ref="H128:I128"/>
    <mergeCell ref="J128:K128"/>
    <mergeCell ref="L128:M128"/>
    <mergeCell ref="N128:O128"/>
    <mergeCell ref="P128:Q128"/>
    <mergeCell ref="R128:S128"/>
    <mergeCell ref="T128:U128"/>
    <mergeCell ref="V128:W128"/>
    <mergeCell ref="X128:Y128"/>
    <mergeCell ref="Z128:AA128"/>
    <mergeCell ref="AB128:AC128"/>
    <mergeCell ref="AD128:AE128"/>
    <mergeCell ref="AT128:AU128"/>
    <mergeCell ref="AV128:AW128"/>
    <mergeCell ref="AF128:AG128"/>
    <mergeCell ref="AH128:AI128"/>
    <mergeCell ref="AJ128:AK128"/>
    <mergeCell ref="AL128:AM128"/>
    <mergeCell ref="AN128:AO128"/>
    <mergeCell ref="AP128:AQ128"/>
    <mergeCell ref="AR128:AS128"/>
    <mergeCell ref="R130:S130"/>
    <mergeCell ref="T130:U130"/>
    <mergeCell ref="V130:W130"/>
    <mergeCell ref="X130:Y130"/>
    <mergeCell ref="Z130:AA130"/>
    <mergeCell ref="AB130:AC130"/>
    <mergeCell ref="AD130:AE130"/>
    <mergeCell ref="AF130:AG130"/>
    <mergeCell ref="AH130:AI130"/>
    <mergeCell ref="AJ130:AK130"/>
    <mergeCell ref="AL130:AM130"/>
    <mergeCell ref="AN130:AO130"/>
    <mergeCell ref="AP130:AQ130"/>
    <mergeCell ref="AR130:AS130"/>
    <mergeCell ref="BH130:BI130"/>
    <mergeCell ref="BJ130:BK130"/>
    <mergeCell ref="BL130:BM130"/>
    <mergeCell ref="BN130:BO130"/>
    <mergeCell ref="AT130:AU130"/>
    <mergeCell ref="AV130:AW130"/>
    <mergeCell ref="AX130:AY130"/>
    <mergeCell ref="AZ130:BA130"/>
    <mergeCell ref="BB130:BC130"/>
    <mergeCell ref="BD130:BE130"/>
    <mergeCell ref="BF130:BG130"/>
    <mergeCell ref="C130:D130"/>
    <mergeCell ref="F130:G130"/>
    <mergeCell ref="H130:I130"/>
    <mergeCell ref="J130:K130"/>
    <mergeCell ref="L130:M130"/>
    <mergeCell ref="N130:O130"/>
    <mergeCell ref="P130:Q130"/>
    <mergeCell ref="AT134:AU134"/>
    <mergeCell ref="AV134:AW134"/>
    <mergeCell ref="AF134:AG134"/>
    <mergeCell ref="AH134:AI134"/>
    <mergeCell ref="AJ134:AK134"/>
    <mergeCell ref="AL134:AM134"/>
    <mergeCell ref="AN134:AO134"/>
    <mergeCell ref="AP134:AQ134"/>
    <mergeCell ref="AR134:AS134"/>
    <mergeCell ref="R136:S136"/>
    <mergeCell ref="T136:U136"/>
    <mergeCell ref="V136:W136"/>
    <mergeCell ref="X136:Y136"/>
    <mergeCell ref="Z136:AA136"/>
    <mergeCell ref="AB136:AC136"/>
    <mergeCell ref="AD136:AE136"/>
    <mergeCell ref="AF136:AG136"/>
    <mergeCell ref="AH136:AI136"/>
    <mergeCell ref="AJ136:AK136"/>
    <mergeCell ref="AL136:AM136"/>
    <mergeCell ref="AN136:AO136"/>
    <mergeCell ref="AP136:AQ136"/>
    <mergeCell ref="AR136:AS136"/>
    <mergeCell ref="BH136:BI136"/>
    <mergeCell ref="BJ136:BK136"/>
    <mergeCell ref="BL136:BM136"/>
    <mergeCell ref="BN136:BO136"/>
    <mergeCell ref="AT136:AU136"/>
    <mergeCell ref="AV136:AW136"/>
    <mergeCell ref="AX136:AY136"/>
    <mergeCell ref="AZ136:BA136"/>
    <mergeCell ref="BB136:BC136"/>
    <mergeCell ref="BD136:BE136"/>
    <mergeCell ref="BF136:BG136"/>
    <mergeCell ref="C136:D136"/>
    <mergeCell ref="F136:G136"/>
    <mergeCell ref="H136:I136"/>
    <mergeCell ref="J136:K136"/>
    <mergeCell ref="L136:M136"/>
    <mergeCell ref="N136:O136"/>
    <mergeCell ref="P136:Q136"/>
    <mergeCell ref="C146:D146"/>
    <mergeCell ref="F146:G146"/>
    <mergeCell ref="H146:I146"/>
    <mergeCell ref="J146:K146"/>
    <mergeCell ref="L146:M146"/>
    <mergeCell ref="N146:O146"/>
    <mergeCell ref="P146:Q146"/>
    <mergeCell ref="C147:D147"/>
    <mergeCell ref="C149:D149"/>
    <mergeCell ref="F149:G149"/>
    <mergeCell ref="H149:I149"/>
    <mergeCell ref="J149:K149"/>
    <mergeCell ref="L149:M149"/>
    <mergeCell ref="N149:O149"/>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BH144:BI144"/>
    <mergeCell ref="BJ144:BK144"/>
    <mergeCell ref="BL144:BM144"/>
    <mergeCell ref="BN144:BO144"/>
    <mergeCell ref="AT144:AU144"/>
    <mergeCell ref="AV144:AW144"/>
    <mergeCell ref="AX144:AY144"/>
    <mergeCell ref="AZ144:BA144"/>
    <mergeCell ref="BB144:BC144"/>
    <mergeCell ref="BD144:BE144"/>
    <mergeCell ref="BF144:BG144"/>
    <mergeCell ref="C144:D144"/>
    <mergeCell ref="F144:G144"/>
    <mergeCell ref="H144:I144"/>
    <mergeCell ref="J144:K144"/>
    <mergeCell ref="L144:M144"/>
    <mergeCell ref="N144:O144"/>
    <mergeCell ref="P144:Q144"/>
    <mergeCell ref="R146:S146"/>
    <mergeCell ref="T146:U146"/>
    <mergeCell ref="V146:W146"/>
    <mergeCell ref="X146:Y146"/>
    <mergeCell ref="Z146:AA146"/>
    <mergeCell ref="AB146:AC146"/>
    <mergeCell ref="AD146:AE146"/>
    <mergeCell ref="P149:Q149"/>
    <mergeCell ref="T149:U149"/>
    <mergeCell ref="V149:W149"/>
    <mergeCell ref="X149:Y149"/>
    <mergeCell ref="Z149:AA149"/>
    <mergeCell ref="AB149:AC149"/>
    <mergeCell ref="AD149:AE149"/>
    <mergeCell ref="BL140:BM140"/>
    <mergeCell ref="BN140:BO140"/>
    <mergeCell ref="AX140:AY140"/>
    <mergeCell ref="AZ140:BA140"/>
    <mergeCell ref="BB140:BC140"/>
    <mergeCell ref="BD140:BE140"/>
    <mergeCell ref="BF140:BG140"/>
    <mergeCell ref="BH140:BI140"/>
    <mergeCell ref="BJ140:BK140"/>
    <mergeCell ref="R138:S138"/>
    <mergeCell ref="T138:U138"/>
    <mergeCell ref="V138:W138"/>
    <mergeCell ref="X138:Y138"/>
    <mergeCell ref="Z138:AA138"/>
    <mergeCell ref="AB138:AC138"/>
    <mergeCell ref="AD138:AE138"/>
    <mergeCell ref="AF138:AG138"/>
    <mergeCell ref="AH138:AI138"/>
    <mergeCell ref="AJ138:AK138"/>
    <mergeCell ref="AL138:AM138"/>
    <mergeCell ref="AN138:AO138"/>
    <mergeCell ref="AP138:AQ138"/>
    <mergeCell ref="AR138:AS138"/>
    <mergeCell ref="BH138:BI138"/>
    <mergeCell ref="BJ138:BK138"/>
    <mergeCell ref="BL138:BM138"/>
    <mergeCell ref="BN138:BO138"/>
    <mergeCell ref="AT138:AU138"/>
    <mergeCell ref="AV138:AW138"/>
    <mergeCell ref="AX138:AY138"/>
    <mergeCell ref="AZ138:BA138"/>
    <mergeCell ref="BB138:BC138"/>
    <mergeCell ref="BD138:BE138"/>
    <mergeCell ref="BF138:BG138"/>
    <mergeCell ref="C138:D138"/>
    <mergeCell ref="F138:G138"/>
    <mergeCell ref="H138:I138"/>
    <mergeCell ref="J138:K138"/>
    <mergeCell ref="L138:M138"/>
    <mergeCell ref="N138:O138"/>
    <mergeCell ref="P138:Q138"/>
    <mergeCell ref="C140:D140"/>
    <mergeCell ref="F140:G140"/>
    <mergeCell ref="H140:I140"/>
    <mergeCell ref="J140:K140"/>
    <mergeCell ref="L140:M140"/>
    <mergeCell ref="N140:O140"/>
    <mergeCell ref="P140:Q140"/>
    <mergeCell ref="R140:S140"/>
    <mergeCell ref="T140:U140"/>
    <mergeCell ref="V140:W140"/>
    <mergeCell ref="X140:Y140"/>
    <mergeCell ref="Z140:AA140"/>
    <mergeCell ref="AB140:AC140"/>
    <mergeCell ref="AD140:AE140"/>
    <mergeCell ref="AT140:AU140"/>
    <mergeCell ref="AV140:AW140"/>
    <mergeCell ref="AF140:AG140"/>
    <mergeCell ref="AH140:AI140"/>
    <mergeCell ref="AJ140:AK140"/>
    <mergeCell ref="AL140:AM140"/>
    <mergeCell ref="AN140:AO140"/>
    <mergeCell ref="AP140:AQ140"/>
    <mergeCell ref="AR140:AS140"/>
    <mergeCell ref="R142:S142"/>
    <mergeCell ref="T142:U142"/>
    <mergeCell ref="V142:W142"/>
    <mergeCell ref="X142:Y142"/>
    <mergeCell ref="Z142:AA142"/>
    <mergeCell ref="AB142:AC142"/>
    <mergeCell ref="AD142:AE142"/>
    <mergeCell ref="AF142:AG142"/>
    <mergeCell ref="AH142:AI142"/>
    <mergeCell ref="AJ142:AK142"/>
    <mergeCell ref="AL142:AM142"/>
    <mergeCell ref="AN142:AO142"/>
    <mergeCell ref="AP142:AQ142"/>
    <mergeCell ref="AR142:AS142"/>
    <mergeCell ref="BH142:BI142"/>
    <mergeCell ref="BJ142:BK142"/>
    <mergeCell ref="BL142:BM142"/>
    <mergeCell ref="BN142:BO142"/>
    <mergeCell ref="AT142:AU142"/>
    <mergeCell ref="AV142:AW142"/>
    <mergeCell ref="AX142:AY142"/>
    <mergeCell ref="AZ142:BA142"/>
    <mergeCell ref="BB142:BC142"/>
    <mergeCell ref="BD142:BE142"/>
    <mergeCell ref="BF142:BG142"/>
    <mergeCell ref="C142:D142"/>
    <mergeCell ref="F142:G142"/>
    <mergeCell ref="H142:I142"/>
    <mergeCell ref="J142:K142"/>
    <mergeCell ref="L142:M142"/>
    <mergeCell ref="N142:O142"/>
    <mergeCell ref="P142:Q142"/>
    <mergeCell ref="AT146:AU146"/>
    <mergeCell ref="AV146:AW146"/>
    <mergeCell ref="AF146:AG146"/>
    <mergeCell ref="AH146:AI146"/>
    <mergeCell ref="AJ146:AK146"/>
    <mergeCell ref="AL146:AM146"/>
    <mergeCell ref="AN146:AO146"/>
    <mergeCell ref="AP146:AQ146"/>
    <mergeCell ref="AR146:AS146"/>
    <mergeCell ref="BL146:BM146"/>
    <mergeCell ref="BN146:BO146"/>
    <mergeCell ref="AX146:AY146"/>
    <mergeCell ref="AZ146:BA146"/>
    <mergeCell ref="BB146:BC146"/>
    <mergeCell ref="BD146:BE146"/>
    <mergeCell ref="BF146:BG146"/>
    <mergeCell ref="BH146:BI146"/>
    <mergeCell ref="BJ146:BK146"/>
    <mergeCell ref="BL149:BM149"/>
    <mergeCell ref="BN149:BO149"/>
    <mergeCell ref="AX149:AY149"/>
    <mergeCell ref="AZ149:BA149"/>
    <mergeCell ref="BB149:BC149"/>
    <mergeCell ref="BD149:BE149"/>
    <mergeCell ref="BF149:BG149"/>
    <mergeCell ref="BH149:BI149"/>
    <mergeCell ref="BJ149:BK149"/>
    <mergeCell ref="AT149:AU149"/>
    <mergeCell ref="AV149:AW149"/>
    <mergeCell ref="AF149:AG149"/>
    <mergeCell ref="AH149:AI149"/>
    <mergeCell ref="AJ149:AK149"/>
    <mergeCell ref="AL149:AM149"/>
    <mergeCell ref="AN149:AO149"/>
    <mergeCell ref="AP149:AQ149"/>
    <mergeCell ref="AR149:AS149"/>
    <mergeCell ref="R151:S151"/>
    <mergeCell ref="T151:U151"/>
    <mergeCell ref="V151:W151"/>
    <mergeCell ref="X151:Y151"/>
    <mergeCell ref="Z151:AA151"/>
    <mergeCell ref="AB151:AC151"/>
    <mergeCell ref="AD151:AE151"/>
    <mergeCell ref="AF151:AG151"/>
    <mergeCell ref="AH151:AI151"/>
    <mergeCell ref="AJ151:AK151"/>
    <mergeCell ref="AL151:AM151"/>
    <mergeCell ref="AN151:AO151"/>
    <mergeCell ref="AP151:AQ151"/>
    <mergeCell ref="AR151:AS151"/>
    <mergeCell ref="BH151:BI151"/>
    <mergeCell ref="BJ151:BK151"/>
    <mergeCell ref="BL151:BM151"/>
    <mergeCell ref="BN151:BO151"/>
    <mergeCell ref="AT151:AU151"/>
    <mergeCell ref="AV151:AW151"/>
    <mergeCell ref="AX151:AY151"/>
    <mergeCell ref="AZ151:BA151"/>
    <mergeCell ref="BB151:BC151"/>
    <mergeCell ref="BD151:BE151"/>
    <mergeCell ref="BF151:BG151"/>
    <mergeCell ref="C151:D151"/>
    <mergeCell ref="F151:G151"/>
    <mergeCell ref="H151:I151"/>
    <mergeCell ref="J151:K151"/>
    <mergeCell ref="L151:M151"/>
    <mergeCell ref="N151:O151"/>
    <mergeCell ref="P151:Q151"/>
    <mergeCell ref="BL167:BM167"/>
    <mergeCell ref="BN167:BO167"/>
    <mergeCell ref="AX167:AY167"/>
    <mergeCell ref="AZ167:BA167"/>
    <mergeCell ref="BB167:BC167"/>
    <mergeCell ref="BD167:BE167"/>
    <mergeCell ref="BF167:BG167"/>
    <mergeCell ref="BH167:BI167"/>
    <mergeCell ref="BJ167:BK167"/>
    <mergeCell ref="R165:S165"/>
    <mergeCell ref="T165:U165"/>
    <mergeCell ref="V165:W165"/>
    <mergeCell ref="X165:Y165"/>
    <mergeCell ref="Z165:AA165"/>
    <mergeCell ref="AB165:AC165"/>
    <mergeCell ref="AD165:AE165"/>
    <mergeCell ref="AF165:AG165"/>
    <mergeCell ref="AH165:AI165"/>
    <mergeCell ref="AJ165:AK165"/>
    <mergeCell ref="AL165:AM165"/>
    <mergeCell ref="AN165:AO165"/>
    <mergeCell ref="AP165:AQ165"/>
    <mergeCell ref="AR165:AS165"/>
    <mergeCell ref="BH165:BI165"/>
    <mergeCell ref="BJ165:BK165"/>
    <mergeCell ref="BL165:BM165"/>
    <mergeCell ref="BN165:BO165"/>
    <mergeCell ref="AT165:AU165"/>
    <mergeCell ref="AV165:AW165"/>
    <mergeCell ref="AX165:AY165"/>
    <mergeCell ref="AZ165:BA165"/>
    <mergeCell ref="BB165:BC165"/>
    <mergeCell ref="BD165:BE165"/>
    <mergeCell ref="BF165:BG165"/>
    <mergeCell ref="C165:D165"/>
    <mergeCell ref="F165:G165"/>
    <mergeCell ref="H165:I165"/>
    <mergeCell ref="J165:K165"/>
    <mergeCell ref="L165:M165"/>
    <mergeCell ref="N165:O165"/>
    <mergeCell ref="P165:Q165"/>
    <mergeCell ref="C167:D167"/>
    <mergeCell ref="F167:G167"/>
    <mergeCell ref="H167:I167"/>
    <mergeCell ref="J167:K167"/>
    <mergeCell ref="L167:M167"/>
    <mergeCell ref="N167:O167"/>
    <mergeCell ref="P167:Q167"/>
    <mergeCell ref="R167:S167"/>
    <mergeCell ref="T167:U167"/>
    <mergeCell ref="V167:W167"/>
    <mergeCell ref="X167:Y167"/>
    <mergeCell ref="Z167:AA167"/>
    <mergeCell ref="AB167:AC167"/>
    <mergeCell ref="AD167:AE167"/>
    <mergeCell ref="BL155:BM155"/>
    <mergeCell ref="BN155:BO155"/>
    <mergeCell ref="AX155:AY155"/>
    <mergeCell ref="AZ155:BA155"/>
    <mergeCell ref="BB155:BC155"/>
    <mergeCell ref="BD155:BE155"/>
    <mergeCell ref="BF155:BG155"/>
    <mergeCell ref="BH155:BI155"/>
    <mergeCell ref="BJ155:BK155"/>
    <mergeCell ref="R153:S153"/>
    <mergeCell ref="T153:U153"/>
    <mergeCell ref="V153:W153"/>
    <mergeCell ref="X153:Y153"/>
    <mergeCell ref="Z153:AA153"/>
    <mergeCell ref="AB153:AC153"/>
    <mergeCell ref="AD153:AE153"/>
    <mergeCell ref="AF153:AG153"/>
    <mergeCell ref="AH153:AI153"/>
    <mergeCell ref="AJ153:AK153"/>
    <mergeCell ref="AL153:AM153"/>
    <mergeCell ref="AN153:AO153"/>
    <mergeCell ref="AP153:AQ153"/>
    <mergeCell ref="AR153:AS153"/>
    <mergeCell ref="BH153:BI153"/>
    <mergeCell ref="BJ153:BK153"/>
    <mergeCell ref="BL153:BM153"/>
    <mergeCell ref="BN153:BO153"/>
    <mergeCell ref="AT153:AU153"/>
    <mergeCell ref="AV153:AW153"/>
    <mergeCell ref="AX153:AY153"/>
    <mergeCell ref="AZ153:BA153"/>
    <mergeCell ref="BB153:BC153"/>
    <mergeCell ref="BD153:BE153"/>
    <mergeCell ref="BF153:BG153"/>
    <mergeCell ref="C153:D153"/>
    <mergeCell ref="F153:G153"/>
    <mergeCell ref="H153:I153"/>
    <mergeCell ref="J153:K153"/>
    <mergeCell ref="L153:M153"/>
    <mergeCell ref="N153:O153"/>
    <mergeCell ref="P153:Q153"/>
    <mergeCell ref="C155:D155"/>
    <mergeCell ref="F155:G155"/>
    <mergeCell ref="H155:I155"/>
    <mergeCell ref="J155:K155"/>
    <mergeCell ref="L155:M155"/>
    <mergeCell ref="N155:O155"/>
    <mergeCell ref="P155:Q155"/>
    <mergeCell ref="R155:S155"/>
    <mergeCell ref="T155:U155"/>
    <mergeCell ref="V155:W155"/>
    <mergeCell ref="X155:Y155"/>
    <mergeCell ref="Z155:AA155"/>
    <mergeCell ref="AB155:AC155"/>
    <mergeCell ref="AD155:AE155"/>
    <mergeCell ref="AT155:AU155"/>
    <mergeCell ref="AV155:AW155"/>
    <mergeCell ref="AF155:AG155"/>
    <mergeCell ref="AH155:AI155"/>
    <mergeCell ref="AJ155:AK155"/>
    <mergeCell ref="AL155:AM155"/>
    <mergeCell ref="AN155:AO155"/>
    <mergeCell ref="AP155:AQ155"/>
    <mergeCell ref="AR155:AS155"/>
    <mergeCell ref="R157:S157"/>
    <mergeCell ref="T157:U157"/>
    <mergeCell ref="V157:W157"/>
    <mergeCell ref="X157:Y157"/>
    <mergeCell ref="Z157:AA157"/>
    <mergeCell ref="AB157:AC157"/>
    <mergeCell ref="AD157:AE157"/>
    <mergeCell ref="AF157:AG157"/>
    <mergeCell ref="AH157:AI157"/>
    <mergeCell ref="AJ157:AK157"/>
    <mergeCell ref="AL157:AM157"/>
    <mergeCell ref="AN157:AO157"/>
    <mergeCell ref="AP157:AQ157"/>
    <mergeCell ref="AR157:AS157"/>
    <mergeCell ref="BH157:BI157"/>
    <mergeCell ref="BJ157:BK157"/>
    <mergeCell ref="BL157:BM157"/>
    <mergeCell ref="BN157:BO157"/>
    <mergeCell ref="AT157:AU157"/>
    <mergeCell ref="AV157:AW157"/>
    <mergeCell ref="AX157:AY157"/>
    <mergeCell ref="AZ157:BA157"/>
    <mergeCell ref="BB157:BC157"/>
    <mergeCell ref="BD157:BE157"/>
    <mergeCell ref="BF157:BG157"/>
    <mergeCell ref="C157:D157"/>
    <mergeCell ref="F157:G157"/>
    <mergeCell ref="H157:I157"/>
    <mergeCell ref="J157:K157"/>
    <mergeCell ref="L157:M157"/>
    <mergeCell ref="N157:O157"/>
    <mergeCell ref="P157:Q157"/>
    <mergeCell ref="BL161:BM161"/>
    <mergeCell ref="BN161:BO161"/>
    <mergeCell ref="AX161:AY161"/>
    <mergeCell ref="AZ161:BA161"/>
    <mergeCell ref="BB161:BC161"/>
    <mergeCell ref="BD161:BE161"/>
    <mergeCell ref="BF161:BG161"/>
    <mergeCell ref="BH161:BI161"/>
    <mergeCell ref="BJ161:BK161"/>
    <mergeCell ref="R159:S159"/>
    <mergeCell ref="T159:U159"/>
    <mergeCell ref="V159:W159"/>
    <mergeCell ref="X159:Y159"/>
    <mergeCell ref="Z159:AA159"/>
    <mergeCell ref="AB159:AC159"/>
    <mergeCell ref="AD159:AE159"/>
    <mergeCell ref="AF159:AG159"/>
    <mergeCell ref="AH159:AI159"/>
    <mergeCell ref="AJ159:AK159"/>
    <mergeCell ref="AL159:AM159"/>
    <mergeCell ref="AN159:AO159"/>
    <mergeCell ref="AP159:AQ159"/>
    <mergeCell ref="AR159:AS159"/>
    <mergeCell ref="BH159:BI159"/>
    <mergeCell ref="BJ159:BK159"/>
    <mergeCell ref="BL159:BM159"/>
    <mergeCell ref="BN159:BO159"/>
    <mergeCell ref="AT159:AU159"/>
    <mergeCell ref="AV159:AW159"/>
    <mergeCell ref="AX159:AY159"/>
    <mergeCell ref="AZ159:BA159"/>
    <mergeCell ref="BB159:BC159"/>
    <mergeCell ref="BD159:BE159"/>
    <mergeCell ref="BF159:BG159"/>
    <mergeCell ref="C159:D159"/>
    <mergeCell ref="F159:G159"/>
    <mergeCell ref="H159:I159"/>
    <mergeCell ref="J159:K159"/>
    <mergeCell ref="L159:M159"/>
    <mergeCell ref="N159:O159"/>
    <mergeCell ref="P159:Q159"/>
    <mergeCell ref="C161:D161"/>
    <mergeCell ref="F161:G161"/>
    <mergeCell ref="H161:I161"/>
    <mergeCell ref="J161:K161"/>
    <mergeCell ref="L161:M161"/>
    <mergeCell ref="N161:O161"/>
    <mergeCell ref="P161:Q161"/>
    <mergeCell ref="R161:S161"/>
    <mergeCell ref="T161:U161"/>
    <mergeCell ref="V161:W161"/>
    <mergeCell ref="X161:Y161"/>
    <mergeCell ref="Z161:AA161"/>
    <mergeCell ref="AB161:AC161"/>
    <mergeCell ref="AD161:AE161"/>
    <mergeCell ref="AT161:AU161"/>
    <mergeCell ref="AV161:AW161"/>
    <mergeCell ref="AF161:AG161"/>
    <mergeCell ref="AH161:AI161"/>
    <mergeCell ref="AJ161:AK161"/>
    <mergeCell ref="AL161:AM161"/>
    <mergeCell ref="AN161:AO161"/>
    <mergeCell ref="AP161:AQ161"/>
    <mergeCell ref="AR161:AS161"/>
    <mergeCell ref="R163:S163"/>
    <mergeCell ref="T163:U163"/>
    <mergeCell ref="V163:W163"/>
    <mergeCell ref="X163:Y163"/>
    <mergeCell ref="Z163:AA163"/>
    <mergeCell ref="AB163:AC163"/>
    <mergeCell ref="AD163:AE163"/>
    <mergeCell ref="AF163:AG163"/>
    <mergeCell ref="AH163:AI163"/>
    <mergeCell ref="AJ163:AK163"/>
    <mergeCell ref="AL163:AM163"/>
    <mergeCell ref="AN163:AO163"/>
    <mergeCell ref="AP163:AQ163"/>
    <mergeCell ref="AR163:AS163"/>
    <mergeCell ref="BH163:BI163"/>
    <mergeCell ref="BJ163:BK163"/>
    <mergeCell ref="BL163:BM163"/>
    <mergeCell ref="BN163:BO163"/>
    <mergeCell ref="AT163:AU163"/>
    <mergeCell ref="AV163:AW163"/>
    <mergeCell ref="AX163:AY163"/>
    <mergeCell ref="AZ163:BA163"/>
    <mergeCell ref="BB163:BC163"/>
    <mergeCell ref="BD163:BE163"/>
    <mergeCell ref="BF163:BG163"/>
    <mergeCell ref="C163:D163"/>
    <mergeCell ref="F163:G163"/>
    <mergeCell ref="H163:I163"/>
    <mergeCell ref="J163:K163"/>
    <mergeCell ref="L163:M163"/>
    <mergeCell ref="N163:O163"/>
    <mergeCell ref="P163:Q163"/>
    <mergeCell ref="AT167:AU167"/>
    <mergeCell ref="AV167:AW167"/>
    <mergeCell ref="AF167:AG167"/>
    <mergeCell ref="AH167:AI167"/>
    <mergeCell ref="AJ167:AK167"/>
    <mergeCell ref="AL167:AM167"/>
    <mergeCell ref="AN167:AO167"/>
    <mergeCell ref="AP167:AQ167"/>
    <mergeCell ref="AR167:AS167"/>
    <mergeCell ref="R169:S169"/>
    <mergeCell ref="T169:U169"/>
    <mergeCell ref="V169:W169"/>
    <mergeCell ref="X169:Y169"/>
    <mergeCell ref="Z169:AA169"/>
    <mergeCell ref="AB169:AC169"/>
    <mergeCell ref="AD169:AE169"/>
    <mergeCell ref="AF169:AG169"/>
    <mergeCell ref="AH169:AI169"/>
    <mergeCell ref="AJ169:AK169"/>
    <mergeCell ref="AL169:AM169"/>
    <mergeCell ref="AN169:AO169"/>
    <mergeCell ref="AP169:AQ169"/>
    <mergeCell ref="AR169:AS169"/>
    <mergeCell ref="BH169:BI169"/>
    <mergeCell ref="BJ169:BK169"/>
    <mergeCell ref="BL169:BM169"/>
    <mergeCell ref="BN169:BO169"/>
    <mergeCell ref="AT169:AU169"/>
    <mergeCell ref="AV169:AW169"/>
    <mergeCell ref="AX169:AY169"/>
    <mergeCell ref="AZ169:BA169"/>
    <mergeCell ref="BB169:BC169"/>
    <mergeCell ref="BD169:BE169"/>
    <mergeCell ref="BF169:BG169"/>
    <mergeCell ref="C169:D169"/>
    <mergeCell ref="F169:G169"/>
    <mergeCell ref="H169:I169"/>
    <mergeCell ref="J169:K169"/>
    <mergeCell ref="L169:M169"/>
    <mergeCell ref="N169:O169"/>
    <mergeCell ref="P169:Q169"/>
    <mergeCell ref="BL187:BM187"/>
    <mergeCell ref="BN187:BO187"/>
    <mergeCell ref="AX187:AY187"/>
    <mergeCell ref="AZ187:BA187"/>
    <mergeCell ref="BB187:BC187"/>
    <mergeCell ref="BD187:BE187"/>
    <mergeCell ref="BF187:BG187"/>
    <mergeCell ref="BH187:BI187"/>
    <mergeCell ref="BJ187:BK187"/>
    <mergeCell ref="R185:S185"/>
    <mergeCell ref="T185:U185"/>
    <mergeCell ref="V185:W185"/>
    <mergeCell ref="X185:Y185"/>
    <mergeCell ref="Z185:AA185"/>
    <mergeCell ref="AB185:AC185"/>
    <mergeCell ref="AD185:AE185"/>
    <mergeCell ref="AF185:AG185"/>
    <mergeCell ref="AH185:AI185"/>
    <mergeCell ref="AJ185:AK185"/>
    <mergeCell ref="AL185:AM185"/>
    <mergeCell ref="AN185:AO185"/>
    <mergeCell ref="AP185:AQ185"/>
    <mergeCell ref="AR185:AS185"/>
    <mergeCell ref="BH185:BI185"/>
    <mergeCell ref="BJ185:BK185"/>
    <mergeCell ref="BL185:BM185"/>
    <mergeCell ref="BN185:BO185"/>
    <mergeCell ref="AT185:AU185"/>
    <mergeCell ref="AV185:AW185"/>
    <mergeCell ref="AX185:AY185"/>
    <mergeCell ref="AZ185:BA185"/>
    <mergeCell ref="BB185:BC185"/>
    <mergeCell ref="BD185:BE185"/>
    <mergeCell ref="BF185:BG185"/>
    <mergeCell ref="C185:D185"/>
    <mergeCell ref="F185:G185"/>
    <mergeCell ref="H185:I185"/>
    <mergeCell ref="J185:K185"/>
    <mergeCell ref="L185:M185"/>
    <mergeCell ref="N185:O185"/>
    <mergeCell ref="P185:Q185"/>
    <mergeCell ref="C187:D187"/>
    <mergeCell ref="F187:G187"/>
    <mergeCell ref="H187:I187"/>
    <mergeCell ref="J187:K187"/>
    <mergeCell ref="L187:M187"/>
    <mergeCell ref="N187:O187"/>
    <mergeCell ref="P187:Q187"/>
    <mergeCell ref="R187:S187"/>
    <mergeCell ref="T187:U187"/>
    <mergeCell ref="V187:W187"/>
    <mergeCell ref="X187:Y187"/>
    <mergeCell ref="Z187:AA187"/>
    <mergeCell ref="AB187:AC187"/>
    <mergeCell ref="AD187:AE187"/>
    <mergeCell ref="BL173:BM173"/>
    <mergeCell ref="BN173:BO173"/>
    <mergeCell ref="AX173:AY173"/>
    <mergeCell ref="AZ173:BA173"/>
    <mergeCell ref="BB173:BC173"/>
    <mergeCell ref="BD173:BE173"/>
    <mergeCell ref="BF173:BG173"/>
    <mergeCell ref="BH173:BI173"/>
    <mergeCell ref="BJ173:BK173"/>
    <mergeCell ref="R171:S171"/>
    <mergeCell ref="T171:U171"/>
    <mergeCell ref="V171:W171"/>
    <mergeCell ref="X171:Y171"/>
    <mergeCell ref="Z171:AA171"/>
    <mergeCell ref="AB171:AC171"/>
    <mergeCell ref="AD171:AE171"/>
    <mergeCell ref="AF171:AG171"/>
    <mergeCell ref="AH171:AI171"/>
    <mergeCell ref="AJ171:AK171"/>
    <mergeCell ref="AL171:AM171"/>
    <mergeCell ref="AN171:AO171"/>
    <mergeCell ref="AP171:AQ171"/>
    <mergeCell ref="AR171:AS171"/>
    <mergeCell ref="BH171:BI171"/>
    <mergeCell ref="BJ171:BK171"/>
    <mergeCell ref="BL171:BM171"/>
    <mergeCell ref="BN171:BO171"/>
    <mergeCell ref="AT171:AU171"/>
    <mergeCell ref="AV171:AW171"/>
    <mergeCell ref="AX171:AY171"/>
    <mergeCell ref="AZ171:BA171"/>
    <mergeCell ref="BB171:BC171"/>
    <mergeCell ref="BD171:BE171"/>
    <mergeCell ref="BF171:BG171"/>
    <mergeCell ref="C171:D171"/>
    <mergeCell ref="F171:G171"/>
    <mergeCell ref="H171:I171"/>
    <mergeCell ref="J171:K171"/>
    <mergeCell ref="L171:M171"/>
    <mergeCell ref="N171:O171"/>
    <mergeCell ref="P171:Q171"/>
    <mergeCell ref="C173:D173"/>
    <mergeCell ref="F173:G173"/>
    <mergeCell ref="H173:I173"/>
    <mergeCell ref="J173:K173"/>
    <mergeCell ref="L173:M173"/>
    <mergeCell ref="N173:O173"/>
    <mergeCell ref="P173:Q173"/>
    <mergeCell ref="R173:S173"/>
    <mergeCell ref="T173:U173"/>
    <mergeCell ref="V173:W173"/>
    <mergeCell ref="X173:Y173"/>
    <mergeCell ref="Z173:AA173"/>
    <mergeCell ref="AB173:AC173"/>
    <mergeCell ref="AD173:AE173"/>
    <mergeCell ref="AT173:AU173"/>
    <mergeCell ref="AV173:AW173"/>
    <mergeCell ref="AF173:AG173"/>
    <mergeCell ref="AH173:AI173"/>
    <mergeCell ref="AJ173:AK173"/>
    <mergeCell ref="AL173:AM173"/>
    <mergeCell ref="AN173:AO173"/>
    <mergeCell ref="AP173:AQ173"/>
    <mergeCell ref="AR173:AS173"/>
    <mergeCell ref="R175:S175"/>
    <mergeCell ref="T175:U175"/>
    <mergeCell ref="V175:W175"/>
    <mergeCell ref="X175:Y175"/>
    <mergeCell ref="Z175:AA175"/>
    <mergeCell ref="AB175:AC175"/>
    <mergeCell ref="AD175:AE175"/>
    <mergeCell ref="AF175:AG175"/>
    <mergeCell ref="AH175:AI175"/>
    <mergeCell ref="AJ175:AK175"/>
    <mergeCell ref="AL175:AM175"/>
    <mergeCell ref="AN175:AO175"/>
    <mergeCell ref="AP175:AQ175"/>
    <mergeCell ref="AR175:AS175"/>
    <mergeCell ref="BH175:BI175"/>
    <mergeCell ref="BJ175:BK175"/>
    <mergeCell ref="BL175:BM175"/>
    <mergeCell ref="BN175:BO175"/>
    <mergeCell ref="AT175:AU175"/>
    <mergeCell ref="AV175:AW175"/>
    <mergeCell ref="AX175:AY175"/>
    <mergeCell ref="AZ175:BA175"/>
    <mergeCell ref="BB175:BC175"/>
    <mergeCell ref="BD175:BE175"/>
    <mergeCell ref="BF175:BG175"/>
    <mergeCell ref="C175:D175"/>
    <mergeCell ref="F175:G175"/>
    <mergeCell ref="H175:I175"/>
    <mergeCell ref="J175:K175"/>
    <mergeCell ref="L175:M175"/>
    <mergeCell ref="N175:O175"/>
    <mergeCell ref="P175:Q175"/>
    <mergeCell ref="BJ181:BK181"/>
    <mergeCell ref="BL181:BM181"/>
    <mergeCell ref="AV181:AW181"/>
    <mergeCell ref="AX181:AY181"/>
    <mergeCell ref="AZ181:BA181"/>
    <mergeCell ref="BB181:BC181"/>
    <mergeCell ref="BD181:BE181"/>
    <mergeCell ref="BF181:BG181"/>
    <mergeCell ref="BH181:BI181"/>
    <mergeCell ref="R177:S177"/>
    <mergeCell ref="T177:U177"/>
    <mergeCell ref="V177:W177"/>
    <mergeCell ref="X177:Y177"/>
    <mergeCell ref="Z177:AA177"/>
    <mergeCell ref="AB177:AC177"/>
    <mergeCell ref="AD177:AE177"/>
    <mergeCell ref="AF177:AG177"/>
    <mergeCell ref="AH177:AI177"/>
    <mergeCell ref="AJ177:AK177"/>
    <mergeCell ref="AL177:AM177"/>
    <mergeCell ref="AN177:AO177"/>
    <mergeCell ref="AP177:AQ177"/>
    <mergeCell ref="AR177:AS177"/>
    <mergeCell ref="BH177:BI177"/>
    <mergeCell ref="BJ177:BK177"/>
    <mergeCell ref="BL177:BM177"/>
    <mergeCell ref="BN177:BO177"/>
    <mergeCell ref="BN181:BO181"/>
    <mergeCell ref="AT177:AU177"/>
    <mergeCell ref="AV177:AW177"/>
    <mergeCell ref="AX177:AY177"/>
    <mergeCell ref="AZ177:BA177"/>
    <mergeCell ref="BB177:BC177"/>
    <mergeCell ref="BD177:BE177"/>
    <mergeCell ref="BF177:BG177"/>
    <mergeCell ref="C177:D177"/>
    <mergeCell ref="F177:G177"/>
    <mergeCell ref="H177:I177"/>
    <mergeCell ref="J177:K177"/>
    <mergeCell ref="L177:M177"/>
    <mergeCell ref="N177:O177"/>
    <mergeCell ref="P177:Q177"/>
    <mergeCell ref="C178:D178"/>
    <mergeCell ref="C181:D181"/>
    <mergeCell ref="F181:G181"/>
    <mergeCell ref="H181:I181"/>
    <mergeCell ref="J181:K181"/>
    <mergeCell ref="L181:M181"/>
    <mergeCell ref="N181:O181"/>
    <mergeCell ref="P181:Q181"/>
    <mergeCell ref="R181:S181"/>
    <mergeCell ref="T181:U181"/>
    <mergeCell ref="V181:W181"/>
    <mergeCell ref="X181:Y181"/>
    <mergeCell ref="Z181:AA181"/>
    <mergeCell ref="AB181:AC181"/>
    <mergeCell ref="AR181:AS181"/>
    <mergeCell ref="AT181:AU181"/>
    <mergeCell ref="AD181:AE181"/>
    <mergeCell ref="AF181:AG181"/>
    <mergeCell ref="AH181:AI181"/>
    <mergeCell ref="AJ181:AK181"/>
    <mergeCell ref="AL181:AM181"/>
    <mergeCell ref="AN181:AO181"/>
    <mergeCell ref="AP181:AQ181"/>
    <mergeCell ref="R183:S183"/>
    <mergeCell ref="T183:U183"/>
    <mergeCell ref="V183:W183"/>
    <mergeCell ref="X183:Y183"/>
    <mergeCell ref="Z183:AA183"/>
    <mergeCell ref="AB183:AC183"/>
    <mergeCell ref="AD183:AE183"/>
    <mergeCell ref="AF183:AG183"/>
    <mergeCell ref="AH183:AI183"/>
    <mergeCell ref="AJ183:AK183"/>
    <mergeCell ref="AL183:AM183"/>
    <mergeCell ref="AN183:AO183"/>
    <mergeCell ref="AP183:AQ183"/>
    <mergeCell ref="AR183:AS183"/>
    <mergeCell ref="BH183:BI183"/>
    <mergeCell ref="BJ183:BK183"/>
    <mergeCell ref="BL183:BM183"/>
    <mergeCell ref="BN183:BO183"/>
    <mergeCell ref="AT183:AU183"/>
    <mergeCell ref="AV183:AW183"/>
    <mergeCell ref="AX183:AY183"/>
    <mergeCell ref="AZ183:BA183"/>
    <mergeCell ref="BB183:BC183"/>
    <mergeCell ref="BD183:BE183"/>
    <mergeCell ref="BF183:BG183"/>
    <mergeCell ref="C183:D183"/>
    <mergeCell ref="F183:G183"/>
    <mergeCell ref="H183:I183"/>
    <mergeCell ref="J183:K183"/>
    <mergeCell ref="L183:M183"/>
    <mergeCell ref="N183:O183"/>
    <mergeCell ref="P183:Q183"/>
    <mergeCell ref="AT187:AU187"/>
    <mergeCell ref="AV187:AW187"/>
    <mergeCell ref="AF187:AG187"/>
    <mergeCell ref="AH187:AI187"/>
    <mergeCell ref="AJ187:AK187"/>
    <mergeCell ref="AL187:AM187"/>
    <mergeCell ref="AN187:AO187"/>
    <mergeCell ref="AP187:AQ187"/>
    <mergeCell ref="AR187:AS187"/>
    <mergeCell ref="R189:S189"/>
    <mergeCell ref="T189:U189"/>
    <mergeCell ref="V189:W189"/>
    <mergeCell ref="X189:Y189"/>
    <mergeCell ref="Z189:AA189"/>
    <mergeCell ref="AB189:AC189"/>
    <mergeCell ref="AD189:AE189"/>
    <mergeCell ref="AF189:AG189"/>
    <mergeCell ref="AH189:AI189"/>
    <mergeCell ref="AJ189:AK189"/>
    <mergeCell ref="AL189:AM189"/>
    <mergeCell ref="AN189:AO189"/>
    <mergeCell ref="AP189:AQ189"/>
    <mergeCell ref="AR189:AS189"/>
    <mergeCell ref="BH189:BI189"/>
    <mergeCell ref="BJ189:BK189"/>
    <mergeCell ref="BL189:BM189"/>
    <mergeCell ref="BN189:BO189"/>
    <mergeCell ref="AT189:AU189"/>
    <mergeCell ref="AV189:AW189"/>
    <mergeCell ref="AX189:AY189"/>
    <mergeCell ref="AZ189:BA189"/>
    <mergeCell ref="BB189:BC189"/>
    <mergeCell ref="BD189:BE189"/>
    <mergeCell ref="BF189:BG189"/>
    <mergeCell ref="C189:D189"/>
    <mergeCell ref="F189:G189"/>
    <mergeCell ref="H189:I189"/>
    <mergeCell ref="J189:K189"/>
    <mergeCell ref="L189:M189"/>
    <mergeCell ref="N189:O189"/>
    <mergeCell ref="P189:Q189"/>
    <mergeCell ref="BL205:BM205"/>
    <mergeCell ref="BN205:BO205"/>
    <mergeCell ref="AX205:AY205"/>
    <mergeCell ref="AZ205:BA205"/>
    <mergeCell ref="BB205:BC205"/>
    <mergeCell ref="BD205:BE205"/>
    <mergeCell ref="BF205:BG205"/>
    <mergeCell ref="BH205:BI205"/>
    <mergeCell ref="BJ205:BK205"/>
    <mergeCell ref="R203:S203"/>
    <mergeCell ref="T203:U203"/>
    <mergeCell ref="V203:W203"/>
    <mergeCell ref="X203:Y203"/>
    <mergeCell ref="Z203:AA203"/>
    <mergeCell ref="AB203:AC203"/>
    <mergeCell ref="AD203:AE203"/>
    <mergeCell ref="AF203:AG203"/>
    <mergeCell ref="AH203:AI203"/>
    <mergeCell ref="AJ203:AK203"/>
    <mergeCell ref="AL203:AM203"/>
    <mergeCell ref="AN203:AO203"/>
    <mergeCell ref="AP203:AQ203"/>
    <mergeCell ref="AR203:AS203"/>
    <mergeCell ref="BH203:BI203"/>
    <mergeCell ref="BJ203:BK203"/>
    <mergeCell ref="BL203:BM203"/>
    <mergeCell ref="BN203:BO203"/>
    <mergeCell ref="AT203:AU203"/>
    <mergeCell ref="AV203:AW203"/>
    <mergeCell ref="AX203:AY203"/>
    <mergeCell ref="AZ203:BA203"/>
    <mergeCell ref="BB203:BC203"/>
    <mergeCell ref="BD203:BE203"/>
    <mergeCell ref="BF203:BG203"/>
    <mergeCell ref="C203:D203"/>
    <mergeCell ref="F203:G203"/>
    <mergeCell ref="H203:I203"/>
    <mergeCell ref="J203:K203"/>
    <mergeCell ref="L203:M203"/>
    <mergeCell ref="N203:O203"/>
    <mergeCell ref="P203:Q203"/>
    <mergeCell ref="C205:D205"/>
    <mergeCell ref="F205:G205"/>
    <mergeCell ref="H205:I205"/>
    <mergeCell ref="J205:K205"/>
    <mergeCell ref="L205:M205"/>
    <mergeCell ref="N205:O205"/>
    <mergeCell ref="P205:Q205"/>
    <mergeCell ref="R205:S205"/>
    <mergeCell ref="T205:U205"/>
    <mergeCell ref="V205:W205"/>
    <mergeCell ref="X205:Y205"/>
    <mergeCell ref="Z205:AA205"/>
    <mergeCell ref="AB205:AC205"/>
    <mergeCell ref="AD205:AE205"/>
    <mergeCell ref="BL193:BM193"/>
    <mergeCell ref="BN193:BO193"/>
    <mergeCell ref="AX193:AY193"/>
    <mergeCell ref="AZ193:BA193"/>
    <mergeCell ref="BB193:BC193"/>
    <mergeCell ref="BD193:BE193"/>
    <mergeCell ref="BF193:BG193"/>
    <mergeCell ref="BH193:BI193"/>
    <mergeCell ref="BJ193:BK193"/>
    <mergeCell ref="R191:S191"/>
    <mergeCell ref="T191:U191"/>
    <mergeCell ref="V191:W191"/>
    <mergeCell ref="X191:Y191"/>
    <mergeCell ref="Z191:AA191"/>
    <mergeCell ref="AB191:AC191"/>
    <mergeCell ref="AD191:AE191"/>
    <mergeCell ref="AF191:AG191"/>
    <mergeCell ref="AH191:AI191"/>
    <mergeCell ref="AJ191:AK191"/>
    <mergeCell ref="AL191:AM191"/>
    <mergeCell ref="AN191:AO191"/>
    <mergeCell ref="AP191:AQ191"/>
    <mergeCell ref="AR191:AS191"/>
    <mergeCell ref="BH191:BI191"/>
    <mergeCell ref="BJ191:BK191"/>
    <mergeCell ref="BL191:BM191"/>
    <mergeCell ref="BN191:BO191"/>
    <mergeCell ref="AT191:AU191"/>
    <mergeCell ref="AV191:AW191"/>
    <mergeCell ref="AX191:AY191"/>
    <mergeCell ref="AZ191:BA191"/>
    <mergeCell ref="BB191:BC191"/>
    <mergeCell ref="BD191:BE191"/>
    <mergeCell ref="BF191:BG191"/>
    <mergeCell ref="C191:D191"/>
    <mergeCell ref="F191:G191"/>
    <mergeCell ref="H191:I191"/>
    <mergeCell ref="J191:K191"/>
    <mergeCell ref="L191:M191"/>
    <mergeCell ref="N191:O191"/>
    <mergeCell ref="P191:Q191"/>
    <mergeCell ref="C193:D193"/>
    <mergeCell ref="F193:G193"/>
    <mergeCell ref="H193:I193"/>
    <mergeCell ref="J193:K193"/>
    <mergeCell ref="L193:M193"/>
    <mergeCell ref="N193:O193"/>
    <mergeCell ref="P193:Q193"/>
    <mergeCell ref="R193:S193"/>
    <mergeCell ref="T193:U193"/>
    <mergeCell ref="V193:W193"/>
    <mergeCell ref="X193:Y193"/>
    <mergeCell ref="Z193:AA193"/>
    <mergeCell ref="AB193:AC193"/>
    <mergeCell ref="AD193:AE193"/>
    <mergeCell ref="AT193:AU193"/>
    <mergeCell ref="AV193:AW193"/>
    <mergeCell ref="AF193:AG193"/>
    <mergeCell ref="AH193:AI193"/>
    <mergeCell ref="AJ193:AK193"/>
    <mergeCell ref="AL193:AM193"/>
    <mergeCell ref="AN193:AO193"/>
    <mergeCell ref="AP193:AQ193"/>
    <mergeCell ref="AR193:AS193"/>
    <mergeCell ref="R195:S195"/>
    <mergeCell ref="T195:U195"/>
    <mergeCell ref="V195:W195"/>
    <mergeCell ref="X195:Y195"/>
    <mergeCell ref="Z195:AA195"/>
    <mergeCell ref="AB195:AC195"/>
    <mergeCell ref="AD195:AE195"/>
    <mergeCell ref="AF195:AG195"/>
    <mergeCell ref="AH195:AI195"/>
    <mergeCell ref="AJ195:AK195"/>
    <mergeCell ref="AL195:AM195"/>
    <mergeCell ref="AN195:AO195"/>
    <mergeCell ref="AP195:AQ195"/>
    <mergeCell ref="AR195:AS195"/>
    <mergeCell ref="BH195:BI195"/>
    <mergeCell ref="BJ195:BK195"/>
    <mergeCell ref="BL195:BM195"/>
    <mergeCell ref="BN195:BO195"/>
    <mergeCell ref="AT195:AU195"/>
    <mergeCell ref="AV195:AW195"/>
    <mergeCell ref="AX195:AY195"/>
    <mergeCell ref="AZ195:BA195"/>
    <mergeCell ref="BB195:BC195"/>
    <mergeCell ref="BD195:BE195"/>
    <mergeCell ref="BF195:BG195"/>
    <mergeCell ref="C195:D195"/>
    <mergeCell ref="F195:G195"/>
    <mergeCell ref="H195:I195"/>
    <mergeCell ref="J195:K195"/>
    <mergeCell ref="L195:M195"/>
    <mergeCell ref="N195:O195"/>
    <mergeCell ref="P195:Q195"/>
    <mergeCell ref="BL199:BM199"/>
    <mergeCell ref="BN199:BO199"/>
    <mergeCell ref="AX199:AY199"/>
    <mergeCell ref="AZ199:BA199"/>
    <mergeCell ref="BB199:BC199"/>
    <mergeCell ref="BD199:BE199"/>
    <mergeCell ref="BF199:BG199"/>
    <mergeCell ref="BH199:BI199"/>
    <mergeCell ref="BJ199:BK199"/>
    <mergeCell ref="R197:S197"/>
    <mergeCell ref="T197:U197"/>
    <mergeCell ref="V197:W197"/>
    <mergeCell ref="X197:Y197"/>
    <mergeCell ref="Z197:AA197"/>
    <mergeCell ref="AB197:AC197"/>
    <mergeCell ref="AD197:AE197"/>
    <mergeCell ref="AF197:AG197"/>
    <mergeCell ref="AH197:AI197"/>
    <mergeCell ref="AJ197:AK197"/>
    <mergeCell ref="AL197:AM197"/>
    <mergeCell ref="AN197:AO197"/>
    <mergeCell ref="AP197:AQ197"/>
    <mergeCell ref="AR197:AS197"/>
    <mergeCell ref="BH197:BI197"/>
    <mergeCell ref="BJ197:BK197"/>
    <mergeCell ref="BL197:BM197"/>
    <mergeCell ref="BN197:BO197"/>
    <mergeCell ref="AT197:AU197"/>
    <mergeCell ref="AV197:AW197"/>
    <mergeCell ref="AX197:AY197"/>
    <mergeCell ref="AZ197:BA197"/>
    <mergeCell ref="BB197:BC197"/>
    <mergeCell ref="BD197:BE197"/>
    <mergeCell ref="BF197:BG197"/>
    <mergeCell ref="C197:D197"/>
    <mergeCell ref="F197:G197"/>
    <mergeCell ref="H197:I197"/>
    <mergeCell ref="J197:K197"/>
    <mergeCell ref="L197:M197"/>
    <mergeCell ref="N197:O197"/>
    <mergeCell ref="P197:Q197"/>
    <mergeCell ref="C199:D199"/>
    <mergeCell ref="F199:G199"/>
    <mergeCell ref="H199:I199"/>
    <mergeCell ref="J199:K199"/>
    <mergeCell ref="L199:M199"/>
    <mergeCell ref="N199:O199"/>
    <mergeCell ref="P199:Q199"/>
    <mergeCell ref="R199:S199"/>
    <mergeCell ref="T199:U199"/>
    <mergeCell ref="V199:W199"/>
    <mergeCell ref="X199:Y199"/>
    <mergeCell ref="Z199:AA199"/>
    <mergeCell ref="AB199:AC199"/>
    <mergeCell ref="AD199:AE199"/>
    <mergeCell ref="AT199:AU199"/>
    <mergeCell ref="AV199:AW199"/>
    <mergeCell ref="AF199:AG199"/>
    <mergeCell ref="AH199:AI199"/>
    <mergeCell ref="AJ199:AK199"/>
    <mergeCell ref="AL199:AM199"/>
    <mergeCell ref="AN199:AO199"/>
    <mergeCell ref="AP199:AQ199"/>
    <mergeCell ref="AR199:AS199"/>
    <mergeCell ref="R201:S201"/>
    <mergeCell ref="T201:U201"/>
    <mergeCell ref="V201:W201"/>
    <mergeCell ref="X201:Y201"/>
    <mergeCell ref="Z201:AA201"/>
    <mergeCell ref="AB201:AC201"/>
    <mergeCell ref="AD201:AE201"/>
    <mergeCell ref="AF201:AG201"/>
    <mergeCell ref="AH201:AI201"/>
    <mergeCell ref="AJ201:AK201"/>
    <mergeCell ref="AL201:AM201"/>
    <mergeCell ref="AN201:AO201"/>
    <mergeCell ref="AP201:AQ201"/>
    <mergeCell ref="AR201:AS201"/>
    <mergeCell ref="BH201:BI201"/>
    <mergeCell ref="BJ201:BK201"/>
    <mergeCell ref="BL201:BM201"/>
    <mergeCell ref="BN201:BO201"/>
    <mergeCell ref="AT201:AU201"/>
    <mergeCell ref="AV201:AW201"/>
    <mergeCell ref="AX201:AY201"/>
    <mergeCell ref="AZ201:BA201"/>
    <mergeCell ref="BB201:BC201"/>
    <mergeCell ref="BD201:BE201"/>
    <mergeCell ref="BF201:BG201"/>
    <mergeCell ref="C201:D201"/>
    <mergeCell ref="F201:G201"/>
    <mergeCell ref="H201:I201"/>
    <mergeCell ref="J201:K201"/>
    <mergeCell ref="L201:M201"/>
    <mergeCell ref="N201:O201"/>
    <mergeCell ref="P201:Q201"/>
    <mergeCell ref="AT205:AU205"/>
    <mergeCell ref="AV205:AW205"/>
    <mergeCell ref="AF205:AG205"/>
    <mergeCell ref="AH205:AI205"/>
    <mergeCell ref="AJ205:AK205"/>
    <mergeCell ref="AL205:AM205"/>
    <mergeCell ref="AN205:AO205"/>
    <mergeCell ref="AP205:AQ205"/>
    <mergeCell ref="AR205:AS205"/>
    <mergeCell ref="R207:S207"/>
    <mergeCell ref="T207:U207"/>
    <mergeCell ref="V207:W207"/>
    <mergeCell ref="X207:Y207"/>
    <mergeCell ref="Z207:AA207"/>
    <mergeCell ref="AB207:AC207"/>
    <mergeCell ref="AD207:AE207"/>
    <mergeCell ref="AF207:AG207"/>
    <mergeCell ref="AH207:AI207"/>
    <mergeCell ref="AJ207:AK207"/>
    <mergeCell ref="AL207:AM207"/>
    <mergeCell ref="AN207:AO207"/>
    <mergeCell ref="AP207:AQ207"/>
    <mergeCell ref="AR207:AS207"/>
    <mergeCell ref="BH207:BI207"/>
    <mergeCell ref="BJ207:BK207"/>
    <mergeCell ref="BL207:BM207"/>
    <mergeCell ref="BN207:BO207"/>
    <mergeCell ref="AT207:AU207"/>
    <mergeCell ref="AV207:AW207"/>
    <mergeCell ref="AX207:AY207"/>
    <mergeCell ref="AZ207:BA207"/>
    <mergeCell ref="BB207:BC207"/>
    <mergeCell ref="BD207:BE207"/>
    <mergeCell ref="BF207:BG207"/>
    <mergeCell ref="C207:D207"/>
    <mergeCell ref="F207:G207"/>
    <mergeCell ref="H207:I207"/>
    <mergeCell ref="J207:K207"/>
    <mergeCell ref="L207:M207"/>
    <mergeCell ref="N207:O207"/>
    <mergeCell ref="P207:Q207"/>
    <mergeCell ref="BL225:BM225"/>
    <mergeCell ref="BN225:BO225"/>
    <mergeCell ref="AX225:AY225"/>
    <mergeCell ref="AZ225:BA225"/>
    <mergeCell ref="BB225:BC225"/>
    <mergeCell ref="BD225:BE225"/>
    <mergeCell ref="BF225:BG225"/>
    <mergeCell ref="BH225:BI225"/>
    <mergeCell ref="BJ225:BK225"/>
    <mergeCell ref="R223:S223"/>
    <mergeCell ref="T223:U223"/>
    <mergeCell ref="V223:W223"/>
    <mergeCell ref="X223:Y223"/>
    <mergeCell ref="Z223:AA223"/>
    <mergeCell ref="AB223:AC223"/>
    <mergeCell ref="AD223:AE223"/>
    <mergeCell ref="AF223:AG223"/>
    <mergeCell ref="AH223:AI223"/>
    <mergeCell ref="AJ223:AK223"/>
    <mergeCell ref="AL223:AM223"/>
    <mergeCell ref="AN223:AO223"/>
    <mergeCell ref="AP223:AQ223"/>
    <mergeCell ref="AR223:AS223"/>
    <mergeCell ref="BH223:BI223"/>
    <mergeCell ref="BJ223:BK223"/>
    <mergeCell ref="BL223:BM223"/>
    <mergeCell ref="BN223:BO223"/>
    <mergeCell ref="AT223:AU223"/>
    <mergeCell ref="AV223:AW223"/>
    <mergeCell ref="AX223:AY223"/>
    <mergeCell ref="AZ223:BA223"/>
    <mergeCell ref="BB223:BC223"/>
    <mergeCell ref="BD223:BE223"/>
    <mergeCell ref="BF223:BG223"/>
    <mergeCell ref="C223:D223"/>
    <mergeCell ref="F223:G223"/>
    <mergeCell ref="H223:I223"/>
    <mergeCell ref="J223:K223"/>
    <mergeCell ref="L223:M223"/>
    <mergeCell ref="N223:O223"/>
    <mergeCell ref="P223:Q223"/>
    <mergeCell ref="C225:D225"/>
    <mergeCell ref="F225:G225"/>
    <mergeCell ref="H225:I225"/>
    <mergeCell ref="J225:K225"/>
    <mergeCell ref="L225:M225"/>
    <mergeCell ref="N225:O225"/>
    <mergeCell ref="P225:Q225"/>
    <mergeCell ref="R225:S225"/>
    <mergeCell ref="T225:U225"/>
    <mergeCell ref="V225:W225"/>
    <mergeCell ref="X225:Y225"/>
    <mergeCell ref="Z225:AA225"/>
    <mergeCell ref="AB225:AC225"/>
    <mergeCell ref="AD225:AE225"/>
    <mergeCell ref="BJ213:BK213"/>
    <mergeCell ref="BL213:BM213"/>
    <mergeCell ref="AV213:AW213"/>
    <mergeCell ref="AX213:AY213"/>
    <mergeCell ref="AZ213:BA213"/>
    <mergeCell ref="BB213:BC213"/>
    <mergeCell ref="BD213:BE213"/>
    <mergeCell ref="BF213:BG213"/>
    <mergeCell ref="BH213:BI213"/>
    <mergeCell ref="R209:S209"/>
    <mergeCell ref="T209:U209"/>
    <mergeCell ref="V209:W209"/>
    <mergeCell ref="X209:Y209"/>
    <mergeCell ref="Z209:AA209"/>
    <mergeCell ref="AB209:AC209"/>
    <mergeCell ref="AD209:AE209"/>
    <mergeCell ref="AF209:AG209"/>
    <mergeCell ref="AH209:AI209"/>
    <mergeCell ref="AJ209:AK209"/>
    <mergeCell ref="AL209:AM209"/>
    <mergeCell ref="AN209:AO209"/>
    <mergeCell ref="AP209:AQ209"/>
    <mergeCell ref="AR209:AS209"/>
    <mergeCell ref="BH209:BI209"/>
    <mergeCell ref="BJ209:BK209"/>
    <mergeCell ref="BL209:BM209"/>
    <mergeCell ref="BN209:BO209"/>
    <mergeCell ref="BN213:BO213"/>
    <mergeCell ref="AT209:AU209"/>
    <mergeCell ref="AV209:AW209"/>
    <mergeCell ref="AX209:AY209"/>
    <mergeCell ref="AZ209:BA209"/>
    <mergeCell ref="BB209:BC209"/>
    <mergeCell ref="BD209:BE209"/>
    <mergeCell ref="BF209:BG209"/>
    <mergeCell ref="C209:D209"/>
    <mergeCell ref="F209:G209"/>
    <mergeCell ref="H209:I209"/>
    <mergeCell ref="J209:K209"/>
    <mergeCell ref="L209:M209"/>
    <mergeCell ref="N209:O209"/>
    <mergeCell ref="P209:Q209"/>
    <mergeCell ref="C210:D210"/>
    <mergeCell ref="C213:D213"/>
    <mergeCell ref="F213:G213"/>
    <mergeCell ref="H213:I213"/>
    <mergeCell ref="J213:K213"/>
    <mergeCell ref="L213:M213"/>
    <mergeCell ref="N213:O213"/>
    <mergeCell ref="P213:Q213"/>
    <mergeCell ref="R213:S213"/>
    <mergeCell ref="T213:U213"/>
    <mergeCell ref="V213:W213"/>
    <mergeCell ref="X213:Y213"/>
    <mergeCell ref="Z213:AA213"/>
    <mergeCell ref="AB213:AC213"/>
    <mergeCell ref="AR213:AS213"/>
    <mergeCell ref="AT213:AU213"/>
    <mergeCell ref="AD213:AE213"/>
    <mergeCell ref="AF213:AG213"/>
    <mergeCell ref="AH213:AI213"/>
    <mergeCell ref="AJ213:AK213"/>
    <mergeCell ref="AL213:AM213"/>
    <mergeCell ref="AN213:AO213"/>
    <mergeCell ref="AP213:AQ213"/>
    <mergeCell ref="R215:S215"/>
    <mergeCell ref="T215:U215"/>
    <mergeCell ref="V215:W215"/>
    <mergeCell ref="X215:Y215"/>
    <mergeCell ref="Z215:AA215"/>
    <mergeCell ref="AB215:AC215"/>
    <mergeCell ref="AD215:AE215"/>
    <mergeCell ref="AF215:AG215"/>
    <mergeCell ref="AH215:AI215"/>
    <mergeCell ref="AJ215:AK215"/>
    <mergeCell ref="AL215:AM215"/>
    <mergeCell ref="AN215:AO215"/>
    <mergeCell ref="AP215:AQ215"/>
    <mergeCell ref="AR215:AS215"/>
    <mergeCell ref="BH215:BI215"/>
    <mergeCell ref="BJ215:BK215"/>
    <mergeCell ref="BL215:BM215"/>
    <mergeCell ref="BN215:BO215"/>
    <mergeCell ref="AT215:AU215"/>
    <mergeCell ref="AV215:AW215"/>
    <mergeCell ref="AX215:AY215"/>
    <mergeCell ref="AZ215:BA215"/>
    <mergeCell ref="BB215:BC215"/>
    <mergeCell ref="BD215:BE215"/>
    <mergeCell ref="BF215:BG215"/>
    <mergeCell ref="C215:D215"/>
    <mergeCell ref="F215:G215"/>
    <mergeCell ref="H215:I215"/>
    <mergeCell ref="J215:K215"/>
    <mergeCell ref="L215:M215"/>
    <mergeCell ref="N215:O215"/>
    <mergeCell ref="P215:Q215"/>
    <mergeCell ref="BL219:BM219"/>
    <mergeCell ref="BN219:BO219"/>
    <mergeCell ref="AX219:AY219"/>
    <mergeCell ref="AZ219:BA219"/>
    <mergeCell ref="BB219:BC219"/>
    <mergeCell ref="BD219:BE219"/>
    <mergeCell ref="BF219:BG219"/>
    <mergeCell ref="BH219:BI219"/>
    <mergeCell ref="BJ219:BK219"/>
    <mergeCell ref="R217:S217"/>
    <mergeCell ref="T217:U217"/>
    <mergeCell ref="V217:W217"/>
    <mergeCell ref="X217:Y217"/>
    <mergeCell ref="Z217:AA217"/>
    <mergeCell ref="AB217:AC217"/>
    <mergeCell ref="AD217:AE217"/>
    <mergeCell ref="AF217:AG217"/>
    <mergeCell ref="AH217:AI217"/>
    <mergeCell ref="AJ217:AK217"/>
    <mergeCell ref="AL217:AM217"/>
    <mergeCell ref="AN217:AO217"/>
    <mergeCell ref="AP217:AQ217"/>
    <mergeCell ref="AR217:AS217"/>
    <mergeCell ref="BH217:BI217"/>
    <mergeCell ref="BJ217:BK217"/>
    <mergeCell ref="BL217:BM217"/>
    <mergeCell ref="BN217:BO217"/>
    <mergeCell ref="AT217:AU217"/>
    <mergeCell ref="AV217:AW217"/>
    <mergeCell ref="AX217:AY217"/>
    <mergeCell ref="AZ217:BA217"/>
    <mergeCell ref="BB217:BC217"/>
    <mergeCell ref="BD217:BE217"/>
    <mergeCell ref="BF217:BG217"/>
    <mergeCell ref="C217:D217"/>
    <mergeCell ref="F217:G217"/>
    <mergeCell ref="H217:I217"/>
    <mergeCell ref="J217:K217"/>
    <mergeCell ref="L217:M217"/>
    <mergeCell ref="N217:O217"/>
    <mergeCell ref="P217:Q217"/>
    <mergeCell ref="C219:D219"/>
    <mergeCell ref="F219:G219"/>
    <mergeCell ref="H219:I219"/>
    <mergeCell ref="J219:K219"/>
    <mergeCell ref="L219:M219"/>
    <mergeCell ref="N219:O219"/>
    <mergeCell ref="P219:Q219"/>
    <mergeCell ref="R219:S219"/>
    <mergeCell ref="T219:U219"/>
    <mergeCell ref="V219:W219"/>
    <mergeCell ref="X219:Y219"/>
    <mergeCell ref="Z219:AA219"/>
    <mergeCell ref="AB219:AC219"/>
    <mergeCell ref="AD219:AE219"/>
    <mergeCell ref="AT219:AU219"/>
    <mergeCell ref="AV219:AW219"/>
    <mergeCell ref="AF219:AG219"/>
    <mergeCell ref="AH219:AI219"/>
    <mergeCell ref="AJ219:AK219"/>
    <mergeCell ref="AL219:AM219"/>
    <mergeCell ref="AN219:AO219"/>
    <mergeCell ref="AP219:AQ219"/>
    <mergeCell ref="AR219:AS219"/>
    <mergeCell ref="R221:S221"/>
    <mergeCell ref="T221:U221"/>
    <mergeCell ref="V221:W221"/>
    <mergeCell ref="X221:Y221"/>
    <mergeCell ref="Z221:AA221"/>
    <mergeCell ref="AB221:AC221"/>
    <mergeCell ref="AD221:AE221"/>
    <mergeCell ref="AF221:AG221"/>
    <mergeCell ref="AH221:AI221"/>
    <mergeCell ref="AJ221:AK221"/>
    <mergeCell ref="AL221:AM221"/>
    <mergeCell ref="AN221:AO221"/>
    <mergeCell ref="AP221:AQ221"/>
    <mergeCell ref="AR221:AS221"/>
    <mergeCell ref="BH221:BI221"/>
    <mergeCell ref="BJ221:BK221"/>
    <mergeCell ref="BL221:BM221"/>
    <mergeCell ref="BN221:BO221"/>
    <mergeCell ref="AT221:AU221"/>
    <mergeCell ref="AV221:AW221"/>
    <mergeCell ref="AX221:AY221"/>
    <mergeCell ref="AZ221:BA221"/>
    <mergeCell ref="BB221:BC221"/>
    <mergeCell ref="BD221:BE221"/>
    <mergeCell ref="BF221:BG221"/>
    <mergeCell ref="C221:D221"/>
    <mergeCell ref="F221:G221"/>
    <mergeCell ref="H221:I221"/>
    <mergeCell ref="J221:K221"/>
    <mergeCell ref="L221:M221"/>
    <mergeCell ref="N221:O221"/>
    <mergeCell ref="P221:Q221"/>
    <mergeCell ref="AT225:AU225"/>
    <mergeCell ref="AV225:AW225"/>
    <mergeCell ref="AF225:AG225"/>
    <mergeCell ref="AH225:AI225"/>
    <mergeCell ref="AJ225:AK225"/>
    <mergeCell ref="AL225:AM225"/>
    <mergeCell ref="AN225:AO225"/>
    <mergeCell ref="AP225:AQ225"/>
    <mergeCell ref="AR225:AS225"/>
    <mergeCell ref="R227:S227"/>
    <mergeCell ref="T227:U227"/>
    <mergeCell ref="V227:W227"/>
    <mergeCell ref="X227:Y227"/>
    <mergeCell ref="Z227:AA227"/>
    <mergeCell ref="AB227:AC227"/>
    <mergeCell ref="AD227:AE227"/>
    <mergeCell ref="AF227:AG227"/>
    <mergeCell ref="AH227:AI227"/>
    <mergeCell ref="AJ227:AK227"/>
    <mergeCell ref="AL227:AM227"/>
    <mergeCell ref="AN227:AO227"/>
    <mergeCell ref="AP227:AQ227"/>
    <mergeCell ref="AR227:AS227"/>
    <mergeCell ref="BH227:BI227"/>
    <mergeCell ref="BJ227:BK227"/>
    <mergeCell ref="BL227:BM227"/>
    <mergeCell ref="BN227:BO227"/>
    <mergeCell ref="AT227:AU227"/>
    <mergeCell ref="AV227:AW227"/>
    <mergeCell ref="AX227:AY227"/>
    <mergeCell ref="AZ227:BA227"/>
    <mergeCell ref="BB227:BC227"/>
    <mergeCell ref="BD227:BE227"/>
    <mergeCell ref="BF227:BG227"/>
    <mergeCell ref="C227:D227"/>
    <mergeCell ref="F227:G227"/>
    <mergeCell ref="H227:I227"/>
    <mergeCell ref="J227:K227"/>
    <mergeCell ref="L227:M227"/>
    <mergeCell ref="N227:O227"/>
    <mergeCell ref="P227:Q227"/>
  </mergeCells>
  <conditionalFormatting sqref="A3:BO3 A29:BO29 A179:BO179 A211:BO211 A245:BO245 A274:BO274 A295:BO295 A315:BO315">
    <cfRule type="notContainsBlanks" dxfId="0" priority="1">
      <formula>LEN(TRIM(A3))&gt;0</formula>
    </cfRule>
  </conditionalFormatting>
  <conditionalFormatting sqref="F5:BO5 F7:BO7 F9:BO9 F11:BO11 F13:BO13 F15:BO15 F17:BO17 F19:BO19 F21:BO21 F23:BO23 F25:BO25 F27:BO27 F31:BO31 F33:BO33 F35:BO35 F37:BO37 F39:BO39 F41:BO41 F43:BO43 F45:BO45 F47:BO47 F49:BO49 F51:BO52 F54:BO54 F56:BO56 F58:BO58 F60:BO60 F62:BO62 F64:BO64 F66:BO66 F68:BO68 F70:BO70 F72:BO72 F74:BO75 F77:Q77 S77:BO77 F79:BO79 H81:BO81 F83:BO83 F85:T85 V85:BO85 F87:T87 V87:BO87 F89:BO89 F91:BI91 BK91:BO91 F93:BO94 F96:Q96 S96:BO96 F98:BO98 AW100:BO100 F102:BO102 F104:BO104 F106:BO106 F108:BO108 F110:BO110 F112:R112 T112:BO112 F114:Q114 T114:BO114 F116:BO116 F147:BO147">
    <cfRule type="notContainsBlanks" dxfId="1" priority="2">
      <formula>LEN(TRIM(F5))&gt;0</formula>
    </cfRule>
  </conditionalFormatting>
  <conditionalFormatting sqref="E4:E617 A37">
    <cfRule type="cellIs" dxfId="0" priority="3" operator="greaterThan">
      <formula>0</formula>
    </cfRule>
  </conditionalFormatting>
  <conditionalFormatting sqref="E4:E617 A37">
    <cfRule type="cellIs" dxfId="2" priority="4" operator="lessThan">
      <formula>1</formula>
    </cfRule>
  </conditionalFormatting>
  <dataValidations>
    <dataValidation type="list" allowBlank="1" showErrorMessage="1" sqref="C4 C6 C8 C10 C12 C14 C16 C18 C20 C22 C24 C26 C30 C32 C34 C36 C38 C40 C42 C44 C46 C48 C50 C53 C55 C57 C59 C61 C63 C65 C67 C69 C71 C73 C76 C78 C80 C82 C84 C86 C88 C90 C92 C95 C97 C99 C101 C103 C105 C107 C109 C111 C113 C115 C117 C119 C121 C123 C125 C127 C129 C131 C133 C135 C137 C139 C141 C143 C145 C148 C150 C152 C154 C156 C158 C160 C162 C164 C166 C168 C170 C172 C174 C176 C180 C182 C184 C186 C188 C190 C192 C194 C196 C198 C200 C202 C204 C206 C208 C212 C214 C216 C218 C220 C222 C224 C226 C228 C230 C232 C234 C236 C238 C240 C242 C246 C248 C250 C252 C254 C256 C258 C260 C262 C264 C266 C268 C270 C275 C277 C279 C281 C283 C285 C287 C289 C291 C296 C298 C300 C302 C304 C306 C308 C310 C312 C316 C318 C320 C322 C324 C326 C328 C330 C332 C334">
      <formula1>'Employees List'!$B$2:$B$50</formula1>
    </dataValidation>
    <dataValidation type="list" allowBlank="1" showDropDown="1" showErrorMessage="1" sqref="B4 B6 B8 B10 B12 B14 B16 B18 B20 B22 B24 B26 B30 B32 B34 B36 B38 B40 B42 B44 B46 B48 B50 B53 B55 B57 B59 B61 B63 B65 B67 B69 B71 B73 B76 B78 B80 B82 B84 B86 B88 B90 B92 B95 B97 B99 B101 B103 B105 B107 B109 B111 B113 B115 B117 B119 B121 B123 B125 B127 B129 B131 B133 B135 B137 B139 B141 B143 B145 B148 B150 B152 B154 B156 B158 B160 B162 B164 B166 B168 B170 B172 B174 B176 B180 B182 B184 B186 B188 B190 B192 B194 B196 B198 B200 B202 B204 B206 B208 B212 B214 B216 B218 B220 B222 B224 B226 B228 B230 B232 B234 B236 B238 B240 B242 B246 B248 B250 B252 B254 B256 B258 B260 B262 B264 B266 B268 B270 B275 B277 B279 B281 B283 B285 B287 B289 B291 B296 B298 B300 B302 B304 B306 B308 B310 B312 B316 B318 B320 B322 B324 B326 B328 B330 B332 B334">
      <formula1>'Employees List'!$A$2:$A$991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2" max="2" width="16.63"/>
    <col customWidth="1" min="3" max="3" width="11.88"/>
    <col customWidth="1" hidden="1" min="4" max="5" width="20.25"/>
    <col customWidth="1" min="6" max="6" width="20.25"/>
    <col customWidth="1" min="8" max="8" width="12.25"/>
    <col customWidth="1" min="10" max="11" width="15.38"/>
    <col customWidth="1" min="14" max="14" width="9.0"/>
    <col customWidth="1" min="15" max="15" width="9.25"/>
    <col customWidth="1" min="16" max="16" width="7.75"/>
    <col customWidth="1" min="17" max="19" width="11.38"/>
  </cols>
  <sheetData>
    <row r="1">
      <c r="A1" s="2" t="s">
        <v>121</v>
      </c>
      <c r="B1" s="2" t="s">
        <v>122</v>
      </c>
      <c r="C1" s="2" t="s">
        <v>1</v>
      </c>
      <c r="D1" s="2" t="s">
        <v>123</v>
      </c>
      <c r="E1" s="2" t="s">
        <v>124</v>
      </c>
      <c r="F1" s="2" t="s">
        <v>2</v>
      </c>
      <c r="G1" s="2" t="s">
        <v>125</v>
      </c>
      <c r="H1" s="2" t="s">
        <v>126</v>
      </c>
      <c r="I1" s="2" t="s">
        <v>3</v>
      </c>
      <c r="J1" s="88" t="s">
        <v>5</v>
      </c>
      <c r="K1" s="2" t="s">
        <v>127</v>
      </c>
      <c r="L1" s="2" t="s">
        <v>128</v>
      </c>
      <c r="M1" s="2" t="s">
        <v>129</v>
      </c>
      <c r="N1" s="2" t="s">
        <v>130</v>
      </c>
      <c r="O1" s="2" t="s">
        <v>131</v>
      </c>
      <c r="P1" s="2" t="s">
        <v>132</v>
      </c>
      <c r="Q1" s="2" t="s">
        <v>133</v>
      </c>
      <c r="R1" s="2" t="s">
        <v>134</v>
      </c>
      <c r="S1" s="2" t="s">
        <v>135</v>
      </c>
      <c r="T1" s="2" t="s">
        <v>136</v>
      </c>
      <c r="U1" s="2" t="s">
        <v>137</v>
      </c>
      <c r="V1" s="2" t="s">
        <v>138</v>
      </c>
      <c r="W1" s="2" t="s">
        <v>139</v>
      </c>
      <c r="X1" s="89"/>
      <c r="Y1" s="89"/>
      <c r="Z1" s="89"/>
      <c r="AA1" s="89"/>
      <c r="AB1" s="89"/>
      <c r="AC1" s="89"/>
      <c r="AD1" s="89"/>
      <c r="AE1" s="89"/>
      <c r="AF1" s="89"/>
      <c r="AG1" s="89"/>
      <c r="AH1" s="89"/>
    </row>
    <row r="2">
      <c r="A2" s="8" t="s">
        <v>140</v>
      </c>
      <c r="B2" s="90" t="s">
        <v>8</v>
      </c>
      <c r="C2" s="8" t="s">
        <v>9</v>
      </c>
      <c r="D2" s="89" t="str">
        <f t="shared" ref="D2:D999" si="1">B2&amp;F2</f>
        <v>AprilBHUVANESWARAN</v>
      </c>
      <c r="E2" s="89" t="str">
        <f t="shared" ref="E2:E999" si="2">D2&amp;$P$1</f>
        <v>AprilBHUVANESWARANOT Hours</v>
      </c>
      <c r="F2" s="89" t="str">
        <f>IFERROR(VLOOKUP(C2,'Employees List'!$B$1:$G$999,2,0),"")</f>
        <v>BHUVANESWARAN</v>
      </c>
      <c r="G2" s="91">
        <f>U2</f>
        <v>57900</v>
      </c>
      <c r="H2" s="92">
        <v>45422.0</v>
      </c>
      <c r="I2" s="89" t="str">
        <f>IFERROR(VLOOKUP(F2,'Employees List'!$C:$F,2,0),"")</f>
        <v/>
      </c>
      <c r="J2" s="93">
        <f>IFERROR(VLOOKUP(C2,'Employees List'!$B$2:$G$991,5,0),"")</f>
        <v>500101011548924</v>
      </c>
      <c r="K2" s="94">
        <v>57000.0</v>
      </c>
      <c r="L2" s="91">
        <f t="shared" ref="L2:L999" si="3">K2*70%</f>
        <v>39900</v>
      </c>
      <c r="M2" s="91">
        <f t="shared" ref="M2:M999" si="4">K2*30%</f>
        <v>17100</v>
      </c>
      <c r="N2" s="89">
        <f>IFERROR(VLOOKUP(B2,'Employees List'!$A$2:$H$991,8,0),"")</f>
        <v>30</v>
      </c>
      <c r="O2" s="89">
        <f>IFERROR(VLOOKUP(D2,'Daily Attendance Report 24-25'!A1:BP999,5,0),"")</f>
        <v>30</v>
      </c>
      <c r="P2" s="89">
        <f>IFERROR(VLOOKUP(E2,'Daily Attendance Report 24-25'!$A$1:$BO$617,5,0),"")</f>
        <v>0</v>
      </c>
      <c r="Q2" s="8">
        <v>900.0</v>
      </c>
      <c r="R2" s="8"/>
      <c r="S2" s="91">
        <f t="shared" ref="S2:S72" si="5">K2/N2*O2</f>
        <v>57000</v>
      </c>
      <c r="T2" s="91">
        <f t="shared" ref="T2:T999" si="6">K2/N2/8*1.5*P2</f>
        <v>0</v>
      </c>
      <c r="U2" s="91">
        <f t="shared" ref="U2:U201" si="7">S2+T2-R2+Q2</f>
        <v>57900</v>
      </c>
      <c r="V2" s="91">
        <f t="shared" ref="V2:V142" si="8">W2*0.75%</f>
        <v>434.25</v>
      </c>
      <c r="W2" s="91">
        <f t="shared" ref="W2:W999" si="9">S2+T2+Q2</f>
        <v>57900</v>
      </c>
      <c r="X2" s="89"/>
      <c r="Y2" s="89"/>
      <c r="Z2" s="89"/>
      <c r="AA2" s="89"/>
      <c r="AB2" s="89"/>
      <c r="AC2" s="89"/>
      <c r="AD2" s="89"/>
      <c r="AE2" s="89"/>
      <c r="AF2" s="89"/>
      <c r="AG2" s="89"/>
      <c r="AH2" s="89"/>
    </row>
    <row r="3">
      <c r="A3" s="8" t="s">
        <v>141</v>
      </c>
      <c r="B3" s="90" t="s">
        <v>8</v>
      </c>
      <c r="C3" s="8" t="s">
        <v>93</v>
      </c>
      <c r="D3" s="89" t="str">
        <f t="shared" si="1"/>
        <v>AprilSAGAR</v>
      </c>
      <c r="E3" s="89" t="str">
        <f t="shared" si="2"/>
        <v>AprilSAGAROT Hours</v>
      </c>
      <c r="F3" s="89" t="str">
        <f>IFERROR(VLOOKUP(C3,'Employees List'!$B$1:$G$999,2,0),"")</f>
        <v>SAGAR</v>
      </c>
      <c r="G3" s="91">
        <f>U3-V3</f>
        <v>105.4166667</v>
      </c>
      <c r="H3" s="92">
        <v>45422.0</v>
      </c>
      <c r="I3" s="89" t="str">
        <f>IFERROR(VLOOKUP(F3,'Employees List'!$C:$F,2,0),"")</f>
        <v/>
      </c>
      <c r="J3" s="93" t="str">
        <f>IFERROR(VLOOKUP(C3,'Employees List'!$B$2:$G$991,5,0),"")</f>
        <v/>
      </c>
      <c r="K3" s="95">
        <f>IFERROR(VLOOKUP(F3,'Employees List'!$C$1:$AB$991,5,0),"")</f>
        <v>16000</v>
      </c>
      <c r="L3" s="91">
        <f t="shared" si="3"/>
        <v>11200</v>
      </c>
      <c r="M3" s="91">
        <f t="shared" si="4"/>
        <v>4800</v>
      </c>
      <c r="N3" s="89">
        <f>IFERROR(VLOOKUP(B3,'Employees List'!$A$2:$H$991,8,0),"")</f>
        <v>30</v>
      </c>
      <c r="O3" s="89">
        <f>IFERROR(VLOOKUP(D3,'Daily Attendance Report 24-25'!A2:BP999,5,0),"")</f>
        <v>11</v>
      </c>
      <c r="P3" s="8">
        <v>23.0</v>
      </c>
      <c r="Q3" s="8"/>
      <c r="R3" s="8">
        <v>8000.0</v>
      </c>
      <c r="S3" s="91">
        <f t="shared" si="5"/>
        <v>5866.666667</v>
      </c>
      <c r="T3" s="91">
        <f t="shared" si="6"/>
        <v>2300</v>
      </c>
      <c r="U3" s="91">
        <f t="shared" si="7"/>
        <v>166.6666667</v>
      </c>
      <c r="V3" s="91">
        <f t="shared" si="8"/>
        <v>61.25</v>
      </c>
      <c r="W3" s="91">
        <f t="shared" si="9"/>
        <v>8166.666667</v>
      </c>
      <c r="X3" s="89"/>
      <c r="Y3" s="89"/>
      <c r="Z3" s="89"/>
      <c r="AA3" s="89"/>
      <c r="AB3" s="89"/>
      <c r="AC3" s="89"/>
      <c r="AD3" s="89"/>
      <c r="AE3" s="89"/>
      <c r="AF3" s="89"/>
      <c r="AG3" s="89"/>
      <c r="AH3" s="89"/>
    </row>
    <row r="4">
      <c r="A4" s="8" t="s">
        <v>142</v>
      </c>
      <c r="B4" s="90" t="s">
        <v>8</v>
      </c>
      <c r="C4" s="8" t="s">
        <v>18</v>
      </c>
      <c r="D4" s="89" t="str">
        <f t="shared" si="1"/>
        <v>AprilGANESH</v>
      </c>
      <c r="E4" s="89" t="str">
        <f t="shared" si="2"/>
        <v>AprilGANESHOT Hours</v>
      </c>
      <c r="F4" s="89" t="str">
        <f>IFERROR(VLOOKUP(C4,'Employees List'!$B$1:$G$999,2,0),"")</f>
        <v>GANESH</v>
      </c>
      <c r="G4" s="91">
        <f>W4-V4-R4</f>
        <v>16812.13281</v>
      </c>
      <c r="H4" s="92">
        <v>45422.0</v>
      </c>
      <c r="I4" s="89" t="str">
        <f>IFERROR(VLOOKUP(F4,'Employees List'!$C:$F,2,0),"")</f>
        <v/>
      </c>
      <c r="J4" s="93" t="str">
        <f>IFERROR(VLOOKUP(C4,'Employees List'!$B$2:$G$991,5,0),"")</f>
        <v>8811010012054879</v>
      </c>
      <c r="K4" s="95">
        <f>IFERROR(VLOOKUP(F4,'Employees List'!$C$1:$AB$991,5,0),"")</f>
        <v>17500</v>
      </c>
      <c r="L4" s="91">
        <f t="shared" si="3"/>
        <v>12250</v>
      </c>
      <c r="M4" s="91">
        <f t="shared" si="4"/>
        <v>5250</v>
      </c>
      <c r="N4" s="89">
        <f>IFERROR(VLOOKUP(B4,'Employees List'!$A$2:$H$991,8,0),"")</f>
        <v>30</v>
      </c>
      <c r="O4" s="89">
        <f>IFERROR(VLOOKUP(D4,'Daily Attendance Report 24-25'!A3:BP999,5,0),"")</f>
        <v>24</v>
      </c>
      <c r="P4" s="89">
        <f>IFERROR(VLOOKUP(E4,'Daily Attendance Report 24-25'!$A$1:$BO$617,5,0),"")</f>
        <v>55</v>
      </c>
      <c r="Q4" s="8">
        <v>450.0</v>
      </c>
      <c r="R4" s="8">
        <v>3500.0</v>
      </c>
      <c r="S4" s="91">
        <f t="shared" si="5"/>
        <v>14000</v>
      </c>
      <c r="T4" s="91">
        <f t="shared" si="6"/>
        <v>6015.625</v>
      </c>
      <c r="U4" s="91">
        <f t="shared" si="7"/>
        <v>16965.625</v>
      </c>
      <c r="V4" s="91">
        <f t="shared" si="8"/>
        <v>153.4921875</v>
      </c>
      <c r="W4" s="91">
        <f t="shared" si="9"/>
        <v>20465.625</v>
      </c>
      <c r="X4" s="89"/>
      <c r="Y4" s="89"/>
      <c r="Z4" s="89"/>
      <c r="AA4" s="8"/>
      <c r="AB4" s="89"/>
      <c r="AC4" s="89"/>
      <c r="AD4" s="89"/>
      <c r="AE4" s="89"/>
      <c r="AF4" s="89"/>
      <c r="AG4" s="89"/>
      <c r="AH4" s="89"/>
    </row>
    <row r="5">
      <c r="A5" s="8" t="s">
        <v>143</v>
      </c>
      <c r="B5" s="90" t="s">
        <v>8</v>
      </c>
      <c r="C5" s="8" t="s">
        <v>13</v>
      </c>
      <c r="D5" s="89" t="str">
        <f t="shared" si="1"/>
        <v>AprilVASANTHA</v>
      </c>
      <c r="E5" s="89" t="str">
        <f t="shared" si="2"/>
        <v>AprilVASANTHAOT Hours</v>
      </c>
      <c r="F5" s="89" t="str">
        <f>IFERROR(VLOOKUP(C5,'Employees List'!$B$1:$G$999,2,0),"")</f>
        <v>VASANTHA</v>
      </c>
      <c r="G5" s="91">
        <f t="shared" ref="G5:G11" si="10">U5-V5</f>
        <v>11240.0625</v>
      </c>
      <c r="H5" s="92">
        <v>45422.0</v>
      </c>
      <c r="I5" s="89" t="str">
        <f>IFERROR(VLOOKUP(F5,'Employees List'!$C:$F,2,0),"")</f>
        <v/>
      </c>
      <c r="J5" s="93" t="str">
        <f>IFERROR(VLOOKUP(C5,'Employees List'!$B$2:$G$991,5,0),"")</f>
        <v>8131010000016959</v>
      </c>
      <c r="K5" s="95">
        <f>IFERROR(VLOOKUP(F5,'Employees List'!$C$1:$AB$991,5,0),"")</f>
        <v>12000</v>
      </c>
      <c r="L5" s="91">
        <f t="shared" si="3"/>
        <v>8400</v>
      </c>
      <c r="M5" s="91">
        <f t="shared" si="4"/>
        <v>3600</v>
      </c>
      <c r="N5" s="89">
        <f>IFERROR(VLOOKUP(B5,'Employees List'!$A$2:$H$991,8,0),"")</f>
        <v>30</v>
      </c>
      <c r="O5" s="89">
        <f>IFERROR(VLOOKUP(D5,'Daily Attendance Report 24-25'!A4:BP999,5,0),"")</f>
        <v>21</v>
      </c>
      <c r="P5" s="8">
        <v>33.0</v>
      </c>
      <c r="Q5" s="8">
        <v>450.0</v>
      </c>
      <c r="R5" s="89"/>
      <c r="S5" s="91">
        <f t="shared" si="5"/>
        <v>8400</v>
      </c>
      <c r="T5" s="91">
        <f t="shared" si="6"/>
        <v>2475</v>
      </c>
      <c r="U5" s="91">
        <f t="shared" si="7"/>
        <v>11325</v>
      </c>
      <c r="V5" s="91">
        <f t="shared" si="8"/>
        <v>84.9375</v>
      </c>
      <c r="W5" s="91">
        <f t="shared" si="9"/>
        <v>11325</v>
      </c>
      <c r="X5" s="8"/>
      <c r="Y5" s="8"/>
      <c r="Z5" s="8"/>
      <c r="AA5" s="8"/>
      <c r="AB5" s="8"/>
      <c r="AC5" s="8"/>
      <c r="AD5" s="89"/>
      <c r="AE5" s="89"/>
      <c r="AF5" s="89"/>
      <c r="AG5" s="89"/>
      <c r="AH5" s="89"/>
    </row>
    <row r="6">
      <c r="A6" s="8" t="s">
        <v>144</v>
      </c>
      <c r="B6" s="90" t="s">
        <v>8</v>
      </c>
      <c r="C6" s="8" t="s">
        <v>22</v>
      </c>
      <c r="D6" s="89" t="str">
        <f t="shared" si="1"/>
        <v>AprilADHIKARI BALIA</v>
      </c>
      <c r="E6" s="89" t="str">
        <f t="shared" si="2"/>
        <v>AprilADHIKARI BALIAOT Hours</v>
      </c>
      <c r="F6" s="89" t="str">
        <f>IFERROR(VLOOKUP(C6,'Employees List'!$B$1:$G$999,2,0),"")</f>
        <v>ADHIKARI BALIA</v>
      </c>
      <c r="G6" s="91">
        <f t="shared" si="10"/>
        <v>5183.227865</v>
      </c>
      <c r="H6" s="92">
        <v>45422.0</v>
      </c>
      <c r="I6" s="89" t="str">
        <f>IFERROR(VLOOKUP(F6,'Employees List'!$C:$F,2,0),"")</f>
        <v/>
      </c>
      <c r="J6" s="93" t="str">
        <f>IFERROR(VLOOKUP(C6,'Employees List'!$B$2:$G$991,5,0),"")</f>
        <v>8131010000018948</v>
      </c>
      <c r="K6" s="94">
        <v>9250.0</v>
      </c>
      <c r="L6" s="91">
        <f t="shared" si="3"/>
        <v>6475</v>
      </c>
      <c r="M6" s="91">
        <f t="shared" si="4"/>
        <v>2775</v>
      </c>
      <c r="N6" s="89">
        <f>IFERROR(VLOOKUP(B6,'Employees List'!$A$2:$H$991,8,0),"")</f>
        <v>30</v>
      </c>
      <c r="O6" s="89">
        <f>IFERROR(VLOOKUP(D6,'Daily Attendance Report 24-25'!A5:BP999,5,0),"")</f>
        <v>11.5</v>
      </c>
      <c r="P6" s="89">
        <f>IFERROR(VLOOKUP(E6,'Daily Attendance Report 24-25'!$A$1:$BO$617,5,0),"")</f>
        <v>29</v>
      </c>
      <c r="Q6" s="8"/>
      <c r="R6" s="89"/>
      <c r="S6" s="91">
        <f t="shared" si="5"/>
        <v>3545.833333</v>
      </c>
      <c r="T6" s="91">
        <f t="shared" si="6"/>
        <v>1676.5625</v>
      </c>
      <c r="U6" s="91">
        <f t="shared" si="7"/>
        <v>5222.395833</v>
      </c>
      <c r="V6" s="91">
        <f t="shared" si="8"/>
        <v>39.16796875</v>
      </c>
      <c r="W6" s="91">
        <f t="shared" si="9"/>
        <v>5222.395833</v>
      </c>
      <c r="X6" s="8"/>
      <c r="Y6" s="8"/>
      <c r="Z6" s="8"/>
      <c r="AA6" s="8"/>
      <c r="AB6" s="8"/>
      <c r="AC6" s="8"/>
      <c r="AD6" s="89"/>
      <c r="AE6" s="89"/>
      <c r="AF6" s="89"/>
      <c r="AG6" s="89"/>
      <c r="AH6" s="89"/>
    </row>
    <row r="7">
      <c r="A7" s="8" t="s">
        <v>145</v>
      </c>
      <c r="B7" s="90" t="s">
        <v>8</v>
      </c>
      <c r="C7" s="8" t="s">
        <v>64</v>
      </c>
      <c r="D7" s="89" t="str">
        <f t="shared" si="1"/>
        <v>AprilSUNDARI</v>
      </c>
      <c r="E7" s="89" t="str">
        <f t="shared" si="2"/>
        <v>AprilSUNDARIOT Hours</v>
      </c>
      <c r="F7" s="89" t="str">
        <f>IFERROR(VLOOKUP(C7,'Employees List'!$B$1:$G$999,2,0),"")</f>
        <v>SUNDARI</v>
      </c>
      <c r="G7" s="91">
        <f t="shared" si="10"/>
        <v>20172.5625</v>
      </c>
      <c r="H7" s="92">
        <v>45422.0</v>
      </c>
      <c r="I7" s="89" t="str">
        <f>IFERROR(VLOOKUP(F7,'Employees List'!$C:$F,2,0),"")</f>
        <v/>
      </c>
      <c r="J7" s="93" t="str">
        <f>IFERROR(VLOOKUP(C7,'Employees List'!$B$2:$G$991,5,0),"")</f>
        <v>8131010000016977</v>
      </c>
      <c r="K7" s="95">
        <f>IFERROR(VLOOKUP(F7,'Employees List'!$C$1:$AB$991,5,0),"")</f>
        <v>18000</v>
      </c>
      <c r="L7" s="91">
        <f t="shared" si="3"/>
        <v>12600</v>
      </c>
      <c r="M7" s="91">
        <f t="shared" si="4"/>
        <v>5400</v>
      </c>
      <c r="N7" s="89">
        <f>IFERROR(VLOOKUP(B7,'Employees List'!$A$2:$H$991,8,0),"")</f>
        <v>30</v>
      </c>
      <c r="O7" s="89">
        <f>IFERROR(VLOOKUP(D7,'Daily Attendance Report 24-25'!A6:BP999,5,0),"")</f>
        <v>30</v>
      </c>
      <c r="P7" s="89">
        <f>IFERROR(VLOOKUP(E7,'Daily Attendance Report 24-25'!$A$1:$BO$617,5,0),"")</f>
        <v>10</v>
      </c>
      <c r="Q7" s="8">
        <v>1200.0</v>
      </c>
      <c r="R7" s="89"/>
      <c r="S7" s="91">
        <f t="shared" si="5"/>
        <v>18000</v>
      </c>
      <c r="T7" s="91">
        <f t="shared" si="6"/>
        <v>1125</v>
      </c>
      <c r="U7" s="91">
        <f t="shared" si="7"/>
        <v>20325</v>
      </c>
      <c r="V7" s="91">
        <f t="shared" si="8"/>
        <v>152.4375</v>
      </c>
      <c r="W7" s="91">
        <f t="shared" si="9"/>
        <v>20325</v>
      </c>
      <c r="X7" s="89"/>
      <c r="Y7" s="89"/>
      <c r="Z7" s="89"/>
      <c r="AA7" s="89"/>
      <c r="AB7" s="89"/>
      <c r="AC7" s="89"/>
      <c r="AD7" s="89"/>
      <c r="AE7" s="89"/>
      <c r="AF7" s="89"/>
      <c r="AG7" s="89"/>
      <c r="AH7" s="89"/>
    </row>
    <row r="8">
      <c r="A8" s="8" t="s">
        <v>146</v>
      </c>
      <c r="B8" s="90" t="s">
        <v>8</v>
      </c>
      <c r="C8" s="8" t="s">
        <v>70</v>
      </c>
      <c r="D8" s="89" t="str">
        <f t="shared" si="1"/>
        <v>AprilMathi</v>
      </c>
      <c r="E8" s="89" t="str">
        <f t="shared" si="2"/>
        <v>AprilMathiOT Hours</v>
      </c>
      <c r="F8" s="89" t="str">
        <f>IFERROR(VLOOKUP(C8,'Employees List'!$B$1:$G$999,2,0),"")</f>
        <v>Mathi</v>
      </c>
      <c r="G8" s="91">
        <f t="shared" si="10"/>
        <v>27657.66667</v>
      </c>
      <c r="H8" s="92">
        <v>45422.0</v>
      </c>
      <c r="I8" s="89" t="str">
        <f>IFERROR(VLOOKUP(F8,'Employees List'!$C:$F,2,0),"")</f>
        <v/>
      </c>
      <c r="J8" s="93" t="str">
        <f>IFERROR(VLOOKUP(C8,'Employees List'!$B$2:$G$991,5,0),"")</f>
        <v>8131010000016986</v>
      </c>
      <c r="K8" s="95">
        <f>IFERROR(VLOOKUP(F8,'Employees List'!$C$1:$AB$991,5,0),"")</f>
        <v>20000</v>
      </c>
      <c r="L8" s="91">
        <f t="shared" si="3"/>
        <v>14000</v>
      </c>
      <c r="M8" s="91">
        <f t="shared" si="4"/>
        <v>6000</v>
      </c>
      <c r="N8" s="89">
        <f>IFERROR(VLOOKUP(B8,'Employees List'!$A$2:$H$991,8,0),"")</f>
        <v>30</v>
      </c>
      <c r="O8" s="89">
        <f>IFERROR(VLOOKUP(D8,'Daily Attendance Report 24-25'!A7:BP999,5,0),"")</f>
        <v>28</v>
      </c>
      <c r="P8" s="89">
        <f>IFERROR(VLOOKUP(E8,'Daily Attendance Report 24-25'!$A$1:$BO$617,5,0),"")</f>
        <v>70</v>
      </c>
      <c r="Q8" s="8">
        <v>450.0</v>
      </c>
      <c r="R8" s="89"/>
      <c r="S8" s="91">
        <f t="shared" si="5"/>
        <v>18666.66667</v>
      </c>
      <c r="T8" s="91">
        <f t="shared" si="6"/>
        <v>8750</v>
      </c>
      <c r="U8" s="91">
        <f t="shared" si="7"/>
        <v>27866.66667</v>
      </c>
      <c r="V8" s="91">
        <f t="shared" si="8"/>
        <v>209</v>
      </c>
      <c r="W8" s="91">
        <f t="shared" si="9"/>
        <v>27866.66667</v>
      </c>
      <c r="X8" s="89"/>
      <c r="Y8" s="89"/>
      <c r="Z8" s="89"/>
      <c r="AA8" s="89"/>
      <c r="AB8" s="89"/>
      <c r="AC8" s="89"/>
      <c r="AD8" s="89"/>
      <c r="AE8" s="89"/>
      <c r="AF8" s="89"/>
      <c r="AG8" s="89"/>
      <c r="AH8" s="89"/>
    </row>
    <row r="9">
      <c r="A9" s="8" t="s">
        <v>147</v>
      </c>
      <c r="B9" s="90" t="s">
        <v>8</v>
      </c>
      <c r="C9" s="8" t="s">
        <v>95</v>
      </c>
      <c r="D9" s="89" t="str">
        <f t="shared" si="1"/>
        <v>AprilCHINMAY PRADHAN</v>
      </c>
      <c r="E9" s="89" t="str">
        <f t="shared" si="2"/>
        <v>AprilCHINMAY PRADHANOT Hours</v>
      </c>
      <c r="F9" s="89" t="str">
        <f>IFERROR(VLOOKUP(C9,'Employees List'!$B$1:$G$999,2,0),"")</f>
        <v>CHINMAY PRADHAN</v>
      </c>
      <c r="G9" s="91">
        <f t="shared" si="10"/>
        <v>3928.645833</v>
      </c>
      <c r="H9" s="92">
        <v>45422.0</v>
      </c>
      <c r="I9" s="89" t="str">
        <f>IFERROR(VLOOKUP(F9,'Employees List'!$C:$F,2,0),"")</f>
        <v/>
      </c>
      <c r="J9" s="93" t="str">
        <f>IFERROR(VLOOKUP(C9,'Employees List'!$B$2:$G$991,5,0),"")</f>
        <v/>
      </c>
      <c r="K9" s="95">
        <f>IFERROR(VLOOKUP(F9,'Employees List'!$C$1:$AB$991,5,0),"")</f>
        <v>10000</v>
      </c>
      <c r="L9" s="91">
        <f t="shared" si="3"/>
        <v>7000</v>
      </c>
      <c r="M9" s="91">
        <f t="shared" si="4"/>
        <v>3000</v>
      </c>
      <c r="N9" s="89">
        <f>IFERROR(VLOOKUP(B9,'Employees List'!$A$2:$H$991,8,0),"")</f>
        <v>30</v>
      </c>
      <c r="O9" s="89">
        <f>IFERROR(VLOOKUP(D9,'Daily Attendance Report 24-25'!A8:BP999,5,0),"")</f>
        <v>10</v>
      </c>
      <c r="P9" s="89">
        <f>IFERROR(VLOOKUP(E9,'Daily Attendance Report 24-25'!$A$1:$BO$617,5,0),"")</f>
        <v>10</v>
      </c>
      <c r="Q9" s="8"/>
      <c r="R9" s="89"/>
      <c r="S9" s="91">
        <f t="shared" si="5"/>
        <v>3333.333333</v>
      </c>
      <c r="T9" s="91">
        <f t="shared" si="6"/>
        <v>625</v>
      </c>
      <c r="U9" s="91">
        <f t="shared" si="7"/>
        <v>3958.333333</v>
      </c>
      <c r="V9" s="91">
        <f t="shared" si="8"/>
        <v>29.6875</v>
      </c>
      <c r="W9" s="91">
        <f t="shared" si="9"/>
        <v>3958.333333</v>
      </c>
      <c r="X9" s="89"/>
      <c r="Y9" s="89"/>
      <c r="Z9" s="89"/>
      <c r="AA9" s="89"/>
      <c r="AB9" s="89"/>
      <c r="AC9" s="89"/>
      <c r="AD9" s="89"/>
      <c r="AE9" s="89"/>
      <c r="AF9" s="89"/>
      <c r="AG9" s="89"/>
      <c r="AH9" s="89"/>
    </row>
    <row r="10">
      <c r="A10" s="8" t="s">
        <v>148</v>
      </c>
      <c r="B10" s="90" t="s">
        <v>8</v>
      </c>
      <c r="C10" s="8" t="s">
        <v>83</v>
      </c>
      <c r="D10" s="89" t="str">
        <f t="shared" si="1"/>
        <v>AprilLIPAN</v>
      </c>
      <c r="E10" s="89" t="str">
        <f t="shared" si="2"/>
        <v>AprilLIPANOT Hours</v>
      </c>
      <c r="F10" s="89" t="str">
        <f>IFERROR(VLOOKUP(C10,'Employees List'!$B$1:$G$999,2,0),"")</f>
        <v>LIPAN</v>
      </c>
      <c r="G10" s="91">
        <f t="shared" si="10"/>
        <v>6409.895833</v>
      </c>
      <c r="H10" s="92">
        <v>45422.0</v>
      </c>
      <c r="I10" s="89" t="str">
        <f>IFERROR(VLOOKUP(F10,'Employees List'!$C:$F,2,0),"")</f>
        <v/>
      </c>
      <c r="J10" s="93" t="str">
        <f>IFERROR(VLOOKUP(C10,'Employees List'!$B$2:$G$991,5,0),"")</f>
        <v>8131010000018957</v>
      </c>
      <c r="K10" s="94">
        <v>10000.0</v>
      </c>
      <c r="L10" s="91">
        <f t="shared" si="3"/>
        <v>7000</v>
      </c>
      <c r="M10" s="91">
        <f t="shared" si="4"/>
        <v>3000</v>
      </c>
      <c r="N10" s="89">
        <f>IFERROR(VLOOKUP(B10,'Employees List'!$A$2:$H$991,8,0),"")</f>
        <v>30</v>
      </c>
      <c r="O10" s="89">
        <f>IFERROR(VLOOKUP(D10,'Daily Attendance Report 24-25'!A9:BP999,5,0),"")</f>
        <v>11.5</v>
      </c>
      <c r="P10" s="8">
        <v>42.0</v>
      </c>
      <c r="Q10" s="8"/>
      <c r="R10" s="89"/>
      <c r="S10" s="91">
        <f t="shared" si="5"/>
        <v>3833.333333</v>
      </c>
      <c r="T10" s="91">
        <f t="shared" si="6"/>
        <v>2625</v>
      </c>
      <c r="U10" s="91">
        <f t="shared" si="7"/>
        <v>6458.333333</v>
      </c>
      <c r="V10" s="91">
        <f t="shared" si="8"/>
        <v>48.4375</v>
      </c>
      <c r="W10" s="91">
        <f t="shared" si="9"/>
        <v>6458.333333</v>
      </c>
      <c r="X10" s="89"/>
      <c r="Y10" s="89"/>
      <c r="Z10" s="89"/>
      <c r="AA10" s="89"/>
      <c r="AB10" s="89"/>
      <c r="AC10" s="89"/>
      <c r="AD10" s="89"/>
      <c r="AE10" s="89"/>
      <c r="AF10" s="89"/>
      <c r="AG10" s="89"/>
      <c r="AH10" s="89"/>
    </row>
    <row r="11">
      <c r="A11" s="8" t="s">
        <v>149</v>
      </c>
      <c r="B11" s="90" t="s">
        <v>8</v>
      </c>
      <c r="C11" s="8" t="s">
        <v>30</v>
      </c>
      <c r="D11" s="89" t="str">
        <f t="shared" si="1"/>
        <v>AprilSANJAI BHAGAT</v>
      </c>
      <c r="E11" s="89" t="str">
        <f t="shared" si="2"/>
        <v>AprilSANJAI BHAGATOT Hours</v>
      </c>
      <c r="F11" s="89" t="str">
        <f>IFERROR(VLOOKUP(C11,'Employees List'!$B$1:$G$999,2,0),"")</f>
        <v>SANJAI BHAGAT</v>
      </c>
      <c r="G11" s="91">
        <f t="shared" si="10"/>
        <v>6386.634115</v>
      </c>
      <c r="H11" s="92">
        <v>45422.0</v>
      </c>
      <c r="I11" s="89" t="str">
        <f>IFERROR(VLOOKUP(F11,'Employees List'!$C:$F,2,0),"")</f>
        <v/>
      </c>
      <c r="J11" s="93" t="str">
        <f>IFERROR(VLOOKUP(C11,'Employees List'!$B$2:$G$991,5,0),"")</f>
        <v>8131010000021225</v>
      </c>
      <c r="K11" s="94">
        <v>8750.0</v>
      </c>
      <c r="L11" s="91">
        <f t="shared" si="3"/>
        <v>6125</v>
      </c>
      <c r="M11" s="91">
        <f t="shared" si="4"/>
        <v>2625</v>
      </c>
      <c r="N11" s="89">
        <f>IFERROR(VLOOKUP(B11,'Employees List'!$A$2:$H$991,8,0),"")</f>
        <v>30</v>
      </c>
      <c r="O11" s="89">
        <f>IFERROR(VLOOKUP(D11,'Daily Attendance Report 24-25'!A10:BP999,5,0),"")</f>
        <v>12.5</v>
      </c>
      <c r="P11" s="89">
        <f>IFERROR(VLOOKUP(E11,'Daily Attendance Report 24-25'!$A$1:$BO$617,5,0),"")</f>
        <v>51</v>
      </c>
      <c r="Q11" s="8"/>
      <c r="R11" s="8"/>
      <c r="S11" s="91">
        <f t="shared" si="5"/>
        <v>3645.833333</v>
      </c>
      <c r="T11" s="91">
        <f t="shared" si="6"/>
        <v>2789.0625</v>
      </c>
      <c r="U11" s="91">
        <f t="shared" si="7"/>
        <v>6434.895833</v>
      </c>
      <c r="V11" s="91">
        <f t="shared" si="8"/>
        <v>48.26171875</v>
      </c>
      <c r="W11" s="91">
        <f t="shared" si="9"/>
        <v>6434.895833</v>
      </c>
      <c r="X11" s="89"/>
      <c r="Y11" s="89"/>
      <c r="Z11" s="89"/>
      <c r="AA11" s="89"/>
      <c r="AB11" s="89"/>
      <c r="AC11" s="89"/>
      <c r="AD11" s="89"/>
      <c r="AE11" s="89"/>
      <c r="AF11" s="89"/>
      <c r="AG11" s="89"/>
      <c r="AH11" s="89"/>
    </row>
    <row r="12">
      <c r="A12" s="8" t="s">
        <v>150</v>
      </c>
      <c r="B12" s="90" t="s">
        <v>12</v>
      </c>
      <c r="C12" s="8" t="s">
        <v>9</v>
      </c>
      <c r="D12" s="89" t="str">
        <f t="shared" si="1"/>
        <v>MayBHUVANESWARAN</v>
      </c>
      <c r="E12" s="89" t="str">
        <f t="shared" si="2"/>
        <v>MayBHUVANESWARANOT Hours</v>
      </c>
      <c r="F12" s="89" t="str">
        <f>IFERROR(VLOOKUP(C12,'Employees List'!$B$1:$G$999,2,0),"")</f>
        <v>BHUVANESWARAN</v>
      </c>
      <c r="G12" s="91">
        <f>U12</f>
        <v>60900</v>
      </c>
      <c r="H12" s="92">
        <v>45453.0</v>
      </c>
      <c r="I12" s="89" t="str">
        <f>IFERROR(VLOOKUP(F12,'Employees List'!$C:$F,2,0),"")</f>
        <v/>
      </c>
      <c r="J12" s="93">
        <f>IFERROR(VLOOKUP(C12,'Employees List'!$B$2:$G$991,5,0),"")</f>
        <v>500101011548924</v>
      </c>
      <c r="K12" s="95">
        <f>IFERROR(VLOOKUP(F12,'Employees List'!$C$1:$AB$991,5,0),"")</f>
        <v>60000</v>
      </c>
      <c r="L12" s="91">
        <f t="shared" si="3"/>
        <v>42000</v>
      </c>
      <c r="M12" s="91">
        <f t="shared" si="4"/>
        <v>18000</v>
      </c>
      <c r="N12" s="89">
        <f>IFERROR(VLOOKUP(B12,'Employees List'!$A$2:$H$991,8,0),"")</f>
        <v>31</v>
      </c>
      <c r="O12" s="8">
        <v>31.0</v>
      </c>
      <c r="P12" s="89">
        <f>IFERROR(VLOOKUP(E12,'Daily Attendance Report 24-25'!$A$1:$BO$617,5,0),"")</f>
        <v>0</v>
      </c>
      <c r="Q12" s="8">
        <v>900.0</v>
      </c>
      <c r="R12" s="89"/>
      <c r="S12" s="91">
        <f t="shared" si="5"/>
        <v>60000</v>
      </c>
      <c r="T12" s="91">
        <f t="shared" si="6"/>
        <v>0</v>
      </c>
      <c r="U12" s="91">
        <f t="shared" si="7"/>
        <v>60900</v>
      </c>
      <c r="V12" s="91">
        <f t="shared" si="8"/>
        <v>456.75</v>
      </c>
      <c r="W12" s="91">
        <f t="shared" si="9"/>
        <v>60900</v>
      </c>
      <c r="X12" s="89"/>
      <c r="Y12" s="89"/>
      <c r="Z12" s="89"/>
      <c r="AA12" s="89"/>
      <c r="AB12" s="89"/>
      <c r="AC12" s="89"/>
      <c r="AD12" s="89"/>
      <c r="AE12" s="89"/>
      <c r="AF12" s="89"/>
      <c r="AG12" s="89"/>
      <c r="AH12" s="89"/>
    </row>
    <row r="13">
      <c r="A13" s="8" t="s">
        <v>151</v>
      </c>
      <c r="B13" s="90" t="s">
        <v>12</v>
      </c>
      <c r="C13" s="8" t="s">
        <v>18</v>
      </c>
      <c r="D13" s="89" t="str">
        <f t="shared" si="1"/>
        <v>MayGANESH</v>
      </c>
      <c r="E13" s="89" t="str">
        <f t="shared" si="2"/>
        <v>MayGANESHOT Hours</v>
      </c>
      <c r="F13" s="89" t="str">
        <f>IFERROR(VLOOKUP(C13,'Employees List'!$B$1:$G$999,2,0),"")</f>
        <v>GANESH</v>
      </c>
      <c r="G13" s="91">
        <f t="shared" ref="G13:G19" si="11">U13-V13</f>
        <v>11864.14012</v>
      </c>
      <c r="H13" s="92">
        <v>45453.0</v>
      </c>
      <c r="I13" s="89" t="str">
        <f>IFERROR(VLOOKUP(F13,'Employees List'!$C:$F,2,0),"")</f>
        <v/>
      </c>
      <c r="J13" s="93" t="str">
        <f>IFERROR(VLOOKUP(C13,'Employees List'!$B$2:$G$991,5,0),"")</f>
        <v>8811010012054879</v>
      </c>
      <c r="K13" s="95">
        <f>IFERROR(VLOOKUP(F13,'Employees List'!$C$1:$AB$991,5,0),"")</f>
        <v>17500</v>
      </c>
      <c r="L13" s="91">
        <f t="shared" si="3"/>
        <v>12250</v>
      </c>
      <c r="M13" s="91">
        <f t="shared" si="4"/>
        <v>5250</v>
      </c>
      <c r="N13" s="89">
        <f>IFERROR(VLOOKUP(B13,'Employees List'!$A$2:$H$991,8,0),"")</f>
        <v>31</v>
      </c>
      <c r="O13" s="89">
        <f>IFERROR(VLOOKUP(D13,'Daily Attendance Report 24-25'!A12:BP999,5,0),"")</f>
        <v>21</v>
      </c>
      <c r="P13" s="89">
        <f>IFERROR(VLOOKUP(E13,'Daily Attendance Report 24-25'!$A$1:$BO$617,5,0),"")</f>
        <v>30</v>
      </c>
      <c r="Q13" s="8">
        <v>450.0</v>
      </c>
      <c r="R13" s="8">
        <v>3500.0</v>
      </c>
      <c r="S13" s="91">
        <f t="shared" si="5"/>
        <v>11854.83871</v>
      </c>
      <c r="T13" s="91">
        <f t="shared" si="6"/>
        <v>3175.403226</v>
      </c>
      <c r="U13" s="91">
        <f t="shared" si="7"/>
        <v>11980.24194</v>
      </c>
      <c r="V13" s="91">
        <f t="shared" si="8"/>
        <v>116.1018145</v>
      </c>
      <c r="W13" s="91">
        <f t="shared" si="9"/>
        <v>15480.24194</v>
      </c>
      <c r="X13" s="89"/>
      <c r="Y13" s="89"/>
      <c r="Z13" s="89"/>
      <c r="AA13" s="89"/>
      <c r="AB13" s="89"/>
      <c r="AC13" s="89"/>
      <c r="AD13" s="89"/>
      <c r="AE13" s="89"/>
      <c r="AF13" s="89"/>
      <c r="AG13" s="89"/>
      <c r="AH13" s="89"/>
    </row>
    <row r="14">
      <c r="A14" s="8" t="s">
        <v>152</v>
      </c>
      <c r="B14" s="90" t="s">
        <v>12</v>
      </c>
      <c r="C14" s="8" t="s">
        <v>13</v>
      </c>
      <c r="D14" s="89" t="str">
        <f t="shared" si="1"/>
        <v>MayVASANTHA</v>
      </c>
      <c r="E14" s="89" t="str">
        <f t="shared" si="2"/>
        <v>MayVASANTHAOT Hours</v>
      </c>
      <c r="F14" s="89" t="str">
        <f>IFERROR(VLOOKUP(C14,'Employees List'!$B$1:$G$999,2,0),"")</f>
        <v>VASANTHA</v>
      </c>
      <c r="G14" s="91">
        <f t="shared" si="11"/>
        <v>12692.79435</v>
      </c>
      <c r="H14" s="92">
        <v>45453.0</v>
      </c>
      <c r="I14" s="89" t="str">
        <f>IFERROR(VLOOKUP(F14,'Employees List'!$C:$F,2,0),"")</f>
        <v/>
      </c>
      <c r="J14" s="93" t="str">
        <f>IFERROR(VLOOKUP(C14,'Employees List'!$B$2:$G$991,5,0),"")</f>
        <v>8131010000016959</v>
      </c>
      <c r="K14" s="95">
        <f>IFERROR(VLOOKUP(F14,'Employees List'!$C$1:$AB$991,5,0),"")</f>
        <v>12000</v>
      </c>
      <c r="L14" s="91">
        <f t="shared" si="3"/>
        <v>8400</v>
      </c>
      <c r="M14" s="91">
        <f t="shared" si="4"/>
        <v>3600</v>
      </c>
      <c r="N14" s="89">
        <f>IFERROR(VLOOKUP(B14,'Employees List'!$A$2:$H$991,8,0),"")</f>
        <v>31</v>
      </c>
      <c r="O14" s="8">
        <v>28.5</v>
      </c>
      <c r="P14" s="8">
        <v>18.0</v>
      </c>
      <c r="Q14" s="8">
        <v>450.0</v>
      </c>
      <c r="R14" s="89"/>
      <c r="S14" s="91">
        <f t="shared" si="5"/>
        <v>11032.25806</v>
      </c>
      <c r="T14" s="91">
        <f t="shared" si="6"/>
        <v>1306.451613</v>
      </c>
      <c r="U14" s="91">
        <f t="shared" si="7"/>
        <v>12788.70968</v>
      </c>
      <c r="V14" s="91">
        <f t="shared" si="8"/>
        <v>95.91532258</v>
      </c>
      <c r="W14" s="91">
        <f t="shared" si="9"/>
        <v>12788.70968</v>
      </c>
      <c r="X14" s="89"/>
      <c r="Y14" s="89"/>
      <c r="Z14" s="89"/>
      <c r="AA14" s="89"/>
      <c r="AB14" s="89"/>
      <c r="AC14" s="89"/>
      <c r="AD14" s="89"/>
      <c r="AE14" s="89"/>
      <c r="AF14" s="89"/>
      <c r="AG14" s="89"/>
      <c r="AH14" s="89"/>
    </row>
    <row r="15">
      <c r="A15" s="8" t="s">
        <v>153</v>
      </c>
      <c r="B15" s="90" t="s">
        <v>12</v>
      </c>
      <c r="C15" s="8" t="s">
        <v>64</v>
      </c>
      <c r="D15" s="89" t="str">
        <f t="shared" si="1"/>
        <v>MaySUNDARI</v>
      </c>
      <c r="E15" s="89" t="str">
        <f t="shared" si="2"/>
        <v>MaySUNDARIOT Hours</v>
      </c>
      <c r="F15" s="89" t="str">
        <f>IFERROR(VLOOKUP(C15,'Employees List'!$B$1:$G$999,2,0),"")</f>
        <v>SUNDARI</v>
      </c>
      <c r="G15" s="91">
        <f t="shared" si="11"/>
        <v>19920.43548</v>
      </c>
      <c r="H15" s="92">
        <v>45453.0</v>
      </c>
      <c r="I15" s="89" t="str">
        <f>IFERROR(VLOOKUP(F15,'Employees List'!$C:$F,2,0),"")</f>
        <v/>
      </c>
      <c r="J15" s="93" t="str">
        <f>IFERROR(VLOOKUP(C15,'Employees List'!$B$2:$G$991,5,0),"")</f>
        <v>8131010000016977</v>
      </c>
      <c r="K15" s="95">
        <f>IFERROR(VLOOKUP(F15,'Employees List'!$C$1:$AB$991,5,0),"")</f>
        <v>18000</v>
      </c>
      <c r="L15" s="91">
        <f t="shared" si="3"/>
        <v>12600</v>
      </c>
      <c r="M15" s="91">
        <f t="shared" si="4"/>
        <v>5400</v>
      </c>
      <c r="N15" s="89">
        <f>IFERROR(VLOOKUP(B15,'Employees List'!$A$2:$H$991,8,0),"")</f>
        <v>31</v>
      </c>
      <c r="O15" s="89">
        <f>IFERROR(VLOOKUP(D15,'Daily Attendance Report 24-25'!A14:BP999,5,0),"")</f>
        <v>31</v>
      </c>
      <c r="P15" s="8">
        <v>8.0</v>
      </c>
      <c r="Q15" s="8">
        <v>1200.0</v>
      </c>
      <c r="R15" s="89"/>
      <c r="S15" s="91">
        <f t="shared" si="5"/>
        <v>18000</v>
      </c>
      <c r="T15" s="91">
        <f t="shared" si="6"/>
        <v>870.9677419</v>
      </c>
      <c r="U15" s="91">
        <f t="shared" si="7"/>
        <v>20070.96774</v>
      </c>
      <c r="V15" s="91">
        <f t="shared" si="8"/>
        <v>150.5322581</v>
      </c>
      <c r="W15" s="91">
        <f t="shared" si="9"/>
        <v>20070.96774</v>
      </c>
      <c r="X15" s="89"/>
      <c r="Y15" s="89"/>
      <c r="Z15" s="89"/>
      <c r="AA15" s="89"/>
      <c r="AB15" s="89"/>
      <c r="AC15" s="89"/>
      <c r="AD15" s="89"/>
      <c r="AE15" s="89"/>
      <c r="AF15" s="89"/>
      <c r="AG15" s="89"/>
      <c r="AH15" s="89"/>
    </row>
    <row r="16">
      <c r="A16" s="8" t="s">
        <v>154</v>
      </c>
      <c r="B16" s="90" t="s">
        <v>12</v>
      </c>
      <c r="C16" s="8" t="s">
        <v>70</v>
      </c>
      <c r="D16" s="89" t="str">
        <f t="shared" si="1"/>
        <v>MayMathi</v>
      </c>
      <c r="E16" s="89" t="str">
        <f t="shared" si="2"/>
        <v>MayMathiOT Hours</v>
      </c>
      <c r="F16" s="89" t="str">
        <f>IFERROR(VLOOKUP(C16,'Employees List'!$B$1:$G$999,2,0),"")</f>
        <v>Mathi</v>
      </c>
      <c r="G16" s="91">
        <f t="shared" si="11"/>
        <v>24299.64919</v>
      </c>
      <c r="H16" s="92">
        <v>45453.0</v>
      </c>
      <c r="I16" s="89" t="str">
        <f>IFERROR(VLOOKUP(F16,'Employees List'!$C:$F,2,0),"")</f>
        <v/>
      </c>
      <c r="J16" s="93" t="str">
        <f>IFERROR(VLOOKUP(C16,'Employees List'!$B$2:$G$991,5,0),"")</f>
        <v>8131010000016986</v>
      </c>
      <c r="K16" s="95">
        <f>IFERROR(VLOOKUP(F16,'Employees List'!$C$1:$AB$991,5,0),"")</f>
        <v>20000</v>
      </c>
      <c r="L16" s="91">
        <f t="shared" si="3"/>
        <v>14000</v>
      </c>
      <c r="M16" s="91">
        <f t="shared" si="4"/>
        <v>6000</v>
      </c>
      <c r="N16" s="89">
        <f>IFERROR(VLOOKUP(B16,'Employees List'!$A$2:$H$991,8,0),"")</f>
        <v>31</v>
      </c>
      <c r="O16" s="8">
        <v>31.0</v>
      </c>
      <c r="P16" s="8">
        <v>50.0</v>
      </c>
      <c r="Q16" s="8">
        <v>450.0</v>
      </c>
      <c r="R16" s="8">
        <v>2000.0</v>
      </c>
      <c r="S16" s="91">
        <f t="shared" si="5"/>
        <v>20000</v>
      </c>
      <c r="T16" s="91">
        <f t="shared" si="6"/>
        <v>6048.387097</v>
      </c>
      <c r="U16" s="91">
        <f t="shared" si="7"/>
        <v>24498.3871</v>
      </c>
      <c r="V16" s="91">
        <f t="shared" si="8"/>
        <v>198.7379032</v>
      </c>
      <c r="W16" s="91">
        <f t="shared" si="9"/>
        <v>26498.3871</v>
      </c>
      <c r="X16" s="89"/>
      <c r="Y16" s="89"/>
      <c r="Z16" s="89"/>
      <c r="AA16" s="89"/>
      <c r="AB16" s="89"/>
      <c r="AC16" s="89"/>
      <c r="AD16" s="89"/>
      <c r="AE16" s="89"/>
      <c r="AF16" s="89"/>
      <c r="AG16" s="89"/>
      <c r="AH16" s="89"/>
    </row>
    <row r="17">
      <c r="A17" s="8" t="s">
        <v>155</v>
      </c>
      <c r="B17" s="90" t="s">
        <v>12</v>
      </c>
      <c r="C17" s="8" t="s">
        <v>22</v>
      </c>
      <c r="D17" s="89" t="str">
        <f t="shared" si="1"/>
        <v>MayADHIKARI BALIA</v>
      </c>
      <c r="E17" s="89" t="str">
        <f t="shared" si="2"/>
        <v>MayADHIKARI BALIAOT Hours</v>
      </c>
      <c r="F17" s="89" t="str">
        <f>IFERROR(VLOOKUP(C17,'Employees List'!$B$1:$G$999,2,0),"")</f>
        <v>ADHIKARI BALIA</v>
      </c>
      <c r="G17" s="91">
        <f t="shared" si="11"/>
        <v>12812.85484</v>
      </c>
      <c r="H17" s="92">
        <v>45453.0</v>
      </c>
      <c r="I17" s="89" t="str">
        <f>IFERROR(VLOOKUP(F17,'Employees List'!$C:$F,2,0),"")</f>
        <v/>
      </c>
      <c r="J17" s="93" t="str">
        <f>IFERROR(VLOOKUP(C17,'Employees List'!$B$2:$G$991,5,0),"")</f>
        <v>8131010000018948</v>
      </c>
      <c r="K17" s="95">
        <f>IFERROR(VLOOKUP(F17,'Employees List'!$C$1:$AB$991,5,0),"")</f>
        <v>12000</v>
      </c>
      <c r="L17" s="91">
        <f t="shared" si="3"/>
        <v>8400</v>
      </c>
      <c r="M17" s="91">
        <f t="shared" si="4"/>
        <v>3600</v>
      </c>
      <c r="N17" s="89">
        <f>IFERROR(VLOOKUP(B17,'Employees List'!$A$2:$H$991,8,0),"")</f>
        <v>31</v>
      </c>
      <c r="O17" s="89">
        <f>IFERROR(VLOOKUP(D17,'Daily Attendance Report 24-25'!A16:BP999,5,0),"")</f>
        <v>18.5</v>
      </c>
      <c r="P17" s="8">
        <v>73.0</v>
      </c>
      <c r="Q17" s="8">
        <v>450.0</v>
      </c>
      <c r="R17" s="89"/>
      <c r="S17" s="91">
        <f t="shared" si="5"/>
        <v>7161.290323</v>
      </c>
      <c r="T17" s="91">
        <f t="shared" si="6"/>
        <v>5298.387097</v>
      </c>
      <c r="U17" s="91">
        <f t="shared" si="7"/>
        <v>12909.67742</v>
      </c>
      <c r="V17" s="91">
        <f t="shared" si="8"/>
        <v>96.82258065</v>
      </c>
      <c r="W17" s="91">
        <f t="shared" si="9"/>
        <v>12909.67742</v>
      </c>
      <c r="X17" s="89"/>
      <c r="Y17" s="89"/>
      <c r="Z17" s="89"/>
      <c r="AA17" s="89"/>
      <c r="AB17" s="89"/>
      <c r="AC17" s="89"/>
      <c r="AD17" s="89"/>
      <c r="AE17" s="89"/>
      <c r="AF17" s="89"/>
      <c r="AG17" s="89"/>
      <c r="AH17" s="89"/>
    </row>
    <row r="18">
      <c r="A18" s="8" t="s">
        <v>156</v>
      </c>
      <c r="B18" s="90" t="s">
        <v>12</v>
      </c>
      <c r="C18" s="8" t="s">
        <v>26</v>
      </c>
      <c r="D18" s="89" t="str">
        <f t="shared" si="1"/>
        <v>MayRUPESH</v>
      </c>
      <c r="E18" s="89" t="str">
        <f t="shared" si="2"/>
        <v>MayRUPESHOT Hours</v>
      </c>
      <c r="F18" s="89" t="str">
        <f>IFERROR(VLOOKUP(C18,'Employees List'!$B$1:$G$999,2,0),"")</f>
        <v>RUPESH</v>
      </c>
      <c r="G18" s="91">
        <f t="shared" si="11"/>
        <v>10293.09677</v>
      </c>
      <c r="H18" s="92">
        <v>45453.0</v>
      </c>
      <c r="I18" s="89" t="str">
        <f>IFERROR(VLOOKUP(F18,'Employees List'!$C:$F,2,0),"")</f>
        <v/>
      </c>
      <c r="J18" s="93" t="str">
        <f>IFERROR(VLOOKUP(C18,'Employees List'!$B$2:$G$991,5,0),"")</f>
        <v>8131010000020156</v>
      </c>
      <c r="K18" s="95">
        <f>IFERROR(VLOOKUP(F18,'Employees List'!$C$1:$AB$991,5,0),"")</f>
        <v>12000</v>
      </c>
      <c r="L18" s="91">
        <f t="shared" si="3"/>
        <v>8400</v>
      </c>
      <c r="M18" s="91">
        <f t="shared" si="4"/>
        <v>3600</v>
      </c>
      <c r="N18" s="89">
        <f>IFERROR(VLOOKUP(B18,'Employees List'!$A$2:$H$991,8,0),"")</f>
        <v>31</v>
      </c>
      <c r="O18" s="89">
        <f>IFERROR(VLOOKUP(D18,'Daily Attendance Report 24-25'!A17:BP999,5,0),"")</f>
        <v>19</v>
      </c>
      <c r="P18" s="89">
        <f>IFERROR(VLOOKUP(E18,'Daily Attendance Report 24-25'!$A$1:$BO$617,5,0),"")</f>
        <v>77</v>
      </c>
      <c r="Q18" s="8">
        <v>450.0</v>
      </c>
      <c r="R18" s="8">
        <v>3000.0</v>
      </c>
      <c r="S18" s="91">
        <f t="shared" si="5"/>
        <v>7354.83871</v>
      </c>
      <c r="T18" s="91">
        <f t="shared" si="6"/>
        <v>5588.709677</v>
      </c>
      <c r="U18" s="91">
        <f t="shared" si="7"/>
        <v>10393.54839</v>
      </c>
      <c r="V18" s="91">
        <f t="shared" si="8"/>
        <v>100.4516129</v>
      </c>
      <c r="W18" s="91">
        <f t="shared" si="9"/>
        <v>13393.54839</v>
      </c>
      <c r="X18" s="89"/>
      <c r="Y18" s="89"/>
      <c r="Z18" s="89"/>
      <c r="AA18" s="89"/>
      <c r="AB18" s="89"/>
      <c r="AC18" s="89"/>
      <c r="AD18" s="89"/>
      <c r="AE18" s="89"/>
      <c r="AF18" s="89"/>
      <c r="AG18" s="89"/>
      <c r="AH18" s="89"/>
    </row>
    <row r="19">
      <c r="A19" s="8" t="s">
        <v>157</v>
      </c>
      <c r="B19" s="90" t="s">
        <v>12</v>
      </c>
      <c r="C19" s="8" t="s">
        <v>30</v>
      </c>
      <c r="D19" s="89" t="str">
        <f t="shared" si="1"/>
        <v>MaySANJAI BHAGAT</v>
      </c>
      <c r="E19" s="89" t="str">
        <f t="shared" si="2"/>
        <v>MaySANJAI BHAGATOT Hours</v>
      </c>
      <c r="F19" s="89" t="str">
        <f>IFERROR(VLOOKUP(C19,'Employees List'!$B$1:$G$999,2,0),"")</f>
        <v>SANJAI BHAGAT</v>
      </c>
      <c r="G19" s="91">
        <f t="shared" si="11"/>
        <v>13437.16935</v>
      </c>
      <c r="H19" s="92">
        <v>45453.0</v>
      </c>
      <c r="I19" s="89" t="str">
        <f>IFERROR(VLOOKUP(F19,'Employees List'!$C:$F,2,0),"")</f>
        <v/>
      </c>
      <c r="J19" s="93" t="str">
        <f>IFERROR(VLOOKUP(C19,'Employees List'!$B$2:$G$991,5,0),"")</f>
        <v>8131010000021225</v>
      </c>
      <c r="K19" s="95">
        <f>IFERROR(VLOOKUP(F19,'Employees List'!$C$1:$AB$991,5,0),"")</f>
        <v>12000</v>
      </c>
      <c r="L19" s="91">
        <f t="shared" si="3"/>
        <v>8400</v>
      </c>
      <c r="M19" s="91">
        <f t="shared" si="4"/>
        <v>3600</v>
      </c>
      <c r="N19" s="89">
        <f>IFERROR(VLOOKUP(B19,'Employees List'!$A$2:$H$991,8,0),"")</f>
        <v>31</v>
      </c>
      <c r="O19" s="89">
        <f>IFERROR(VLOOKUP(D19,'Daily Attendance Report 24-25'!A18:BP999,5,0),"")</f>
        <v>19</v>
      </c>
      <c r="P19" s="89">
        <f>IFERROR(VLOOKUP(E19,'Daily Attendance Report 24-25'!$A$1:$BO$617,5,0),"")</f>
        <v>79</v>
      </c>
      <c r="Q19" s="8">
        <v>450.0</v>
      </c>
      <c r="R19" s="89"/>
      <c r="S19" s="91">
        <f t="shared" si="5"/>
        <v>7354.83871</v>
      </c>
      <c r="T19" s="91">
        <f t="shared" si="6"/>
        <v>5733.870968</v>
      </c>
      <c r="U19" s="91">
        <f t="shared" si="7"/>
        <v>13538.70968</v>
      </c>
      <c r="V19" s="91">
        <f t="shared" si="8"/>
        <v>101.5403226</v>
      </c>
      <c r="W19" s="91">
        <f t="shared" si="9"/>
        <v>13538.70968</v>
      </c>
      <c r="X19" s="89"/>
      <c r="Y19" s="89"/>
      <c r="Z19" s="89"/>
      <c r="AA19" s="89"/>
      <c r="AB19" s="89"/>
      <c r="AC19" s="89"/>
      <c r="AD19" s="89"/>
      <c r="AE19" s="89"/>
      <c r="AF19" s="89"/>
      <c r="AG19" s="89"/>
      <c r="AH19" s="89"/>
    </row>
    <row r="20">
      <c r="A20" s="8" t="s">
        <v>158</v>
      </c>
      <c r="B20" s="90" t="s">
        <v>17</v>
      </c>
      <c r="C20" s="8" t="s">
        <v>9</v>
      </c>
      <c r="D20" s="89" t="str">
        <f t="shared" si="1"/>
        <v>JuneBHUVANESWARAN</v>
      </c>
      <c r="E20" s="89" t="str">
        <f t="shared" si="2"/>
        <v>JuneBHUVANESWARANOT Hours</v>
      </c>
      <c r="F20" s="89" t="str">
        <f>IFERROR(VLOOKUP(C20,'Employees List'!$B$1:$G$999,2,0),"")</f>
        <v>BHUVANESWARAN</v>
      </c>
      <c r="G20" s="91">
        <f>U20</f>
        <v>60900</v>
      </c>
      <c r="H20" s="92">
        <v>45453.0</v>
      </c>
      <c r="I20" s="89" t="str">
        <f>IFERROR(VLOOKUP(F20,'Employees List'!$C:$F,2,0),"")</f>
        <v/>
      </c>
      <c r="J20" s="93">
        <f>IFERROR(VLOOKUP(C20,'Employees List'!$B$2:$G$991,5,0),"")</f>
        <v>500101011548924</v>
      </c>
      <c r="K20" s="95">
        <f>IFERROR(VLOOKUP(F20,'Employees List'!$C$1:$AB$991,5,0),"")</f>
        <v>60000</v>
      </c>
      <c r="L20" s="91">
        <f t="shared" si="3"/>
        <v>42000</v>
      </c>
      <c r="M20" s="91">
        <f t="shared" si="4"/>
        <v>18000</v>
      </c>
      <c r="N20" s="89">
        <f>IFERROR(VLOOKUP(B20,'Employees List'!$A$2:$H$991,8,0),"")</f>
        <v>30</v>
      </c>
      <c r="O20" s="89">
        <f>IFERROR(VLOOKUP(D20,'Daily Attendance Report 24-25'!A19:BP999,5,0),"")</f>
        <v>30</v>
      </c>
      <c r="P20" s="89">
        <f>IFERROR(VLOOKUP(E20,'Daily Attendance Report 24-25'!$A$1:$BO$617,5,0),"")</f>
        <v>0</v>
      </c>
      <c r="Q20" s="8">
        <v>900.0</v>
      </c>
      <c r="R20" s="89"/>
      <c r="S20" s="91">
        <f t="shared" si="5"/>
        <v>60000</v>
      </c>
      <c r="T20" s="91">
        <f t="shared" si="6"/>
        <v>0</v>
      </c>
      <c r="U20" s="91">
        <f t="shared" si="7"/>
        <v>60900</v>
      </c>
      <c r="V20" s="91">
        <f t="shared" si="8"/>
        <v>456.75</v>
      </c>
      <c r="W20" s="91">
        <f t="shared" si="9"/>
        <v>60900</v>
      </c>
      <c r="X20" s="89"/>
      <c r="Y20" s="89"/>
      <c r="Z20" s="89"/>
      <c r="AA20" s="89"/>
      <c r="AB20" s="89"/>
      <c r="AC20" s="89"/>
      <c r="AD20" s="89"/>
      <c r="AE20" s="89"/>
      <c r="AF20" s="89"/>
      <c r="AG20" s="89"/>
      <c r="AH20" s="89"/>
    </row>
    <row r="21">
      <c r="A21" s="8" t="s">
        <v>159</v>
      </c>
      <c r="B21" s="90" t="s">
        <v>17</v>
      </c>
      <c r="C21" s="8" t="s">
        <v>18</v>
      </c>
      <c r="D21" s="89" t="str">
        <f t="shared" si="1"/>
        <v>JuneGANESH</v>
      </c>
      <c r="E21" s="89" t="str">
        <f t="shared" si="2"/>
        <v>JuneGANESHOT Hours</v>
      </c>
      <c r="F21" s="89" t="str">
        <f>IFERROR(VLOOKUP(C21,'Employees List'!$B$1:$G$999,2,0),"")</f>
        <v>GANESH</v>
      </c>
      <c r="G21" s="91">
        <f t="shared" ref="G21:G28" si="12">U21-V21</f>
        <v>15712.74219</v>
      </c>
      <c r="H21" s="92">
        <v>45453.0</v>
      </c>
      <c r="I21" s="89" t="str">
        <f>IFERROR(VLOOKUP(F21,'Employees List'!$C:$F,2,0),"")</f>
        <v/>
      </c>
      <c r="J21" s="93" t="str">
        <f>IFERROR(VLOOKUP(C21,'Employees List'!$B$2:$G$991,5,0),"")</f>
        <v>8811010012054879</v>
      </c>
      <c r="K21" s="95">
        <f>IFERROR(VLOOKUP(F21,'Employees List'!$C$1:$AB$991,5,0),"")</f>
        <v>17500</v>
      </c>
      <c r="L21" s="91">
        <f t="shared" si="3"/>
        <v>12250</v>
      </c>
      <c r="M21" s="91">
        <f t="shared" si="4"/>
        <v>5250</v>
      </c>
      <c r="N21" s="89">
        <f>IFERROR(VLOOKUP(B21,'Employees List'!$A$2:$H$991,8,0),"")</f>
        <v>30</v>
      </c>
      <c r="O21" s="89">
        <f>IFERROR(VLOOKUP(D21,'Daily Attendance Report 24-25'!A20:BP999,5,0),"")</f>
        <v>30</v>
      </c>
      <c r="P21" s="89">
        <f>IFERROR(VLOOKUP(E21,'Daily Attendance Report 24-25'!$A$1:$BO$617,5,0),"")</f>
        <v>41</v>
      </c>
      <c r="Q21" s="8">
        <v>900.0</v>
      </c>
      <c r="R21" s="8">
        <v>7000.0</v>
      </c>
      <c r="S21" s="91">
        <f t="shared" si="5"/>
        <v>17500</v>
      </c>
      <c r="T21" s="91">
        <f t="shared" si="6"/>
        <v>4484.375</v>
      </c>
      <c r="U21" s="91">
        <f t="shared" si="7"/>
        <v>15884.375</v>
      </c>
      <c r="V21" s="91">
        <f t="shared" si="8"/>
        <v>171.6328125</v>
      </c>
      <c r="W21" s="91">
        <f t="shared" si="9"/>
        <v>22884.375</v>
      </c>
      <c r="X21" s="89"/>
      <c r="Y21" s="89"/>
      <c r="Z21" s="89"/>
      <c r="AA21" s="89"/>
      <c r="AB21" s="89"/>
      <c r="AC21" s="89"/>
      <c r="AD21" s="89"/>
      <c r="AE21" s="89"/>
      <c r="AF21" s="89"/>
      <c r="AG21" s="89"/>
      <c r="AH21" s="89"/>
    </row>
    <row r="22">
      <c r="A22" s="8" t="s">
        <v>160</v>
      </c>
      <c r="B22" s="90" t="s">
        <v>17</v>
      </c>
      <c r="C22" s="8" t="s">
        <v>13</v>
      </c>
      <c r="D22" s="89" t="str">
        <f t="shared" si="1"/>
        <v>JuneVASANTHA</v>
      </c>
      <c r="E22" s="89" t="str">
        <f t="shared" si="2"/>
        <v>JuneVASANTHAOT Hours</v>
      </c>
      <c r="F22" s="89" t="str">
        <f>IFERROR(VLOOKUP(C22,'Employees List'!$B$1:$G$999,2,0),"")</f>
        <v>VASANTHA</v>
      </c>
      <c r="G22" s="91">
        <f t="shared" si="12"/>
        <v>14316.8125</v>
      </c>
      <c r="H22" s="92">
        <v>45453.0</v>
      </c>
      <c r="I22" s="89" t="str">
        <f>IFERROR(VLOOKUP(F22,'Employees List'!$C:$F,2,0),"")</f>
        <v/>
      </c>
      <c r="J22" s="93" t="str">
        <f>IFERROR(VLOOKUP(C22,'Employees List'!$B$2:$G$991,5,0),"")</f>
        <v>8131010000016959</v>
      </c>
      <c r="K22" s="95">
        <f>IFERROR(VLOOKUP(F22,'Employees List'!$C$1:$AB$991,5,0),"")</f>
        <v>12000</v>
      </c>
      <c r="L22" s="91">
        <f t="shared" si="3"/>
        <v>8400</v>
      </c>
      <c r="M22" s="91">
        <f t="shared" si="4"/>
        <v>3600</v>
      </c>
      <c r="N22" s="89">
        <f>IFERROR(VLOOKUP(B22,'Employees List'!$A$2:$H$991,8,0),"")</f>
        <v>30</v>
      </c>
      <c r="O22" s="89">
        <f>IFERROR(VLOOKUP(D22,'Daily Attendance Report 24-25'!A21:BP999,5,0),"")</f>
        <v>28</v>
      </c>
      <c r="P22" s="89">
        <f>IFERROR(VLOOKUP(E22,'Daily Attendance Report 24-25'!$A$1:$BO$617,5,0),"")</f>
        <v>37</v>
      </c>
      <c r="Q22" s="8">
        <v>450.0</v>
      </c>
      <c r="R22" s="89"/>
      <c r="S22" s="91">
        <f t="shared" si="5"/>
        <v>11200</v>
      </c>
      <c r="T22" s="91">
        <f t="shared" si="6"/>
        <v>2775</v>
      </c>
      <c r="U22" s="91">
        <f t="shared" si="7"/>
        <v>14425</v>
      </c>
      <c r="V22" s="91">
        <f t="shared" si="8"/>
        <v>108.1875</v>
      </c>
      <c r="W22" s="91">
        <f t="shared" si="9"/>
        <v>14425</v>
      </c>
      <c r="X22" s="89"/>
      <c r="Y22" s="89"/>
      <c r="Z22" s="89"/>
      <c r="AA22" s="89"/>
      <c r="AB22" s="89"/>
      <c r="AC22" s="89"/>
      <c r="AD22" s="89"/>
      <c r="AE22" s="89"/>
      <c r="AF22" s="89"/>
      <c r="AG22" s="89"/>
      <c r="AH22" s="89"/>
    </row>
    <row r="23">
      <c r="A23" s="8" t="s">
        <v>161</v>
      </c>
      <c r="B23" s="90" t="s">
        <v>17</v>
      </c>
      <c r="C23" s="8" t="s">
        <v>64</v>
      </c>
      <c r="D23" s="89" t="str">
        <f t="shared" si="1"/>
        <v>JuneSUNDARI</v>
      </c>
      <c r="E23" s="89" t="str">
        <f t="shared" si="2"/>
        <v>JuneSUNDARIOT Hours</v>
      </c>
      <c r="F23" s="89" t="str">
        <f>IFERROR(VLOOKUP(C23,'Employees List'!$B$1:$G$999,2,0),"")</f>
        <v>SUNDARI</v>
      </c>
      <c r="G23" s="91">
        <f t="shared" si="12"/>
        <v>19390.96875</v>
      </c>
      <c r="H23" s="92">
        <v>45483.0</v>
      </c>
      <c r="I23" s="89" t="str">
        <f>IFERROR(VLOOKUP(F23,'Employees List'!$C:$F,2,0),"")</f>
        <v/>
      </c>
      <c r="J23" s="93" t="str">
        <f>IFERROR(VLOOKUP(C23,'Employees List'!$B$2:$G$991,5,0),"")</f>
        <v>8131010000016977</v>
      </c>
      <c r="K23" s="95">
        <f>IFERROR(VLOOKUP(F23,'Employees List'!$C$1:$AB$991,5,0),"")</f>
        <v>18000</v>
      </c>
      <c r="L23" s="91">
        <f t="shared" si="3"/>
        <v>12600</v>
      </c>
      <c r="M23" s="91">
        <f t="shared" si="4"/>
        <v>5400</v>
      </c>
      <c r="N23" s="89">
        <f>IFERROR(VLOOKUP(B23,'Employees List'!$A$2:$H$991,8,0),"")</f>
        <v>30</v>
      </c>
      <c r="O23" s="89">
        <f>IFERROR(VLOOKUP(D23,'Daily Attendance Report 24-25'!A22:BP999,5,0),"")</f>
        <v>30</v>
      </c>
      <c r="P23" s="89">
        <f>IFERROR(VLOOKUP(E23,'Daily Attendance Report 24-25'!$A$1:$BO$617,5,0),"")</f>
        <v>3</v>
      </c>
      <c r="Q23" s="8">
        <v>1200.0</v>
      </c>
      <c r="R23" s="89"/>
      <c r="S23" s="91">
        <f t="shared" si="5"/>
        <v>18000</v>
      </c>
      <c r="T23" s="91">
        <f t="shared" si="6"/>
        <v>337.5</v>
      </c>
      <c r="U23" s="91">
        <f t="shared" si="7"/>
        <v>19537.5</v>
      </c>
      <c r="V23" s="91">
        <f t="shared" si="8"/>
        <v>146.53125</v>
      </c>
      <c r="W23" s="91">
        <f t="shared" si="9"/>
        <v>19537.5</v>
      </c>
      <c r="X23" s="89"/>
      <c r="Y23" s="89"/>
      <c r="Z23" s="89"/>
      <c r="AA23" s="89"/>
      <c r="AB23" s="89"/>
      <c r="AC23" s="89"/>
      <c r="AD23" s="89"/>
      <c r="AE23" s="89"/>
      <c r="AF23" s="89"/>
      <c r="AG23" s="89"/>
      <c r="AH23" s="89"/>
    </row>
    <row r="24">
      <c r="A24" s="8" t="s">
        <v>162</v>
      </c>
      <c r="B24" s="90" t="s">
        <v>17</v>
      </c>
      <c r="C24" s="8" t="s">
        <v>70</v>
      </c>
      <c r="D24" s="89" t="str">
        <f t="shared" si="1"/>
        <v>JuneMathi</v>
      </c>
      <c r="E24" s="89" t="str">
        <f t="shared" si="2"/>
        <v>JuneMathiOT Hours</v>
      </c>
      <c r="F24" s="89" t="str">
        <f>IFERROR(VLOOKUP(C24,'Employees List'!$B$1:$G$999,2,0),"")</f>
        <v>Mathi</v>
      </c>
      <c r="G24" s="91">
        <f t="shared" si="12"/>
        <v>23552.35417</v>
      </c>
      <c r="H24" s="92">
        <v>45483.0</v>
      </c>
      <c r="I24" s="89" t="str">
        <f>IFERROR(VLOOKUP(F24,'Employees List'!$C:$F,2,0),"")</f>
        <v/>
      </c>
      <c r="J24" s="93" t="str">
        <f>IFERROR(VLOOKUP(C24,'Employees List'!$B$2:$G$991,5,0),"")</f>
        <v>8131010000016986</v>
      </c>
      <c r="K24" s="95">
        <f>IFERROR(VLOOKUP(F24,'Employees List'!$C$1:$AB$991,5,0),"")</f>
        <v>20000</v>
      </c>
      <c r="L24" s="91">
        <f t="shared" si="3"/>
        <v>14000</v>
      </c>
      <c r="M24" s="91">
        <f t="shared" si="4"/>
        <v>6000</v>
      </c>
      <c r="N24" s="89">
        <f>IFERROR(VLOOKUP(B24,'Employees List'!$A$2:$H$991,8,0),"")</f>
        <v>30</v>
      </c>
      <c r="O24" s="89">
        <f>IFERROR(VLOOKUP(D24,'Daily Attendance Report 24-25'!A23:BP999,5,0),"")</f>
        <v>28</v>
      </c>
      <c r="P24" s="89">
        <f>IFERROR(VLOOKUP(E24,'Daily Attendance Report 24-25'!$A$1:$BO$617,5,0),"")</f>
        <v>49</v>
      </c>
      <c r="Q24" s="8">
        <v>450.0</v>
      </c>
      <c r="R24" s="8">
        <v>1500.0</v>
      </c>
      <c r="S24" s="91">
        <f t="shared" si="5"/>
        <v>18666.66667</v>
      </c>
      <c r="T24" s="91">
        <f t="shared" si="6"/>
        <v>6125</v>
      </c>
      <c r="U24" s="91">
        <f t="shared" si="7"/>
        <v>23741.66667</v>
      </c>
      <c r="V24" s="91">
        <f t="shared" si="8"/>
        <v>189.3125</v>
      </c>
      <c r="W24" s="91">
        <f t="shared" si="9"/>
        <v>25241.66667</v>
      </c>
      <c r="X24" s="89"/>
      <c r="Y24" s="89"/>
      <c r="Z24" s="89"/>
      <c r="AA24" s="89"/>
      <c r="AB24" s="89"/>
      <c r="AC24" s="89"/>
      <c r="AD24" s="89"/>
      <c r="AE24" s="89"/>
      <c r="AF24" s="89"/>
      <c r="AG24" s="89"/>
      <c r="AH24" s="89"/>
    </row>
    <row r="25">
      <c r="A25" s="8" t="s">
        <v>163</v>
      </c>
      <c r="B25" s="90" t="s">
        <v>17</v>
      </c>
      <c r="C25" s="8" t="s">
        <v>26</v>
      </c>
      <c r="D25" s="89" t="str">
        <f t="shared" si="1"/>
        <v>JuneRUPESH</v>
      </c>
      <c r="E25" s="89" t="str">
        <f t="shared" si="2"/>
        <v>JuneRUPESHOT Hours</v>
      </c>
      <c r="F25" s="89" t="str">
        <f>IFERROR(VLOOKUP(C25,'Employees List'!$B$1:$G$999,2,0),"")</f>
        <v>RUPESH</v>
      </c>
      <c r="G25" s="91">
        <f t="shared" si="12"/>
        <v>21065.8125</v>
      </c>
      <c r="H25" s="92">
        <v>45483.0</v>
      </c>
      <c r="I25" s="89" t="str">
        <f>IFERROR(VLOOKUP(F25,'Employees List'!$C:$F,2,0),"")</f>
        <v/>
      </c>
      <c r="J25" s="93" t="str">
        <f>IFERROR(VLOOKUP(C25,'Employees List'!$B$2:$G$991,5,0),"")</f>
        <v>8131010000020156</v>
      </c>
      <c r="K25" s="95">
        <f>IFERROR(VLOOKUP(F25,'Employees List'!$C$1:$AB$991,5,0),"")</f>
        <v>12000</v>
      </c>
      <c r="L25" s="91">
        <f t="shared" si="3"/>
        <v>8400</v>
      </c>
      <c r="M25" s="91">
        <f t="shared" si="4"/>
        <v>3600</v>
      </c>
      <c r="N25" s="89">
        <f>IFERROR(VLOOKUP(B25,'Employees List'!$A$2:$H$991,8,0),"")</f>
        <v>30</v>
      </c>
      <c r="O25" s="89">
        <f>IFERROR(VLOOKUP(D25,'Daily Attendance Report 24-25'!A24:BP999,5,0),"")</f>
        <v>30</v>
      </c>
      <c r="P25" s="89">
        <f>IFERROR(VLOOKUP(E25,'Daily Attendance Report 24-25'!$A$1:$BO$617,5,0),"")</f>
        <v>111</v>
      </c>
      <c r="Q25" s="8">
        <v>900.0</v>
      </c>
      <c r="R25" s="89"/>
      <c r="S25" s="91">
        <f t="shared" si="5"/>
        <v>12000</v>
      </c>
      <c r="T25" s="91">
        <f t="shared" si="6"/>
        <v>8325</v>
      </c>
      <c r="U25" s="91">
        <f t="shared" si="7"/>
        <v>21225</v>
      </c>
      <c r="V25" s="91">
        <f t="shared" si="8"/>
        <v>159.1875</v>
      </c>
      <c r="W25" s="91">
        <f t="shared" si="9"/>
        <v>21225</v>
      </c>
      <c r="X25" s="89"/>
      <c r="Y25" s="89"/>
      <c r="Z25" s="89"/>
      <c r="AA25" s="89"/>
      <c r="AB25" s="89"/>
      <c r="AC25" s="89"/>
      <c r="AD25" s="89"/>
      <c r="AE25" s="89"/>
      <c r="AF25" s="89"/>
      <c r="AG25" s="89"/>
      <c r="AH25" s="89"/>
    </row>
    <row r="26">
      <c r="A26" s="8" t="s">
        <v>164</v>
      </c>
      <c r="B26" s="90" t="s">
        <v>17</v>
      </c>
      <c r="C26" s="8" t="s">
        <v>30</v>
      </c>
      <c r="D26" s="89" t="str">
        <f t="shared" si="1"/>
        <v>JuneSANJAI BHAGAT</v>
      </c>
      <c r="E26" s="89" t="str">
        <f t="shared" si="2"/>
        <v>JuneSANJAI BHAGATOT Hours</v>
      </c>
      <c r="F26" s="89" t="str">
        <f>IFERROR(VLOOKUP(C26,'Employees List'!$B$1:$G$999,2,0),"")</f>
        <v>SANJAI BHAGAT</v>
      </c>
      <c r="G26" s="91">
        <f t="shared" si="12"/>
        <v>22480.125</v>
      </c>
      <c r="H26" s="92">
        <v>45483.0</v>
      </c>
      <c r="I26" s="89" t="str">
        <f>IFERROR(VLOOKUP(F26,'Employees List'!$C:$F,2,0),"")</f>
        <v/>
      </c>
      <c r="J26" s="93" t="str">
        <f>IFERROR(VLOOKUP(C26,'Employees List'!$B$2:$G$991,5,0),"")</f>
        <v>8131010000021225</v>
      </c>
      <c r="K26" s="95">
        <f>IFERROR(VLOOKUP(F26,'Employees List'!$C$1:$AB$991,5,0),"")</f>
        <v>12000</v>
      </c>
      <c r="L26" s="91">
        <f t="shared" si="3"/>
        <v>8400</v>
      </c>
      <c r="M26" s="91">
        <f t="shared" si="4"/>
        <v>3600</v>
      </c>
      <c r="N26" s="89">
        <f>IFERROR(VLOOKUP(B26,'Employees List'!$A$2:$H$991,8,0),"")</f>
        <v>30</v>
      </c>
      <c r="O26" s="89">
        <f>IFERROR(VLOOKUP(D26,'Daily Attendance Report 24-25'!A25:BP999,5,0),"")</f>
        <v>30</v>
      </c>
      <c r="P26" s="89">
        <f>IFERROR(VLOOKUP(E26,'Daily Attendance Report 24-25'!$A$1:$BO$617,5,0),"")</f>
        <v>130</v>
      </c>
      <c r="Q26" s="8">
        <v>900.0</v>
      </c>
      <c r="R26" s="89"/>
      <c r="S26" s="91">
        <f t="shared" si="5"/>
        <v>12000</v>
      </c>
      <c r="T26" s="91">
        <f t="shared" si="6"/>
        <v>9750</v>
      </c>
      <c r="U26" s="91">
        <f t="shared" si="7"/>
        <v>22650</v>
      </c>
      <c r="V26" s="91">
        <f t="shared" si="8"/>
        <v>169.875</v>
      </c>
      <c r="W26" s="91">
        <f t="shared" si="9"/>
        <v>22650</v>
      </c>
      <c r="X26" s="89"/>
      <c r="Y26" s="89"/>
      <c r="Z26" s="89"/>
      <c r="AA26" s="89"/>
      <c r="AB26" s="89"/>
      <c r="AC26" s="89"/>
      <c r="AD26" s="89"/>
      <c r="AE26" s="89"/>
      <c r="AF26" s="89"/>
      <c r="AG26" s="89"/>
      <c r="AH26" s="89"/>
    </row>
    <row r="27">
      <c r="A27" s="8" t="s">
        <v>165</v>
      </c>
      <c r="B27" s="90" t="s">
        <v>17</v>
      </c>
      <c r="C27" s="8" t="s">
        <v>83</v>
      </c>
      <c r="D27" s="89" t="str">
        <f t="shared" si="1"/>
        <v>JuneLIPAN</v>
      </c>
      <c r="E27" s="89" t="str">
        <f t="shared" si="2"/>
        <v>JuneLIPANOT Hours</v>
      </c>
      <c r="F27" s="89" t="str">
        <f>IFERROR(VLOOKUP(C27,'Employees List'!$B$1:$G$999,2,0),"")</f>
        <v>LIPAN</v>
      </c>
      <c r="G27" s="91">
        <f t="shared" si="12"/>
        <v>6476.0625</v>
      </c>
      <c r="H27" s="92">
        <v>45483.0</v>
      </c>
      <c r="I27" s="89" t="str">
        <f>IFERROR(VLOOKUP(F27,'Employees List'!$C:$F,2,0),"")</f>
        <v/>
      </c>
      <c r="J27" s="93" t="str">
        <f>IFERROR(VLOOKUP(C27,'Employees List'!$B$2:$G$991,5,0),"")</f>
        <v>8131010000018957</v>
      </c>
      <c r="K27" s="95">
        <f>IFERROR(VLOOKUP(F27,'Employees List'!$C$1:$AB$991,5,0),"")</f>
        <v>12000</v>
      </c>
      <c r="L27" s="91">
        <f t="shared" si="3"/>
        <v>8400</v>
      </c>
      <c r="M27" s="91">
        <f t="shared" si="4"/>
        <v>3600</v>
      </c>
      <c r="N27" s="89">
        <f>IFERROR(VLOOKUP(B27,'Employees List'!$A$2:$H$991,8,0),"")</f>
        <v>30</v>
      </c>
      <c r="O27" s="89">
        <f>IFERROR(VLOOKUP(D27,'Daily Attendance Report 24-25'!A26:BP999,5,0),"")</f>
        <v>11</v>
      </c>
      <c r="P27" s="89">
        <f>IFERROR(VLOOKUP(E27,'Daily Attendance Report 24-25'!$A$1:$BO$617,5,0),"")</f>
        <v>27</v>
      </c>
      <c r="Q27" s="8">
        <v>100.0</v>
      </c>
      <c r="R27" s="89"/>
      <c r="S27" s="91">
        <f t="shared" si="5"/>
        <v>4400</v>
      </c>
      <c r="T27" s="91">
        <f t="shared" si="6"/>
        <v>2025</v>
      </c>
      <c r="U27" s="91">
        <f t="shared" si="7"/>
        <v>6525</v>
      </c>
      <c r="V27" s="91">
        <f t="shared" si="8"/>
        <v>48.9375</v>
      </c>
      <c r="W27" s="91">
        <f t="shared" si="9"/>
        <v>6525</v>
      </c>
      <c r="X27" s="89"/>
      <c r="Y27" s="89"/>
      <c r="Z27" s="89"/>
      <c r="AA27" s="89"/>
      <c r="AB27" s="89"/>
      <c r="AC27" s="89"/>
      <c r="AD27" s="89"/>
      <c r="AE27" s="89"/>
      <c r="AF27" s="89"/>
      <c r="AG27" s="89"/>
      <c r="AH27" s="89"/>
    </row>
    <row r="28">
      <c r="A28" s="8" t="s">
        <v>166</v>
      </c>
      <c r="B28" s="90" t="s">
        <v>17</v>
      </c>
      <c r="C28" s="8" t="s">
        <v>22</v>
      </c>
      <c r="D28" s="89" t="str">
        <f t="shared" si="1"/>
        <v>JuneADHIKARI BALIA</v>
      </c>
      <c r="E28" s="89" t="str">
        <f t="shared" si="2"/>
        <v>JuneADHIKARI BALIAOT Hours</v>
      </c>
      <c r="F28" s="89" t="str">
        <f>IFERROR(VLOOKUP(C28,'Employees List'!$B$1:$G$999,2,0),"")</f>
        <v>ADHIKARI BALIA</v>
      </c>
      <c r="G28" s="91">
        <f t="shared" si="12"/>
        <v>19949.25</v>
      </c>
      <c r="H28" s="92">
        <v>45483.0</v>
      </c>
      <c r="I28" s="89" t="str">
        <f>IFERROR(VLOOKUP(F28,'Employees List'!$C:$F,2,0),"")</f>
        <v/>
      </c>
      <c r="J28" s="93" t="str">
        <f>IFERROR(VLOOKUP(C28,'Employees List'!$B$2:$G$991,5,0),"")</f>
        <v>8131010000018948</v>
      </c>
      <c r="K28" s="95">
        <f>IFERROR(VLOOKUP(F28,'Employees List'!$C$1:$AB$991,5,0),"")</f>
        <v>12000</v>
      </c>
      <c r="L28" s="91">
        <f t="shared" si="3"/>
        <v>8400</v>
      </c>
      <c r="M28" s="91">
        <f t="shared" si="4"/>
        <v>3600</v>
      </c>
      <c r="N28" s="89">
        <f>IFERROR(VLOOKUP(B28,'Employees List'!$A$2:$H$991,8,0),"")</f>
        <v>30</v>
      </c>
      <c r="O28" s="89">
        <f>IFERROR(VLOOKUP(D28,'Daily Attendance Report 24-25'!A27:BP999,5,0),"")</f>
        <v>30</v>
      </c>
      <c r="P28" s="89">
        <f>IFERROR(VLOOKUP(E28,'Daily Attendance Report 24-25'!$A$1:$BO$617,5,0),"")</f>
        <v>96</v>
      </c>
      <c r="Q28" s="8">
        <v>900.0</v>
      </c>
      <c r="R28" s="89"/>
      <c r="S28" s="91">
        <f t="shared" si="5"/>
        <v>12000</v>
      </c>
      <c r="T28" s="91">
        <f t="shared" si="6"/>
        <v>7200</v>
      </c>
      <c r="U28" s="91">
        <f t="shared" si="7"/>
        <v>20100</v>
      </c>
      <c r="V28" s="91">
        <f t="shared" si="8"/>
        <v>150.75</v>
      </c>
      <c r="W28" s="91">
        <f t="shared" si="9"/>
        <v>20100</v>
      </c>
      <c r="X28" s="89"/>
      <c r="Y28" s="89"/>
      <c r="Z28" s="89"/>
      <c r="AA28" s="89"/>
      <c r="AB28" s="89"/>
      <c r="AC28" s="89"/>
      <c r="AD28" s="89"/>
      <c r="AE28" s="89"/>
      <c r="AF28" s="89"/>
      <c r="AG28" s="89"/>
      <c r="AH28" s="89"/>
    </row>
    <row r="29">
      <c r="A29" s="8" t="s">
        <v>167</v>
      </c>
      <c r="B29" s="90" t="s">
        <v>21</v>
      </c>
      <c r="C29" s="8" t="s">
        <v>9</v>
      </c>
      <c r="D29" s="89" t="str">
        <f t="shared" si="1"/>
        <v>JulyBHUVANESWARAN</v>
      </c>
      <c r="E29" s="89" t="str">
        <f t="shared" si="2"/>
        <v>JulyBHUVANESWARANOT Hours</v>
      </c>
      <c r="F29" s="89" t="str">
        <f>IFERROR(VLOOKUP(C29,'Employees List'!$B$1:$G$999,2,0),"")</f>
        <v>BHUVANESWARAN</v>
      </c>
      <c r="G29" s="91">
        <f>U29</f>
        <v>60900</v>
      </c>
      <c r="H29" s="92">
        <v>45483.0</v>
      </c>
      <c r="I29" s="89" t="str">
        <f>IFERROR(VLOOKUP(F29,'Employees List'!$C:$F,2,0),"")</f>
        <v/>
      </c>
      <c r="J29" s="93">
        <f>IFERROR(VLOOKUP(C29,'Employees List'!$B$2:$G$991,5,0),"")</f>
        <v>500101011548924</v>
      </c>
      <c r="K29" s="95">
        <f>IFERROR(VLOOKUP(F29,'Employees List'!$C$1:$AB$991,5,0),"")</f>
        <v>60000</v>
      </c>
      <c r="L29" s="91">
        <f t="shared" si="3"/>
        <v>42000</v>
      </c>
      <c r="M29" s="91">
        <f t="shared" si="4"/>
        <v>18000</v>
      </c>
      <c r="N29" s="89">
        <f>IFERROR(VLOOKUP(B29,'Employees List'!$A$2:$H$991,8,0),"")</f>
        <v>31</v>
      </c>
      <c r="O29" s="89">
        <f>IFERROR(VLOOKUP(D29,'Daily Attendance Report 24-25'!A28:BP999,5,0),"")</f>
        <v>31</v>
      </c>
      <c r="P29" s="89">
        <f>IFERROR(VLOOKUP(E29,'Daily Attendance Report 24-25'!$A$1:$BO$617,5,0),"")</f>
        <v>0</v>
      </c>
      <c r="Q29" s="8">
        <v>900.0</v>
      </c>
      <c r="R29" s="89"/>
      <c r="S29" s="91">
        <f t="shared" si="5"/>
        <v>60000</v>
      </c>
      <c r="T29" s="91">
        <f t="shared" si="6"/>
        <v>0</v>
      </c>
      <c r="U29" s="91">
        <f t="shared" si="7"/>
        <v>60900</v>
      </c>
      <c r="V29" s="91">
        <f t="shared" si="8"/>
        <v>456.75</v>
      </c>
      <c r="W29" s="91">
        <f t="shared" si="9"/>
        <v>60900</v>
      </c>
      <c r="X29" s="89"/>
      <c r="Y29" s="89"/>
      <c r="Z29" s="89"/>
      <c r="AA29" s="89"/>
      <c r="AB29" s="89"/>
      <c r="AC29" s="89"/>
      <c r="AD29" s="89"/>
      <c r="AE29" s="89"/>
      <c r="AF29" s="89"/>
      <c r="AG29" s="89"/>
      <c r="AH29" s="89"/>
    </row>
    <row r="30">
      <c r="A30" s="8" t="s">
        <v>168</v>
      </c>
      <c r="B30" s="90" t="s">
        <v>21</v>
      </c>
      <c r="C30" s="8" t="s">
        <v>18</v>
      </c>
      <c r="D30" s="89" t="str">
        <f t="shared" si="1"/>
        <v>JulyGANESH</v>
      </c>
      <c r="E30" s="89" t="str">
        <f t="shared" si="2"/>
        <v>JulyGANESHOT Hours</v>
      </c>
      <c r="F30" s="89" t="str">
        <f>IFERROR(VLOOKUP(C30,'Employees List'!$B$1:$G$999,2,0),"")</f>
        <v>GANESH</v>
      </c>
      <c r="G30" s="91">
        <f t="shared" ref="G30:G38" si="13">U30-V30</f>
        <v>12679.29889</v>
      </c>
      <c r="H30" s="92">
        <v>45483.0</v>
      </c>
      <c r="I30" s="89" t="str">
        <f>IFERROR(VLOOKUP(F30,'Employees List'!$C:$F,2,0),"")</f>
        <v/>
      </c>
      <c r="J30" s="93" t="str">
        <f>IFERROR(VLOOKUP(C30,'Employees List'!$B$2:$G$991,5,0),"")</f>
        <v>8811010012054879</v>
      </c>
      <c r="K30" s="95">
        <f>IFERROR(VLOOKUP(F30,'Employees List'!$C$1:$AB$991,5,0),"")</f>
        <v>17500</v>
      </c>
      <c r="L30" s="91">
        <f t="shared" si="3"/>
        <v>12250</v>
      </c>
      <c r="M30" s="91">
        <f t="shared" si="4"/>
        <v>5250</v>
      </c>
      <c r="N30" s="89">
        <f>IFERROR(VLOOKUP(B30,'Employees List'!$A$2:$H$991,8,0),"")</f>
        <v>31</v>
      </c>
      <c r="O30" s="89">
        <f>IFERROR(VLOOKUP(D30,'Daily Attendance Report 24-25'!A29:BP999,5,0),"")</f>
        <v>25.5</v>
      </c>
      <c r="P30" s="89">
        <f>IFERROR(VLOOKUP(E30,'Daily Attendance Report 24-25'!$A$1:$BO$617,5,0),"")</f>
        <v>9</v>
      </c>
      <c r="Q30" s="8">
        <v>450.0</v>
      </c>
      <c r="R30" s="8">
        <v>3000.0</v>
      </c>
      <c r="S30" s="91">
        <f t="shared" si="5"/>
        <v>14395.16129</v>
      </c>
      <c r="T30" s="91">
        <f t="shared" si="6"/>
        <v>952.6209677</v>
      </c>
      <c r="U30" s="91">
        <f t="shared" si="7"/>
        <v>12797.78226</v>
      </c>
      <c r="V30" s="91">
        <f t="shared" si="8"/>
        <v>118.4833669</v>
      </c>
      <c r="W30" s="91">
        <f t="shared" si="9"/>
        <v>15797.78226</v>
      </c>
      <c r="X30" s="89"/>
      <c r="Y30" s="89"/>
      <c r="Z30" s="89"/>
      <c r="AA30" s="89"/>
      <c r="AB30" s="89"/>
      <c r="AC30" s="89"/>
      <c r="AD30" s="89"/>
      <c r="AE30" s="89"/>
      <c r="AF30" s="89"/>
      <c r="AG30" s="89"/>
      <c r="AH30" s="89"/>
    </row>
    <row r="31">
      <c r="A31" s="8" t="s">
        <v>169</v>
      </c>
      <c r="B31" s="90" t="s">
        <v>21</v>
      </c>
      <c r="C31" s="8" t="s">
        <v>13</v>
      </c>
      <c r="D31" s="89" t="str">
        <f t="shared" si="1"/>
        <v>JulyVASANTHA</v>
      </c>
      <c r="E31" s="89" t="str">
        <f t="shared" si="2"/>
        <v>JulyVASANTHAOT Hours</v>
      </c>
      <c r="F31" s="89" t="str">
        <f>IFERROR(VLOOKUP(C31,'Employees List'!$B$1:$G$999,2,0),"")</f>
        <v>VASANTHA</v>
      </c>
      <c r="G31" s="91">
        <f t="shared" si="13"/>
        <v>10627.75403</v>
      </c>
      <c r="H31" s="92">
        <v>45514.0</v>
      </c>
      <c r="I31" s="89" t="str">
        <f>IFERROR(VLOOKUP(F31,'Employees List'!$C:$F,2,0),"")</f>
        <v/>
      </c>
      <c r="J31" s="93" t="str">
        <f>IFERROR(VLOOKUP(C31,'Employees List'!$B$2:$G$991,5,0),"")</f>
        <v>8131010000016959</v>
      </c>
      <c r="K31" s="95">
        <f>IFERROR(VLOOKUP(F31,'Employees List'!$C$1:$AB$991,5,0),"")</f>
        <v>12000</v>
      </c>
      <c r="L31" s="91">
        <f t="shared" si="3"/>
        <v>8400</v>
      </c>
      <c r="M31" s="91">
        <f t="shared" si="4"/>
        <v>3600</v>
      </c>
      <c r="N31" s="89">
        <f>IFERROR(VLOOKUP(B31,'Employees List'!$A$2:$H$991,8,0),"")</f>
        <v>31</v>
      </c>
      <c r="O31" s="89">
        <f>IFERROR(VLOOKUP(D31,'Daily Attendance Report 24-25'!A30:BP999,5,0),"")</f>
        <v>26.5</v>
      </c>
      <c r="P31" s="89">
        <f>IFERROR(VLOOKUP(E31,'Daily Attendance Report 24-25'!$A$1:$BO$617,5,0),"")</f>
        <v>0</v>
      </c>
      <c r="Q31" s="8">
        <v>450.0</v>
      </c>
      <c r="R31" s="89"/>
      <c r="S31" s="91">
        <f t="shared" si="5"/>
        <v>10258.06452</v>
      </c>
      <c r="T31" s="91">
        <f t="shared" si="6"/>
        <v>0</v>
      </c>
      <c r="U31" s="91">
        <f t="shared" si="7"/>
        <v>10708.06452</v>
      </c>
      <c r="V31" s="91">
        <f t="shared" si="8"/>
        <v>80.31048387</v>
      </c>
      <c r="W31" s="91">
        <f t="shared" si="9"/>
        <v>10708.06452</v>
      </c>
      <c r="X31" s="89"/>
      <c r="Y31" s="89"/>
      <c r="Z31" s="89"/>
      <c r="AA31" s="89"/>
      <c r="AB31" s="89"/>
      <c r="AC31" s="89"/>
      <c r="AD31" s="89"/>
      <c r="AE31" s="89"/>
      <c r="AF31" s="89"/>
      <c r="AG31" s="89"/>
      <c r="AH31" s="89"/>
    </row>
    <row r="32">
      <c r="A32" s="8" t="s">
        <v>170</v>
      </c>
      <c r="B32" s="90" t="s">
        <v>21</v>
      </c>
      <c r="C32" s="8" t="s">
        <v>64</v>
      </c>
      <c r="D32" s="89" t="str">
        <f t="shared" si="1"/>
        <v>JulySUNDARI</v>
      </c>
      <c r="E32" s="89" t="str">
        <f t="shared" si="2"/>
        <v>JulySUNDARIOT Hours</v>
      </c>
      <c r="F32" s="89" t="str">
        <f>IFERROR(VLOOKUP(C32,'Employees List'!$B$1:$G$999,2,0),"")</f>
        <v>SUNDARI</v>
      </c>
      <c r="G32" s="91">
        <f t="shared" si="13"/>
        <v>20136.54435</v>
      </c>
      <c r="H32" s="92">
        <v>45514.0</v>
      </c>
      <c r="I32" s="89" t="str">
        <f>IFERROR(VLOOKUP(F32,'Employees List'!$C:$F,2,0),"")</f>
        <v/>
      </c>
      <c r="J32" s="93" t="str">
        <f>IFERROR(VLOOKUP(C32,'Employees List'!$B$2:$G$991,5,0),"")</f>
        <v>8131010000016977</v>
      </c>
      <c r="K32" s="95">
        <f>IFERROR(VLOOKUP(F32,'Employees List'!$C$1:$AB$991,5,0),"")</f>
        <v>18000</v>
      </c>
      <c r="L32" s="91">
        <f t="shared" si="3"/>
        <v>12600</v>
      </c>
      <c r="M32" s="91">
        <f t="shared" si="4"/>
        <v>5400</v>
      </c>
      <c r="N32" s="89">
        <f>IFERROR(VLOOKUP(B32,'Employees List'!$A$2:$H$991,8,0),"")</f>
        <v>31</v>
      </c>
      <c r="O32" s="89">
        <f>IFERROR(VLOOKUP(D32,'Daily Attendance Report 24-25'!A31:BP999,5,0),"")</f>
        <v>31</v>
      </c>
      <c r="P32" s="89">
        <f>IFERROR(VLOOKUP(E32,'Daily Attendance Report 24-25'!$A$1:$BO$617,5,0),"")</f>
        <v>10</v>
      </c>
      <c r="Q32" s="8">
        <v>1200.0</v>
      </c>
      <c r="R32" s="89"/>
      <c r="S32" s="91">
        <f t="shared" si="5"/>
        <v>18000</v>
      </c>
      <c r="T32" s="91">
        <f t="shared" si="6"/>
        <v>1088.709677</v>
      </c>
      <c r="U32" s="91">
        <f t="shared" si="7"/>
        <v>20288.70968</v>
      </c>
      <c r="V32" s="91">
        <f t="shared" si="8"/>
        <v>152.1653226</v>
      </c>
      <c r="W32" s="91">
        <f t="shared" si="9"/>
        <v>20288.70968</v>
      </c>
      <c r="X32" s="89"/>
      <c r="Y32" s="89"/>
      <c r="Z32" s="89"/>
      <c r="AA32" s="89"/>
      <c r="AB32" s="89"/>
      <c r="AC32" s="89"/>
      <c r="AD32" s="89"/>
      <c r="AE32" s="89"/>
      <c r="AF32" s="89"/>
      <c r="AG32" s="89"/>
      <c r="AH32" s="89"/>
    </row>
    <row r="33">
      <c r="A33" s="8" t="s">
        <v>171</v>
      </c>
      <c r="B33" s="90" t="s">
        <v>21</v>
      </c>
      <c r="C33" s="8" t="s">
        <v>22</v>
      </c>
      <c r="D33" s="89" t="str">
        <f t="shared" si="1"/>
        <v>JulyADHIKARI BALIA</v>
      </c>
      <c r="E33" s="89" t="str">
        <f t="shared" si="2"/>
        <v>JulyADHIKARI BALIAOT Hours</v>
      </c>
      <c r="F33" s="89" t="str">
        <f>IFERROR(VLOOKUP(C33,'Employees List'!$B$1:$G$999,2,0),"")</f>
        <v>ADHIKARI BALIA</v>
      </c>
      <c r="G33" s="91">
        <f t="shared" si="13"/>
        <v>15214.06452</v>
      </c>
      <c r="H33" s="92">
        <v>45514.0</v>
      </c>
      <c r="I33" s="89" t="str">
        <f>IFERROR(VLOOKUP(F33,'Employees List'!$C:$F,2,0),"")</f>
        <v/>
      </c>
      <c r="J33" s="93" t="str">
        <f>IFERROR(VLOOKUP(C33,'Employees List'!$B$2:$G$991,5,0),"")</f>
        <v>8131010000018948</v>
      </c>
      <c r="K33" s="95">
        <f>IFERROR(VLOOKUP(F33,'Employees List'!$C$1:$AB$991,5,0),"")</f>
        <v>12000</v>
      </c>
      <c r="L33" s="91">
        <f t="shared" si="3"/>
        <v>8400</v>
      </c>
      <c r="M33" s="91">
        <f t="shared" si="4"/>
        <v>3600</v>
      </c>
      <c r="N33" s="89">
        <f>IFERROR(VLOOKUP(B33,'Employees List'!$A$2:$H$991,8,0),"")</f>
        <v>31</v>
      </c>
      <c r="O33" s="89">
        <f>IFERROR(VLOOKUP(D33,'Daily Attendance Report 24-25'!A32:BP999,5,0),"")</f>
        <v>30</v>
      </c>
      <c r="P33" s="89">
        <f>IFERROR(VLOOKUP(E33,'Daily Attendance Report 24-25'!$A$1:$BO$617,5,0),"")</f>
        <v>45</v>
      </c>
      <c r="Q33" s="8">
        <v>450.0</v>
      </c>
      <c r="R33" s="89"/>
      <c r="S33" s="91">
        <f t="shared" si="5"/>
        <v>11612.90323</v>
      </c>
      <c r="T33" s="91">
        <f t="shared" si="6"/>
        <v>3266.129032</v>
      </c>
      <c r="U33" s="91">
        <f t="shared" si="7"/>
        <v>15329.03226</v>
      </c>
      <c r="V33" s="91">
        <f t="shared" si="8"/>
        <v>114.9677419</v>
      </c>
      <c r="W33" s="91">
        <f t="shared" si="9"/>
        <v>15329.03226</v>
      </c>
      <c r="X33" s="89"/>
      <c r="Y33" s="89"/>
      <c r="Z33" s="89"/>
      <c r="AA33" s="89"/>
      <c r="AB33" s="89"/>
      <c r="AC33" s="89"/>
      <c r="AD33" s="89"/>
      <c r="AE33" s="89"/>
      <c r="AF33" s="89"/>
      <c r="AG33" s="89"/>
      <c r="AH33" s="89"/>
    </row>
    <row r="34">
      <c r="A34" s="8" t="s">
        <v>172</v>
      </c>
      <c r="B34" s="90" t="s">
        <v>21</v>
      </c>
      <c r="C34" s="8" t="s">
        <v>70</v>
      </c>
      <c r="D34" s="89" t="str">
        <f t="shared" si="1"/>
        <v>JulyMathi</v>
      </c>
      <c r="E34" s="89" t="str">
        <f t="shared" si="2"/>
        <v>JulyMathiOT Hours</v>
      </c>
      <c r="F34" s="89" t="str">
        <f>IFERROR(VLOOKUP(C34,'Employees List'!$B$1:$G$999,2,0),"")</f>
        <v>Mathi</v>
      </c>
      <c r="G34" s="91">
        <f t="shared" si="13"/>
        <v>22058.52016</v>
      </c>
      <c r="H34" s="92">
        <v>45514.0</v>
      </c>
      <c r="I34" s="89" t="str">
        <f>IFERROR(VLOOKUP(F34,'Employees List'!$C:$F,2,0),"")</f>
        <v/>
      </c>
      <c r="J34" s="93" t="str">
        <f>IFERROR(VLOOKUP(C34,'Employees List'!$B$2:$G$991,5,0),"")</f>
        <v>8131010000016986</v>
      </c>
      <c r="K34" s="95">
        <f>IFERROR(VLOOKUP(F34,'Employees List'!$C$1:$AB$991,5,0),"")</f>
        <v>20000</v>
      </c>
      <c r="L34" s="91">
        <f t="shared" si="3"/>
        <v>14000</v>
      </c>
      <c r="M34" s="91">
        <f t="shared" si="4"/>
        <v>6000</v>
      </c>
      <c r="N34" s="89">
        <f>IFERROR(VLOOKUP(B34,'Employees List'!$A$2:$H$991,8,0),"")</f>
        <v>31</v>
      </c>
      <c r="O34" s="89">
        <f>IFERROR(VLOOKUP(D34,'Daily Attendance Report 24-25'!A33:BP999,5,0),"")</f>
        <v>26</v>
      </c>
      <c r="P34" s="89">
        <f>IFERROR(VLOOKUP(E34,'Daily Attendance Report 24-25'!$A$1:$BO$617,5,0),"")</f>
        <v>58</v>
      </c>
      <c r="Q34" s="8">
        <v>450.0</v>
      </c>
      <c r="R34" s="8">
        <v>2000.0</v>
      </c>
      <c r="S34" s="91">
        <f t="shared" si="5"/>
        <v>16774.19355</v>
      </c>
      <c r="T34" s="91">
        <f t="shared" si="6"/>
        <v>7016.129032</v>
      </c>
      <c r="U34" s="91">
        <f t="shared" si="7"/>
        <v>22240.32258</v>
      </c>
      <c r="V34" s="91">
        <f t="shared" si="8"/>
        <v>181.8024194</v>
      </c>
      <c r="W34" s="91">
        <f t="shared" si="9"/>
        <v>24240.32258</v>
      </c>
      <c r="X34" s="89"/>
      <c r="Y34" s="89"/>
      <c r="Z34" s="89"/>
      <c r="AA34" s="89"/>
      <c r="AB34" s="89"/>
      <c r="AC34" s="89"/>
      <c r="AD34" s="89"/>
      <c r="AE34" s="89"/>
      <c r="AF34" s="89"/>
      <c r="AG34" s="89"/>
      <c r="AH34" s="89"/>
    </row>
    <row r="35">
      <c r="A35" s="8" t="s">
        <v>173</v>
      </c>
      <c r="B35" s="90" t="s">
        <v>21</v>
      </c>
      <c r="C35" s="8" t="s">
        <v>26</v>
      </c>
      <c r="D35" s="89" t="str">
        <f t="shared" si="1"/>
        <v>JulyRUPESH</v>
      </c>
      <c r="E35" s="89" t="str">
        <f t="shared" si="2"/>
        <v>JulyRUPESHOT Hours</v>
      </c>
      <c r="F35" s="89" t="str">
        <f>IFERROR(VLOOKUP(C35,'Employees List'!$B$1:$G$999,2,0),"")</f>
        <v>RUPESH</v>
      </c>
      <c r="G35" s="91">
        <f t="shared" si="13"/>
        <v>15684.70161</v>
      </c>
      <c r="H35" s="92">
        <v>45514.0</v>
      </c>
      <c r="I35" s="89" t="str">
        <f>IFERROR(VLOOKUP(F35,'Employees List'!$C:$F,2,0),"")</f>
        <v/>
      </c>
      <c r="J35" s="93" t="str">
        <f>IFERROR(VLOOKUP(C35,'Employees List'!$B$2:$G$991,5,0),"")</f>
        <v>8131010000020156</v>
      </c>
      <c r="K35" s="95">
        <f>IFERROR(VLOOKUP(F35,'Employees List'!$C$1:$AB$991,5,0),"")</f>
        <v>12000</v>
      </c>
      <c r="L35" s="91">
        <f t="shared" si="3"/>
        <v>8400</v>
      </c>
      <c r="M35" s="91">
        <f t="shared" si="4"/>
        <v>3600</v>
      </c>
      <c r="N35" s="89">
        <f>IFERROR(VLOOKUP(B35,'Employees List'!$A$2:$H$991,8,0),"")</f>
        <v>31</v>
      </c>
      <c r="O35" s="89">
        <f>IFERROR(VLOOKUP(D35,'Daily Attendance Report 24-25'!A34:BP999,5,0),"")</f>
        <v>31</v>
      </c>
      <c r="P35" s="89">
        <f>IFERROR(VLOOKUP(E35,'Daily Attendance Report 24-25'!$A$1:$BO$617,5,0),"")</f>
        <v>40</v>
      </c>
      <c r="Q35" s="8">
        <v>900.0</v>
      </c>
      <c r="R35" s="89"/>
      <c r="S35" s="91">
        <f t="shared" si="5"/>
        <v>12000</v>
      </c>
      <c r="T35" s="91">
        <f t="shared" si="6"/>
        <v>2903.225806</v>
      </c>
      <c r="U35" s="91">
        <f t="shared" si="7"/>
        <v>15803.22581</v>
      </c>
      <c r="V35" s="91">
        <f t="shared" si="8"/>
        <v>118.5241935</v>
      </c>
      <c r="W35" s="91">
        <f t="shared" si="9"/>
        <v>15803.22581</v>
      </c>
      <c r="X35" s="89"/>
      <c r="Y35" s="89"/>
      <c r="Z35" s="89"/>
      <c r="AA35" s="89"/>
      <c r="AB35" s="89"/>
      <c r="AC35" s="89"/>
      <c r="AD35" s="89"/>
      <c r="AE35" s="89"/>
      <c r="AF35" s="89"/>
      <c r="AG35" s="89"/>
      <c r="AH35" s="89"/>
    </row>
    <row r="36">
      <c r="A36" s="8" t="s">
        <v>174</v>
      </c>
      <c r="B36" s="90" t="s">
        <v>21</v>
      </c>
      <c r="C36" s="8" t="s">
        <v>30</v>
      </c>
      <c r="D36" s="89" t="str">
        <f t="shared" si="1"/>
        <v>JulySANJAI BHAGAT</v>
      </c>
      <c r="E36" s="89" t="str">
        <f t="shared" si="2"/>
        <v>JulySANJAI BHAGATOT Hours</v>
      </c>
      <c r="F36" s="89" t="str">
        <f>IFERROR(VLOOKUP(C36,'Employees List'!$B$1:$G$999,2,0),"")</f>
        <v>SANJAI BHAGAT</v>
      </c>
      <c r="G36" s="91">
        <f t="shared" si="13"/>
        <v>19718.73387</v>
      </c>
      <c r="H36" s="92">
        <v>45514.0</v>
      </c>
      <c r="I36" s="89" t="str">
        <f>IFERROR(VLOOKUP(F36,'Employees List'!$C:$F,2,0),"")</f>
        <v/>
      </c>
      <c r="J36" s="93" t="str">
        <f>IFERROR(VLOOKUP(C36,'Employees List'!$B$2:$G$991,5,0),"")</f>
        <v>8131010000021225</v>
      </c>
      <c r="K36" s="95">
        <f>IFERROR(VLOOKUP(F36,'Employees List'!$C$1:$AB$991,5,0),"")</f>
        <v>12000</v>
      </c>
      <c r="L36" s="91">
        <f t="shared" si="3"/>
        <v>8400</v>
      </c>
      <c r="M36" s="91">
        <f t="shared" si="4"/>
        <v>3600</v>
      </c>
      <c r="N36" s="89">
        <f>IFERROR(VLOOKUP(B36,'Employees List'!$A$2:$H$991,8,0),"")</f>
        <v>31</v>
      </c>
      <c r="O36" s="89">
        <f>IFERROR(VLOOKUP(D36,'Daily Attendance Report 24-25'!A35:BP999,5,0),"")</f>
        <v>31</v>
      </c>
      <c r="P36" s="89">
        <f>IFERROR(VLOOKUP(E36,'Daily Attendance Report 24-25'!$A$1:$BO$617,5,0),"")</f>
        <v>96</v>
      </c>
      <c r="Q36" s="8">
        <v>900.0</v>
      </c>
      <c r="R36" s="89"/>
      <c r="S36" s="91">
        <f t="shared" si="5"/>
        <v>12000</v>
      </c>
      <c r="T36" s="91">
        <f t="shared" si="6"/>
        <v>6967.741935</v>
      </c>
      <c r="U36" s="91">
        <f t="shared" si="7"/>
        <v>19867.74194</v>
      </c>
      <c r="V36" s="91">
        <f t="shared" si="8"/>
        <v>149.0080645</v>
      </c>
      <c r="W36" s="91">
        <f t="shared" si="9"/>
        <v>19867.74194</v>
      </c>
      <c r="X36" s="89"/>
      <c r="Y36" s="89"/>
      <c r="Z36" s="89"/>
      <c r="AA36" s="89"/>
      <c r="AB36" s="89"/>
      <c r="AC36" s="89"/>
      <c r="AD36" s="89"/>
      <c r="AE36" s="89"/>
      <c r="AF36" s="89"/>
      <c r="AG36" s="89"/>
      <c r="AH36" s="89"/>
    </row>
    <row r="37">
      <c r="A37" s="8" t="s">
        <v>175</v>
      </c>
      <c r="B37" s="90" t="s">
        <v>21</v>
      </c>
      <c r="C37" s="8" t="s">
        <v>83</v>
      </c>
      <c r="D37" s="89" t="str">
        <f t="shared" si="1"/>
        <v>JulyLIPAN</v>
      </c>
      <c r="E37" s="89" t="str">
        <f t="shared" si="2"/>
        <v>JulyLIPANOT Hours</v>
      </c>
      <c r="F37" s="89" t="str">
        <f>IFERROR(VLOOKUP(C37,'Employees List'!$B$1:$G$999,2,0),"")</f>
        <v>LIPAN</v>
      </c>
      <c r="G37" s="91">
        <f t="shared" si="13"/>
        <v>16726.82661</v>
      </c>
      <c r="H37" s="92">
        <v>45514.0</v>
      </c>
      <c r="I37" s="89" t="str">
        <f>IFERROR(VLOOKUP(F37,'Employees List'!$C:$F,2,0),"")</f>
        <v/>
      </c>
      <c r="J37" s="93" t="str">
        <f>IFERROR(VLOOKUP(C37,'Employees List'!$B$2:$G$991,5,0),"")</f>
        <v>8131010000018957</v>
      </c>
      <c r="K37" s="95">
        <f>IFERROR(VLOOKUP(F37,'Employees List'!$C$1:$AB$991,5,0),"")</f>
        <v>12000</v>
      </c>
      <c r="L37" s="91">
        <f t="shared" si="3"/>
        <v>8400</v>
      </c>
      <c r="M37" s="91">
        <f t="shared" si="4"/>
        <v>3600</v>
      </c>
      <c r="N37" s="89">
        <f>IFERROR(VLOOKUP(B37,'Employees List'!$A$2:$H$991,8,0),"")</f>
        <v>31</v>
      </c>
      <c r="O37" s="89">
        <f>IFERROR(VLOOKUP(D37,'Daily Attendance Report 24-25'!A36:BP999,5,0),"")</f>
        <v>30</v>
      </c>
      <c r="P37" s="89">
        <f>IFERROR(VLOOKUP(E37,'Daily Attendance Report 24-25'!$A$1:$BO$617,5,0),"")</f>
        <v>66</v>
      </c>
      <c r="Q37" s="8">
        <v>450.0</v>
      </c>
      <c r="R37" s="89"/>
      <c r="S37" s="91">
        <f t="shared" si="5"/>
        <v>11612.90323</v>
      </c>
      <c r="T37" s="91">
        <f t="shared" si="6"/>
        <v>4790.322581</v>
      </c>
      <c r="U37" s="91">
        <f t="shared" si="7"/>
        <v>16853.22581</v>
      </c>
      <c r="V37" s="91">
        <f t="shared" si="8"/>
        <v>126.3991935</v>
      </c>
      <c r="W37" s="91">
        <f t="shared" si="9"/>
        <v>16853.22581</v>
      </c>
      <c r="X37" s="89"/>
      <c r="Y37" s="89"/>
      <c r="Z37" s="89"/>
      <c r="AA37" s="89"/>
      <c r="AB37" s="89"/>
      <c r="AC37" s="89"/>
      <c r="AD37" s="89"/>
      <c r="AE37" s="89"/>
      <c r="AF37" s="89"/>
      <c r="AG37" s="89"/>
      <c r="AH37" s="89"/>
    </row>
    <row r="38">
      <c r="A38" s="8" t="s">
        <v>176</v>
      </c>
      <c r="B38" s="90" t="s">
        <v>21</v>
      </c>
      <c r="C38" s="8" t="s">
        <v>80</v>
      </c>
      <c r="D38" s="89" t="str">
        <f t="shared" si="1"/>
        <v>JulyJAGABANDH</v>
      </c>
      <c r="E38" s="89" t="str">
        <f t="shared" si="2"/>
        <v>JulyJAGABANDHOT Hours</v>
      </c>
      <c r="F38" s="89" t="str">
        <f>IFERROR(VLOOKUP(C38,'Employees List'!$B$1:$G$999,2,0),"")</f>
        <v>JAGABANDH</v>
      </c>
      <c r="G38" s="91">
        <f t="shared" si="13"/>
        <v>13981.35484</v>
      </c>
      <c r="H38" s="92">
        <v>45514.0</v>
      </c>
      <c r="I38" s="89" t="str">
        <f>IFERROR(VLOOKUP(F38,'Employees List'!$C:$F,2,0),"")</f>
        <v/>
      </c>
      <c r="J38" s="93" t="str">
        <f>IFERROR(VLOOKUP(C38,'Employees List'!$B$2:$G$991,5,0),"")</f>
        <v>8131010000018920</v>
      </c>
      <c r="K38" s="95">
        <f>IFERROR(VLOOKUP(F38,'Employees List'!$C$1:$AB$991,5,0),"")</f>
        <v>12000</v>
      </c>
      <c r="L38" s="91">
        <f t="shared" si="3"/>
        <v>8400</v>
      </c>
      <c r="M38" s="91">
        <f t="shared" si="4"/>
        <v>3600</v>
      </c>
      <c r="N38" s="89">
        <f>IFERROR(VLOOKUP(B38,'Employees List'!$A$2:$H$991,8,0),"")</f>
        <v>31</v>
      </c>
      <c r="O38" s="89">
        <f>IFERROR(VLOOKUP(D38,'Daily Attendance Report 24-25'!A37:BP999,5,0),"")</f>
        <v>31</v>
      </c>
      <c r="P38" s="89">
        <f>IFERROR(VLOOKUP(E38,'Daily Attendance Report 24-25'!$A$1:$BO$617,5,0),"")</f>
        <v>58</v>
      </c>
      <c r="Q38" s="8">
        <v>900.0</v>
      </c>
      <c r="R38" s="8">
        <v>3000.0</v>
      </c>
      <c r="S38" s="91">
        <f t="shared" si="5"/>
        <v>12000</v>
      </c>
      <c r="T38" s="91">
        <f t="shared" si="6"/>
        <v>4209.677419</v>
      </c>
      <c r="U38" s="91">
        <f t="shared" si="7"/>
        <v>14109.67742</v>
      </c>
      <c r="V38" s="91">
        <f t="shared" si="8"/>
        <v>128.3225806</v>
      </c>
      <c r="W38" s="91">
        <f t="shared" si="9"/>
        <v>17109.67742</v>
      </c>
      <c r="X38" s="89"/>
      <c r="Y38" s="89"/>
      <c r="Z38" s="89"/>
      <c r="AA38" s="89"/>
      <c r="AB38" s="89"/>
      <c r="AC38" s="89"/>
      <c r="AD38" s="89"/>
      <c r="AE38" s="89"/>
      <c r="AF38" s="89"/>
      <c r="AG38" s="89"/>
      <c r="AH38" s="89"/>
    </row>
    <row r="39">
      <c r="A39" s="8" t="s">
        <v>177</v>
      </c>
      <c r="B39" s="90" t="s">
        <v>25</v>
      </c>
      <c r="C39" s="8" t="s">
        <v>9</v>
      </c>
      <c r="D39" s="89" t="str">
        <f t="shared" si="1"/>
        <v>AugustBHUVANESWARAN</v>
      </c>
      <c r="E39" s="89" t="str">
        <f t="shared" si="2"/>
        <v>AugustBHUVANESWARANOT Hours</v>
      </c>
      <c r="F39" s="89" t="str">
        <f>IFERROR(VLOOKUP(C39,'Employees List'!$B$1:$G$999,2,0),"")</f>
        <v>BHUVANESWARAN</v>
      </c>
      <c r="G39" s="91">
        <f>U39</f>
        <v>60900</v>
      </c>
      <c r="H39" s="92">
        <v>45514.0</v>
      </c>
      <c r="I39" s="89" t="str">
        <f>IFERROR(VLOOKUP(F39,'Employees List'!$C:$F,2,0),"")</f>
        <v/>
      </c>
      <c r="J39" s="93">
        <f>IFERROR(VLOOKUP(C39,'Employees List'!$B$2:$G$991,5,0),"")</f>
        <v>500101011548924</v>
      </c>
      <c r="K39" s="95">
        <f>IFERROR(VLOOKUP(F39,'Employees List'!$C$1:$AB$991,5,0),"")</f>
        <v>60000</v>
      </c>
      <c r="L39" s="91">
        <f t="shared" si="3"/>
        <v>42000</v>
      </c>
      <c r="M39" s="91">
        <f t="shared" si="4"/>
        <v>18000</v>
      </c>
      <c r="N39" s="89">
        <f>IFERROR(VLOOKUP(B39,'Employees List'!$A$2:$H$991,8,0),"")</f>
        <v>31</v>
      </c>
      <c r="O39" s="89">
        <f>IFERROR(VLOOKUP(D39,'Daily Attendance Report 24-25'!A38:BP999,5,0),"")</f>
        <v>31</v>
      </c>
      <c r="P39" s="89">
        <f>IFERROR(VLOOKUP(E39,'Daily Attendance Report 24-25'!$A$1:$BO$617,5,0),"")</f>
        <v>0</v>
      </c>
      <c r="Q39" s="8">
        <v>900.0</v>
      </c>
      <c r="R39" s="89"/>
      <c r="S39" s="91">
        <f t="shared" si="5"/>
        <v>60000</v>
      </c>
      <c r="T39" s="91">
        <f t="shared" si="6"/>
        <v>0</v>
      </c>
      <c r="U39" s="91">
        <f t="shared" si="7"/>
        <v>60900</v>
      </c>
      <c r="V39" s="91">
        <f t="shared" si="8"/>
        <v>456.75</v>
      </c>
      <c r="W39" s="91">
        <f t="shared" si="9"/>
        <v>60900</v>
      </c>
      <c r="X39" s="89"/>
      <c r="Y39" s="89"/>
      <c r="Z39" s="89"/>
      <c r="AA39" s="89"/>
      <c r="AB39" s="89"/>
      <c r="AC39" s="89"/>
      <c r="AD39" s="89"/>
      <c r="AE39" s="89"/>
      <c r="AF39" s="89"/>
      <c r="AG39" s="89"/>
      <c r="AH39" s="89"/>
    </row>
    <row r="40">
      <c r="A40" s="8" t="s">
        <v>178</v>
      </c>
      <c r="B40" s="90" t="s">
        <v>25</v>
      </c>
      <c r="C40" s="8" t="s">
        <v>18</v>
      </c>
      <c r="D40" s="89" t="str">
        <f t="shared" si="1"/>
        <v>AugustGANESH</v>
      </c>
      <c r="E40" s="89" t="str">
        <f t="shared" si="2"/>
        <v>AugustGANESHOT Hours</v>
      </c>
      <c r="F40" s="89" t="str">
        <f>IFERROR(VLOOKUP(C40,'Employees List'!$B$1:$G$999,2,0),"")</f>
        <v>GANESH</v>
      </c>
      <c r="G40" s="91">
        <f t="shared" ref="G40:G53" si="14">U40-V40</f>
        <v>14780.35736</v>
      </c>
      <c r="H40" s="92">
        <v>45514.0</v>
      </c>
      <c r="I40" s="89" t="str">
        <f>IFERROR(VLOOKUP(F40,'Employees List'!$C:$F,2,0),"")</f>
        <v/>
      </c>
      <c r="J40" s="93" t="str">
        <f>IFERROR(VLOOKUP(C40,'Employees List'!$B$2:$G$991,5,0),"")</f>
        <v>8811010012054879</v>
      </c>
      <c r="K40" s="95">
        <f>IFERROR(VLOOKUP(F40,'Employees List'!$C$1:$AB$991,5,0),"")</f>
        <v>17500</v>
      </c>
      <c r="L40" s="91">
        <f t="shared" si="3"/>
        <v>12250</v>
      </c>
      <c r="M40" s="91">
        <f t="shared" si="4"/>
        <v>5250</v>
      </c>
      <c r="N40" s="89">
        <f>IFERROR(VLOOKUP(B40,'Employees List'!$A$2:$H$991,8,0),"")</f>
        <v>31</v>
      </c>
      <c r="O40" s="89">
        <f>IFERROR(VLOOKUP(D40,'Daily Attendance Report 24-25'!A39:BP999,5,0),"")</f>
        <v>30</v>
      </c>
      <c r="P40" s="89">
        <f>IFERROR(VLOOKUP(E40,'Daily Attendance Report 24-25'!$A$1:$BO$617,5,0),"")</f>
        <v>5</v>
      </c>
      <c r="Q40" s="8">
        <v>450.0</v>
      </c>
      <c r="R40" s="8">
        <v>3000.0</v>
      </c>
      <c r="S40" s="91">
        <f t="shared" si="5"/>
        <v>16935.48387</v>
      </c>
      <c r="T40" s="91">
        <f t="shared" si="6"/>
        <v>529.233871</v>
      </c>
      <c r="U40" s="91">
        <f t="shared" si="7"/>
        <v>14914.71774</v>
      </c>
      <c r="V40" s="91">
        <f t="shared" si="8"/>
        <v>134.3603831</v>
      </c>
      <c r="W40" s="91">
        <f t="shared" si="9"/>
        <v>17914.71774</v>
      </c>
      <c r="X40" s="89"/>
      <c r="Y40" s="89"/>
      <c r="Z40" s="89"/>
      <c r="AA40" s="89"/>
      <c r="AB40" s="89"/>
      <c r="AC40" s="89"/>
      <c r="AD40" s="89"/>
      <c r="AE40" s="89"/>
      <c r="AF40" s="89"/>
      <c r="AG40" s="89"/>
      <c r="AH40" s="89"/>
    </row>
    <row r="41">
      <c r="A41" s="8" t="s">
        <v>179</v>
      </c>
      <c r="B41" s="90" t="s">
        <v>25</v>
      </c>
      <c r="C41" s="8" t="s">
        <v>13</v>
      </c>
      <c r="D41" s="89" t="str">
        <f t="shared" si="1"/>
        <v>AugustVASANTHA</v>
      </c>
      <c r="E41" s="89" t="str">
        <f t="shared" si="2"/>
        <v>AugustVASANTHAOT Hours</v>
      </c>
      <c r="F41" s="89" t="str">
        <f>IFERROR(VLOOKUP(C41,'Employees List'!$B$1:$G$999,2,0),"")</f>
        <v>VASANTHA</v>
      </c>
      <c r="G41" s="91">
        <f t="shared" si="14"/>
        <v>11972.43145</v>
      </c>
      <c r="H41" s="92">
        <v>45514.0</v>
      </c>
      <c r="I41" s="89" t="str">
        <f>IFERROR(VLOOKUP(F41,'Employees List'!$C:$F,2,0),"")</f>
        <v/>
      </c>
      <c r="J41" s="93" t="str">
        <f>IFERROR(VLOOKUP(C41,'Employees List'!$B$2:$G$991,5,0),"")</f>
        <v>8131010000016959</v>
      </c>
      <c r="K41" s="95">
        <f>IFERROR(VLOOKUP(F41,'Employees List'!$C$1:$AB$991,5,0),"")</f>
        <v>12000</v>
      </c>
      <c r="L41" s="91">
        <f t="shared" si="3"/>
        <v>8400</v>
      </c>
      <c r="M41" s="91">
        <f t="shared" si="4"/>
        <v>3600</v>
      </c>
      <c r="N41" s="89">
        <f>IFERROR(VLOOKUP(B41,'Employees List'!$A$2:$H$991,8,0),"")</f>
        <v>31</v>
      </c>
      <c r="O41" s="89">
        <f>IFERROR(VLOOKUP(D41,'Daily Attendance Report 24-25'!A40:BP999,5,0),"")</f>
        <v>30</v>
      </c>
      <c r="P41" s="89">
        <f>IFERROR(VLOOKUP(E41,'Daily Attendance Report 24-25'!$A$1:$BO$617,5,0),"")</f>
        <v>0</v>
      </c>
      <c r="Q41" s="8">
        <v>450.0</v>
      </c>
      <c r="R41" s="89"/>
      <c r="S41" s="91">
        <f t="shared" si="5"/>
        <v>11612.90323</v>
      </c>
      <c r="T41" s="91">
        <f t="shared" si="6"/>
        <v>0</v>
      </c>
      <c r="U41" s="91">
        <f t="shared" si="7"/>
        <v>12062.90323</v>
      </c>
      <c r="V41" s="91">
        <f t="shared" si="8"/>
        <v>90.47177419</v>
      </c>
      <c r="W41" s="91">
        <f t="shared" si="9"/>
        <v>12062.90323</v>
      </c>
      <c r="X41" s="89"/>
      <c r="Y41" s="89"/>
      <c r="Z41" s="89"/>
      <c r="AA41" s="89"/>
      <c r="AB41" s="89"/>
      <c r="AC41" s="89"/>
      <c r="AD41" s="89"/>
      <c r="AE41" s="89"/>
      <c r="AF41" s="89"/>
      <c r="AG41" s="89"/>
      <c r="AH41" s="89"/>
    </row>
    <row r="42">
      <c r="A42" s="8" t="s">
        <v>180</v>
      </c>
      <c r="B42" s="90" t="s">
        <v>25</v>
      </c>
      <c r="C42" s="8" t="s">
        <v>64</v>
      </c>
      <c r="D42" s="89" t="str">
        <f t="shared" si="1"/>
        <v>AugustSUNDARI</v>
      </c>
      <c r="E42" s="89" t="str">
        <f t="shared" si="2"/>
        <v>AugustSUNDARIOT Hours</v>
      </c>
      <c r="F42" s="89" t="str">
        <f>IFERROR(VLOOKUP(C42,'Employees List'!$B$1:$G$999,2,0),"")</f>
        <v>SUNDARI</v>
      </c>
      <c r="G42" s="91">
        <f t="shared" si="14"/>
        <v>19488.21774</v>
      </c>
      <c r="H42" s="92">
        <v>45545.0</v>
      </c>
      <c r="I42" s="89" t="str">
        <f>IFERROR(VLOOKUP(F42,'Employees List'!$C:$F,2,0),"")</f>
        <v/>
      </c>
      <c r="J42" s="93" t="str">
        <f>IFERROR(VLOOKUP(C42,'Employees List'!$B$2:$G$991,5,0),"")</f>
        <v>8131010000016977</v>
      </c>
      <c r="K42" s="95">
        <f>IFERROR(VLOOKUP(F42,'Employees List'!$C$1:$AB$991,5,0),"")</f>
        <v>18000</v>
      </c>
      <c r="L42" s="91">
        <f t="shared" si="3"/>
        <v>12600</v>
      </c>
      <c r="M42" s="91">
        <f t="shared" si="4"/>
        <v>5400</v>
      </c>
      <c r="N42" s="89">
        <f>IFERROR(VLOOKUP(B42,'Employees List'!$A$2:$H$991,8,0),"")</f>
        <v>31</v>
      </c>
      <c r="O42" s="89">
        <f>IFERROR(VLOOKUP(D42,'Daily Attendance Report 24-25'!A41:BP999,5,0),"")</f>
        <v>31</v>
      </c>
      <c r="P42" s="89">
        <f>IFERROR(VLOOKUP(E42,'Daily Attendance Report 24-25'!$A$1:$BO$617,5,0),"")</f>
        <v>4</v>
      </c>
      <c r="Q42" s="8">
        <v>1200.0</v>
      </c>
      <c r="R42" s="89"/>
      <c r="S42" s="91">
        <f t="shared" si="5"/>
        <v>18000</v>
      </c>
      <c r="T42" s="91">
        <f t="shared" si="6"/>
        <v>435.483871</v>
      </c>
      <c r="U42" s="91">
        <f t="shared" si="7"/>
        <v>19635.48387</v>
      </c>
      <c r="V42" s="91">
        <f t="shared" si="8"/>
        <v>147.266129</v>
      </c>
      <c r="W42" s="91">
        <f t="shared" si="9"/>
        <v>19635.48387</v>
      </c>
      <c r="X42" s="89"/>
      <c r="Y42" s="89"/>
      <c r="Z42" s="89"/>
      <c r="AA42" s="89"/>
      <c r="AB42" s="89"/>
      <c r="AC42" s="89"/>
      <c r="AD42" s="89"/>
      <c r="AE42" s="89"/>
      <c r="AF42" s="89"/>
      <c r="AG42" s="89"/>
      <c r="AH42" s="89"/>
    </row>
    <row r="43">
      <c r="A43" s="8" t="s">
        <v>181</v>
      </c>
      <c r="B43" s="90" t="s">
        <v>25</v>
      </c>
      <c r="C43" s="8" t="s">
        <v>22</v>
      </c>
      <c r="D43" s="89" t="str">
        <f t="shared" si="1"/>
        <v>AugustADHIKARI BALIA</v>
      </c>
      <c r="E43" s="89" t="str">
        <f t="shared" si="2"/>
        <v>AugustADHIKARI BALIAOT Hours</v>
      </c>
      <c r="F43" s="89" t="str">
        <f>IFERROR(VLOOKUP(C43,'Employees List'!$B$1:$G$999,2,0),"")</f>
        <v>ADHIKARI BALIA</v>
      </c>
      <c r="G43" s="91">
        <f t="shared" si="14"/>
        <v>11812.85484</v>
      </c>
      <c r="H43" s="92">
        <v>45545.0</v>
      </c>
      <c r="I43" s="89" t="str">
        <f>IFERROR(VLOOKUP(F43,'Employees List'!$C:$F,2,0),"")</f>
        <v/>
      </c>
      <c r="J43" s="93" t="str">
        <f>IFERROR(VLOOKUP(C43,'Employees List'!$B$2:$G$991,5,0),"")</f>
        <v>8131010000018948</v>
      </c>
      <c r="K43" s="95">
        <f>IFERROR(VLOOKUP(F43,'Employees List'!$C$1:$AB$991,5,0),"")</f>
        <v>12000</v>
      </c>
      <c r="L43" s="91">
        <f t="shared" si="3"/>
        <v>8400</v>
      </c>
      <c r="M43" s="91">
        <f t="shared" si="4"/>
        <v>3600</v>
      </c>
      <c r="N43" s="89">
        <f>IFERROR(VLOOKUP(B43,'Employees List'!$A$2:$H$991,8,0),"")</f>
        <v>31</v>
      </c>
      <c r="O43" s="89">
        <f>IFERROR(VLOOKUP(D43,'Daily Attendance Report 24-25'!A42:BP999,5,0),"")</f>
        <v>29</v>
      </c>
      <c r="P43" s="89">
        <f>IFERROR(VLOOKUP(E43,'Daily Attendance Report 24-25'!$A$1:$BO$617,5,0),"")</f>
        <v>17</v>
      </c>
      <c r="Q43" s="8">
        <v>450.0</v>
      </c>
      <c r="R43" s="8">
        <v>1000.0</v>
      </c>
      <c r="S43" s="91">
        <f t="shared" si="5"/>
        <v>11225.80645</v>
      </c>
      <c r="T43" s="91">
        <f t="shared" si="6"/>
        <v>1233.870968</v>
      </c>
      <c r="U43" s="91">
        <f t="shared" si="7"/>
        <v>11909.67742</v>
      </c>
      <c r="V43" s="91">
        <f t="shared" si="8"/>
        <v>96.82258065</v>
      </c>
      <c r="W43" s="91">
        <f t="shared" si="9"/>
        <v>12909.67742</v>
      </c>
      <c r="X43" s="89"/>
      <c r="Y43" s="89"/>
      <c r="Z43" s="89"/>
      <c r="AA43" s="89"/>
      <c r="AB43" s="89"/>
      <c r="AC43" s="89"/>
      <c r="AD43" s="89"/>
      <c r="AE43" s="89"/>
      <c r="AF43" s="89"/>
      <c r="AG43" s="89"/>
      <c r="AH43" s="89"/>
    </row>
    <row r="44">
      <c r="A44" s="8" t="s">
        <v>182</v>
      </c>
      <c r="B44" s="90" t="s">
        <v>25</v>
      </c>
      <c r="C44" s="8" t="s">
        <v>70</v>
      </c>
      <c r="D44" s="89" t="str">
        <f t="shared" si="1"/>
        <v>AugustMathi</v>
      </c>
      <c r="E44" s="89" t="str">
        <f t="shared" si="2"/>
        <v>AugustMathiOT Hours</v>
      </c>
      <c r="F44" s="89" t="str">
        <f>IFERROR(VLOOKUP(C44,'Employees List'!$B$1:$G$999,2,0),"")</f>
        <v>Mathi</v>
      </c>
      <c r="G44" s="91">
        <f t="shared" si="14"/>
        <v>8773.33871</v>
      </c>
      <c r="H44" s="92">
        <v>45545.0</v>
      </c>
      <c r="I44" s="89" t="str">
        <f>IFERROR(VLOOKUP(F44,'Employees List'!$C:$F,2,0),"")</f>
        <v/>
      </c>
      <c r="J44" s="93" t="str">
        <f>IFERROR(VLOOKUP(C44,'Employees List'!$B$2:$G$991,5,0),"")</f>
        <v>8131010000016986</v>
      </c>
      <c r="K44" s="95">
        <f>IFERROR(VLOOKUP(F44,'Employees List'!$C$1:$AB$991,5,0),"")</f>
        <v>20000</v>
      </c>
      <c r="L44" s="91">
        <f t="shared" si="3"/>
        <v>14000</v>
      </c>
      <c r="M44" s="91">
        <f t="shared" si="4"/>
        <v>6000</v>
      </c>
      <c r="N44" s="89">
        <f>IFERROR(VLOOKUP(B44,'Employees List'!$A$2:$H$991,8,0),"")</f>
        <v>31</v>
      </c>
      <c r="O44" s="89">
        <f>IFERROR(VLOOKUP(D44,'Daily Attendance Report 24-25'!A43:BP999,5,0),"")</f>
        <v>16.5</v>
      </c>
      <c r="P44" s="89">
        <f>IFERROR(VLOOKUP(E44,'Daily Attendance Report 24-25'!$A$1:$BO$617,5,0),"")</f>
        <v>23</v>
      </c>
      <c r="Q44" s="8">
        <v>450.0</v>
      </c>
      <c r="R44" s="8">
        <v>5000.0</v>
      </c>
      <c r="S44" s="91">
        <f t="shared" si="5"/>
        <v>10645.16129</v>
      </c>
      <c r="T44" s="91">
        <f t="shared" si="6"/>
        <v>2782.258065</v>
      </c>
      <c r="U44" s="91">
        <f t="shared" si="7"/>
        <v>8877.419355</v>
      </c>
      <c r="V44" s="91">
        <f t="shared" si="8"/>
        <v>104.0806452</v>
      </c>
      <c r="W44" s="91">
        <f t="shared" si="9"/>
        <v>13877.41935</v>
      </c>
      <c r="X44" s="89"/>
      <c r="Y44" s="89"/>
      <c r="Z44" s="89"/>
      <c r="AA44" s="89"/>
      <c r="AB44" s="89"/>
      <c r="AC44" s="89"/>
      <c r="AD44" s="89"/>
      <c r="AE44" s="89"/>
      <c r="AF44" s="89"/>
      <c r="AG44" s="89"/>
      <c r="AH44" s="89"/>
    </row>
    <row r="45">
      <c r="A45" s="8" t="s">
        <v>183</v>
      </c>
      <c r="B45" s="90" t="s">
        <v>25</v>
      </c>
      <c r="C45" s="8" t="s">
        <v>26</v>
      </c>
      <c r="D45" s="89" t="str">
        <f t="shared" si="1"/>
        <v>AugustRUPESH</v>
      </c>
      <c r="E45" s="89" t="str">
        <f t="shared" si="2"/>
        <v>AugustRUPESHOT Hours</v>
      </c>
      <c r="F45" s="89" t="str">
        <f>IFERROR(VLOOKUP(C45,'Employees List'!$B$1:$G$999,2,0),"")</f>
        <v>RUPESH</v>
      </c>
      <c r="G45" s="91">
        <f t="shared" si="14"/>
        <v>11388.04839</v>
      </c>
      <c r="H45" s="92">
        <v>45545.0</v>
      </c>
      <c r="I45" s="89" t="str">
        <f>IFERROR(VLOOKUP(F45,'Employees List'!$C:$F,2,0),"")</f>
        <v/>
      </c>
      <c r="J45" s="93" t="str">
        <f>IFERROR(VLOOKUP(C45,'Employees List'!$B$2:$G$991,5,0),"")</f>
        <v>8131010000020156</v>
      </c>
      <c r="K45" s="95">
        <f>IFERROR(VLOOKUP(F45,'Employees List'!$C$1:$AB$991,5,0),"")</f>
        <v>12000</v>
      </c>
      <c r="L45" s="91">
        <f t="shared" si="3"/>
        <v>8400</v>
      </c>
      <c r="M45" s="91">
        <f t="shared" si="4"/>
        <v>3600</v>
      </c>
      <c r="N45" s="89">
        <f>IFERROR(VLOOKUP(B45,'Employees List'!$A$2:$H$991,8,0),"")</f>
        <v>31</v>
      </c>
      <c r="O45" s="89">
        <f>IFERROR(VLOOKUP(D45,'Daily Attendance Report 24-25'!A44:BP999,5,0),"")</f>
        <v>31</v>
      </c>
      <c r="P45" s="89">
        <f>IFERROR(VLOOKUP(E45,'Daily Attendance Report 24-25'!$A$1:$BO$617,5,0),"")</f>
        <v>22</v>
      </c>
      <c r="Q45" s="8">
        <v>900.0</v>
      </c>
      <c r="R45" s="8">
        <v>3000.0</v>
      </c>
      <c r="S45" s="91">
        <f t="shared" si="5"/>
        <v>12000</v>
      </c>
      <c r="T45" s="91">
        <f t="shared" si="6"/>
        <v>1596.774194</v>
      </c>
      <c r="U45" s="91">
        <f t="shared" si="7"/>
        <v>11496.77419</v>
      </c>
      <c r="V45" s="91">
        <f t="shared" si="8"/>
        <v>108.7258065</v>
      </c>
      <c r="W45" s="91">
        <f t="shared" si="9"/>
        <v>14496.77419</v>
      </c>
      <c r="X45" s="89"/>
      <c r="Y45" s="89"/>
      <c r="Z45" s="89"/>
      <c r="AA45" s="89"/>
      <c r="AB45" s="89"/>
      <c r="AC45" s="89"/>
      <c r="AD45" s="89"/>
      <c r="AE45" s="89"/>
      <c r="AF45" s="89"/>
      <c r="AG45" s="89"/>
      <c r="AH45" s="89"/>
    </row>
    <row r="46">
      <c r="A46" s="8" t="s">
        <v>184</v>
      </c>
      <c r="B46" s="90" t="s">
        <v>25</v>
      </c>
      <c r="C46" s="8" t="s">
        <v>30</v>
      </c>
      <c r="D46" s="89" t="str">
        <f t="shared" si="1"/>
        <v>AugustSANJAI BHAGAT</v>
      </c>
      <c r="E46" s="89" t="str">
        <f t="shared" si="2"/>
        <v>AugustSANJAI BHAGATOT Hours</v>
      </c>
      <c r="F46" s="89" t="str">
        <f>IFERROR(VLOOKUP(C46,'Employees List'!$B$1:$G$999,2,0),"")</f>
        <v>SANJAI BHAGAT</v>
      </c>
      <c r="G46" s="91">
        <f t="shared" si="14"/>
        <v>14733.82258</v>
      </c>
      <c r="H46" s="92">
        <v>45545.0</v>
      </c>
      <c r="I46" s="89" t="str">
        <f>IFERROR(VLOOKUP(F46,'Employees List'!$C:$F,2,0),"")</f>
        <v/>
      </c>
      <c r="J46" s="93" t="str">
        <f>IFERROR(VLOOKUP(C46,'Employees List'!$B$2:$G$991,5,0),"")</f>
        <v>8131010000021225</v>
      </c>
      <c r="K46" s="95">
        <f>IFERROR(VLOOKUP(F46,'Employees List'!$C$1:$AB$991,5,0),"")</f>
        <v>12000</v>
      </c>
      <c r="L46" s="91">
        <f t="shared" si="3"/>
        <v>8400</v>
      </c>
      <c r="M46" s="91">
        <f t="shared" si="4"/>
        <v>3600</v>
      </c>
      <c r="N46" s="89">
        <f>IFERROR(VLOOKUP(B46,'Employees List'!$A$2:$H$991,8,0),"")</f>
        <v>31</v>
      </c>
      <c r="O46" s="89">
        <f>IFERROR(VLOOKUP(D46,'Daily Attendance Report 24-25'!A45:BP999,5,0),"")</f>
        <v>28</v>
      </c>
      <c r="P46" s="89">
        <f>IFERROR(VLOOKUP(E46,'Daily Attendance Report 24-25'!$A$1:$BO$617,5,0),"")</f>
        <v>49</v>
      </c>
      <c r="Q46" s="8">
        <v>450.0</v>
      </c>
      <c r="R46" s="89"/>
      <c r="S46" s="91">
        <f t="shared" si="5"/>
        <v>10838.70968</v>
      </c>
      <c r="T46" s="91">
        <f t="shared" si="6"/>
        <v>3556.451613</v>
      </c>
      <c r="U46" s="91">
        <f t="shared" si="7"/>
        <v>14845.16129</v>
      </c>
      <c r="V46" s="91">
        <f t="shared" si="8"/>
        <v>111.3387097</v>
      </c>
      <c r="W46" s="91">
        <f t="shared" si="9"/>
        <v>14845.16129</v>
      </c>
      <c r="X46" s="89"/>
      <c r="Y46" s="89"/>
      <c r="Z46" s="89"/>
      <c r="AA46" s="89"/>
      <c r="AB46" s="89"/>
      <c r="AC46" s="89"/>
      <c r="AD46" s="89"/>
      <c r="AE46" s="89"/>
      <c r="AF46" s="89"/>
      <c r="AG46" s="89"/>
      <c r="AH46" s="89"/>
    </row>
    <row r="47">
      <c r="A47" s="8" t="s">
        <v>185</v>
      </c>
      <c r="B47" s="90" t="s">
        <v>25</v>
      </c>
      <c r="C47" s="8" t="s">
        <v>83</v>
      </c>
      <c r="D47" s="89" t="str">
        <f t="shared" si="1"/>
        <v>AugustLIPAN</v>
      </c>
      <c r="E47" s="89" t="str">
        <f t="shared" si="2"/>
        <v>AugustLIPANOT Hours</v>
      </c>
      <c r="F47" s="89" t="str">
        <f>IFERROR(VLOOKUP(C47,'Employees List'!$B$1:$G$999,2,0),"")</f>
        <v>LIPAN</v>
      </c>
      <c r="G47" s="91">
        <f t="shared" si="14"/>
        <v>15972.84677</v>
      </c>
      <c r="H47" s="92">
        <v>45545.0</v>
      </c>
      <c r="I47" s="89" t="str">
        <f>IFERROR(VLOOKUP(F47,'Employees List'!$C:$F,2,0),"")</f>
        <v/>
      </c>
      <c r="J47" s="93" t="str">
        <f>IFERROR(VLOOKUP(C47,'Employees List'!$B$2:$G$991,5,0),"")</f>
        <v>8131010000018957</v>
      </c>
      <c r="K47" s="95">
        <f>IFERROR(VLOOKUP(F47,'Employees List'!$C$1:$AB$991,5,0),"")</f>
        <v>12000</v>
      </c>
      <c r="L47" s="91">
        <f t="shared" si="3"/>
        <v>8400</v>
      </c>
      <c r="M47" s="91">
        <f t="shared" si="4"/>
        <v>3600</v>
      </c>
      <c r="N47" s="89">
        <f>IFERROR(VLOOKUP(B47,'Employees List'!$A$2:$H$991,8,0),"")</f>
        <v>31</v>
      </c>
      <c r="O47" s="89">
        <f>IFERROR(VLOOKUP(D47,'Daily Attendance Report 24-25'!A46:BP999,5,0),"")</f>
        <v>31</v>
      </c>
      <c r="P47" s="89">
        <f>IFERROR(VLOOKUP(E47,'Daily Attendance Report 24-25'!$A$1:$BO$617,5,0),"")</f>
        <v>44</v>
      </c>
      <c r="Q47" s="8">
        <v>900.0</v>
      </c>
      <c r="R47" s="89"/>
      <c r="S47" s="91">
        <f t="shared" si="5"/>
        <v>12000</v>
      </c>
      <c r="T47" s="91">
        <f t="shared" si="6"/>
        <v>3193.548387</v>
      </c>
      <c r="U47" s="91">
        <f t="shared" si="7"/>
        <v>16093.54839</v>
      </c>
      <c r="V47" s="91">
        <f t="shared" si="8"/>
        <v>120.7016129</v>
      </c>
      <c r="W47" s="91">
        <f t="shared" si="9"/>
        <v>16093.54839</v>
      </c>
      <c r="X47" s="89"/>
      <c r="Y47" s="89"/>
      <c r="Z47" s="89"/>
      <c r="AA47" s="89"/>
      <c r="AB47" s="89"/>
      <c r="AC47" s="89"/>
      <c r="AD47" s="89"/>
      <c r="AE47" s="89"/>
      <c r="AF47" s="89"/>
      <c r="AG47" s="89"/>
      <c r="AH47" s="89"/>
    </row>
    <row r="48">
      <c r="A48" s="8" t="s">
        <v>186</v>
      </c>
      <c r="B48" s="90" t="s">
        <v>25</v>
      </c>
      <c r="C48" s="8" t="s">
        <v>80</v>
      </c>
      <c r="D48" s="89" t="str">
        <f t="shared" si="1"/>
        <v>AugustJAGABANDH</v>
      </c>
      <c r="E48" s="89" t="str">
        <f t="shared" si="2"/>
        <v>AugustJAGABANDHOT Hours</v>
      </c>
      <c r="F48" s="89" t="str">
        <f>IFERROR(VLOOKUP(C48,'Employees List'!$B$1:$G$999,2,0),"")</f>
        <v>JAGABANDH</v>
      </c>
      <c r="G48" s="91">
        <f t="shared" si="14"/>
        <v>14676.19355</v>
      </c>
      <c r="H48" s="92">
        <v>45545.0</v>
      </c>
      <c r="I48" s="89" t="str">
        <f>IFERROR(VLOOKUP(F48,'Employees List'!$C:$F,2,0),"")</f>
        <v/>
      </c>
      <c r="J48" s="93" t="str">
        <f>IFERROR(VLOOKUP(C48,'Employees List'!$B$2:$G$991,5,0),"")</f>
        <v>8131010000018920</v>
      </c>
      <c r="K48" s="95">
        <f>IFERROR(VLOOKUP(F48,'Employees List'!$C$1:$AB$991,5,0),"")</f>
        <v>12000</v>
      </c>
      <c r="L48" s="91">
        <f t="shared" si="3"/>
        <v>8400</v>
      </c>
      <c r="M48" s="91">
        <f t="shared" si="4"/>
        <v>3600</v>
      </c>
      <c r="N48" s="89">
        <f>IFERROR(VLOOKUP(B48,'Employees List'!$A$2:$H$991,8,0),"")</f>
        <v>31</v>
      </c>
      <c r="O48" s="89">
        <f>IFERROR(VLOOKUP(D48,'Daily Attendance Report 24-25'!A47:BP999,5,0),"")</f>
        <v>31</v>
      </c>
      <c r="P48" s="89">
        <f>IFERROR(VLOOKUP(E48,'Daily Attendance Report 24-25'!$A$1:$BO$617,5,0),"")</f>
        <v>26</v>
      </c>
      <c r="Q48" s="8">
        <v>900.0</v>
      </c>
      <c r="R48" s="89"/>
      <c r="S48" s="91">
        <f t="shared" si="5"/>
        <v>12000</v>
      </c>
      <c r="T48" s="91">
        <f t="shared" si="6"/>
        <v>1887.096774</v>
      </c>
      <c r="U48" s="91">
        <f t="shared" si="7"/>
        <v>14787.09677</v>
      </c>
      <c r="V48" s="91">
        <f t="shared" si="8"/>
        <v>110.9032258</v>
      </c>
      <c r="W48" s="91">
        <f t="shared" si="9"/>
        <v>14787.09677</v>
      </c>
      <c r="X48" s="89"/>
      <c r="Y48" s="89"/>
      <c r="Z48" s="89"/>
      <c r="AA48" s="89"/>
      <c r="AB48" s="89"/>
      <c r="AC48" s="89"/>
      <c r="AD48" s="89"/>
      <c r="AE48" s="89"/>
      <c r="AF48" s="89"/>
      <c r="AG48" s="89"/>
      <c r="AH48" s="89"/>
    </row>
    <row r="49">
      <c r="A49" s="8" t="s">
        <v>187</v>
      </c>
      <c r="B49" s="90" t="s">
        <v>25</v>
      </c>
      <c r="C49" s="8" t="s">
        <v>67</v>
      </c>
      <c r="D49" s="89" t="str">
        <f t="shared" si="1"/>
        <v>AugustLEELA</v>
      </c>
      <c r="E49" s="89" t="str">
        <f t="shared" si="2"/>
        <v>AugustLEELAOT Hours</v>
      </c>
      <c r="F49" s="89" t="str">
        <f>IFERROR(VLOOKUP(C49,'Employees List'!$B$1:$G$999,2,0),"")</f>
        <v>LEELA</v>
      </c>
      <c r="G49" s="91">
        <f t="shared" si="14"/>
        <v>12516.70565</v>
      </c>
      <c r="H49" s="92">
        <v>45545.0</v>
      </c>
      <c r="I49" s="89" t="str">
        <f>IFERROR(VLOOKUP(F49,'Employees List'!$C:$F,2,0),"")</f>
        <v/>
      </c>
      <c r="J49" s="93" t="str">
        <f>IFERROR(VLOOKUP(C49,'Employees List'!$B$2:$G$991,5,0),"")</f>
        <v>8387010000017745</v>
      </c>
      <c r="K49" s="95">
        <f>IFERROR(VLOOKUP(F49,'Employees List'!$C$1:$AB$991,5,0),"")</f>
        <v>13000</v>
      </c>
      <c r="L49" s="91">
        <f t="shared" si="3"/>
        <v>9100</v>
      </c>
      <c r="M49" s="91">
        <f t="shared" si="4"/>
        <v>3900</v>
      </c>
      <c r="N49" s="89">
        <f>IFERROR(VLOOKUP(B49,'Employees List'!$A$2:$H$991,8,0),"")</f>
        <v>31</v>
      </c>
      <c r="O49" s="89">
        <f>IFERROR(VLOOKUP(D49,'Daily Attendance Report 24-25'!A48:BP999,5,0),"")</f>
        <v>29</v>
      </c>
      <c r="P49" s="89">
        <f>IFERROR(VLOOKUP(E49,'Daily Attendance Report 24-25'!$A$1:$BO$617,5,0),"")</f>
        <v>0</v>
      </c>
      <c r="Q49" s="8">
        <v>450.0</v>
      </c>
      <c r="R49" s="89"/>
      <c r="S49" s="91">
        <f t="shared" si="5"/>
        <v>12161.29032</v>
      </c>
      <c r="T49" s="91">
        <f t="shared" si="6"/>
        <v>0</v>
      </c>
      <c r="U49" s="91">
        <f t="shared" si="7"/>
        <v>12611.29032</v>
      </c>
      <c r="V49" s="91">
        <f t="shared" si="8"/>
        <v>94.58467742</v>
      </c>
      <c r="W49" s="91">
        <f t="shared" si="9"/>
        <v>12611.29032</v>
      </c>
      <c r="X49" s="89"/>
      <c r="Y49" s="89"/>
      <c r="Z49" s="89"/>
      <c r="AA49" s="89"/>
      <c r="AB49" s="89"/>
      <c r="AC49" s="89"/>
      <c r="AD49" s="89"/>
      <c r="AE49" s="89"/>
      <c r="AF49" s="89"/>
      <c r="AG49" s="89"/>
      <c r="AH49" s="89"/>
    </row>
    <row r="50">
      <c r="A50" s="8" t="s">
        <v>188</v>
      </c>
      <c r="B50" s="90" t="s">
        <v>25</v>
      </c>
      <c r="C50" s="8" t="s">
        <v>41</v>
      </c>
      <c r="D50" s="89" t="str">
        <f t="shared" si="1"/>
        <v>AugustREVATHI S</v>
      </c>
      <c r="E50" s="89" t="str">
        <f t="shared" si="2"/>
        <v>AugustREVATHI SOT Hours</v>
      </c>
      <c r="F50" s="89" t="str">
        <f>IFERROR(VLOOKUP(C50,'Employees List'!$B$1:$G$999,2,0),"")</f>
        <v>REVATHI S</v>
      </c>
      <c r="G50" s="91">
        <f t="shared" si="14"/>
        <v>5681.766129</v>
      </c>
      <c r="H50" s="92">
        <v>45545.0</v>
      </c>
      <c r="I50" s="89" t="str">
        <f>IFERROR(VLOOKUP(F50,'Employees List'!$C:$F,2,0),"")</f>
        <v/>
      </c>
      <c r="J50" s="93" t="str">
        <f>IFERROR(VLOOKUP(C50,'Employees List'!$B$2:$G$991,5,0),"")</f>
        <v>8131010000016995</v>
      </c>
      <c r="K50" s="95">
        <f>IFERROR(VLOOKUP(F50,'Employees List'!$C$1:$AB$991,5,0),"")</f>
        <v>9500</v>
      </c>
      <c r="L50" s="91">
        <f t="shared" si="3"/>
        <v>6650</v>
      </c>
      <c r="M50" s="91">
        <f t="shared" si="4"/>
        <v>2850</v>
      </c>
      <c r="N50" s="89">
        <f>IFERROR(VLOOKUP(B50,'Employees List'!$A$2:$H$991,8,0),"")</f>
        <v>31</v>
      </c>
      <c r="O50" s="89">
        <f>IFERROR(VLOOKUP(D50,'Daily Attendance Report 24-25'!A49:BP999,5,0),"")</f>
        <v>20.5</v>
      </c>
      <c r="P50" s="89">
        <f>IFERROR(VLOOKUP(E50,'Daily Attendance Report 24-25'!$A$1:$BO$617,5,0),"")</f>
        <v>0</v>
      </c>
      <c r="Q50" s="8">
        <v>450.0</v>
      </c>
      <c r="R50" s="8">
        <v>1000.0</v>
      </c>
      <c r="S50" s="91">
        <f t="shared" si="5"/>
        <v>6282.258065</v>
      </c>
      <c r="T50" s="91">
        <f t="shared" si="6"/>
        <v>0</v>
      </c>
      <c r="U50" s="91">
        <f t="shared" si="7"/>
        <v>5732.258065</v>
      </c>
      <c r="V50" s="91">
        <f t="shared" si="8"/>
        <v>50.49193548</v>
      </c>
      <c r="W50" s="91">
        <f t="shared" si="9"/>
        <v>6732.258065</v>
      </c>
      <c r="X50" s="89"/>
      <c r="Y50" s="89"/>
      <c r="Z50" s="89"/>
      <c r="AA50" s="89"/>
      <c r="AB50" s="89"/>
      <c r="AC50" s="89"/>
      <c r="AD50" s="89"/>
      <c r="AE50" s="89"/>
      <c r="AF50" s="89"/>
      <c r="AG50" s="89"/>
      <c r="AH50" s="89"/>
    </row>
    <row r="51">
      <c r="A51" s="8" t="s">
        <v>189</v>
      </c>
      <c r="B51" s="90" t="s">
        <v>25</v>
      </c>
      <c r="C51" s="8" t="s">
        <v>77</v>
      </c>
      <c r="D51" s="89" t="str">
        <f t="shared" si="1"/>
        <v>AugustSIDHESHWAR</v>
      </c>
      <c r="E51" s="89" t="str">
        <f t="shared" si="2"/>
        <v>AugustSIDHESHWAROT Hours</v>
      </c>
      <c r="F51" s="89" t="str">
        <f>IFERROR(VLOOKUP(C51,'Employees List'!$B$1:$G$999,2,0),"")</f>
        <v>SIDHESHWAR</v>
      </c>
      <c r="G51" s="91">
        <f t="shared" si="14"/>
        <v>11418.55242</v>
      </c>
      <c r="H51" s="92">
        <v>45545.0</v>
      </c>
      <c r="I51" s="89" t="str">
        <f>IFERROR(VLOOKUP(F51,'Employees List'!$C:$F,2,0),"")</f>
        <v/>
      </c>
      <c r="J51" s="93" t="str">
        <f>IFERROR(VLOOKUP(C51,'Employees List'!$B$2:$G$991,5,0),"")</f>
        <v>8131010000018939</v>
      </c>
      <c r="K51" s="94">
        <v>10000.0</v>
      </c>
      <c r="L51" s="91">
        <f t="shared" si="3"/>
        <v>7000</v>
      </c>
      <c r="M51" s="91">
        <f t="shared" si="4"/>
        <v>3000</v>
      </c>
      <c r="N51" s="89">
        <f>IFERROR(VLOOKUP(B51,'Employees List'!$A$2:$H$991,8,0),"")</f>
        <v>31</v>
      </c>
      <c r="O51" s="89">
        <f>IFERROR(VLOOKUP(D51,'Daily Attendance Report 24-25'!A50:BP999,5,0),"")</f>
        <v>31</v>
      </c>
      <c r="P51" s="89">
        <f>IFERROR(VLOOKUP(E51,'Daily Attendance Report 24-25'!$A$1:$BO$617,5,0),"")</f>
        <v>10</v>
      </c>
      <c r="Q51" s="8">
        <v>900.0</v>
      </c>
      <c r="R51" s="89"/>
      <c r="S51" s="91">
        <f t="shared" si="5"/>
        <v>10000</v>
      </c>
      <c r="T51" s="91">
        <f t="shared" si="6"/>
        <v>604.8387097</v>
      </c>
      <c r="U51" s="91">
        <f t="shared" si="7"/>
        <v>11504.83871</v>
      </c>
      <c r="V51" s="91">
        <f t="shared" si="8"/>
        <v>86.28629032</v>
      </c>
      <c r="W51" s="91">
        <f t="shared" si="9"/>
        <v>11504.83871</v>
      </c>
      <c r="X51" s="89"/>
      <c r="Y51" s="89"/>
      <c r="Z51" s="89"/>
      <c r="AA51" s="89"/>
      <c r="AB51" s="89"/>
      <c r="AC51" s="89"/>
      <c r="AD51" s="89"/>
      <c r="AE51" s="89"/>
      <c r="AF51" s="89"/>
      <c r="AG51" s="89"/>
      <c r="AH51" s="89"/>
    </row>
    <row r="52">
      <c r="A52" s="8" t="s">
        <v>190</v>
      </c>
      <c r="B52" s="90" t="s">
        <v>25</v>
      </c>
      <c r="C52" s="8" t="s">
        <v>75</v>
      </c>
      <c r="D52" s="89" t="str">
        <f t="shared" si="1"/>
        <v>AugustNAROTTAM</v>
      </c>
      <c r="E52" s="89" t="str">
        <f t="shared" si="2"/>
        <v>AugustNAROTTAMOT Hours</v>
      </c>
      <c r="F52" s="89" t="str">
        <f>IFERROR(VLOOKUP(C52,'Employees List'!$B$1:$G$999,2,0),"")</f>
        <v>NAROTTAM</v>
      </c>
      <c r="G52" s="91">
        <f t="shared" si="14"/>
        <v>10496.19153</v>
      </c>
      <c r="H52" s="92">
        <v>45575.0</v>
      </c>
      <c r="I52" s="89" t="str">
        <f>IFERROR(VLOOKUP(F52,'Employees List'!$C:$F,2,0),"")</f>
        <v/>
      </c>
      <c r="J52" s="93" t="str">
        <f>IFERROR(VLOOKUP(C52,'Employees List'!$B$2:$G$991,5,0),"")</f>
        <v/>
      </c>
      <c r="K52" s="95">
        <f>IFERROR(VLOOKUP(F52,'Employees List'!$C$1:$AB$991,5,0),"")</f>
        <v>11000</v>
      </c>
      <c r="L52" s="91">
        <f t="shared" si="3"/>
        <v>7700</v>
      </c>
      <c r="M52" s="91">
        <f t="shared" si="4"/>
        <v>3300</v>
      </c>
      <c r="N52" s="89">
        <f>IFERROR(VLOOKUP(B52,'Employees List'!$A$2:$H$991,8,0),"")</f>
        <v>31</v>
      </c>
      <c r="O52" s="89">
        <f>IFERROR(VLOOKUP(D52,'Daily Attendance Report 24-25'!A51:BP999,5,0),"")</f>
        <v>29.5</v>
      </c>
      <c r="P52" s="89">
        <f>IFERROR(VLOOKUP(E52,'Daily Attendance Report 24-25'!$A$1:$BO$617,5,0),"")</f>
        <v>10</v>
      </c>
      <c r="Q52" s="96">
        <v>450.0</v>
      </c>
      <c r="R52" s="8">
        <v>1000.0</v>
      </c>
      <c r="S52" s="91">
        <f t="shared" si="5"/>
        <v>10467.74194</v>
      </c>
      <c r="T52" s="91">
        <f t="shared" si="6"/>
        <v>665.3225806</v>
      </c>
      <c r="U52" s="91">
        <f t="shared" si="7"/>
        <v>10583.06452</v>
      </c>
      <c r="V52" s="91">
        <f t="shared" si="8"/>
        <v>86.87298387</v>
      </c>
      <c r="W52" s="91">
        <f t="shared" si="9"/>
        <v>11583.06452</v>
      </c>
      <c r="X52" s="89"/>
      <c r="Y52" s="89"/>
      <c r="Z52" s="89"/>
      <c r="AA52" s="89"/>
      <c r="AB52" s="89"/>
      <c r="AC52" s="89"/>
      <c r="AD52" s="89"/>
      <c r="AE52" s="89"/>
      <c r="AF52" s="89"/>
      <c r="AG52" s="89"/>
      <c r="AH52" s="89"/>
    </row>
    <row r="53">
      <c r="A53" s="8" t="s">
        <v>191</v>
      </c>
      <c r="B53" s="90" t="s">
        <v>25</v>
      </c>
      <c r="C53" s="8" t="s">
        <v>37</v>
      </c>
      <c r="D53" s="89" t="str">
        <f t="shared" si="1"/>
        <v>AugustAMMU</v>
      </c>
      <c r="E53" s="89" t="str">
        <f t="shared" si="2"/>
        <v>AugustAMMUOT Hours</v>
      </c>
      <c r="F53" s="89" t="str">
        <f>IFERROR(VLOOKUP(C53,'Employees List'!$B$1:$G$999,2,0),"")</f>
        <v>AMMU</v>
      </c>
      <c r="G53" s="91">
        <f t="shared" si="14"/>
        <v>9571.221774</v>
      </c>
      <c r="H53" s="92">
        <v>45575.0</v>
      </c>
      <c r="I53" s="89" t="str">
        <f>IFERROR(VLOOKUP(F53,'Employees List'!$C:$F,2,0),"")</f>
        <v/>
      </c>
      <c r="J53" s="93">
        <f>IFERROR(VLOOKUP(C53,'Employees List'!$B$2:$G$991,5,0),"")</f>
        <v>65801000040238</v>
      </c>
      <c r="K53" s="95">
        <f>IFERROR(VLOOKUP(F53,'Employees List'!$C$1:$AB$991,5,0),"")</f>
        <v>9500</v>
      </c>
      <c r="L53" s="91">
        <f t="shared" si="3"/>
        <v>6650</v>
      </c>
      <c r="M53" s="91">
        <f t="shared" si="4"/>
        <v>2850</v>
      </c>
      <c r="N53" s="89">
        <f>IFERROR(VLOOKUP(B53,'Employees List'!$A$2:$H$991,8,0),"")</f>
        <v>31</v>
      </c>
      <c r="O53" s="89">
        <f>IFERROR(VLOOKUP(D53,'Daily Attendance Report 24-25'!A52:BP999,5,0),"")</f>
        <v>30</v>
      </c>
      <c r="P53" s="89">
        <f>IFERROR(VLOOKUP(E53,'Daily Attendance Report 24-25'!$A$1:$BO$617,5,0),"")</f>
        <v>0</v>
      </c>
      <c r="Q53" s="96">
        <v>450.0</v>
      </c>
      <c r="R53" s="89"/>
      <c r="S53" s="91">
        <f t="shared" si="5"/>
        <v>9193.548387</v>
      </c>
      <c r="T53" s="91">
        <f t="shared" si="6"/>
        <v>0</v>
      </c>
      <c r="U53" s="91">
        <f t="shared" si="7"/>
        <v>9643.548387</v>
      </c>
      <c r="V53" s="91">
        <f t="shared" si="8"/>
        <v>72.3266129</v>
      </c>
      <c r="W53" s="91">
        <f t="shared" si="9"/>
        <v>9643.548387</v>
      </c>
      <c r="X53" s="8"/>
      <c r="Y53" s="89"/>
      <c r="Z53" s="89"/>
      <c r="AA53" s="89"/>
      <c r="AB53" s="89"/>
      <c r="AC53" s="89"/>
      <c r="AD53" s="89"/>
      <c r="AE53" s="89"/>
      <c r="AF53" s="89"/>
      <c r="AG53" s="89"/>
      <c r="AH53" s="89"/>
    </row>
    <row r="54">
      <c r="A54" s="8" t="s">
        <v>192</v>
      </c>
      <c r="B54" s="90" t="s">
        <v>29</v>
      </c>
      <c r="C54" s="8" t="s">
        <v>9</v>
      </c>
      <c r="D54" s="89" t="str">
        <f t="shared" si="1"/>
        <v>SeptemberBHUVANESWARAN</v>
      </c>
      <c r="E54" s="89" t="str">
        <f t="shared" si="2"/>
        <v>SeptemberBHUVANESWARANOT Hours</v>
      </c>
      <c r="F54" s="89" t="str">
        <f>IFERROR(VLOOKUP(C54,'Employees List'!$B$1:$G$999,2,0),"")</f>
        <v>BHUVANESWARAN</v>
      </c>
      <c r="G54" s="91">
        <f>U54</f>
        <v>60900</v>
      </c>
      <c r="H54" s="92">
        <v>45575.0</v>
      </c>
      <c r="I54" s="89" t="str">
        <f>IFERROR(VLOOKUP(F54,'Employees List'!$C:$F,2,0),"")</f>
        <v/>
      </c>
      <c r="J54" s="93">
        <f>IFERROR(VLOOKUP(C54,'Employees List'!$B$2:$G$991,5,0),"")</f>
        <v>500101011548924</v>
      </c>
      <c r="K54" s="95">
        <f>IFERROR(VLOOKUP(F54,'Employees List'!$C$1:$AB$991,5,0),"")</f>
        <v>60000</v>
      </c>
      <c r="L54" s="91">
        <f t="shared" si="3"/>
        <v>42000</v>
      </c>
      <c r="M54" s="91">
        <f t="shared" si="4"/>
        <v>18000</v>
      </c>
      <c r="N54" s="89">
        <f>IFERROR(VLOOKUP(B54,'Employees List'!$A$2:$H$991,8,0),"")</f>
        <v>30</v>
      </c>
      <c r="O54" s="89">
        <f>IFERROR(VLOOKUP(D54,'Daily Attendance Report 24-25'!A53:BP999,5,0),"")</f>
        <v>30</v>
      </c>
      <c r="P54" s="89">
        <f>IFERROR(VLOOKUP(E54,'Daily Attendance Report 24-25'!$A$1:$BO$617,5,0),"")</f>
        <v>0</v>
      </c>
      <c r="Q54" s="96">
        <v>900.0</v>
      </c>
      <c r="R54" s="89"/>
      <c r="S54" s="91">
        <f t="shared" si="5"/>
        <v>60000</v>
      </c>
      <c r="T54" s="91">
        <f t="shared" si="6"/>
        <v>0</v>
      </c>
      <c r="U54" s="91">
        <f t="shared" si="7"/>
        <v>60900</v>
      </c>
      <c r="V54" s="91">
        <f t="shared" si="8"/>
        <v>456.75</v>
      </c>
      <c r="W54" s="91">
        <f t="shared" si="9"/>
        <v>60900</v>
      </c>
      <c r="X54" s="89"/>
      <c r="Y54" s="89"/>
      <c r="Z54" s="89"/>
      <c r="AA54" s="89"/>
      <c r="AB54" s="89"/>
      <c r="AC54" s="89"/>
      <c r="AD54" s="89"/>
      <c r="AE54" s="89"/>
      <c r="AF54" s="89"/>
      <c r="AG54" s="89"/>
      <c r="AH54" s="89"/>
    </row>
    <row r="55">
      <c r="A55" s="8" t="s">
        <v>193</v>
      </c>
      <c r="B55" s="90" t="s">
        <v>29</v>
      </c>
      <c r="C55" s="8" t="s">
        <v>13</v>
      </c>
      <c r="D55" s="89" t="str">
        <f t="shared" si="1"/>
        <v>SeptemberVASANTHA</v>
      </c>
      <c r="E55" s="89" t="str">
        <f t="shared" si="2"/>
        <v>SeptemberVASANTHAOT Hours</v>
      </c>
      <c r="F55" s="89" t="str">
        <f>IFERROR(VLOOKUP(C55,'Employees List'!$B$1:$G$999,2,0),"")</f>
        <v>VASANTHA</v>
      </c>
      <c r="G55" s="91">
        <f t="shared" ref="G55:G66" si="15">U55-V55</f>
        <v>12356.625</v>
      </c>
      <c r="H55" s="92">
        <v>45575.0</v>
      </c>
      <c r="I55" s="89" t="str">
        <f>IFERROR(VLOOKUP(F55,'Employees List'!$C:$F,2,0),"")</f>
        <v/>
      </c>
      <c r="J55" s="93" t="str">
        <f>IFERROR(VLOOKUP(C55,'Employees List'!$B$2:$G$991,5,0),"")</f>
        <v>8131010000016959</v>
      </c>
      <c r="K55" s="95">
        <f>IFERROR(VLOOKUP(F55,'Employees List'!$C$1:$AB$991,5,0),"")</f>
        <v>12000</v>
      </c>
      <c r="L55" s="91">
        <f t="shared" si="3"/>
        <v>8400</v>
      </c>
      <c r="M55" s="91">
        <f t="shared" si="4"/>
        <v>3600</v>
      </c>
      <c r="N55" s="89">
        <f>IFERROR(VLOOKUP(B55,'Employees List'!$A$2:$H$991,8,0),"")</f>
        <v>30</v>
      </c>
      <c r="O55" s="89">
        <f>IFERROR(VLOOKUP(D55,'Daily Attendance Report 24-25'!A54:BP999,5,0),"")</f>
        <v>27</v>
      </c>
      <c r="P55" s="89">
        <f>IFERROR(VLOOKUP(E55,'Daily Attendance Report 24-25'!$A$1:$BO$617,5,0),"")</f>
        <v>16</v>
      </c>
      <c r="Q55" s="96">
        <v>450.0</v>
      </c>
      <c r="R55" s="8"/>
      <c r="S55" s="91">
        <f t="shared" si="5"/>
        <v>10800</v>
      </c>
      <c r="T55" s="91">
        <f t="shared" si="6"/>
        <v>1200</v>
      </c>
      <c r="U55" s="91">
        <f t="shared" si="7"/>
        <v>12450</v>
      </c>
      <c r="V55" s="91">
        <f t="shared" si="8"/>
        <v>93.375</v>
      </c>
      <c r="W55" s="91">
        <f t="shared" si="9"/>
        <v>12450</v>
      </c>
      <c r="X55" s="89"/>
      <c r="Y55" s="89"/>
      <c r="Z55" s="89"/>
      <c r="AA55" s="89"/>
      <c r="AB55" s="89"/>
      <c r="AC55" s="89"/>
      <c r="AD55" s="89"/>
      <c r="AE55" s="89"/>
      <c r="AF55" s="89"/>
      <c r="AG55" s="89"/>
      <c r="AH55" s="89"/>
    </row>
    <row r="56">
      <c r="A56" s="8" t="s">
        <v>194</v>
      </c>
      <c r="B56" s="90" t="s">
        <v>29</v>
      </c>
      <c r="C56" s="8" t="s">
        <v>18</v>
      </c>
      <c r="D56" s="89" t="str">
        <f t="shared" si="1"/>
        <v>SeptemberGANESH</v>
      </c>
      <c r="E56" s="89" t="str">
        <f t="shared" si="2"/>
        <v>SeptemberGANESHOT Hours</v>
      </c>
      <c r="F56" s="89" t="str">
        <f>IFERROR(VLOOKUP(C56,'Employees List'!$B$1:$G$999,2,0),"")</f>
        <v>GANESH</v>
      </c>
      <c r="G56" s="91">
        <f t="shared" si="15"/>
        <v>13407.51042</v>
      </c>
      <c r="H56" s="92">
        <v>45575.0</v>
      </c>
      <c r="I56" s="89" t="str">
        <f>IFERROR(VLOOKUP(F56,'Employees List'!$C:$F,2,0),"")</f>
        <v/>
      </c>
      <c r="J56" s="93" t="str">
        <f>IFERROR(VLOOKUP(C56,'Employees List'!$B$2:$G$991,5,0),"")</f>
        <v>8811010012054879</v>
      </c>
      <c r="K56" s="95">
        <f>IFERROR(VLOOKUP(F56,'Employees List'!$C$1:$AB$991,5,0),"")</f>
        <v>17500</v>
      </c>
      <c r="L56" s="91">
        <f t="shared" si="3"/>
        <v>12250</v>
      </c>
      <c r="M56" s="91">
        <f t="shared" si="4"/>
        <v>5250</v>
      </c>
      <c r="N56" s="89">
        <f>IFERROR(VLOOKUP(B56,'Employees List'!$A$2:$H$991,8,0),"")</f>
        <v>30</v>
      </c>
      <c r="O56" s="89">
        <f>IFERROR(VLOOKUP(D56,'Daily Attendance Report 24-25'!A55:BP999,5,0),"")</f>
        <v>24.5</v>
      </c>
      <c r="P56" s="89">
        <f>IFERROR(VLOOKUP(E56,'Daily Attendance Report 24-25'!$A$1:$BO$617,5,0),"")</f>
        <v>44</v>
      </c>
      <c r="Q56" s="96">
        <v>450.0</v>
      </c>
      <c r="R56" s="8">
        <v>6000.0</v>
      </c>
      <c r="S56" s="91">
        <f t="shared" si="5"/>
        <v>14291.66667</v>
      </c>
      <c r="T56" s="91">
        <f t="shared" si="6"/>
        <v>4812.5</v>
      </c>
      <c r="U56" s="91">
        <f t="shared" si="7"/>
        <v>13554.16667</v>
      </c>
      <c r="V56" s="91">
        <f t="shared" si="8"/>
        <v>146.65625</v>
      </c>
      <c r="W56" s="91">
        <f t="shared" si="9"/>
        <v>19554.16667</v>
      </c>
      <c r="X56" s="89"/>
      <c r="Y56" s="89"/>
      <c r="Z56" s="89"/>
      <c r="AA56" s="89"/>
      <c r="AB56" s="89"/>
      <c r="AC56" s="89"/>
      <c r="AD56" s="89"/>
      <c r="AE56" s="89"/>
      <c r="AF56" s="89"/>
      <c r="AG56" s="89"/>
      <c r="AH56" s="89"/>
    </row>
    <row r="57">
      <c r="A57" s="8" t="s">
        <v>195</v>
      </c>
      <c r="B57" s="90" t="s">
        <v>29</v>
      </c>
      <c r="C57" s="8" t="s">
        <v>64</v>
      </c>
      <c r="D57" s="89" t="str">
        <f t="shared" si="1"/>
        <v>SeptemberSUNDARI</v>
      </c>
      <c r="E57" s="89" t="str">
        <f t="shared" si="2"/>
        <v>SeptemberSUNDARIOT Hours</v>
      </c>
      <c r="F57" s="89" t="str">
        <f>IFERROR(VLOOKUP(C57,'Employees List'!$B$1:$G$999,2,0),"")</f>
        <v>SUNDARI</v>
      </c>
      <c r="G57" s="91">
        <f t="shared" si="15"/>
        <v>19279.3125</v>
      </c>
      <c r="H57" s="92">
        <v>45575.0</v>
      </c>
      <c r="I57" s="89" t="str">
        <f>IFERROR(VLOOKUP(F57,'Employees List'!$C:$F,2,0),"")</f>
        <v/>
      </c>
      <c r="J57" s="93" t="str">
        <f>IFERROR(VLOOKUP(C57,'Employees List'!$B$2:$G$991,5,0),"")</f>
        <v>8131010000016977</v>
      </c>
      <c r="K57" s="95">
        <f>IFERROR(VLOOKUP(F57,'Employees List'!$C$1:$AB$991,5,0),"")</f>
        <v>18000</v>
      </c>
      <c r="L57" s="91">
        <f t="shared" si="3"/>
        <v>12600</v>
      </c>
      <c r="M57" s="91">
        <f t="shared" si="4"/>
        <v>5400</v>
      </c>
      <c r="N57" s="89">
        <f>IFERROR(VLOOKUP(B57,'Employees List'!$A$2:$H$991,8,0),"")</f>
        <v>30</v>
      </c>
      <c r="O57" s="89">
        <f>IFERROR(VLOOKUP(D57,'Daily Attendance Report 24-25'!A56:BP999,5,0),"")</f>
        <v>30</v>
      </c>
      <c r="P57" s="89">
        <f>IFERROR(VLOOKUP(E57,'Daily Attendance Report 24-25'!$A$1:$BO$617,5,0),"")</f>
        <v>2</v>
      </c>
      <c r="Q57" s="96">
        <v>1200.0</v>
      </c>
      <c r="R57" s="89"/>
      <c r="S57" s="91">
        <f t="shared" si="5"/>
        <v>18000</v>
      </c>
      <c r="T57" s="91">
        <f t="shared" si="6"/>
        <v>225</v>
      </c>
      <c r="U57" s="91">
        <f t="shared" si="7"/>
        <v>19425</v>
      </c>
      <c r="V57" s="91">
        <f t="shared" si="8"/>
        <v>145.6875</v>
      </c>
      <c r="W57" s="91">
        <f t="shared" si="9"/>
        <v>19425</v>
      </c>
      <c r="X57" s="89"/>
      <c r="Y57" s="89"/>
      <c r="Z57" s="89"/>
      <c r="AA57" s="89"/>
      <c r="AB57" s="89"/>
      <c r="AC57" s="89"/>
      <c r="AD57" s="89"/>
      <c r="AE57" s="89"/>
      <c r="AF57" s="89"/>
      <c r="AG57" s="89"/>
      <c r="AH57" s="89"/>
    </row>
    <row r="58">
      <c r="A58" s="8" t="s">
        <v>196</v>
      </c>
      <c r="B58" s="90" t="s">
        <v>29</v>
      </c>
      <c r="C58" s="8" t="s">
        <v>22</v>
      </c>
      <c r="D58" s="89" t="str">
        <f t="shared" si="1"/>
        <v>SeptemberADHIKARI BALIA</v>
      </c>
      <c r="E58" s="89" t="str">
        <f t="shared" si="2"/>
        <v>SeptemberADHIKARI BALIAOT Hours</v>
      </c>
      <c r="F58" s="89" t="str">
        <f>IFERROR(VLOOKUP(C58,'Employees List'!$B$1:$G$999,2,0),"")</f>
        <v>ADHIKARI BALIA</v>
      </c>
      <c r="G58" s="91">
        <f t="shared" si="15"/>
        <v>17046.1875</v>
      </c>
      <c r="H58" s="92">
        <v>45575.0</v>
      </c>
      <c r="I58" s="89" t="str">
        <f>IFERROR(VLOOKUP(F58,'Employees List'!$C:$F,2,0),"")</f>
        <v/>
      </c>
      <c r="J58" s="93" t="str">
        <f>IFERROR(VLOOKUP(C58,'Employees List'!$B$2:$G$991,5,0),"")</f>
        <v>8131010000018948</v>
      </c>
      <c r="K58" s="95">
        <f>IFERROR(VLOOKUP(F58,'Employees List'!$C$1:$AB$991,5,0),"")</f>
        <v>12000</v>
      </c>
      <c r="L58" s="91">
        <f t="shared" si="3"/>
        <v>8400</v>
      </c>
      <c r="M58" s="91">
        <f t="shared" si="4"/>
        <v>3600</v>
      </c>
      <c r="N58" s="89">
        <f>IFERROR(VLOOKUP(B58,'Employees List'!$A$2:$H$991,8,0),"")</f>
        <v>30</v>
      </c>
      <c r="O58" s="89">
        <f>IFERROR(VLOOKUP(D58,'Daily Attendance Report 24-25'!A57:BP999,5,0),"")</f>
        <v>30</v>
      </c>
      <c r="P58" s="89">
        <f>IFERROR(VLOOKUP(E58,'Daily Attendance Report 24-25'!$A$1:$BO$617,5,0),"")</f>
        <v>57</v>
      </c>
      <c r="Q58" s="96">
        <v>900.0</v>
      </c>
      <c r="R58" s="89"/>
      <c r="S58" s="91">
        <f t="shared" si="5"/>
        <v>12000</v>
      </c>
      <c r="T58" s="91">
        <f t="shared" si="6"/>
        <v>4275</v>
      </c>
      <c r="U58" s="91">
        <f t="shared" si="7"/>
        <v>17175</v>
      </c>
      <c r="V58" s="91">
        <f t="shared" si="8"/>
        <v>128.8125</v>
      </c>
      <c r="W58" s="91">
        <f t="shared" si="9"/>
        <v>17175</v>
      </c>
      <c r="X58" s="89"/>
      <c r="Y58" s="89"/>
      <c r="Z58" s="89"/>
      <c r="AA58" s="89"/>
      <c r="AB58" s="89"/>
      <c r="AC58" s="89"/>
      <c r="AD58" s="89"/>
      <c r="AE58" s="89"/>
      <c r="AF58" s="89"/>
      <c r="AG58" s="89"/>
      <c r="AH58" s="89"/>
    </row>
    <row r="59">
      <c r="A59" s="8" t="s">
        <v>197</v>
      </c>
      <c r="B59" s="90" t="s">
        <v>29</v>
      </c>
      <c r="C59" s="8" t="s">
        <v>70</v>
      </c>
      <c r="D59" s="89" t="str">
        <f t="shared" si="1"/>
        <v>SeptemberMathi</v>
      </c>
      <c r="E59" s="89" t="str">
        <f t="shared" si="2"/>
        <v>SeptemberMathiOT Hours</v>
      </c>
      <c r="F59" s="89" t="str">
        <f>IFERROR(VLOOKUP(C59,'Employees List'!$B$1:$G$999,2,0),"")</f>
        <v>Mathi</v>
      </c>
      <c r="G59" s="91">
        <f t="shared" si="15"/>
        <v>24702.77083</v>
      </c>
      <c r="H59" s="92">
        <v>45575.0</v>
      </c>
      <c r="I59" s="89" t="str">
        <f>IFERROR(VLOOKUP(F59,'Employees List'!$C:$F,2,0),"")</f>
        <v/>
      </c>
      <c r="J59" s="93" t="str">
        <f>IFERROR(VLOOKUP(C59,'Employees List'!$B$2:$G$991,5,0),"")</f>
        <v>8131010000016986</v>
      </c>
      <c r="K59" s="95">
        <f>IFERROR(VLOOKUP(F59,'Employees List'!$C$1:$AB$991,5,0),"")</f>
        <v>20000</v>
      </c>
      <c r="L59" s="91">
        <f t="shared" si="3"/>
        <v>14000</v>
      </c>
      <c r="M59" s="91">
        <f t="shared" si="4"/>
        <v>6000</v>
      </c>
      <c r="N59" s="89">
        <f>IFERROR(VLOOKUP(B59,'Employees List'!$A$2:$H$991,8,0),"")</f>
        <v>30</v>
      </c>
      <c r="O59" s="89">
        <f>IFERROR(VLOOKUP(D59,'Daily Attendance Report 24-25'!A58:BP999,5,0),"")</f>
        <v>29</v>
      </c>
      <c r="P59" s="89">
        <f>IFERROR(VLOOKUP(E59,'Daily Attendance Report 24-25'!$A$1:$BO$617,5,0),"")</f>
        <v>61</v>
      </c>
      <c r="Q59" s="96">
        <v>450.0</v>
      </c>
      <c r="R59" s="8">
        <v>2500.0</v>
      </c>
      <c r="S59" s="91">
        <f t="shared" si="5"/>
        <v>19333.33333</v>
      </c>
      <c r="T59" s="91">
        <f t="shared" si="6"/>
        <v>7625</v>
      </c>
      <c r="U59" s="91">
        <f t="shared" si="7"/>
        <v>24908.33333</v>
      </c>
      <c r="V59" s="91">
        <f t="shared" si="8"/>
        <v>205.5625</v>
      </c>
      <c r="W59" s="91">
        <f t="shared" si="9"/>
        <v>27408.33333</v>
      </c>
      <c r="X59" s="89"/>
      <c r="Y59" s="89"/>
      <c r="Z59" s="89"/>
      <c r="AA59" s="89"/>
      <c r="AB59" s="89"/>
      <c r="AC59" s="89"/>
      <c r="AD59" s="89"/>
      <c r="AE59" s="89"/>
      <c r="AF59" s="89"/>
      <c r="AG59" s="89"/>
      <c r="AH59" s="89"/>
    </row>
    <row r="60">
      <c r="A60" s="8" t="s">
        <v>198</v>
      </c>
      <c r="B60" s="90" t="s">
        <v>29</v>
      </c>
      <c r="C60" s="8" t="s">
        <v>26</v>
      </c>
      <c r="D60" s="89" t="str">
        <f t="shared" si="1"/>
        <v>SeptemberRUPESH</v>
      </c>
      <c r="E60" s="89" t="str">
        <f t="shared" si="2"/>
        <v>SeptemberRUPESHOT Hours</v>
      </c>
      <c r="F60" s="89" t="str">
        <f>IFERROR(VLOOKUP(C60,'Employees List'!$B$1:$G$999,2,0),"")</f>
        <v>RUPESH</v>
      </c>
      <c r="G60" s="91">
        <f t="shared" si="15"/>
        <v>15904.8125</v>
      </c>
      <c r="H60" s="92">
        <v>45575.0</v>
      </c>
      <c r="I60" s="89" t="str">
        <f>IFERROR(VLOOKUP(F60,'Employees List'!$C:$F,2,0),"")</f>
        <v/>
      </c>
      <c r="J60" s="93" t="str">
        <f>IFERROR(VLOOKUP(C60,'Employees List'!$B$2:$G$991,5,0),"")</f>
        <v>8131010000020156</v>
      </c>
      <c r="K60" s="95">
        <f>IFERROR(VLOOKUP(F60,'Employees List'!$C$1:$AB$991,5,0),"")</f>
        <v>12000</v>
      </c>
      <c r="L60" s="91">
        <f t="shared" si="3"/>
        <v>8400</v>
      </c>
      <c r="M60" s="91">
        <f t="shared" si="4"/>
        <v>3600</v>
      </c>
      <c r="N60" s="89">
        <f>IFERROR(VLOOKUP(B60,'Employees List'!$A$2:$H$991,8,0),"")</f>
        <v>30</v>
      </c>
      <c r="O60" s="89">
        <f>IFERROR(VLOOKUP(D60,'Daily Attendance Report 24-25'!A59:BP999,5,0),"")</f>
        <v>29</v>
      </c>
      <c r="P60" s="89">
        <f>IFERROR(VLOOKUP(E60,'Daily Attendance Report 24-25'!$A$1:$BO$617,5,0),"")</f>
        <v>53</v>
      </c>
      <c r="Q60" s="96">
        <v>450.0</v>
      </c>
      <c r="R60" s="89"/>
      <c r="S60" s="91">
        <f t="shared" si="5"/>
        <v>11600</v>
      </c>
      <c r="T60" s="91">
        <f t="shared" si="6"/>
        <v>3975</v>
      </c>
      <c r="U60" s="91">
        <f t="shared" si="7"/>
        <v>16025</v>
      </c>
      <c r="V60" s="91">
        <f t="shared" si="8"/>
        <v>120.1875</v>
      </c>
      <c r="W60" s="91">
        <f t="shared" si="9"/>
        <v>16025</v>
      </c>
      <c r="X60" s="89"/>
      <c r="Y60" s="89"/>
      <c r="Z60" s="89"/>
      <c r="AA60" s="89"/>
      <c r="AB60" s="89"/>
      <c r="AC60" s="89"/>
      <c r="AD60" s="89"/>
      <c r="AE60" s="89"/>
      <c r="AF60" s="89"/>
      <c r="AG60" s="89"/>
      <c r="AH60" s="89"/>
    </row>
    <row r="61">
      <c r="A61" s="8" t="s">
        <v>199</v>
      </c>
      <c r="B61" s="90" t="s">
        <v>29</v>
      </c>
      <c r="C61" s="8" t="s">
        <v>30</v>
      </c>
      <c r="D61" s="89" t="str">
        <f t="shared" si="1"/>
        <v>SeptemberSANJAI BHAGAT</v>
      </c>
      <c r="E61" s="89" t="str">
        <f t="shared" si="2"/>
        <v>SeptemberSANJAI BHAGATOT Hours</v>
      </c>
      <c r="F61" s="89" t="str">
        <f>IFERROR(VLOOKUP(C61,'Employees List'!$B$1:$G$999,2,0),"")</f>
        <v>SANJAI BHAGAT</v>
      </c>
      <c r="G61" s="91">
        <f t="shared" si="15"/>
        <v>20321.4375</v>
      </c>
      <c r="H61" s="92">
        <v>45575.0</v>
      </c>
      <c r="I61" s="89" t="str">
        <f>IFERROR(VLOOKUP(F61,'Employees List'!$C:$F,2,0),"")</f>
        <v/>
      </c>
      <c r="J61" s="93" t="str">
        <f>IFERROR(VLOOKUP(C61,'Employees List'!$B$2:$G$991,5,0),"")</f>
        <v>8131010000021225</v>
      </c>
      <c r="K61" s="95">
        <f>IFERROR(VLOOKUP(F61,'Employees List'!$C$1:$AB$991,5,0),"")</f>
        <v>12000</v>
      </c>
      <c r="L61" s="91">
        <f t="shared" si="3"/>
        <v>8400</v>
      </c>
      <c r="M61" s="91">
        <f t="shared" si="4"/>
        <v>3600</v>
      </c>
      <c r="N61" s="89">
        <f>IFERROR(VLOOKUP(B61,'Employees List'!$A$2:$H$991,8,0),"")</f>
        <v>30</v>
      </c>
      <c r="O61" s="89">
        <f>IFERROR(VLOOKUP(D61,'Daily Attendance Report 24-25'!A60:BP999,5,0),"")</f>
        <v>30</v>
      </c>
      <c r="P61" s="89">
        <f>IFERROR(VLOOKUP(E61,'Daily Attendance Report 24-25'!$A$1:$BO$617,5,0),"")</f>
        <v>101</v>
      </c>
      <c r="Q61" s="96">
        <v>900.0</v>
      </c>
      <c r="R61" s="8"/>
      <c r="S61" s="91">
        <f t="shared" si="5"/>
        <v>12000</v>
      </c>
      <c r="T61" s="91">
        <f t="shared" si="6"/>
        <v>7575</v>
      </c>
      <c r="U61" s="91">
        <f t="shared" si="7"/>
        <v>20475</v>
      </c>
      <c r="V61" s="91">
        <f t="shared" si="8"/>
        <v>153.5625</v>
      </c>
      <c r="W61" s="91">
        <f t="shared" si="9"/>
        <v>20475</v>
      </c>
      <c r="X61" s="89"/>
      <c r="Y61" s="89"/>
      <c r="Z61" s="89"/>
      <c r="AA61" s="89"/>
      <c r="AB61" s="89"/>
      <c r="AC61" s="89"/>
      <c r="AD61" s="89"/>
      <c r="AE61" s="89"/>
      <c r="AF61" s="89"/>
      <c r="AG61" s="89"/>
      <c r="AH61" s="89"/>
    </row>
    <row r="62">
      <c r="A62" s="8" t="s">
        <v>200</v>
      </c>
      <c r="B62" s="90" t="s">
        <v>29</v>
      </c>
      <c r="C62" s="8" t="s">
        <v>83</v>
      </c>
      <c r="D62" s="89" t="str">
        <f t="shared" si="1"/>
        <v>SeptemberLIPAN</v>
      </c>
      <c r="E62" s="89" t="str">
        <f t="shared" si="2"/>
        <v>SeptemberLIPANOT Hours</v>
      </c>
      <c r="F62" s="89" t="str">
        <f>IFERROR(VLOOKUP(C62,'Employees List'!$B$1:$G$999,2,0),"")</f>
        <v>LIPAN</v>
      </c>
      <c r="G62" s="91">
        <f t="shared" si="15"/>
        <v>15880</v>
      </c>
      <c r="H62" s="92">
        <v>45575.0</v>
      </c>
      <c r="I62" s="89" t="str">
        <f>IFERROR(VLOOKUP(F62,'Employees List'!$C:$F,2,0),"")</f>
        <v/>
      </c>
      <c r="J62" s="93" t="str">
        <f>IFERROR(VLOOKUP(C62,'Employees List'!$B$2:$G$991,5,0),"")</f>
        <v>8131010000018957</v>
      </c>
      <c r="K62" s="95">
        <f>IFERROR(VLOOKUP(F62,'Employees List'!$C$1:$AB$991,5,0),"")</f>
        <v>12000</v>
      </c>
      <c r="L62" s="91">
        <f t="shared" si="3"/>
        <v>8400</v>
      </c>
      <c r="M62" s="91">
        <f t="shared" si="4"/>
        <v>3600</v>
      </c>
      <c r="N62" s="89">
        <f>IFERROR(VLOOKUP(B62,'Employees List'!$A$2:$H$991,8,0),"")</f>
        <v>30</v>
      </c>
      <c r="O62" s="89">
        <f>IFERROR(VLOOKUP(D62,'Daily Attendance Report 24-25'!A61:BP999,5,0),"")</f>
        <v>28</v>
      </c>
      <c r="P62" s="89">
        <f>IFERROR(VLOOKUP(E62,'Daily Attendance Report 24-25'!$A$1:$BO$617,5,0),"")</f>
        <v>58</v>
      </c>
      <c r="Q62" s="96">
        <v>450.0</v>
      </c>
      <c r="R62" s="89"/>
      <c r="S62" s="91">
        <f t="shared" si="5"/>
        <v>11200</v>
      </c>
      <c r="T62" s="91">
        <f t="shared" si="6"/>
        <v>4350</v>
      </c>
      <c r="U62" s="91">
        <f t="shared" si="7"/>
        <v>16000</v>
      </c>
      <c r="V62" s="91">
        <f t="shared" si="8"/>
        <v>120</v>
      </c>
      <c r="W62" s="91">
        <f t="shared" si="9"/>
        <v>16000</v>
      </c>
      <c r="X62" s="89"/>
      <c r="Y62" s="89"/>
      <c r="Z62" s="89"/>
      <c r="AA62" s="89"/>
      <c r="AB62" s="89"/>
      <c r="AC62" s="89"/>
      <c r="AD62" s="89"/>
      <c r="AE62" s="89"/>
      <c r="AF62" s="89"/>
      <c r="AG62" s="89"/>
      <c r="AH62" s="89"/>
    </row>
    <row r="63">
      <c r="A63" s="8" t="s">
        <v>201</v>
      </c>
      <c r="B63" s="90" t="s">
        <v>29</v>
      </c>
      <c r="C63" s="8" t="s">
        <v>80</v>
      </c>
      <c r="D63" s="89" t="str">
        <f t="shared" si="1"/>
        <v>SeptemberJAGABANDH</v>
      </c>
      <c r="E63" s="89" t="str">
        <f t="shared" si="2"/>
        <v>SeptemberJAGABANDHOT Hours</v>
      </c>
      <c r="F63" s="89" t="str">
        <f>IFERROR(VLOOKUP(C63,'Employees List'!$B$1:$G$999,2,0),"")</f>
        <v>JAGABANDH</v>
      </c>
      <c r="G63" s="91">
        <f t="shared" si="15"/>
        <v>15830.375</v>
      </c>
      <c r="H63" s="92">
        <v>45575.0</v>
      </c>
      <c r="I63" s="89" t="str">
        <f>IFERROR(VLOOKUP(F63,'Employees List'!$C:$F,2,0),"")</f>
        <v/>
      </c>
      <c r="J63" s="93" t="str">
        <f>IFERROR(VLOOKUP(C63,'Employees List'!$B$2:$G$991,5,0),"")</f>
        <v>8131010000018920</v>
      </c>
      <c r="K63" s="95">
        <f>IFERROR(VLOOKUP(F63,'Employees List'!$C$1:$AB$991,5,0),"")</f>
        <v>12000</v>
      </c>
      <c r="L63" s="91">
        <f t="shared" si="3"/>
        <v>8400</v>
      </c>
      <c r="M63" s="91">
        <f t="shared" si="4"/>
        <v>3600</v>
      </c>
      <c r="N63" s="89">
        <f>IFERROR(VLOOKUP(B63,'Employees List'!$A$2:$H$991,8,0),"")</f>
        <v>30</v>
      </c>
      <c r="O63" s="89">
        <f>IFERROR(VLOOKUP(D63,'Daily Attendance Report 24-25'!A62:BP999,5,0),"")</f>
        <v>29</v>
      </c>
      <c r="P63" s="89">
        <f>IFERROR(VLOOKUP(E63,'Daily Attendance Report 24-25'!$A$1:$BO$617,5,0),"")</f>
        <v>52</v>
      </c>
      <c r="Q63" s="96">
        <v>450.0</v>
      </c>
      <c r="R63" s="8"/>
      <c r="S63" s="91">
        <f t="shared" si="5"/>
        <v>11600</v>
      </c>
      <c r="T63" s="91">
        <f t="shared" si="6"/>
        <v>3900</v>
      </c>
      <c r="U63" s="91">
        <f t="shared" si="7"/>
        <v>15950</v>
      </c>
      <c r="V63" s="91">
        <f t="shared" si="8"/>
        <v>119.625</v>
      </c>
      <c r="W63" s="91">
        <f t="shared" si="9"/>
        <v>15950</v>
      </c>
      <c r="X63" s="89"/>
      <c r="Y63" s="89"/>
      <c r="Z63" s="89"/>
      <c r="AA63" s="89"/>
      <c r="AB63" s="89"/>
      <c r="AC63" s="89"/>
      <c r="AD63" s="89"/>
      <c r="AE63" s="89"/>
      <c r="AF63" s="89"/>
      <c r="AG63" s="89"/>
      <c r="AH63" s="89"/>
    </row>
    <row r="64">
      <c r="A64" s="8" t="s">
        <v>202</v>
      </c>
      <c r="B64" s="90" t="s">
        <v>29</v>
      </c>
      <c r="C64" s="8" t="s">
        <v>67</v>
      </c>
      <c r="D64" s="89" t="str">
        <f t="shared" si="1"/>
        <v>SeptemberLEELA</v>
      </c>
      <c r="E64" s="89" t="str">
        <f t="shared" si="2"/>
        <v>SeptemberLEELAOT Hours</v>
      </c>
      <c r="F64" s="89" t="str">
        <f>IFERROR(VLOOKUP(C64,'Employees List'!$B$1:$G$999,2,0),"")</f>
        <v>LEELA</v>
      </c>
      <c r="G64" s="91">
        <f t="shared" si="15"/>
        <v>13957.03125</v>
      </c>
      <c r="H64" s="92">
        <v>45575.0</v>
      </c>
      <c r="I64" s="89" t="str">
        <f>IFERROR(VLOOKUP(F64,'Employees List'!$C:$F,2,0),"")</f>
        <v/>
      </c>
      <c r="J64" s="93" t="str">
        <f>IFERROR(VLOOKUP(C64,'Employees List'!$B$2:$G$991,5,0),"")</f>
        <v>8387010000017745</v>
      </c>
      <c r="K64" s="95">
        <f>IFERROR(VLOOKUP(F64,'Employees List'!$C$1:$AB$991,5,0),"")</f>
        <v>13000</v>
      </c>
      <c r="L64" s="91">
        <f t="shared" si="3"/>
        <v>9100</v>
      </c>
      <c r="M64" s="91">
        <f t="shared" si="4"/>
        <v>3900</v>
      </c>
      <c r="N64" s="89">
        <f>IFERROR(VLOOKUP(B64,'Employees List'!$A$2:$H$991,8,0),"")</f>
        <v>30</v>
      </c>
      <c r="O64" s="89">
        <f>IFERROR(VLOOKUP(D64,'Daily Attendance Report 24-25'!A63:BP999,5,0),"")</f>
        <v>30</v>
      </c>
      <c r="P64" s="89">
        <f>IFERROR(VLOOKUP(E64,'Daily Attendance Report 24-25'!$A$1:$BO$617,5,0),"")</f>
        <v>2</v>
      </c>
      <c r="Q64" s="96">
        <v>900.0</v>
      </c>
      <c r="R64" s="89"/>
      <c r="S64" s="91">
        <f t="shared" si="5"/>
        <v>13000</v>
      </c>
      <c r="T64" s="91">
        <f t="shared" si="6"/>
        <v>162.5</v>
      </c>
      <c r="U64" s="91">
        <f t="shared" si="7"/>
        <v>14062.5</v>
      </c>
      <c r="V64" s="91">
        <f t="shared" si="8"/>
        <v>105.46875</v>
      </c>
      <c r="W64" s="91">
        <f t="shared" si="9"/>
        <v>14062.5</v>
      </c>
      <c r="X64" s="89"/>
      <c r="Y64" s="89"/>
      <c r="Z64" s="89"/>
      <c r="AA64" s="89"/>
      <c r="AB64" s="89"/>
      <c r="AC64" s="89"/>
      <c r="AD64" s="89"/>
      <c r="AE64" s="89"/>
      <c r="AF64" s="89"/>
      <c r="AG64" s="89"/>
      <c r="AH64" s="89"/>
    </row>
    <row r="65">
      <c r="A65" s="8" t="s">
        <v>203</v>
      </c>
      <c r="B65" s="90" t="s">
        <v>29</v>
      </c>
      <c r="C65" s="8" t="s">
        <v>41</v>
      </c>
      <c r="D65" s="89" t="str">
        <f t="shared" si="1"/>
        <v>SeptemberREVATHI S</v>
      </c>
      <c r="E65" s="89" t="str">
        <f t="shared" si="2"/>
        <v>SeptemberREVATHI SOT Hours</v>
      </c>
      <c r="F65" s="89" t="str">
        <f>IFERROR(VLOOKUP(C65,'Employees List'!$B$1:$G$999,2,0),"")</f>
        <v>REVATHI S</v>
      </c>
      <c r="G65" s="91">
        <f t="shared" si="15"/>
        <v>7796.802083</v>
      </c>
      <c r="H65" s="92">
        <v>45575.0</v>
      </c>
      <c r="I65" s="89" t="str">
        <f>IFERROR(VLOOKUP(F65,'Employees List'!$C:$F,2,0),"")</f>
        <v/>
      </c>
      <c r="J65" s="93" t="str">
        <f>IFERROR(VLOOKUP(C65,'Employees List'!$B$2:$G$991,5,0),"")</f>
        <v>8131010000016995</v>
      </c>
      <c r="K65" s="95">
        <f>IFERROR(VLOOKUP(F65,'Employees List'!$C$1:$AB$991,5,0),"")</f>
        <v>9500</v>
      </c>
      <c r="L65" s="91">
        <f t="shared" si="3"/>
        <v>6650</v>
      </c>
      <c r="M65" s="91">
        <f t="shared" si="4"/>
        <v>2850</v>
      </c>
      <c r="N65" s="89">
        <f>IFERROR(VLOOKUP(B65,'Employees List'!$A$2:$H$991,8,0),"")</f>
        <v>30</v>
      </c>
      <c r="O65" s="89">
        <f>IFERROR(VLOOKUP(D65,'Daily Attendance Report 24-25'!A64:BP999,5,0),"")</f>
        <v>26</v>
      </c>
      <c r="P65" s="89">
        <f>IFERROR(VLOOKUP(E65,'Daily Attendance Report 24-25'!$A$1:$BO$617,5,0),"")</f>
        <v>20</v>
      </c>
      <c r="Q65" s="96">
        <v>450.0</v>
      </c>
      <c r="R65" s="8">
        <v>2000.0</v>
      </c>
      <c r="S65" s="91">
        <f t="shared" si="5"/>
        <v>8233.333333</v>
      </c>
      <c r="T65" s="91">
        <f t="shared" si="6"/>
        <v>1187.5</v>
      </c>
      <c r="U65" s="91">
        <f t="shared" si="7"/>
        <v>7870.833333</v>
      </c>
      <c r="V65" s="91">
        <f t="shared" si="8"/>
        <v>74.03125</v>
      </c>
      <c r="W65" s="91">
        <f t="shared" si="9"/>
        <v>9870.833333</v>
      </c>
      <c r="X65" s="89"/>
      <c r="Y65" s="89"/>
      <c r="Z65" s="89"/>
      <c r="AA65" s="89"/>
      <c r="AB65" s="89"/>
      <c r="AC65" s="89"/>
      <c r="AD65" s="89"/>
      <c r="AE65" s="89"/>
      <c r="AF65" s="89"/>
      <c r="AG65" s="89"/>
      <c r="AH65" s="89"/>
    </row>
    <row r="66">
      <c r="A66" s="8" t="s">
        <v>204</v>
      </c>
      <c r="B66" s="90" t="s">
        <v>29</v>
      </c>
      <c r="C66" s="8" t="s">
        <v>77</v>
      </c>
      <c r="D66" s="89" t="str">
        <f t="shared" si="1"/>
        <v>SeptemberSIDHESHWAR</v>
      </c>
      <c r="E66" s="89" t="str">
        <f t="shared" si="2"/>
        <v>SeptemberSIDHESHWAROT Hours</v>
      </c>
      <c r="F66" s="89" t="str">
        <f>IFERROR(VLOOKUP(C66,'Employees List'!$B$1:$G$999,2,0),"")</f>
        <v>SIDHESHWAR</v>
      </c>
      <c r="G66" s="91">
        <f t="shared" si="15"/>
        <v>11736.3125</v>
      </c>
      <c r="H66" s="92">
        <v>45606.0</v>
      </c>
      <c r="I66" s="89" t="str">
        <f>IFERROR(VLOOKUP(F66,'Employees List'!$C:$F,2,0),"")</f>
        <v/>
      </c>
      <c r="J66" s="93" t="str">
        <f>IFERROR(VLOOKUP(C66,'Employees List'!$B$2:$G$991,5,0),"")</f>
        <v>8131010000018939</v>
      </c>
      <c r="K66" s="94">
        <v>10000.0</v>
      </c>
      <c r="L66" s="91">
        <f t="shared" si="3"/>
        <v>7000</v>
      </c>
      <c r="M66" s="91">
        <f t="shared" si="4"/>
        <v>3000</v>
      </c>
      <c r="N66" s="89">
        <f>IFERROR(VLOOKUP(B66,'Employees List'!$A$2:$H$991,8,0),"")</f>
        <v>30</v>
      </c>
      <c r="O66" s="89">
        <f>IFERROR(VLOOKUP(D66,'Daily Attendance Report 24-25'!A65:BP999,5,0),"")</f>
        <v>27</v>
      </c>
      <c r="P66" s="89">
        <f>IFERROR(VLOOKUP(E66,'Daily Attendance Report 24-25'!$A$1:$BO$617,5,0),"")</f>
        <v>38</v>
      </c>
      <c r="Q66" s="96">
        <v>450.0</v>
      </c>
      <c r="R66" s="89"/>
      <c r="S66" s="91">
        <f t="shared" si="5"/>
        <v>9000</v>
      </c>
      <c r="T66" s="91">
        <f t="shared" si="6"/>
        <v>2375</v>
      </c>
      <c r="U66" s="91">
        <f t="shared" si="7"/>
        <v>11825</v>
      </c>
      <c r="V66" s="91">
        <f t="shared" si="8"/>
        <v>88.6875</v>
      </c>
      <c r="W66" s="91">
        <f t="shared" si="9"/>
        <v>11825</v>
      </c>
      <c r="X66" s="89"/>
      <c r="Y66" s="89"/>
      <c r="Z66" s="89"/>
      <c r="AA66" s="89"/>
      <c r="AB66" s="89"/>
      <c r="AC66" s="89"/>
      <c r="AD66" s="89"/>
      <c r="AE66" s="89"/>
      <c r="AF66" s="89"/>
      <c r="AG66" s="89"/>
      <c r="AH66" s="89"/>
    </row>
    <row r="67">
      <c r="A67" s="8" t="s">
        <v>205</v>
      </c>
      <c r="B67" s="90" t="s">
        <v>29</v>
      </c>
      <c r="C67" s="8" t="s">
        <v>37</v>
      </c>
      <c r="D67" s="89" t="str">
        <f t="shared" si="1"/>
        <v>SeptemberAMMU</v>
      </c>
      <c r="E67" s="89" t="str">
        <f t="shared" si="2"/>
        <v>SeptemberAMMUOT Hours</v>
      </c>
      <c r="F67" s="89" t="str">
        <f>IFERROR(VLOOKUP(C67,'Employees List'!$B$1:$G$999,2,0),"")</f>
        <v>AMMU</v>
      </c>
      <c r="G67" s="91">
        <f>W67-V67</f>
        <v>11618.45313</v>
      </c>
      <c r="H67" s="92">
        <v>45606.0</v>
      </c>
      <c r="I67" s="89" t="str">
        <f>IFERROR(VLOOKUP(F67,'Employees List'!$C:$F,2,0),"")</f>
        <v/>
      </c>
      <c r="J67" s="93">
        <f>IFERROR(VLOOKUP(C67,'Employees List'!$B$2:$G$991,5,0),"")</f>
        <v>65801000040238</v>
      </c>
      <c r="K67" s="95">
        <f>IFERROR(VLOOKUP(F67,'Employees List'!$C$1:$AB$991,5,0),"")</f>
        <v>9500</v>
      </c>
      <c r="L67" s="91">
        <f t="shared" si="3"/>
        <v>6650</v>
      </c>
      <c r="M67" s="91">
        <f t="shared" si="4"/>
        <v>2850</v>
      </c>
      <c r="N67" s="89">
        <f>IFERROR(VLOOKUP(B67,'Employees List'!$A$2:$H$991,8,0),"")</f>
        <v>30</v>
      </c>
      <c r="O67" s="89">
        <f>IFERROR(VLOOKUP(D67,'Daily Attendance Report 24-25'!A66:BP999,5,0),"")</f>
        <v>30</v>
      </c>
      <c r="P67" s="89">
        <f>IFERROR(VLOOKUP(E67,'Daily Attendance Report 24-25'!$A$1:$BO$617,5,0),"")</f>
        <v>22</v>
      </c>
      <c r="Q67" s="96">
        <v>900.0</v>
      </c>
      <c r="R67" s="89"/>
      <c r="S67" s="91">
        <f t="shared" si="5"/>
        <v>9500</v>
      </c>
      <c r="T67" s="91">
        <f t="shared" si="6"/>
        <v>1306.25</v>
      </c>
      <c r="U67" s="91">
        <f t="shared" si="7"/>
        <v>11706.25</v>
      </c>
      <c r="V67" s="91">
        <f t="shared" si="8"/>
        <v>87.796875</v>
      </c>
      <c r="W67" s="91">
        <f t="shared" si="9"/>
        <v>11706.25</v>
      </c>
      <c r="X67" s="89"/>
      <c r="Y67" s="89"/>
      <c r="Z67" s="89"/>
      <c r="AA67" s="89"/>
      <c r="AB67" s="89"/>
      <c r="AC67" s="89"/>
      <c r="AD67" s="89"/>
      <c r="AE67" s="89"/>
      <c r="AF67" s="89"/>
      <c r="AG67" s="89"/>
      <c r="AH67" s="89"/>
    </row>
    <row r="68">
      <c r="A68" s="8" t="s">
        <v>206</v>
      </c>
      <c r="B68" s="90" t="s">
        <v>29</v>
      </c>
      <c r="C68" s="8" t="s">
        <v>75</v>
      </c>
      <c r="D68" s="89" t="str">
        <f t="shared" si="1"/>
        <v>SeptemberNAROTTAM</v>
      </c>
      <c r="E68" s="89" t="str">
        <f t="shared" si="2"/>
        <v>SeptemberNAROTTAMOT Hours</v>
      </c>
      <c r="F68" s="89" t="str">
        <f>IFERROR(VLOOKUP(C68,'Employees List'!$B$1:$G$999,2,0),"")</f>
        <v>NAROTTAM</v>
      </c>
      <c r="G68" s="91">
        <f>W68-V68-R68</f>
        <v>7338.296875</v>
      </c>
      <c r="H68" s="92">
        <v>45606.0</v>
      </c>
      <c r="I68" s="89" t="str">
        <f>IFERROR(VLOOKUP(F68,'Employees List'!$C:$F,2,0),"")</f>
        <v/>
      </c>
      <c r="J68" s="93" t="str">
        <f>IFERROR(VLOOKUP(C68,'Employees List'!$B$2:$G$991,5,0),"")</f>
        <v/>
      </c>
      <c r="K68" s="95">
        <f>IFERROR(VLOOKUP(F68,'Employees List'!$C$1:$AB$991,5,0),"")</f>
        <v>11000</v>
      </c>
      <c r="L68" s="91">
        <f t="shared" si="3"/>
        <v>7700</v>
      </c>
      <c r="M68" s="91">
        <f t="shared" si="4"/>
        <v>3300</v>
      </c>
      <c r="N68" s="89">
        <f>IFERROR(VLOOKUP(B68,'Employees List'!$A$2:$H$991,8,0),"")</f>
        <v>30</v>
      </c>
      <c r="O68" s="89">
        <f>IFERROR(VLOOKUP(D68,'Daily Attendance Report 24-25'!A67:BP999,5,0),"")</f>
        <v>16.5</v>
      </c>
      <c r="P68" s="89">
        <f>IFERROR(VLOOKUP(E68,'Daily Attendance Report 24-25'!$A$1:$BO$617,5,0),"")</f>
        <v>13</v>
      </c>
      <c r="Q68" s="96">
        <v>450.0</v>
      </c>
      <c r="R68" s="89"/>
      <c r="S68" s="91">
        <f t="shared" si="5"/>
        <v>6050</v>
      </c>
      <c r="T68" s="91">
        <f t="shared" si="6"/>
        <v>893.75</v>
      </c>
      <c r="U68" s="91">
        <f t="shared" si="7"/>
        <v>7393.75</v>
      </c>
      <c r="V68" s="91">
        <f t="shared" si="8"/>
        <v>55.453125</v>
      </c>
      <c r="W68" s="91">
        <f t="shared" si="9"/>
        <v>7393.75</v>
      </c>
      <c r="X68" s="89"/>
      <c r="Y68" s="89"/>
      <c r="Z68" s="89"/>
      <c r="AA68" s="89"/>
      <c r="AB68" s="89"/>
      <c r="AC68" s="89"/>
      <c r="AD68" s="89"/>
      <c r="AE68" s="89"/>
      <c r="AF68" s="89"/>
      <c r="AG68" s="89"/>
      <c r="AH68" s="89"/>
    </row>
    <row r="69">
      <c r="A69" s="8" t="s">
        <v>207</v>
      </c>
      <c r="B69" s="90" t="s">
        <v>33</v>
      </c>
      <c r="C69" s="8" t="s">
        <v>9</v>
      </c>
      <c r="D69" s="89" t="str">
        <f t="shared" si="1"/>
        <v>OctoberBHUVANESWARAN</v>
      </c>
      <c r="E69" s="89" t="str">
        <f t="shared" si="2"/>
        <v>OctoberBHUVANESWARANOT Hours</v>
      </c>
      <c r="F69" s="89" t="str">
        <f>IFERROR(VLOOKUP(C69,'Employees List'!$B$1:$G$999,2,0),"")</f>
        <v>BHUVANESWARAN</v>
      </c>
      <c r="G69" s="91">
        <f>W69</f>
        <v>60900</v>
      </c>
      <c r="H69" s="92">
        <v>45606.0</v>
      </c>
      <c r="I69" s="89" t="str">
        <f>IFERROR(VLOOKUP(F69,'Employees List'!$C:$F,2,0),"")</f>
        <v/>
      </c>
      <c r="J69" s="93">
        <f>IFERROR(VLOOKUP(C69,'Employees List'!$B$2:$G$991,5,0),"")</f>
        <v>500101011548924</v>
      </c>
      <c r="K69" s="95">
        <f>IFERROR(VLOOKUP(F69,'Employees List'!$C$1:$AB$991,5,0),"")</f>
        <v>60000</v>
      </c>
      <c r="L69" s="91">
        <f t="shared" si="3"/>
        <v>42000</v>
      </c>
      <c r="M69" s="91">
        <f t="shared" si="4"/>
        <v>18000</v>
      </c>
      <c r="N69" s="89">
        <f>IFERROR(VLOOKUP(B69,'Employees List'!$A$2:$H$991,8,0),"")</f>
        <v>31</v>
      </c>
      <c r="O69" s="89">
        <f>IFERROR(VLOOKUP(D69,'Daily Attendance Report 24-25'!A68:BP999,5,0),"")</f>
        <v>31</v>
      </c>
      <c r="P69" s="89">
        <f>IFERROR(VLOOKUP(E69,'Daily Attendance Report 24-25'!$A$1:$BO$617,5,0),"")</f>
        <v>0</v>
      </c>
      <c r="Q69" s="96">
        <v>900.0</v>
      </c>
      <c r="R69" s="8"/>
      <c r="S69" s="91">
        <f t="shared" si="5"/>
        <v>60000</v>
      </c>
      <c r="T69" s="91">
        <f t="shared" si="6"/>
        <v>0</v>
      </c>
      <c r="U69" s="91">
        <f t="shared" si="7"/>
        <v>60900</v>
      </c>
      <c r="V69" s="91">
        <f t="shared" si="8"/>
        <v>456.75</v>
      </c>
      <c r="W69" s="91">
        <f t="shared" si="9"/>
        <v>60900</v>
      </c>
      <c r="X69" s="89"/>
      <c r="Y69" s="89"/>
      <c r="Z69" s="89"/>
      <c r="AA69" s="89"/>
      <c r="AB69" s="89"/>
      <c r="AC69" s="89"/>
      <c r="AD69" s="89"/>
      <c r="AE69" s="89"/>
      <c r="AF69" s="89"/>
      <c r="AG69" s="89"/>
      <c r="AH69" s="89"/>
    </row>
    <row r="70">
      <c r="A70" s="8" t="s">
        <v>208</v>
      </c>
      <c r="B70" s="90" t="s">
        <v>33</v>
      </c>
      <c r="C70" s="8" t="s">
        <v>18</v>
      </c>
      <c r="D70" s="89" t="str">
        <f t="shared" si="1"/>
        <v>OctoberGANESH</v>
      </c>
      <c r="E70" s="89" t="str">
        <f t="shared" si="2"/>
        <v>OctoberGANESHOT Hours</v>
      </c>
      <c r="F70" s="89" t="str">
        <f>IFERROR(VLOOKUP(C70,'Employees List'!$B$1:$G$999,2,0),"")</f>
        <v>GANESH</v>
      </c>
      <c r="G70" s="91">
        <f t="shared" ref="G70:G80" si="16">W70-V70-R70</f>
        <v>12103.50504</v>
      </c>
      <c r="H70" s="92">
        <v>45606.0</v>
      </c>
      <c r="I70" s="89" t="str">
        <f>IFERROR(VLOOKUP(F70,'Employees List'!$C:$F,2,0),"")</f>
        <v/>
      </c>
      <c r="J70" s="93" t="str">
        <f>IFERROR(VLOOKUP(C70,'Employees List'!$B$2:$G$991,5,0),"")</f>
        <v>8811010012054879</v>
      </c>
      <c r="K70" s="95">
        <f>IFERROR(VLOOKUP(F70,'Employees List'!$C$1:$AB$991,5,0),"")</f>
        <v>17500</v>
      </c>
      <c r="L70" s="91">
        <f t="shared" si="3"/>
        <v>12250</v>
      </c>
      <c r="M70" s="91">
        <f t="shared" si="4"/>
        <v>5250</v>
      </c>
      <c r="N70" s="89">
        <f>IFERROR(VLOOKUP(B70,'Employees List'!$A$2:$H$991,8,0),"")</f>
        <v>31</v>
      </c>
      <c r="O70" s="89">
        <f>IFERROR(VLOOKUP(D70,'Daily Attendance Report 24-25'!A69:BP999,5,0),"")</f>
        <v>21</v>
      </c>
      <c r="P70" s="89">
        <f>IFERROR(VLOOKUP(E70,'Daily Attendance Report 24-25'!$A$1:$BO$617,5,0),"")</f>
        <v>18</v>
      </c>
      <c r="Q70" s="96">
        <v>450.0</v>
      </c>
      <c r="R70" s="8">
        <v>2000.0</v>
      </c>
      <c r="S70" s="91">
        <f t="shared" si="5"/>
        <v>11854.83871</v>
      </c>
      <c r="T70" s="91">
        <f t="shared" si="6"/>
        <v>1905.241935</v>
      </c>
      <c r="U70" s="91">
        <f t="shared" si="7"/>
        <v>12210.08065</v>
      </c>
      <c r="V70" s="91">
        <f t="shared" si="8"/>
        <v>106.5756048</v>
      </c>
      <c r="W70" s="91">
        <f t="shared" si="9"/>
        <v>14210.08065</v>
      </c>
      <c r="X70" s="89"/>
      <c r="Y70" s="89"/>
      <c r="Z70" s="89"/>
      <c r="AA70" s="89"/>
      <c r="AB70" s="89"/>
      <c r="AC70" s="89"/>
      <c r="AD70" s="89"/>
      <c r="AE70" s="89"/>
      <c r="AF70" s="89"/>
      <c r="AG70" s="89"/>
      <c r="AH70" s="89"/>
    </row>
    <row r="71">
      <c r="A71" s="8" t="s">
        <v>209</v>
      </c>
      <c r="B71" s="90" t="s">
        <v>33</v>
      </c>
      <c r="C71" s="8" t="s">
        <v>13</v>
      </c>
      <c r="D71" s="89" t="str">
        <f t="shared" si="1"/>
        <v>OctoberVASANTHA</v>
      </c>
      <c r="E71" s="89" t="str">
        <f t="shared" si="2"/>
        <v>OctoberVASANTHAOT Hours</v>
      </c>
      <c r="F71" s="89" t="str">
        <f>IFERROR(VLOOKUP(C71,'Employees List'!$B$1:$G$999,2,0),"")</f>
        <v>VASANTHA</v>
      </c>
      <c r="G71" s="91">
        <f t="shared" si="16"/>
        <v>10291.58468</v>
      </c>
      <c r="H71" s="92">
        <v>45606.0</v>
      </c>
      <c r="I71" s="89" t="str">
        <f>IFERROR(VLOOKUP(F71,'Employees List'!$C:$F,2,0),"")</f>
        <v/>
      </c>
      <c r="J71" s="93" t="str">
        <f>IFERROR(VLOOKUP(C71,'Employees List'!$B$2:$G$991,5,0),"")</f>
        <v>8131010000016959</v>
      </c>
      <c r="K71" s="95">
        <f>IFERROR(VLOOKUP(F71,'Employees List'!$C$1:$AB$991,5,0),"")</f>
        <v>12000</v>
      </c>
      <c r="L71" s="91">
        <f t="shared" si="3"/>
        <v>8400</v>
      </c>
      <c r="M71" s="91">
        <f t="shared" si="4"/>
        <v>3600</v>
      </c>
      <c r="N71" s="89">
        <f>IFERROR(VLOOKUP(B71,'Employees List'!$A$2:$H$991,8,0),"")</f>
        <v>31</v>
      </c>
      <c r="O71" s="89">
        <f>IFERROR(VLOOKUP(D71,'Daily Attendance Report 24-25'!A70:BP999,5,0),"")</f>
        <v>23</v>
      </c>
      <c r="P71" s="89">
        <f>IFERROR(VLOOKUP(E71,'Daily Attendance Report 24-25'!$A$1:$BO$617,5,0),"")</f>
        <v>14</v>
      </c>
      <c r="Q71" s="96">
        <v>450.0</v>
      </c>
      <c r="R71" s="8"/>
      <c r="S71" s="91">
        <f t="shared" si="5"/>
        <v>8903.225806</v>
      </c>
      <c r="T71" s="91">
        <f t="shared" si="6"/>
        <v>1016.129032</v>
      </c>
      <c r="U71" s="91">
        <f t="shared" si="7"/>
        <v>10369.35484</v>
      </c>
      <c r="V71" s="91">
        <f t="shared" si="8"/>
        <v>77.77016129</v>
      </c>
      <c r="W71" s="91">
        <f t="shared" si="9"/>
        <v>10369.35484</v>
      </c>
      <c r="X71" s="89"/>
      <c r="Y71" s="89"/>
      <c r="Z71" s="89"/>
      <c r="AA71" s="89"/>
      <c r="AB71" s="89"/>
      <c r="AC71" s="89"/>
      <c r="AD71" s="89"/>
      <c r="AE71" s="89"/>
      <c r="AF71" s="89"/>
      <c r="AG71" s="89"/>
      <c r="AH71" s="89"/>
    </row>
    <row r="72">
      <c r="A72" s="8" t="s">
        <v>210</v>
      </c>
      <c r="B72" s="90" t="s">
        <v>33</v>
      </c>
      <c r="C72" s="8" t="s">
        <v>64</v>
      </c>
      <c r="D72" s="89" t="str">
        <f t="shared" si="1"/>
        <v>OctoberSUNDARI</v>
      </c>
      <c r="E72" s="89" t="str">
        <f t="shared" si="2"/>
        <v>OctoberSUNDARIOT Hours</v>
      </c>
      <c r="F72" s="89" t="str">
        <f>IFERROR(VLOOKUP(C72,'Employees List'!$B$1:$G$999,2,0),"")</f>
        <v>SUNDARI</v>
      </c>
      <c r="G72" s="91">
        <f t="shared" si="16"/>
        <v>19812.38105</v>
      </c>
      <c r="H72" s="92">
        <v>45606.0</v>
      </c>
      <c r="I72" s="89" t="str">
        <f>IFERROR(VLOOKUP(F72,'Employees List'!$C:$F,2,0),"")</f>
        <v/>
      </c>
      <c r="J72" s="93" t="str">
        <f>IFERROR(VLOOKUP(C72,'Employees List'!$B$2:$G$991,5,0),"")</f>
        <v>8131010000016977</v>
      </c>
      <c r="K72" s="95">
        <f>IFERROR(VLOOKUP(F72,'Employees List'!$C$1:$AB$991,5,0),"")</f>
        <v>18000</v>
      </c>
      <c r="L72" s="91">
        <f t="shared" si="3"/>
        <v>12600</v>
      </c>
      <c r="M72" s="91">
        <f t="shared" si="4"/>
        <v>5400</v>
      </c>
      <c r="N72" s="89">
        <f>IFERROR(VLOOKUP(B72,'Employees List'!$A$2:$H$991,8,0),"")</f>
        <v>31</v>
      </c>
      <c r="O72" s="89">
        <f>IFERROR(VLOOKUP(D72,'Daily Attendance Report 24-25'!A71:BP999,5,0),"")</f>
        <v>31</v>
      </c>
      <c r="P72" s="89">
        <f>IFERROR(VLOOKUP(E72,'Daily Attendance Report 24-25'!$A$1:$BO$617,5,0),"")</f>
        <v>7</v>
      </c>
      <c r="Q72" s="96">
        <v>1200.0</v>
      </c>
      <c r="R72" s="8"/>
      <c r="S72" s="91">
        <f t="shared" si="5"/>
        <v>18000</v>
      </c>
      <c r="T72" s="91">
        <f t="shared" si="6"/>
        <v>762.0967742</v>
      </c>
      <c r="U72" s="91">
        <f t="shared" si="7"/>
        <v>19962.09677</v>
      </c>
      <c r="V72" s="91">
        <f t="shared" si="8"/>
        <v>149.7157258</v>
      </c>
      <c r="W72" s="91">
        <f t="shared" si="9"/>
        <v>19962.09677</v>
      </c>
      <c r="X72" s="89"/>
      <c r="Y72" s="89"/>
      <c r="Z72" s="89"/>
      <c r="AA72" s="89"/>
      <c r="AB72" s="89"/>
      <c r="AC72" s="89"/>
      <c r="AD72" s="89"/>
      <c r="AE72" s="89"/>
      <c r="AF72" s="89"/>
      <c r="AG72" s="89"/>
      <c r="AH72" s="89"/>
    </row>
    <row r="73">
      <c r="A73" s="8" t="s">
        <v>211</v>
      </c>
      <c r="B73" s="90" t="s">
        <v>33</v>
      </c>
      <c r="C73" s="8" t="s">
        <v>22</v>
      </c>
      <c r="D73" s="89" t="str">
        <f t="shared" si="1"/>
        <v>OctoberADHIKARI BALIA</v>
      </c>
      <c r="E73" s="89" t="str">
        <f t="shared" si="2"/>
        <v>OctoberADHIKARI BALIAOT Hours</v>
      </c>
      <c r="F73" s="89" t="str">
        <f>IFERROR(VLOOKUP(C73,'Employees List'!$B$1:$G$999,2,0),"")</f>
        <v>ADHIKARI BALIA</v>
      </c>
      <c r="G73" s="91">
        <f t="shared" si="16"/>
        <v>16390.65726</v>
      </c>
      <c r="H73" s="92">
        <v>45606.0</v>
      </c>
      <c r="I73" s="89" t="str">
        <f>IFERROR(VLOOKUP(F73,'Employees List'!$C:$F,2,0),"")</f>
        <v/>
      </c>
      <c r="J73" s="93" t="str">
        <f>IFERROR(VLOOKUP(C73,'Employees List'!$B$2:$G$991,5,0),"")</f>
        <v>8131010000018948</v>
      </c>
      <c r="K73" s="95">
        <f>IFERROR(VLOOKUP(F73,'Employees List'!$C$1:$AB$991,5,0),"")</f>
        <v>12000</v>
      </c>
      <c r="L73" s="91">
        <f t="shared" si="3"/>
        <v>8400</v>
      </c>
      <c r="M73" s="91">
        <f t="shared" si="4"/>
        <v>3600</v>
      </c>
      <c r="N73" s="89">
        <f>IFERROR(VLOOKUP(B73,'Employees List'!$A$2:$H$991,8,0),"")</f>
        <v>31</v>
      </c>
      <c r="O73" s="89">
        <f>IFERROR(VLOOKUP(D73,'Daily Attendance Report 24-25'!A72:BP999,5,0),"")</f>
        <v>30.5</v>
      </c>
      <c r="P73" s="89">
        <f>IFERROR(VLOOKUP(E73,'Daily Attendance Report 24-25'!$A$1:$BO$617,5,0),"")</f>
        <v>56</v>
      </c>
      <c r="Q73" s="96">
        <v>450.0</v>
      </c>
      <c r="R73" s="8"/>
      <c r="S73" s="8">
        <v>12000.0</v>
      </c>
      <c r="T73" s="91">
        <f t="shared" si="6"/>
        <v>4064.516129</v>
      </c>
      <c r="U73" s="91">
        <f t="shared" si="7"/>
        <v>16514.51613</v>
      </c>
      <c r="V73" s="91">
        <f t="shared" si="8"/>
        <v>123.858871</v>
      </c>
      <c r="W73" s="91">
        <f t="shared" si="9"/>
        <v>16514.51613</v>
      </c>
      <c r="X73" s="89"/>
      <c r="Y73" s="89"/>
      <c r="Z73" s="89"/>
      <c r="AA73" s="89"/>
      <c r="AB73" s="89"/>
      <c r="AC73" s="89"/>
      <c r="AD73" s="89"/>
      <c r="AE73" s="89"/>
      <c r="AF73" s="89"/>
      <c r="AG73" s="89"/>
      <c r="AH73" s="89"/>
    </row>
    <row r="74">
      <c r="A74" s="8" t="s">
        <v>212</v>
      </c>
      <c r="B74" s="90" t="s">
        <v>33</v>
      </c>
      <c r="C74" s="8" t="s">
        <v>70</v>
      </c>
      <c r="D74" s="89" t="str">
        <f t="shared" si="1"/>
        <v>OctoberMathi</v>
      </c>
      <c r="E74" s="89" t="str">
        <f t="shared" si="2"/>
        <v>OctoberMathiOT Hours</v>
      </c>
      <c r="F74" s="89" t="str">
        <f>IFERROR(VLOOKUP(C74,'Employees List'!$B$1:$G$999,2,0),"")</f>
        <v>Mathi</v>
      </c>
      <c r="G74" s="91">
        <f t="shared" si="16"/>
        <v>23839.66935</v>
      </c>
      <c r="H74" s="92">
        <v>45606.0</v>
      </c>
      <c r="I74" s="89" t="str">
        <f>IFERROR(VLOOKUP(F74,'Employees List'!$C:$F,2,0),"")</f>
        <v/>
      </c>
      <c r="J74" s="93" t="str">
        <f>IFERROR(VLOOKUP(C74,'Employees List'!$B$2:$G$991,5,0),"")</f>
        <v>8131010000016986</v>
      </c>
      <c r="K74" s="95">
        <f>IFERROR(VLOOKUP(F74,'Employees List'!$C$1:$AB$991,5,0),"")</f>
        <v>20000</v>
      </c>
      <c r="L74" s="91">
        <f t="shared" si="3"/>
        <v>14000</v>
      </c>
      <c r="M74" s="91">
        <f t="shared" si="4"/>
        <v>6000</v>
      </c>
      <c r="N74" s="89">
        <f>IFERROR(VLOOKUP(B74,'Employees List'!$A$2:$H$991,8,0),"")</f>
        <v>31</v>
      </c>
      <c r="O74" s="89">
        <f>IFERROR(VLOOKUP(D74,'Daily Attendance Report 24-25'!A73:BP999,5,0),"")</f>
        <v>29</v>
      </c>
      <c r="P74" s="89">
        <f>IFERROR(VLOOKUP(E74,'Daily Attendance Report 24-25'!$A$1:$BO$617,5,0),"")</f>
        <v>61</v>
      </c>
      <c r="Q74" s="96">
        <v>450.0</v>
      </c>
      <c r="R74" s="8">
        <v>2500.0</v>
      </c>
      <c r="S74" s="91">
        <f t="shared" ref="S74:S999" si="17">K74/N74*O74</f>
        <v>18709.67742</v>
      </c>
      <c r="T74" s="91">
        <f t="shared" si="6"/>
        <v>7379.032258</v>
      </c>
      <c r="U74" s="91">
        <f t="shared" si="7"/>
        <v>24038.70968</v>
      </c>
      <c r="V74" s="91">
        <f t="shared" si="8"/>
        <v>199.0403226</v>
      </c>
      <c r="W74" s="91">
        <f t="shared" si="9"/>
        <v>26538.70968</v>
      </c>
      <c r="X74" s="89"/>
      <c r="Y74" s="89"/>
      <c r="Z74" s="89"/>
      <c r="AA74" s="89"/>
      <c r="AB74" s="89"/>
      <c r="AC74" s="89"/>
      <c r="AD74" s="89"/>
      <c r="AE74" s="89"/>
      <c r="AF74" s="89"/>
      <c r="AG74" s="89"/>
      <c r="AH74" s="89"/>
    </row>
    <row r="75">
      <c r="A75" s="8" t="s">
        <v>213</v>
      </c>
      <c r="B75" s="90" t="s">
        <v>33</v>
      </c>
      <c r="C75" s="8" t="s">
        <v>26</v>
      </c>
      <c r="D75" s="89" t="str">
        <f t="shared" si="1"/>
        <v>OctoberRUPESH</v>
      </c>
      <c r="E75" s="89" t="str">
        <f t="shared" si="2"/>
        <v>OctoberRUPESHOT Hours</v>
      </c>
      <c r="F75" s="89" t="str">
        <f>IFERROR(VLOOKUP(C75,'Employees List'!$B$1:$G$999,2,0),"")</f>
        <v>RUPESH</v>
      </c>
      <c r="G75" s="91">
        <f t="shared" si="16"/>
        <v>16765.24597</v>
      </c>
      <c r="H75" s="92">
        <v>45606.0</v>
      </c>
      <c r="I75" s="89" t="str">
        <f>IFERROR(VLOOKUP(F75,'Employees List'!$C:$F,2,0),"")</f>
        <v/>
      </c>
      <c r="J75" s="93" t="str">
        <f>IFERROR(VLOOKUP(C75,'Employees List'!$B$2:$G$991,5,0),"")</f>
        <v>8131010000020156</v>
      </c>
      <c r="K75" s="95">
        <f>IFERROR(VLOOKUP(F75,'Employees List'!$C$1:$AB$991,5,0),"")</f>
        <v>12000</v>
      </c>
      <c r="L75" s="91">
        <f t="shared" si="3"/>
        <v>8400</v>
      </c>
      <c r="M75" s="91">
        <f t="shared" si="4"/>
        <v>3600</v>
      </c>
      <c r="N75" s="89">
        <f>IFERROR(VLOOKUP(B75,'Employees List'!$A$2:$H$991,8,0),"")</f>
        <v>31</v>
      </c>
      <c r="O75" s="89">
        <f>IFERROR(VLOOKUP(D75,'Daily Attendance Report 24-25'!A74:BP999,5,0),"")</f>
        <v>31</v>
      </c>
      <c r="P75" s="89">
        <f>IFERROR(VLOOKUP(E75,'Daily Attendance Report 24-25'!$A$1:$BO$617,5,0),"")</f>
        <v>55</v>
      </c>
      <c r="Q75" s="96">
        <v>900.0</v>
      </c>
      <c r="R75" s="8"/>
      <c r="S75" s="91">
        <f t="shared" si="17"/>
        <v>12000</v>
      </c>
      <c r="T75" s="91">
        <f t="shared" si="6"/>
        <v>3991.935484</v>
      </c>
      <c r="U75" s="91">
        <f t="shared" si="7"/>
        <v>16891.93548</v>
      </c>
      <c r="V75" s="91">
        <f t="shared" si="8"/>
        <v>126.6895161</v>
      </c>
      <c r="W75" s="91">
        <f t="shared" si="9"/>
        <v>16891.93548</v>
      </c>
      <c r="X75" s="89"/>
      <c r="Y75" s="89"/>
      <c r="Z75" s="89"/>
      <c r="AA75" s="89"/>
      <c r="AB75" s="89"/>
      <c r="AC75" s="89"/>
      <c r="AD75" s="89"/>
      <c r="AE75" s="89"/>
      <c r="AF75" s="89"/>
      <c r="AG75" s="89"/>
      <c r="AH75" s="89"/>
    </row>
    <row r="76">
      <c r="A76" s="8" t="s">
        <v>214</v>
      </c>
      <c r="B76" s="90" t="s">
        <v>33</v>
      </c>
      <c r="C76" s="8" t="s">
        <v>30</v>
      </c>
      <c r="D76" s="89" t="str">
        <f t="shared" si="1"/>
        <v>OctoberSANJAI BHAGAT</v>
      </c>
      <c r="E76" s="89" t="str">
        <f t="shared" si="2"/>
        <v>OctoberSANJAI BHAGATOT Hours</v>
      </c>
      <c r="F76" s="89" t="str">
        <f>IFERROR(VLOOKUP(C76,'Employees List'!$B$1:$G$999,2,0),"")</f>
        <v>SANJAI BHAGAT</v>
      </c>
      <c r="G76" s="91">
        <f t="shared" si="16"/>
        <v>18455.69758</v>
      </c>
      <c r="H76" s="92">
        <v>45606.0</v>
      </c>
      <c r="I76" s="89" t="str">
        <f>IFERROR(VLOOKUP(F76,'Employees List'!$C:$F,2,0),"")</f>
        <v/>
      </c>
      <c r="J76" s="93" t="str">
        <f>IFERROR(VLOOKUP(C76,'Employees List'!$B$2:$G$991,5,0),"")</f>
        <v>8131010000021225</v>
      </c>
      <c r="K76" s="95">
        <f>IFERROR(VLOOKUP(F76,'Employees List'!$C$1:$AB$991,5,0),"")</f>
        <v>12000</v>
      </c>
      <c r="L76" s="91">
        <f t="shared" si="3"/>
        <v>8400</v>
      </c>
      <c r="M76" s="91">
        <f t="shared" si="4"/>
        <v>3600</v>
      </c>
      <c r="N76" s="89">
        <f>IFERROR(VLOOKUP(B76,'Employees List'!$A$2:$H$991,8,0),"")</f>
        <v>31</v>
      </c>
      <c r="O76" s="89">
        <f>IFERROR(VLOOKUP(D76,'Daily Attendance Report 24-25'!A75:BP999,5,0),"")</f>
        <v>30</v>
      </c>
      <c r="P76" s="89">
        <f>IFERROR(VLOOKUP(E76,'Daily Attendance Report 24-25'!$A$1:$BO$617,5,0),"")</f>
        <v>90</v>
      </c>
      <c r="Q76" s="96">
        <v>450.0</v>
      </c>
      <c r="R76" s="89"/>
      <c r="S76" s="91">
        <f t="shared" si="17"/>
        <v>11612.90323</v>
      </c>
      <c r="T76" s="91">
        <f t="shared" si="6"/>
        <v>6532.258065</v>
      </c>
      <c r="U76" s="91">
        <f t="shared" si="7"/>
        <v>18595.16129</v>
      </c>
      <c r="V76" s="91">
        <f t="shared" si="8"/>
        <v>139.4637097</v>
      </c>
      <c r="W76" s="91">
        <f t="shared" si="9"/>
        <v>18595.16129</v>
      </c>
      <c r="X76" s="89"/>
      <c r="Y76" s="89"/>
      <c r="Z76" s="89"/>
      <c r="AA76" s="89"/>
      <c r="AB76" s="89"/>
      <c r="AC76" s="89"/>
      <c r="AD76" s="89"/>
      <c r="AE76" s="89"/>
      <c r="AF76" s="89"/>
      <c r="AG76" s="89"/>
      <c r="AH76" s="89"/>
    </row>
    <row r="77">
      <c r="A77" s="8" t="s">
        <v>215</v>
      </c>
      <c r="B77" s="90" t="s">
        <v>33</v>
      </c>
      <c r="C77" s="8" t="s">
        <v>83</v>
      </c>
      <c r="D77" s="89" t="str">
        <f t="shared" si="1"/>
        <v>OctoberLIPAN</v>
      </c>
      <c r="E77" s="89" t="str">
        <f t="shared" si="2"/>
        <v>OctoberLIPANOT Hours</v>
      </c>
      <c r="F77" s="89" t="str">
        <f>IFERROR(VLOOKUP(C77,'Employees List'!$B$1:$G$999,2,0),"")</f>
        <v>LIPAN</v>
      </c>
      <c r="G77" s="91">
        <f t="shared" si="16"/>
        <v>18854.29839</v>
      </c>
      <c r="H77" s="92">
        <v>45606.0</v>
      </c>
      <c r="I77" s="89" t="str">
        <f>IFERROR(VLOOKUP(F77,'Employees List'!$C:$F,2,0),"")</f>
        <v/>
      </c>
      <c r="J77" s="93" t="str">
        <f>IFERROR(VLOOKUP(C77,'Employees List'!$B$2:$G$991,5,0),"")</f>
        <v>8131010000018957</v>
      </c>
      <c r="K77" s="95">
        <f>IFERROR(VLOOKUP(F77,'Employees List'!$C$1:$AB$991,5,0),"")</f>
        <v>12000</v>
      </c>
      <c r="L77" s="91">
        <f t="shared" si="3"/>
        <v>8400</v>
      </c>
      <c r="M77" s="91">
        <f t="shared" si="4"/>
        <v>3600</v>
      </c>
      <c r="N77" s="89">
        <f>IFERROR(VLOOKUP(B77,'Employees List'!$A$2:$H$991,8,0),"")</f>
        <v>31</v>
      </c>
      <c r="O77" s="89">
        <f>IFERROR(VLOOKUP(D77,'Daily Attendance Report 24-25'!A76:BP999,5,0),"")</f>
        <v>31</v>
      </c>
      <c r="P77" s="89">
        <f>IFERROR(VLOOKUP(E77,'Daily Attendance Report 24-25'!$A$1:$BO$617,5,0),"")</f>
        <v>84</v>
      </c>
      <c r="Q77" s="96">
        <v>900.0</v>
      </c>
      <c r="R77" s="8"/>
      <c r="S77" s="91">
        <f t="shared" si="17"/>
        <v>12000</v>
      </c>
      <c r="T77" s="91">
        <f t="shared" si="6"/>
        <v>6096.774194</v>
      </c>
      <c r="U77" s="91">
        <f t="shared" si="7"/>
        <v>18996.77419</v>
      </c>
      <c r="V77" s="91">
        <f t="shared" si="8"/>
        <v>142.4758065</v>
      </c>
      <c r="W77" s="91">
        <f t="shared" si="9"/>
        <v>18996.77419</v>
      </c>
      <c r="X77" s="89"/>
      <c r="Y77" s="89"/>
      <c r="Z77" s="89"/>
      <c r="AA77" s="89"/>
      <c r="AB77" s="89"/>
      <c r="AC77" s="89"/>
      <c r="AD77" s="89"/>
      <c r="AE77" s="89"/>
      <c r="AF77" s="89"/>
      <c r="AG77" s="89"/>
      <c r="AH77" s="89"/>
    </row>
    <row r="78">
      <c r="A78" s="8" t="s">
        <v>216</v>
      </c>
      <c r="B78" s="90" t="s">
        <v>33</v>
      </c>
      <c r="C78" s="8" t="s">
        <v>80</v>
      </c>
      <c r="D78" s="89" t="str">
        <f t="shared" si="1"/>
        <v>OctoberJAGABANDH</v>
      </c>
      <c r="E78" s="89" t="str">
        <f t="shared" si="2"/>
        <v>OctoberJAGABANDHOT Hours</v>
      </c>
      <c r="F78" s="89" t="str">
        <f>IFERROR(VLOOKUP(C78,'Employees List'!$B$1:$G$999,2,0),"")</f>
        <v>JAGABANDH</v>
      </c>
      <c r="G78" s="91">
        <f t="shared" si="16"/>
        <v>17062.99597</v>
      </c>
      <c r="H78" s="92">
        <v>45606.0</v>
      </c>
      <c r="I78" s="89" t="str">
        <f>IFERROR(VLOOKUP(F78,'Employees List'!$C:$F,2,0),"")</f>
        <v/>
      </c>
      <c r="J78" s="93" t="str">
        <f>IFERROR(VLOOKUP(C78,'Employees List'!$B$2:$G$991,5,0),"")</f>
        <v>8131010000018920</v>
      </c>
      <c r="K78" s="95">
        <f>IFERROR(VLOOKUP(F78,'Employees List'!$C$1:$AB$991,5,0),"")</f>
        <v>12000</v>
      </c>
      <c r="L78" s="91">
        <f t="shared" si="3"/>
        <v>8400</v>
      </c>
      <c r="M78" s="91">
        <f t="shared" si="4"/>
        <v>3600</v>
      </c>
      <c r="N78" s="89">
        <f>IFERROR(VLOOKUP(B78,'Employees List'!$A$2:$H$991,8,0),"")</f>
        <v>31</v>
      </c>
      <c r="O78" s="89">
        <f>IFERROR(VLOOKUP(D78,'Daily Attendance Report 24-25'!A77:BP999,5,0),"")</f>
        <v>29</v>
      </c>
      <c r="P78" s="89">
        <f>IFERROR(VLOOKUP(E78,'Daily Attendance Report 24-25'!$A$1:$BO$617,5,0),"")</f>
        <v>76</v>
      </c>
      <c r="Q78" s="96">
        <v>450.0</v>
      </c>
      <c r="R78" s="89"/>
      <c r="S78" s="91">
        <f t="shared" si="17"/>
        <v>11225.80645</v>
      </c>
      <c r="T78" s="91">
        <f t="shared" si="6"/>
        <v>5516.129032</v>
      </c>
      <c r="U78" s="91">
        <f t="shared" si="7"/>
        <v>17191.93548</v>
      </c>
      <c r="V78" s="91">
        <f t="shared" si="8"/>
        <v>128.9395161</v>
      </c>
      <c r="W78" s="91">
        <f t="shared" si="9"/>
        <v>17191.93548</v>
      </c>
      <c r="X78" s="89"/>
      <c r="Y78" s="89"/>
      <c r="Z78" s="89"/>
      <c r="AA78" s="89"/>
      <c r="AB78" s="89"/>
      <c r="AC78" s="89"/>
      <c r="AD78" s="89"/>
      <c r="AE78" s="89"/>
      <c r="AF78" s="89"/>
      <c r="AG78" s="89"/>
      <c r="AH78" s="89"/>
    </row>
    <row r="79">
      <c r="A79" s="8" t="s">
        <v>217</v>
      </c>
      <c r="B79" s="90" t="s">
        <v>33</v>
      </c>
      <c r="C79" s="8" t="s">
        <v>67</v>
      </c>
      <c r="D79" s="89" t="str">
        <f t="shared" si="1"/>
        <v>OctoberLEELA</v>
      </c>
      <c r="E79" s="89" t="str">
        <f t="shared" si="2"/>
        <v>OctoberLEELAOT Hours</v>
      </c>
      <c r="F79" s="89" t="str">
        <f>IFERROR(VLOOKUP(C79,'Employees List'!$B$1:$G$999,2,0),"")</f>
        <v>LEELA</v>
      </c>
      <c r="G79" s="91">
        <f t="shared" si="16"/>
        <v>12932.91532</v>
      </c>
      <c r="H79" s="92">
        <v>45606.0</v>
      </c>
      <c r="I79" s="89" t="str">
        <f>IFERROR(VLOOKUP(F79,'Employees List'!$C:$F,2,0),"")</f>
        <v/>
      </c>
      <c r="J79" s="93" t="str">
        <f>IFERROR(VLOOKUP(C79,'Employees List'!$B$2:$G$991,5,0),"")</f>
        <v>8387010000017745</v>
      </c>
      <c r="K79" s="95">
        <f>IFERROR(VLOOKUP(F79,'Employees List'!$C$1:$AB$991,5,0),"")</f>
        <v>13000</v>
      </c>
      <c r="L79" s="91">
        <f t="shared" si="3"/>
        <v>9100</v>
      </c>
      <c r="M79" s="91">
        <f t="shared" si="4"/>
        <v>3900</v>
      </c>
      <c r="N79" s="89">
        <f>IFERROR(VLOOKUP(B79,'Employees List'!$A$2:$H$991,8,0),"")</f>
        <v>31</v>
      </c>
      <c r="O79" s="89">
        <f>IFERROR(VLOOKUP(D79,'Daily Attendance Report 24-25'!A78:BP999,5,0),"")</f>
        <v>30</v>
      </c>
      <c r="P79" s="89">
        <f>IFERROR(VLOOKUP(E79,'Daily Attendance Report 24-25'!$A$1:$BO$617,5,0),"")</f>
        <v>0</v>
      </c>
      <c r="Q79" s="96">
        <v>450.0</v>
      </c>
      <c r="R79" s="8"/>
      <c r="S79" s="91">
        <f t="shared" si="17"/>
        <v>12580.64516</v>
      </c>
      <c r="T79" s="91">
        <f t="shared" si="6"/>
        <v>0</v>
      </c>
      <c r="U79" s="91">
        <f t="shared" si="7"/>
        <v>13030.64516</v>
      </c>
      <c r="V79" s="91">
        <f t="shared" si="8"/>
        <v>97.72983871</v>
      </c>
      <c r="W79" s="91">
        <f t="shared" si="9"/>
        <v>13030.64516</v>
      </c>
      <c r="X79" s="89"/>
      <c r="Y79" s="89"/>
      <c r="Z79" s="89"/>
      <c r="AA79" s="89"/>
      <c r="AB79" s="89"/>
      <c r="AC79" s="89"/>
      <c r="AD79" s="89"/>
      <c r="AE79" s="89"/>
      <c r="AF79" s="89"/>
      <c r="AG79" s="89"/>
      <c r="AH79" s="89"/>
    </row>
    <row r="80">
      <c r="A80" s="8" t="s">
        <v>218</v>
      </c>
      <c r="B80" s="90" t="s">
        <v>33</v>
      </c>
      <c r="C80" s="8" t="s">
        <v>41</v>
      </c>
      <c r="D80" s="89" t="str">
        <f t="shared" si="1"/>
        <v>OctoberREVATHI S</v>
      </c>
      <c r="E80" s="89" t="str">
        <f t="shared" si="2"/>
        <v>OctoberREVATHI SOT Hours</v>
      </c>
      <c r="F80" s="89" t="str">
        <f>IFERROR(VLOOKUP(C80,'Employees List'!$B$1:$G$999,2,0),"")</f>
        <v>REVATHI S</v>
      </c>
      <c r="G80" s="91">
        <f t="shared" si="16"/>
        <v>9350.614415</v>
      </c>
      <c r="H80" s="92">
        <v>45606.0</v>
      </c>
      <c r="I80" s="89" t="str">
        <f>IFERROR(VLOOKUP(F80,'Employees List'!$C:$F,2,0),"")</f>
        <v/>
      </c>
      <c r="J80" s="93" t="str">
        <f>IFERROR(VLOOKUP(C80,'Employees List'!$B$2:$G$991,5,0),"")</f>
        <v>8131010000016995</v>
      </c>
      <c r="K80" s="95">
        <f>IFERROR(VLOOKUP(F80,'Employees List'!$C$1:$AB$991,5,0),"")</f>
        <v>9500</v>
      </c>
      <c r="L80" s="91">
        <f t="shared" si="3"/>
        <v>6650</v>
      </c>
      <c r="M80" s="91">
        <f t="shared" si="4"/>
        <v>2850</v>
      </c>
      <c r="N80" s="89">
        <f>IFERROR(VLOOKUP(B80,'Employees List'!$A$2:$H$991,8,0),"")</f>
        <v>31</v>
      </c>
      <c r="O80" s="89">
        <f>IFERROR(VLOOKUP(D80,'Daily Attendance Report 24-25'!A79:BP999,5,0),"")</f>
        <v>29</v>
      </c>
      <c r="P80" s="89">
        <f>IFERROR(VLOOKUP(E80,'Daily Attendance Report 24-25'!$A$1:$BO$617,5,0),"")</f>
        <v>19</v>
      </c>
      <c r="Q80" s="96">
        <v>450.0</v>
      </c>
      <c r="R80" s="8">
        <v>1000.0</v>
      </c>
      <c r="S80" s="91">
        <f t="shared" si="17"/>
        <v>8887.096774</v>
      </c>
      <c r="T80" s="91">
        <f t="shared" si="6"/>
        <v>1091.733871</v>
      </c>
      <c r="U80" s="91">
        <f t="shared" si="7"/>
        <v>9428.830645</v>
      </c>
      <c r="V80" s="91">
        <f t="shared" si="8"/>
        <v>78.21622984</v>
      </c>
      <c r="W80" s="91">
        <f t="shared" si="9"/>
        <v>10428.83065</v>
      </c>
      <c r="X80" s="89"/>
      <c r="Y80" s="89"/>
      <c r="Z80" s="89"/>
      <c r="AA80" s="89"/>
      <c r="AB80" s="89"/>
      <c r="AC80" s="89"/>
      <c r="AD80" s="89"/>
      <c r="AE80" s="89"/>
      <c r="AF80" s="89"/>
      <c r="AG80" s="89"/>
      <c r="AH80" s="89"/>
    </row>
    <row r="81">
      <c r="A81" s="8" t="s">
        <v>219</v>
      </c>
      <c r="B81" s="90" t="s">
        <v>33</v>
      </c>
      <c r="C81" s="8" t="s">
        <v>77</v>
      </c>
      <c r="D81" s="89" t="str">
        <f t="shared" si="1"/>
        <v>OctoberSIDHESHWAR</v>
      </c>
      <c r="E81" s="89" t="str">
        <f t="shared" si="2"/>
        <v>OctoberSIDHESHWAROT Hours</v>
      </c>
      <c r="F81" s="89" t="str">
        <f>IFERROR(VLOOKUP(C81,'Employees List'!$B$1:$G$999,2,0),"")</f>
        <v>SIDHESHWAR</v>
      </c>
      <c r="G81" s="91">
        <f t="shared" ref="G81:G83" si="18">U81-V81</f>
        <v>15159.437</v>
      </c>
      <c r="H81" s="92">
        <v>45606.0</v>
      </c>
      <c r="I81" s="89" t="str">
        <f>IFERROR(VLOOKUP(F81,'Employees List'!$C:$F,2,0),"")</f>
        <v/>
      </c>
      <c r="J81" s="93" t="str">
        <f>IFERROR(VLOOKUP(C81,'Employees List'!$B$2:$G$991,5,0),"")</f>
        <v>8131010000018939</v>
      </c>
      <c r="K81" s="95">
        <f>IFERROR(VLOOKUP(F81,'Employees List'!$C$1:$AB$991,5,0),"")</f>
        <v>10500</v>
      </c>
      <c r="L81" s="91">
        <f t="shared" si="3"/>
        <v>7350</v>
      </c>
      <c r="M81" s="91">
        <f t="shared" si="4"/>
        <v>3150</v>
      </c>
      <c r="N81" s="89">
        <f>IFERROR(VLOOKUP(B81,'Employees List'!$A$2:$H$991,8,0),"")</f>
        <v>31</v>
      </c>
      <c r="O81" s="89">
        <f>IFERROR(VLOOKUP(D81,'Daily Attendance Report 24-25'!A80:BP999,5,0),"")</f>
        <v>31</v>
      </c>
      <c r="P81" s="89">
        <f>IFERROR(VLOOKUP(E81,'Daily Attendance Report 24-25'!$A$1:$BO$617,5,0),"")</f>
        <v>61</v>
      </c>
      <c r="Q81" s="96">
        <v>900.0</v>
      </c>
      <c r="R81" s="89"/>
      <c r="S81" s="91">
        <f t="shared" si="17"/>
        <v>10500</v>
      </c>
      <c r="T81" s="91">
        <f t="shared" si="6"/>
        <v>3873.991935</v>
      </c>
      <c r="U81" s="91">
        <f t="shared" si="7"/>
        <v>15273.99194</v>
      </c>
      <c r="V81" s="91">
        <f t="shared" si="8"/>
        <v>114.5549395</v>
      </c>
      <c r="W81" s="91">
        <f t="shared" si="9"/>
        <v>15273.99194</v>
      </c>
      <c r="X81" s="89"/>
      <c r="Y81" s="89"/>
      <c r="Z81" s="89"/>
      <c r="AA81" s="89"/>
      <c r="AB81" s="89"/>
      <c r="AC81" s="89"/>
      <c r="AD81" s="89"/>
      <c r="AE81" s="89"/>
      <c r="AF81" s="89"/>
      <c r="AG81" s="89"/>
      <c r="AH81" s="89"/>
    </row>
    <row r="82">
      <c r="A82" s="8" t="s">
        <v>220</v>
      </c>
      <c r="B82" s="90" t="s">
        <v>33</v>
      </c>
      <c r="C82" s="8" t="s">
        <v>37</v>
      </c>
      <c r="D82" s="89" t="str">
        <f t="shared" si="1"/>
        <v>OctoberAMMU</v>
      </c>
      <c r="E82" s="89" t="str">
        <f t="shared" si="2"/>
        <v>OctoberAMMUOT Hours</v>
      </c>
      <c r="F82" s="89" t="str">
        <f>IFERROR(VLOOKUP(C82,'Employees List'!$B$1:$G$999,2,0),"")</f>
        <v>AMMU</v>
      </c>
      <c r="G82" s="91">
        <f t="shared" si="18"/>
        <v>11519.60333</v>
      </c>
      <c r="H82" s="92">
        <v>45606.0</v>
      </c>
      <c r="I82" s="89" t="str">
        <f>IFERROR(VLOOKUP(F82,'Employees List'!$C:$F,2,0),"")</f>
        <v/>
      </c>
      <c r="J82" s="93">
        <f>IFERROR(VLOOKUP(C82,'Employees List'!$B$2:$G$991,5,0),"")</f>
        <v>65801000040238</v>
      </c>
      <c r="K82" s="95">
        <f>IFERROR(VLOOKUP(F82,'Employees List'!$C$1:$AB$991,5,0),"")</f>
        <v>9500</v>
      </c>
      <c r="L82" s="91">
        <f t="shared" si="3"/>
        <v>6650</v>
      </c>
      <c r="M82" s="91">
        <f t="shared" si="4"/>
        <v>2850</v>
      </c>
      <c r="N82" s="89">
        <f>IFERROR(VLOOKUP(B82,'Employees List'!$A$2:$H$991,8,0),"")</f>
        <v>31</v>
      </c>
      <c r="O82" s="89">
        <f>IFERROR(VLOOKUP(D82,'Daily Attendance Report 24-25'!A81:BP999,5,0),"")</f>
        <v>31</v>
      </c>
      <c r="P82" s="89">
        <f>IFERROR(VLOOKUP(E82,'Daily Attendance Report 24-25'!$A$1:$BO$617,5,0),"")</f>
        <v>21</v>
      </c>
      <c r="Q82" s="96">
        <v>900.0</v>
      </c>
      <c r="R82" s="89"/>
      <c r="S82" s="91">
        <f t="shared" si="17"/>
        <v>9500</v>
      </c>
      <c r="T82" s="91">
        <f t="shared" si="6"/>
        <v>1206.653226</v>
      </c>
      <c r="U82" s="91">
        <f t="shared" si="7"/>
        <v>11606.65323</v>
      </c>
      <c r="V82" s="91">
        <f t="shared" si="8"/>
        <v>87.04989919</v>
      </c>
      <c r="W82" s="91">
        <f t="shared" si="9"/>
        <v>11606.65323</v>
      </c>
      <c r="X82" s="89"/>
      <c r="Y82" s="89"/>
      <c r="Z82" s="89"/>
      <c r="AA82" s="89"/>
      <c r="AB82" s="89"/>
      <c r="AC82" s="89"/>
      <c r="AD82" s="89"/>
      <c r="AE82" s="89"/>
      <c r="AF82" s="89"/>
      <c r="AG82" s="89"/>
      <c r="AH82" s="89"/>
    </row>
    <row r="83">
      <c r="A83" s="8" t="s">
        <v>221</v>
      </c>
      <c r="B83" s="90" t="s">
        <v>33</v>
      </c>
      <c r="C83" s="8" t="s">
        <v>53</v>
      </c>
      <c r="D83" s="89" t="str">
        <f t="shared" si="1"/>
        <v>OctoberPINU BAGH</v>
      </c>
      <c r="E83" s="89" t="str">
        <f t="shared" si="2"/>
        <v>OctoberPINU BAGHOT Hours</v>
      </c>
      <c r="F83" s="89" t="str">
        <f>IFERROR(VLOOKUP(C83,'Employees List'!$B$1:$G$999,2,0),"")</f>
        <v>PINU BAGH</v>
      </c>
      <c r="G83" s="91">
        <f t="shared" si="18"/>
        <v>15499.1119</v>
      </c>
      <c r="H83" s="92">
        <v>45606.0</v>
      </c>
      <c r="I83" s="89" t="str">
        <f>IFERROR(VLOOKUP(F83,'Employees List'!$C:$F,2,0),"")</f>
        <v/>
      </c>
      <c r="J83" s="93" t="str">
        <f>IFERROR(VLOOKUP(C83,'Employees List'!$B$2:$G$991,5,0),"")</f>
        <v>8131010000018814</v>
      </c>
      <c r="K83" s="95">
        <f>IFERROR(VLOOKUP(F83,'Employees List'!$C$1:$AB$991,5,0),"")</f>
        <v>11000</v>
      </c>
      <c r="L83" s="91">
        <f t="shared" si="3"/>
        <v>7700</v>
      </c>
      <c r="M83" s="91">
        <f t="shared" si="4"/>
        <v>3300</v>
      </c>
      <c r="N83" s="89">
        <f>IFERROR(VLOOKUP(B83,'Employees List'!$A$2:$H$991,8,0),"")</f>
        <v>31</v>
      </c>
      <c r="O83" s="89">
        <f>IFERROR(VLOOKUP(D83,'Daily Attendance Report 24-25'!A82:BP999,5,0),"")</f>
        <v>31</v>
      </c>
      <c r="P83" s="89">
        <f>IFERROR(VLOOKUP(E83,'Daily Attendance Report 24-25'!$A$1:$BO$617,5,0),"")</f>
        <v>71</v>
      </c>
      <c r="Q83" s="96">
        <v>900.0</v>
      </c>
      <c r="R83" s="8">
        <v>1000.0</v>
      </c>
      <c r="S83" s="91">
        <f t="shared" si="17"/>
        <v>11000</v>
      </c>
      <c r="T83" s="91">
        <f t="shared" si="6"/>
        <v>4723.790323</v>
      </c>
      <c r="U83" s="91">
        <f t="shared" si="7"/>
        <v>15623.79032</v>
      </c>
      <c r="V83" s="91">
        <f t="shared" si="8"/>
        <v>124.6784274</v>
      </c>
      <c r="W83" s="91">
        <f t="shared" si="9"/>
        <v>16623.79032</v>
      </c>
      <c r="X83" s="89"/>
      <c r="Y83" s="89"/>
      <c r="Z83" s="89"/>
      <c r="AA83" s="89"/>
      <c r="AB83" s="89"/>
      <c r="AC83" s="89"/>
      <c r="AD83" s="89"/>
      <c r="AE83" s="89"/>
      <c r="AF83" s="89"/>
      <c r="AG83" s="89"/>
      <c r="AH83" s="89"/>
    </row>
    <row r="84">
      <c r="A84" s="8" t="s">
        <v>222</v>
      </c>
      <c r="B84" s="90" t="s">
        <v>36</v>
      </c>
      <c r="C84" s="8" t="s">
        <v>9</v>
      </c>
      <c r="D84" s="89" t="str">
        <f t="shared" si="1"/>
        <v>NovemberBHUVANESWARAN</v>
      </c>
      <c r="E84" s="89" t="str">
        <f t="shared" si="2"/>
        <v>NovemberBHUVANESWARANOT Hours</v>
      </c>
      <c r="F84" s="89" t="str">
        <f>IFERROR(VLOOKUP(C84,'Employees List'!$B$1:$G$999,2,0),"")</f>
        <v>BHUVANESWARAN</v>
      </c>
      <c r="G84" s="91">
        <f>U84</f>
        <v>60900</v>
      </c>
      <c r="H84" s="92">
        <v>45636.0</v>
      </c>
      <c r="I84" s="89" t="str">
        <f>IFERROR(VLOOKUP(F84,'Employees List'!$C:$F,2,0),"")</f>
        <v/>
      </c>
      <c r="J84" s="93">
        <f>IFERROR(VLOOKUP(C84,'Employees List'!$B$2:$G$991,5,0),"")</f>
        <v>500101011548924</v>
      </c>
      <c r="K84" s="95">
        <f>IFERROR(VLOOKUP(F84,'Employees List'!$C$1:$AB$991,5,0),"")</f>
        <v>60000</v>
      </c>
      <c r="L84" s="91">
        <f t="shared" si="3"/>
        <v>42000</v>
      </c>
      <c r="M84" s="91">
        <f t="shared" si="4"/>
        <v>18000</v>
      </c>
      <c r="N84" s="89">
        <f>IFERROR(VLOOKUP(B84,'Employees List'!$A$2:$H$991,8,0),"")</f>
        <v>30</v>
      </c>
      <c r="O84" s="89">
        <f>IFERROR(VLOOKUP(D84,'Daily Attendance Report 24-25'!A83:BP999,5,0),"")</f>
        <v>30</v>
      </c>
      <c r="P84" s="89">
        <f>IFERROR(VLOOKUP(E84,'Daily Attendance Report 24-25'!$A$1:$BO$617,5,0),"")</f>
        <v>0</v>
      </c>
      <c r="Q84" s="96">
        <v>900.0</v>
      </c>
      <c r="R84" s="89"/>
      <c r="S84" s="91">
        <f t="shared" si="17"/>
        <v>60000</v>
      </c>
      <c r="T84" s="91">
        <f t="shared" si="6"/>
        <v>0</v>
      </c>
      <c r="U84" s="91">
        <f t="shared" si="7"/>
        <v>60900</v>
      </c>
      <c r="V84" s="91">
        <f t="shared" si="8"/>
        <v>456.75</v>
      </c>
      <c r="W84" s="91">
        <f t="shared" si="9"/>
        <v>60900</v>
      </c>
      <c r="X84" s="89"/>
      <c r="Y84" s="89"/>
      <c r="Z84" s="89"/>
      <c r="AA84" s="89"/>
      <c r="AB84" s="89"/>
      <c r="AC84" s="89"/>
      <c r="AD84" s="89"/>
      <c r="AE84" s="89"/>
      <c r="AF84" s="89"/>
      <c r="AG84" s="89"/>
      <c r="AH84" s="89"/>
    </row>
    <row r="85">
      <c r="A85" s="8" t="s">
        <v>223</v>
      </c>
      <c r="B85" s="90" t="s">
        <v>36</v>
      </c>
      <c r="C85" s="8" t="s">
        <v>64</v>
      </c>
      <c r="D85" s="89" t="str">
        <f t="shared" si="1"/>
        <v>NovemberSUNDARI</v>
      </c>
      <c r="E85" s="89" t="str">
        <f t="shared" si="2"/>
        <v>NovemberSUNDARIOT Hours</v>
      </c>
      <c r="F85" s="89" t="str">
        <f>IFERROR(VLOOKUP(C85,'Employees List'!$B$1:$G$999,2,0),"")</f>
        <v>SUNDARI</v>
      </c>
      <c r="G85" s="91">
        <f t="shared" ref="G85:G98" si="19">U85-V85</f>
        <v>19167.65625</v>
      </c>
      <c r="H85" s="92">
        <v>45636.0</v>
      </c>
      <c r="I85" s="89" t="str">
        <f>IFERROR(VLOOKUP(F85,'Employees List'!$C:$F,2,0),"")</f>
        <v/>
      </c>
      <c r="J85" s="93" t="str">
        <f>IFERROR(VLOOKUP(C85,'Employees List'!$B$2:$G$991,5,0),"")</f>
        <v>8131010000016977</v>
      </c>
      <c r="K85" s="95">
        <f>IFERROR(VLOOKUP(F85,'Employees List'!$C$1:$AB$991,5,0),"")</f>
        <v>18000</v>
      </c>
      <c r="L85" s="91">
        <f t="shared" si="3"/>
        <v>12600</v>
      </c>
      <c r="M85" s="91">
        <f t="shared" si="4"/>
        <v>5400</v>
      </c>
      <c r="N85" s="89">
        <f>IFERROR(VLOOKUP(B85,'Employees List'!$A$2:$H$991,8,0),"")</f>
        <v>30</v>
      </c>
      <c r="O85" s="89">
        <f>IFERROR(VLOOKUP(D85,'Daily Attendance Report 24-25'!A84:BP999,5,0),"")</f>
        <v>30</v>
      </c>
      <c r="P85" s="89">
        <f>IFERROR(VLOOKUP(E85,'Daily Attendance Report 24-25'!$A$1:$BO$617,5,0),"")</f>
        <v>1</v>
      </c>
      <c r="Q85" s="96">
        <v>1200.0</v>
      </c>
      <c r="R85" s="89"/>
      <c r="S85" s="91">
        <f t="shared" si="17"/>
        <v>18000</v>
      </c>
      <c r="T85" s="91">
        <f t="shared" si="6"/>
        <v>112.5</v>
      </c>
      <c r="U85" s="91">
        <f t="shared" si="7"/>
        <v>19312.5</v>
      </c>
      <c r="V85" s="91">
        <f t="shared" si="8"/>
        <v>144.84375</v>
      </c>
      <c r="W85" s="91">
        <f t="shared" si="9"/>
        <v>19312.5</v>
      </c>
      <c r="X85" s="89"/>
      <c r="Y85" s="89"/>
      <c r="Z85" s="89"/>
      <c r="AA85" s="89"/>
      <c r="AB85" s="89"/>
      <c r="AC85" s="89"/>
      <c r="AD85" s="89"/>
      <c r="AE85" s="89"/>
      <c r="AF85" s="89"/>
      <c r="AG85" s="89"/>
      <c r="AH85" s="89"/>
    </row>
    <row r="86">
      <c r="A86" s="8" t="s">
        <v>224</v>
      </c>
      <c r="B86" s="90" t="s">
        <v>36</v>
      </c>
      <c r="C86" s="8" t="s">
        <v>13</v>
      </c>
      <c r="D86" s="89" t="str">
        <f t="shared" si="1"/>
        <v>NovemberVASANTHA</v>
      </c>
      <c r="E86" s="89" t="str">
        <f t="shared" si="2"/>
        <v>NovemberVASANTHAOT Hours</v>
      </c>
      <c r="F86" s="89" t="str">
        <f>IFERROR(VLOOKUP(C86,'Employees List'!$B$1:$G$999,2,0),"")</f>
        <v>VASANTHA</v>
      </c>
      <c r="G86" s="91">
        <f t="shared" si="19"/>
        <v>6277.5625</v>
      </c>
      <c r="H86" s="92">
        <v>45636.0</v>
      </c>
      <c r="I86" s="89" t="str">
        <f>IFERROR(VLOOKUP(F86,'Employees List'!$C:$F,2,0),"")</f>
        <v/>
      </c>
      <c r="J86" s="93" t="str">
        <f>IFERROR(VLOOKUP(C86,'Employees List'!$B$2:$G$991,5,0),"")</f>
        <v>8131010000016959</v>
      </c>
      <c r="K86" s="95">
        <f>IFERROR(VLOOKUP(F86,'Employees List'!$C$1:$AB$991,5,0),"")</f>
        <v>12000</v>
      </c>
      <c r="L86" s="91">
        <f t="shared" si="3"/>
        <v>8400</v>
      </c>
      <c r="M86" s="91">
        <f t="shared" si="4"/>
        <v>3600</v>
      </c>
      <c r="N86" s="89">
        <f>IFERROR(VLOOKUP(B86,'Employees List'!$A$2:$H$991,8,0),"")</f>
        <v>30</v>
      </c>
      <c r="O86" s="89">
        <f>IFERROR(VLOOKUP(D86,'Daily Attendance Report 24-25'!A85:BP999,5,0),"")</f>
        <v>13</v>
      </c>
      <c r="P86" s="89">
        <f>IFERROR(VLOOKUP(E86,'Daily Attendance Report 24-25'!$A$1:$BO$617,5,0),"")</f>
        <v>9</v>
      </c>
      <c r="Q86" s="96">
        <v>450.0</v>
      </c>
      <c r="R86" s="89"/>
      <c r="S86" s="91">
        <f t="shared" si="17"/>
        <v>5200</v>
      </c>
      <c r="T86" s="91">
        <f t="shared" si="6"/>
        <v>675</v>
      </c>
      <c r="U86" s="91">
        <f t="shared" si="7"/>
        <v>6325</v>
      </c>
      <c r="V86" s="91">
        <f t="shared" si="8"/>
        <v>47.4375</v>
      </c>
      <c r="W86" s="91">
        <f t="shared" si="9"/>
        <v>6325</v>
      </c>
      <c r="X86" s="89"/>
      <c r="Y86" s="89"/>
      <c r="Z86" s="89"/>
      <c r="AA86" s="89"/>
      <c r="AB86" s="89"/>
      <c r="AC86" s="89"/>
      <c r="AD86" s="89"/>
      <c r="AE86" s="89"/>
      <c r="AF86" s="89"/>
      <c r="AG86" s="89"/>
      <c r="AH86" s="89"/>
    </row>
    <row r="87">
      <c r="A87" s="8" t="s">
        <v>225</v>
      </c>
      <c r="B87" s="90" t="s">
        <v>36</v>
      </c>
      <c r="C87" s="8" t="s">
        <v>18</v>
      </c>
      <c r="D87" s="89" t="str">
        <f t="shared" si="1"/>
        <v>NovemberGANESH</v>
      </c>
      <c r="E87" s="89" t="str">
        <f t="shared" si="2"/>
        <v>NovemberGANESHOT Hours</v>
      </c>
      <c r="F87" s="89" t="str">
        <f>IFERROR(VLOOKUP(C87,'Employees List'!$B$1:$G$999,2,0),"")</f>
        <v>GANESH</v>
      </c>
      <c r="G87" s="91">
        <f t="shared" si="19"/>
        <v>11671.22135</v>
      </c>
      <c r="H87" s="92">
        <v>45636.0</v>
      </c>
      <c r="I87" s="89" t="str">
        <f>IFERROR(VLOOKUP(F87,'Employees List'!$C:$F,2,0),"")</f>
        <v/>
      </c>
      <c r="J87" s="93" t="str">
        <f>IFERROR(VLOOKUP(C87,'Employees List'!$B$2:$G$991,5,0),"")</f>
        <v>8811010012054879</v>
      </c>
      <c r="K87" s="95">
        <f>IFERROR(VLOOKUP(F87,'Employees List'!$C$1:$AB$991,5,0),"")</f>
        <v>17500</v>
      </c>
      <c r="L87" s="91">
        <f t="shared" si="3"/>
        <v>12250</v>
      </c>
      <c r="M87" s="91">
        <f t="shared" si="4"/>
        <v>5250</v>
      </c>
      <c r="N87" s="89">
        <f>IFERROR(VLOOKUP(B87,'Employees List'!$A$2:$H$991,8,0),"")</f>
        <v>30</v>
      </c>
      <c r="O87" s="89">
        <f>IFERROR(VLOOKUP(D87,'Daily Attendance Report 24-25'!A86:BP999,5,0),"")</f>
        <v>23</v>
      </c>
      <c r="P87" s="89">
        <f>IFERROR(VLOOKUP(E87,'Daily Attendance Report 24-25'!$A$1:$BO$617,5,0),"")</f>
        <v>1</v>
      </c>
      <c r="Q87" s="96">
        <v>450.0</v>
      </c>
      <c r="R87" s="8">
        <v>2200.0</v>
      </c>
      <c r="S87" s="91">
        <f t="shared" si="17"/>
        <v>13416.66667</v>
      </c>
      <c r="T87" s="91">
        <f t="shared" si="6"/>
        <v>109.375</v>
      </c>
      <c r="U87" s="91">
        <f t="shared" si="7"/>
        <v>11776.04167</v>
      </c>
      <c r="V87" s="91">
        <f t="shared" si="8"/>
        <v>104.8203125</v>
      </c>
      <c r="W87" s="91">
        <f t="shared" si="9"/>
        <v>13976.04167</v>
      </c>
      <c r="X87" s="89"/>
      <c r="Y87" s="89"/>
      <c r="Z87" s="89"/>
      <c r="AA87" s="89"/>
      <c r="AB87" s="89"/>
      <c r="AC87" s="89"/>
      <c r="AD87" s="89"/>
      <c r="AE87" s="89"/>
      <c r="AF87" s="89"/>
      <c r="AG87" s="89"/>
      <c r="AH87" s="89"/>
    </row>
    <row r="88">
      <c r="A88" s="8" t="s">
        <v>226</v>
      </c>
      <c r="B88" s="90" t="s">
        <v>36</v>
      </c>
      <c r="C88" s="8" t="s">
        <v>22</v>
      </c>
      <c r="D88" s="89" t="str">
        <f t="shared" si="1"/>
        <v>NovemberADHIKARI BALIA</v>
      </c>
      <c r="E88" s="89" t="str">
        <f t="shared" si="2"/>
        <v>NovemberADHIKARI BALIAOT Hours</v>
      </c>
      <c r="F88" s="89" t="str">
        <f>IFERROR(VLOOKUP(C88,'Employees List'!$B$1:$G$999,2,0),"")</f>
        <v>ADHIKARI BALIA</v>
      </c>
      <c r="G88" s="91">
        <f t="shared" si="19"/>
        <v>14391.25</v>
      </c>
      <c r="H88" s="92">
        <v>45636.0</v>
      </c>
      <c r="I88" s="89" t="str">
        <f>IFERROR(VLOOKUP(F88,'Employees List'!$C:$F,2,0),"")</f>
        <v/>
      </c>
      <c r="J88" s="93" t="str">
        <f>IFERROR(VLOOKUP(C88,'Employees List'!$B$2:$G$991,5,0),"")</f>
        <v>8131010000018948</v>
      </c>
      <c r="K88" s="95">
        <f>IFERROR(VLOOKUP(F88,'Employees List'!$C$1:$AB$991,5,0),"")</f>
        <v>12000</v>
      </c>
      <c r="L88" s="91">
        <f t="shared" si="3"/>
        <v>8400</v>
      </c>
      <c r="M88" s="91">
        <f t="shared" si="4"/>
        <v>3600</v>
      </c>
      <c r="N88" s="89">
        <f>IFERROR(VLOOKUP(B88,'Employees List'!$A$2:$H$991,8,0),"")</f>
        <v>30</v>
      </c>
      <c r="O88" s="89">
        <f>IFERROR(VLOOKUP(D88,'Daily Attendance Report 24-25'!A87:BP999,5,0),"")</f>
        <v>28</v>
      </c>
      <c r="P88" s="89">
        <f>IFERROR(VLOOKUP(E88,'Daily Attendance Report 24-25'!$A$1:$BO$617,5,0),"")</f>
        <v>38</v>
      </c>
      <c r="Q88" s="96">
        <v>450.0</v>
      </c>
      <c r="R88" s="89"/>
      <c r="S88" s="91">
        <f t="shared" si="17"/>
        <v>11200</v>
      </c>
      <c r="T88" s="91">
        <f t="shared" si="6"/>
        <v>2850</v>
      </c>
      <c r="U88" s="91">
        <f t="shared" si="7"/>
        <v>14500</v>
      </c>
      <c r="V88" s="91">
        <f t="shared" si="8"/>
        <v>108.75</v>
      </c>
      <c r="W88" s="91">
        <f t="shared" si="9"/>
        <v>14500</v>
      </c>
      <c r="X88" s="89"/>
      <c r="Y88" s="89"/>
      <c r="Z88" s="89"/>
      <c r="AA88" s="89"/>
      <c r="AB88" s="89"/>
      <c r="AC88" s="89"/>
      <c r="AD88" s="89"/>
      <c r="AE88" s="89"/>
      <c r="AF88" s="89"/>
      <c r="AG88" s="89"/>
      <c r="AH88" s="89"/>
    </row>
    <row r="89">
      <c r="A89" s="8" t="s">
        <v>227</v>
      </c>
      <c r="B89" s="90" t="s">
        <v>36</v>
      </c>
      <c r="C89" s="8" t="s">
        <v>26</v>
      </c>
      <c r="D89" s="89" t="str">
        <f t="shared" si="1"/>
        <v>NovemberRUPESH</v>
      </c>
      <c r="E89" s="89" t="str">
        <f t="shared" si="2"/>
        <v>NovemberRUPESHOT Hours</v>
      </c>
      <c r="F89" s="89" t="str">
        <f>IFERROR(VLOOKUP(C89,'Employees List'!$B$1:$G$999,2,0),"")</f>
        <v>RUPESH</v>
      </c>
      <c r="G89" s="91">
        <f t="shared" si="19"/>
        <v>14242.375</v>
      </c>
      <c r="H89" s="92">
        <v>45636.0</v>
      </c>
      <c r="I89" s="89" t="str">
        <f>IFERROR(VLOOKUP(F89,'Employees List'!$C:$F,2,0),"")</f>
        <v/>
      </c>
      <c r="J89" s="93" t="str">
        <f>IFERROR(VLOOKUP(C89,'Employees List'!$B$2:$G$991,5,0),"")</f>
        <v>8131010000020156</v>
      </c>
      <c r="K89" s="95">
        <f>IFERROR(VLOOKUP(F89,'Employees List'!$C$1:$AB$991,5,0),"")</f>
        <v>12000</v>
      </c>
      <c r="L89" s="91">
        <f t="shared" si="3"/>
        <v>8400</v>
      </c>
      <c r="M89" s="91">
        <f t="shared" si="4"/>
        <v>3600</v>
      </c>
      <c r="N89" s="89">
        <f>IFERROR(VLOOKUP(B89,'Employees List'!$A$2:$H$991,8,0),"")</f>
        <v>30</v>
      </c>
      <c r="O89" s="89">
        <f>IFERROR(VLOOKUP(D89,'Daily Attendance Report 24-25'!A88:BP999,5,0),"")</f>
        <v>28</v>
      </c>
      <c r="P89" s="89">
        <f>IFERROR(VLOOKUP(E89,'Daily Attendance Report 24-25'!$A$1:$BO$617,5,0),"")</f>
        <v>36</v>
      </c>
      <c r="Q89" s="96">
        <v>450.0</v>
      </c>
      <c r="R89" s="89"/>
      <c r="S89" s="91">
        <f t="shared" si="17"/>
        <v>11200</v>
      </c>
      <c r="T89" s="91">
        <f t="shared" si="6"/>
        <v>2700</v>
      </c>
      <c r="U89" s="91">
        <f t="shared" si="7"/>
        <v>14350</v>
      </c>
      <c r="V89" s="91">
        <f t="shared" si="8"/>
        <v>107.625</v>
      </c>
      <c r="W89" s="91">
        <f t="shared" si="9"/>
        <v>14350</v>
      </c>
      <c r="X89" s="89"/>
      <c r="Y89" s="89"/>
      <c r="Z89" s="89"/>
      <c r="AA89" s="89"/>
      <c r="AB89" s="89"/>
      <c r="AC89" s="89"/>
      <c r="AD89" s="89"/>
      <c r="AE89" s="89"/>
      <c r="AF89" s="89"/>
      <c r="AG89" s="89"/>
      <c r="AH89" s="89"/>
    </row>
    <row r="90">
      <c r="A90" s="8" t="s">
        <v>228</v>
      </c>
      <c r="B90" s="90" t="s">
        <v>36</v>
      </c>
      <c r="C90" s="8" t="s">
        <v>30</v>
      </c>
      <c r="D90" s="89" t="str">
        <f t="shared" si="1"/>
        <v>NovemberSANJAI BHAGAT</v>
      </c>
      <c r="E90" s="89" t="str">
        <f t="shared" si="2"/>
        <v>NovemberSANJAI BHAGATOT Hours</v>
      </c>
      <c r="F90" s="89" t="str">
        <f>IFERROR(VLOOKUP(C90,'Employees List'!$B$1:$G$999,2,0),"")</f>
        <v>SANJAI BHAGAT</v>
      </c>
      <c r="G90" s="91">
        <f t="shared" si="19"/>
        <v>15607.0625</v>
      </c>
      <c r="H90" s="92">
        <v>45636.0</v>
      </c>
      <c r="I90" s="89" t="str">
        <f>IFERROR(VLOOKUP(F90,'Employees List'!$C:$F,2,0),"")</f>
        <v/>
      </c>
      <c r="J90" s="93" t="str">
        <f>IFERROR(VLOOKUP(C90,'Employees List'!$B$2:$G$991,5,0),"")</f>
        <v>8131010000021225</v>
      </c>
      <c r="K90" s="95">
        <f>IFERROR(VLOOKUP(F90,'Employees List'!$C$1:$AB$991,5,0),"")</f>
        <v>12000</v>
      </c>
      <c r="L90" s="91">
        <f t="shared" si="3"/>
        <v>8400</v>
      </c>
      <c r="M90" s="91">
        <f t="shared" si="4"/>
        <v>3600</v>
      </c>
      <c r="N90" s="89">
        <f>IFERROR(VLOOKUP(B90,'Employees List'!$A$2:$H$991,8,0),"")</f>
        <v>30</v>
      </c>
      <c r="O90" s="89">
        <f>IFERROR(VLOOKUP(D90,'Daily Attendance Report 24-25'!A89:BP999,5,0),"")</f>
        <v>29</v>
      </c>
      <c r="P90" s="89">
        <f>IFERROR(VLOOKUP(E90,'Daily Attendance Report 24-25'!$A$1:$BO$617,5,0),"")</f>
        <v>49</v>
      </c>
      <c r="Q90" s="96">
        <v>450.0</v>
      </c>
      <c r="R90" s="89"/>
      <c r="S90" s="91">
        <f t="shared" si="17"/>
        <v>11600</v>
      </c>
      <c r="T90" s="91">
        <f t="shared" si="6"/>
        <v>3675</v>
      </c>
      <c r="U90" s="91">
        <f t="shared" si="7"/>
        <v>15725</v>
      </c>
      <c r="V90" s="91">
        <f t="shared" si="8"/>
        <v>117.9375</v>
      </c>
      <c r="W90" s="91">
        <f t="shared" si="9"/>
        <v>15725</v>
      </c>
      <c r="X90" s="89"/>
      <c r="Y90" s="89"/>
      <c r="Z90" s="89"/>
      <c r="AA90" s="89"/>
      <c r="AB90" s="89"/>
      <c r="AC90" s="89"/>
      <c r="AD90" s="89"/>
      <c r="AE90" s="89"/>
      <c r="AF90" s="89"/>
      <c r="AG90" s="89"/>
      <c r="AH90" s="89"/>
    </row>
    <row r="91">
      <c r="A91" s="8" t="s">
        <v>229</v>
      </c>
      <c r="B91" s="90" t="s">
        <v>36</v>
      </c>
      <c r="C91" s="8" t="s">
        <v>83</v>
      </c>
      <c r="D91" s="89" t="str">
        <f t="shared" si="1"/>
        <v>NovemberLIPAN</v>
      </c>
      <c r="E91" s="89" t="str">
        <f t="shared" si="2"/>
        <v>NovemberLIPANOT Hours</v>
      </c>
      <c r="F91" s="89" t="str">
        <f>IFERROR(VLOOKUP(C91,'Employees List'!$B$1:$G$999,2,0),"")</f>
        <v>LIPAN</v>
      </c>
      <c r="G91" s="91">
        <f t="shared" si="19"/>
        <v>11152.9375</v>
      </c>
      <c r="H91" s="92">
        <v>45636.0</v>
      </c>
      <c r="I91" s="89" t="str">
        <f>IFERROR(VLOOKUP(F91,'Employees List'!$C:$F,2,0),"")</f>
        <v/>
      </c>
      <c r="J91" s="93" t="str">
        <f>IFERROR(VLOOKUP(C91,'Employees List'!$B$2:$G$991,5,0),"")</f>
        <v>8131010000018957</v>
      </c>
      <c r="K91" s="95">
        <f>IFERROR(VLOOKUP(F91,'Employees List'!$C$1:$AB$991,5,0),"")</f>
        <v>12000</v>
      </c>
      <c r="L91" s="91">
        <f t="shared" si="3"/>
        <v>8400</v>
      </c>
      <c r="M91" s="91">
        <f t="shared" si="4"/>
        <v>3600</v>
      </c>
      <c r="N91" s="89">
        <f>IFERROR(VLOOKUP(B91,'Employees List'!$A$2:$H$991,8,0),"")</f>
        <v>30</v>
      </c>
      <c r="O91" s="89">
        <f>IFERROR(VLOOKUP(D91,'Daily Attendance Report 24-25'!A90:BP999,5,0),"")</f>
        <v>28.5</v>
      </c>
      <c r="P91" s="89">
        <f>IFERROR(VLOOKUP(E91,'Daily Attendance Report 24-25'!$A$1:$BO$617,5,0),"")</f>
        <v>59</v>
      </c>
      <c r="Q91" s="96">
        <v>450.0</v>
      </c>
      <c r="R91" s="8">
        <v>5000.0</v>
      </c>
      <c r="S91" s="91">
        <f t="shared" si="17"/>
        <v>11400</v>
      </c>
      <c r="T91" s="91">
        <f t="shared" si="6"/>
        <v>4425</v>
      </c>
      <c r="U91" s="91">
        <f t="shared" si="7"/>
        <v>11275</v>
      </c>
      <c r="V91" s="91">
        <f t="shared" si="8"/>
        <v>122.0625</v>
      </c>
      <c r="W91" s="91">
        <f t="shared" si="9"/>
        <v>16275</v>
      </c>
      <c r="X91" s="89"/>
      <c r="Y91" s="89"/>
      <c r="Z91" s="89"/>
      <c r="AA91" s="89"/>
      <c r="AB91" s="89"/>
      <c r="AC91" s="89"/>
      <c r="AD91" s="89"/>
      <c r="AE91" s="89"/>
      <c r="AF91" s="89"/>
      <c r="AG91" s="89"/>
      <c r="AH91" s="89"/>
    </row>
    <row r="92">
      <c r="A92" s="8" t="s">
        <v>230</v>
      </c>
      <c r="B92" s="90" t="s">
        <v>36</v>
      </c>
      <c r="C92" s="8" t="s">
        <v>70</v>
      </c>
      <c r="D92" s="89" t="str">
        <f t="shared" si="1"/>
        <v>NovemberMathi</v>
      </c>
      <c r="E92" s="89" t="str">
        <f t="shared" si="2"/>
        <v>NovemberMathiOT Hours</v>
      </c>
      <c r="F92" s="89" t="str">
        <f>IFERROR(VLOOKUP(C92,'Employees List'!$B$1:$G$999,2,0),"")</f>
        <v>Mathi</v>
      </c>
      <c r="G92" s="91">
        <f t="shared" si="19"/>
        <v>20198.91667</v>
      </c>
      <c r="H92" s="92">
        <v>45636.0</v>
      </c>
      <c r="I92" s="89" t="str">
        <f>IFERROR(VLOOKUP(F92,'Employees List'!$C:$F,2,0),"")</f>
        <v/>
      </c>
      <c r="J92" s="93" t="str">
        <f>IFERROR(VLOOKUP(C92,'Employees List'!$B$2:$G$991,5,0),"")</f>
        <v>8131010000016986</v>
      </c>
      <c r="K92" s="95">
        <f>IFERROR(VLOOKUP(F92,'Employees List'!$C$1:$AB$991,5,0),"")</f>
        <v>20000</v>
      </c>
      <c r="L92" s="91">
        <f t="shared" si="3"/>
        <v>14000</v>
      </c>
      <c r="M92" s="91">
        <f t="shared" si="4"/>
        <v>6000</v>
      </c>
      <c r="N92" s="89">
        <f>IFERROR(VLOOKUP(B92,'Employees List'!$A$2:$H$991,8,0),"")</f>
        <v>30</v>
      </c>
      <c r="O92" s="89">
        <f>IFERROR(VLOOKUP(D92,'Daily Attendance Report 24-25'!A91:BP999,5,0),"")</f>
        <v>28</v>
      </c>
      <c r="P92" s="89">
        <f>IFERROR(VLOOKUP(E92,'Daily Attendance Report 24-25'!$A$1:$BO$617,5,0),"")</f>
        <v>26</v>
      </c>
      <c r="Q92" s="96">
        <v>450.0</v>
      </c>
      <c r="R92" s="8">
        <v>2000.0</v>
      </c>
      <c r="S92" s="91">
        <f t="shared" si="17"/>
        <v>18666.66667</v>
      </c>
      <c r="T92" s="91">
        <f t="shared" si="6"/>
        <v>3250</v>
      </c>
      <c r="U92" s="91">
        <f t="shared" si="7"/>
        <v>20366.66667</v>
      </c>
      <c r="V92" s="91">
        <f t="shared" si="8"/>
        <v>167.75</v>
      </c>
      <c r="W92" s="91">
        <f t="shared" si="9"/>
        <v>22366.66667</v>
      </c>
      <c r="X92" s="89"/>
      <c r="Y92" s="89"/>
      <c r="Z92" s="89"/>
      <c r="AA92" s="89"/>
      <c r="AB92" s="89"/>
      <c r="AC92" s="89"/>
      <c r="AD92" s="89"/>
      <c r="AE92" s="89"/>
      <c r="AF92" s="89"/>
      <c r="AG92" s="89"/>
      <c r="AH92" s="89"/>
    </row>
    <row r="93">
      <c r="A93" s="8" t="s">
        <v>231</v>
      </c>
      <c r="B93" s="90" t="s">
        <v>36</v>
      </c>
      <c r="C93" s="8" t="s">
        <v>77</v>
      </c>
      <c r="D93" s="89" t="str">
        <f t="shared" si="1"/>
        <v>NovemberSIDHESHWAR</v>
      </c>
      <c r="E93" s="89" t="str">
        <f t="shared" si="2"/>
        <v>NovemberSIDHESHWAROT Hours</v>
      </c>
      <c r="F93" s="89" t="str">
        <f>IFERROR(VLOOKUP(C93,'Employees List'!$B$1:$G$999,2,0),"")</f>
        <v>SIDHESHWAR</v>
      </c>
      <c r="G93" s="91">
        <f t="shared" si="19"/>
        <v>12865.28125</v>
      </c>
      <c r="H93" s="92">
        <v>45636.0</v>
      </c>
      <c r="I93" s="89" t="str">
        <f>IFERROR(VLOOKUP(F93,'Employees List'!$C:$F,2,0),"")</f>
        <v/>
      </c>
      <c r="J93" s="93" t="str">
        <f>IFERROR(VLOOKUP(C93,'Employees List'!$B$2:$G$991,5,0),"")</f>
        <v>8131010000018939</v>
      </c>
      <c r="K93" s="95">
        <f>IFERROR(VLOOKUP(F93,'Employees List'!$C$1:$AB$991,5,0),"")</f>
        <v>10500</v>
      </c>
      <c r="L93" s="91">
        <f t="shared" si="3"/>
        <v>7350</v>
      </c>
      <c r="M93" s="91">
        <f t="shared" si="4"/>
        <v>3150</v>
      </c>
      <c r="N93" s="89">
        <f>IFERROR(VLOOKUP(B93,'Employees List'!$A$2:$H$991,8,0),"")</f>
        <v>30</v>
      </c>
      <c r="O93" s="89">
        <f>IFERROR(VLOOKUP(D93,'Daily Attendance Report 24-25'!A94:BP999,5,0),"")</f>
        <v>29</v>
      </c>
      <c r="P93" s="89">
        <f>IFERROR(VLOOKUP(E93,'Daily Attendance Report 24-25'!$A$1:$BO$617,5,0),"")</f>
        <v>36</v>
      </c>
      <c r="Q93" s="96">
        <v>450.0</v>
      </c>
      <c r="R93" s="89"/>
      <c r="S93" s="91">
        <f t="shared" si="17"/>
        <v>10150</v>
      </c>
      <c r="T93" s="91">
        <f t="shared" si="6"/>
        <v>2362.5</v>
      </c>
      <c r="U93" s="91">
        <f t="shared" si="7"/>
        <v>12962.5</v>
      </c>
      <c r="V93" s="91">
        <f t="shared" si="8"/>
        <v>97.21875</v>
      </c>
      <c r="W93" s="91">
        <f t="shared" si="9"/>
        <v>12962.5</v>
      </c>
      <c r="X93" s="89"/>
      <c r="Y93" s="89"/>
      <c r="Z93" s="89"/>
      <c r="AA93" s="89"/>
      <c r="AB93" s="89"/>
      <c r="AC93" s="89"/>
      <c r="AD93" s="89"/>
      <c r="AE93" s="89"/>
      <c r="AF93" s="89"/>
      <c r="AG93" s="89"/>
      <c r="AH93" s="89"/>
    </row>
    <row r="94">
      <c r="A94" s="8" t="s">
        <v>232</v>
      </c>
      <c r="B94" s="90" t="s">
        <v>36</v>
      </c>
      <c r="C94" s="8" t="s">
        <v>37</v>
      </c>
      <c r="D94" s="89" t="str">
        <f t="shared" si="1"/>
        <v>NovemberAMMU</v>
      </c>
      <c r="E94" s="89" t="str">
        <f t="shared" si="2"/>
        <v>NovemberAMMUOT Hours</v>
      </c>
      <c r="F94" s="89" t="str">
        <f>IFERROR(VLOOKUP(C94,'Employees List'!$B$1:$G$999,2,0),"")</f>
        <v>AMMU</v>
      </c>
      <c r="G94" s="91">
        <f t="shared" si="19"/>
        <v>8421.776042</v>
      </c>
      <c r="H94" s="92">
        <v>45636.0</v>
      </c>
      <c r="I94" s="89" t="str">
        <f>IFERROR(VLOOKUP(F94,'Employees List'!$C:$F,2,0),"")</f>
        <v/>
      </c>
      <c r="J94" s="93">
        <f>IFERROR(VLOOKUP(C94,'Employees List'!$B$2:$G$991,5,0),"")</f>
        <v>65801000040238</v>
      </c>
      <c r="K94" s="95">
        <f>IFERROR(VLOOKUP(F94,'Employees List'!$C$1:$AB$991,5,0),"")</f>
        <v>9500</v>
      </c>
      <c r="L94" s="91">
        <f t="shared" si="3"/>
        <v>6650</v>
      </c>
      <c r="M94" s="91">
        <f t="shared" si="4"/>
        <v>2850</v>
      </c>
      <c r="N94" s="89">
        <f>IFERROR(VLOOKUP(B94,'Employees List'!$A$2:$H$991,8,0),"")</f>
        <v>30</v>
      </c>
      <c r="O94" s="89">
        <f>IFERROR(VLOOKUP(D94,'Daily Attendance Report 24-25'!A95:BP999,5,0),"")</f>
        <v>25</v>
      </c>
      <c r="P94" s="89">
        <f>IFERROR(VLOOKUP(E94,'Daily Attendance Report 24-25'!$A$1:$BO$617,5,0),"")</f>
        <v>2</v>
      </c>
      <c r="Q94" s="96">
        <v>450.0</v>
      </c>
      <c r="R94" s="89"/>
      <c r="S94" s="91">
        <f t="shared" si="17"/>
        <v>7916.666667</v>
      </c>
      <c r="T94" s="91">
        <f t="shared" si="6"/>
        <v>118.75</v>
      </c>
      <c r="U94" s="91">
        <f t="shared" si="7"/>
        <v>8485.416667</v>
      </c>
      <c r="V94" s="91">
        <f t="shared" si="8"/>
        <v>63.640625</v>
      </c>
      <c r="W94" s="91">
        <f t="shared" si="9"/>
        <v>8485.416667</v>
      </c>
      <c r="X94" s="89"/>
      <c r="Y94" s="89"/>
      <c r="Z94" s="89"/>
      <c r="AA94" s="89"/>
      <c r="AB94" s="89"/>
      <c r="AC94" s="89"/>
      <c r="AD94" s="89"/>
      <c r="AE94" s="89"/>
      <c r="AF94" s="89"/>
      <c r="AG94" s="89"/>
      <c r="AH94" s="89"/>
    </row>
    <row r="95">
      <c r="A95" s="8" t="s">
        <v>233</v>
      </c>
      <c r="B95" s="90" t="s">
        <v>36</v>
      </c>
      <c r="C95" s="8" t="s">
        <v>41</v>
      </c>
      <c r="D95" s="89" t="str">
        <f t="shared" si="1"/>
        <v>NovemberREVATHI S</v>
      </c>
      <c r="E95" s="89" t="str">
        <f t="shared" si="2"/>
        <v>NovemberREVATHI SOT Hours</v>
      </c>
      <c r="F95" s="89" t="str">
        <f>IFERROR(VLOOKUP(C95,'Employees List'!$B$1:$G$999,2,0),"")</f>
        <v>REVATHI S</v>
      </c>
      <c r="G95" s="91">
        <f t="shared" si="19"/>
        <v>9209.309896</v>
      </c>
      <c r="H95" s="92">
        <v>45636.0</v>
      </c>
      <c r="I95" s="89" t="str">
        <f>IFERROR(VLOOKUP(F95,'Employees List'!$C:$F,2,0),"")</f>
        <v/>
      </c>
      <c r="J95" s="93" t="str">
        <f>IFERROR(VLOOKUP(C95,'Employees List'!$B$2:$G$991,5,0),"")</f>
        <v>8131010000016995</v>
      </c>
      <c r="K95" s="95">
        <f>IFERROR(VLOOKUP(F95,'Employees List'!$C$1:$AB$991,5,0),"")</f>
        <v>9500</v>
      </c>
      <c r="L95" s="91">
        <f t="shared" si="3"/>
        <v>6650</v>
      </c>
      <c r="M95" s="91">
        <f t="shared" si="4"/>
        <v>2850</v>
      </c>
      <c r="N95" s="89">
        <f>IFERROR(VLOOKUP(B95,'Employees List'!$A$2:$H$991,8,0),"")</f>
        <v>30</v>
      </c>
      <c r="O95" s="89">
        <f>IFERROR(VLOOKUP(D95,'Daily Attendance Report 24-25'!A96:BP999,5,0),"")</f>
        <v>29</v>
      </c>
      <c r="P95" s="89">
        <f>IFERROR(VLOOKUP(E95,'Daily Attendance Report 24-25'!$A$1:$BO$617,5,0),"")</f>
        <v>11</v>
      </c>
      <c r="Q95" s="96">
        <v>450.0</v>
      </c>
      <c r="R95" s="8">
        <v>1000.0</v>
      </c>
      <c r="S95" s="91">
        <f t="shared" si="17"/>
        <v>9183.333333</v>
      </c>
      <c r="T95" s="91">
        <f t="shared" si="6"/>
        <v>653.125</v>
      </c>
      <c r="U95" s="91">
        <f t="shared" si="7"/>
        <v>9286.458333</v>
      </c>
      <c r="V95" s="91">
        <f t="shared" si="8"/>
        <v>77.1484375</v>
      </c>
      <c r="W95" s="91">
        <f t="shared" si="9"/>
        <v>10286.45833</v>
      </c>
      <c r="X95" s="89"/>
      <c r="Y95" s="89"/>
      <c r="Z95" s="89"/>
      <c r="AA95" s="89"/>
      <c r="AB95" s="89"/>
      <c r="AC95" s="89"/>
      <c r="AD95" s="89"/>
      <c r="AE95" s="89"/>
      <c r="AF95" s="89"/>
      <c r="AG95" s="89"/>
      <c r="AH95" s="89"/>
    </row>
    <row r="96">
      <c r="A96" s="8" t="s">
        <v>234</v>
      </c>
      <c r="B96" s="90" t="s">
        <v>36</v>
      </c>
      <c r="C96" s="8" t="s">
        <v>53</v>
      </c>
      <c r="D96" s="89" t="str">
        <f t="shared" si="1"/>
        <v>NovemberPINU BAGH</v>
      </c>
      <c r="E96" s="89" t="str">
        <f t="shared" si="2"/>
        <v>NovemberPINU BAGHOT Hours</v>
      </c>
      <c r="F96" s="89" t="str">
        <f>IFERROR(VLOOKUP(C96,'Employees List'!$B$1:$G$999,2,0),"")</f>
        <v>PINU BAGH</v>
      </c>
      <c r="G96" s="91">
        <f t="shared" si="19"/>
        <v>12547.23958</v>
      </c>
      <c r="H96" s="92">
        <v>45636.0</v>
      </c>
      <c r="I96" s="89" t="str">
        <f>IFERROR(VLOOKUP(F96,'Employees List'!$C:$F,2,0),"")</f>
        <v/>
      </c>
      <c r="J96" s="93" t="str">
        <f>IFERROR(VLOOKUP(C96,'Employees List'!$B$2:$G$991,5,0),"")</f>
        <v>8131010000018814</v>
      </c>
      <c r="K96" s="95">
        <f>IFERROR(VLOOKUP(F96,'Employees List'!$C$1:$AB$991,5,0),"")</f>
        <v>11000</v>
      </c>
      <c r="L96" s="91">
        <f t="shared" si="3"/>
        <v>7700</v>
      </c>
      <c r="M96" s="91">
        <f t="shared" si="4"/>
        <v>3300</v>
      </c>
      <c r="N96" s="89">
        <f>IFERROR(VLOOKUP(B96,'Employees List'!$A$2:$H$991,8,0),"")</f>
        <v>30</v>
      </c>
      <c r="O96" s="89">
        <f>IFERROR(VLOOKUP(D96,'Daily Attendance Report 24-25'!A97:BP999,5,0),"")</f>
        <v>29</v>
      </c>
      <c r="P96" s="89">
        <f>IFERROR(VLOOKUP(E96,'Daily Attendance Report 24-25'!$A$1:$BO$617,5,0),"")</f>
        <v>30</v>
      </c>
      <c r="Q96" s="96">
        <v>450.0</v>
      </c>
      <c r="R96" s="8">
        <v>500.0</v>
      </c>
      <c r="S96" s="91">
        <f t="shared" si="17"/>
        <v>10633.33333</v>
      </c>
      <c r="T96" s="91">
        <f t="shared" si="6"/>
        <v>2062.5</v>
      </c>
      <c r="U96" s="91">
        <f t="shared" si="7"/>
        <v>12645.83333</v>
      </c>
      <c r="V96" s="91">
        <f t="shared" si="8"/>
        <v>98.59375</v>
      </c>
      <c r="W96" s="91">
        <f t="shared" si="9"/>
        <v>13145.83333</v>
      </c>
      <c r="X96" s="89"/>
      <c r="Y96" s="89"/>
      <c r="Z96" s="89"/>
      <c r="AA96" s="89"/>
      <c r="AB96" s="89"/>
      <c r="AC96" s="89"/>
      <c r="AD96" s="89"/>
      <c r="AE96" s="89"/>
      <c r="AF96" s="89"/>
      <c r="AG96" s="89"/>
      <c r="AH96" s="89"/>
    </row>
    <row r="97">
      <c r="A97" s="8" t="s">
        <v>235</v>
      </c>
      <c r="B97" s="90" t="s">
        <v>36</v>
      </c>
      <c r="C97" s="8" t="s">
        <v>67</v>
      </c>
      <c r="D97" s="89" t="str">
        <f t="shared" si="1"/>
        <v>NovemberLEELA</v>
      </c>
      <c r="E97" s="89" t="str">
        <f t="shared" si="2"/>
        <v>NovemberLEELAOT Hours</v>
      </c>
      <c r="F97" s="89" t="str">
        <f>IFERROR(VLOOKUP(C97,'Employees List'!$B$1:$G$999,2,0),"")</f>
        <v>LEELA</v>
      </c>
      <c r="G97" s="91">
        <f t="shared" si="19"/>
        <v>12488.95833</v>
      </c>
      <c r="H97" s="92">
        <v>45636.0</v>
      </c>
      <c r="I97" s="89" t="str">
        <f>IFERROR(VLOOKUP(F97,'Employees List'!$C:$F,2,0),"")</f>
        <v/>
      </c>
      <c r="J97" s="93" t="str">
        <f>IFERROR(VLOOKUP(C97,'Employees List'!$B$2:$G$991,5,0),"")</f>
        <v>8387010000017745</v>
      </c>
      <c r="K97" s="95">
        <f>IFERROR(VLOOKUP(F97,'Employees List'!$C$1:$AB$991,5,0),"")</f>
        <v>13000</v>
      </c>
      <c r="L97" s="91">
        <f t="shared" si="3"/>
        <v>9100</v>
      </c>
      <c r="M97" s="91">
        <f t="shared" si="4"/>
        <v>3900</v>
      </c>
      <c r="N97" s="89">
        <f>IFERROR(VLOOKUP(B97,'Employees List'!$A$2:$H$991,8,0),"")</f>
        <v>30</v>
      </c>
      <c r="O97" s="89">
        <f>IFERROR(VLOOKUP(D97,'Daily Attendance Report 24-25'!A98:BP999,5,0),"")</f>
        <v>28</v>
      </c>
      <c r="P97" s="89">
        <f>IFERROR(VLOOKUP(E97,'Daily Attendance Report 24-25'!$A$1:$BO$617,5,0),"")</f>
        <v>0</v>
      </c>
      <c r="Q97" s="96">
        <v>450.0</v>
      </c>
      <c r="R97" s="89"/>
      <c r="S97" s="91">
        <f t="shared" si="17"/>
        <v>12133.33333</v>
      </c>
      <c r="T97" s="91">
        <f t="shared" si="6"/>
        <v>0</v>
      </c>
      <c r="U97" s="91">
        <f t="shared" si="7"/>
        <v>12583.33333</v>
      </c>
      <c r="V97" s="91">
        <f t="shared" si="8"/>
        <v>94.375</v>
      </c>
      <c r="W97" s="91">
        <f t="shared" si="9"/>
        <v>12583.33333</v>
      </c>
      <c r="X97" s="89"/>
      <c r="Y97" s="89"/>
      <c r="Z97" s="89"/>
      <c r="AA97" s="89"/>
      <c r="AB97" s="89"/>
      <c r="AC97" s="89"/>
      <c r="AD97" s="89"/>
      <c r="AE97" s="89"/>
      <c r="AF97" s="89"/>
      <c r="AG97" s="89"/>
      <c r="AH97" s="89"/>
    </row>
    <row r="98">
      <c r="A98" s="8" t="s">
        <v>236</v>
      </c>
      <c r="B98" s="90" t="s">
        <v>36</v>
      </c>
      <c r="C98" s="8" t="s">
        <v>97</v>
      </c>
      <c r="D98" s="89" t="str">
        <f t="shared" si="1"/>
        <v>NovemberPARSHU BAGH</v>
      </c>
      <c r="E98" s="89" t="str">
        <f t="shared" si="2"/>
        <v>NovemberPARSHU BAGHOT Hours</v>
      </c>
      <c r="F98" s="89" t="str">
        <f>IFERROR(VLOOKUP(C98,'Employees List'!$B$1:$G$999,2,0),"")</f>
        <v>PARSHU BAGH</v>
      </c>
      <c r="G98" s="91">
        <f t="shared" si="19"/>
        <v>10887.5</v>
      </c>
      <c r="H98" s="92">
        <v>45636.0</v>
      </c>
      <c r="I98" s="89" t="str">
        <f>IFERROR(VLOOKUP(F98,'Employees List'!$C:$F,2,0),"")</f>
        <v/>
      </c>
      <c r="J98" s="93">
        <f>IFERROR(VLOOKUP(C98,'Employees List'!$B$2:$G$991,5,0),"")</f>
        <v>40653547928</v>
      </c>
      <c r="K98" s="95">
        <f>IFERROR(VLOOKUP(F98,'Employees List'!$C$1:$AB$991,5,0),"")</f>
        <v>12000</v>
      </c>
      <c r="L98" s="91">
        <f t="shared" si="3"/>
        <v>8400</v>
      </c>
      <c r="M98" s="91">
        <f t="shared" si="4"/>
        <v>3600</v>
      </c>
      <c r="N98" s="89">
        <f>IFERROR(VLOOKUP(B98,'Employees List'!$A$2:$H$991,8,0),"")</f>
        <v>30</v>
      </c>
      <c r="O98" s="89">
        <f>IFERROR(VLOOKUP(D98,'Daily Attendance Report 24-25'!A99:BP999,5,0),"")</f>
        <v>30</v>
      </c>
      <c r="P98" s="89">
        <f>IFERROR(VLOOKUP(E98,'Daily Attendance Report 24-25'!$A$1:$BO$617,5,0),"")</f>
        <v>28</v>
      </c>
      <c r="Q98" s="96">
        <v>900.0</v>
      </c>
      <c r="R98" s="8">
        <v>4000.0</v>
      </c>
      <c r="S98" s="91">
        <f t="shared" si="17"/>
        <v>12000</v>
      </c>
      <c r="T98" s="91">
        <f t="shared" si="6"/>
        <v>2100</v>
      </c>
      <c r="U98" s="91">
        <f t="shared" si="7"/>
        <v>11000</v>
      </c>
      <c r="V98" s="91">
        <f t="shared" si="8"/>
        <v>112.5</v>
      </c>
      <c r="W98" s="91">
        <f t="shared" si="9"/>
        <v>15000</v>
      </c>
      <c r="X98" s="89"/>
      <c r="Y98" s="89"/>
      <c r="Z98" s="89"/>
      <c r="AA98" s="89"/>
      <c r="AB98" s="89"/>
      <c r="AC98" s="89"/>
      <c r="AD98" s="89"/>
      <c r="AE98" s="89"/>
      <c r="AF98" s="89"/>
      <c r="AG98" s="89"/>
      <c r="AH98" s="89"/>
    </row>
    <row r="99">
      <c r="A99" s="8" t="s">
        <v>237</v>
      </c>
      <c r="B99" s="90" t="s">
        <v>40</v>
      </c>
      <c r="C99" s="8" t="s">
        <v>9</v>
      </c>
      <c r="D99" s="89" t="str">
        <f t="shared" si="1"/>
        <v>DecemberBHUVANESWARAN</v>
      </c>
      <c r="E99" s="89" t="str">
        <f t="shared" si="2"/>
        <v>DecemberBHUVANESWARANOT Hours</v>
      </c>
      <c r="F99" s="89" t="str">
        <f>IFERROR(VLOOKUP(C99,'Employees List'!$B$1:$G$999,2,0),"")</f>
        <v>BHUVANESWARAN</v>
      </c>
      <c r="G99" s="91">
        <f>U99</f>
        <v>60900</v>
      </c>
      <c r="H99" s="92">
        <v>45667.0</v>
      </c>
      <c r="I99" s="89" t="str">
        <f>IFERROR(VLOOKUP(F99,'Employees List'!$C:$F,2,0),"")</f>
        <v/>
      </c>
      <c r="J99" s="93">
        <f>IFERROR(VLOOKUP(C99,'Employees List'!$B$2:$G$991,5,0),"")</f>
        <v>500101011548924</v>
      </c>
      <c r="K99" s="95">
        <f>IFERROR(VLOOKUP(F99,'Employees List'!$C$1:$AB$991,5,0),"")</f>
        <v>60000</v>
      </c>
      <c r="L99" s="91">
        <f t="shared" si="3"/>
        <v>42000</v>
      </c>
      <c r="M99" s="91">
        <f t="shared" si="4"/>
        <v>18000</v>
      </c>
      <c r="N99" s="89">
        <f>IFERROR(VLOOKUP(B99,'Employees List'!$A$2:$H$991,8,0),"")</f>
        <v>31</v>
      </c>
      <c r="O99" s="89">
        <f>IFERROR(VLOOKUP(D99,'Daily Attendance Report 24-25'!A100:BP999,5,0),"")</f>
        <v>31</v>
      </c>
      <c r="P99" s="89">
        <f>IFERROR(VLOOKUP(E99,'Daily Attendance Report 24-25'!$A$1:$BO$617,5,0),"")</f>
        <v>0</v>
      </c>
      <c r="Q99" s="96">
        <v>900.0</v>
      </c>
      <c r="R99" s="89"/>
      <c r="S99" s="91">
        <f t="shared" si="17"/>
        <v>60000</v>
      </c>
      <c r="T99" s="91">
        <f t="shared" si="6"/>
        <v>0</v>
      </c>
      <c r="U99" s="91">
        <f t="shared" si="7"/>
        <v>60900</v>
      </c>
      <c r="V99" s="91">
        <f t="shared" si="8"/>
        <v>456.75</v>
      </c>
      <c r="W99" s="91">
        <f t="shared" si="9"/>
        <v>60900</v>
      </c>
      <c r="X99" s="89"/>
      <c r="Y99" s="89"/>
      <c r="Z99" s="89"/>
      <c r="AA99" s="89"/>
      <c r="AB99" s="89"/>
      <c r="AC99" s="89"/>
      <c r="AD99" s="89"/>
      <c r="AE99" s="89"/>
      <c r="AF99" s="89"/>
      <c r="AG99" s="89"/>
      <c r="AH99" s="89"/>
    </row>
    <row r="100">
      <c r="A100" s="8" t="s">
        <v>238</v>
      </c>
      <c r="B100" s="90" t="s">
        <v>40</v>
      </c>
      <c r="C100" s="8" t="s">
        <v>64</v>
      </c>
      <c r="D100" s="89" t="str">
        <f t="shared" si="1"/>
        <v>DecemberSUNDARI</v>
      </c>
      <c r="E100" s="89" t="str">
        <f t="shared" si="2"/>
        <v>DecemberSUNDARIOT Hours</v>
      </c>
      <c r="F100" s="89" t="str">
        <f>IFERROR(VLOOKUP(C100,'Employees List'!$B$1:$G$999,2,0),"")</f>
        <v>SUNDARI</v>
      </c>
      <c r="G100" s="91">
        <f t="shared" ref="G100:G111" si="20">U100-V100</f>
        <v>19380.16331</v>
      </c>
      <c r="H100" s="92">
        <v>45667.0</v>
      </c>
      <c r="I100" s="89" t="str">
        <f>IFERROR(VLOOKUP(F100,'Employees List'!$C:$F,2,0),"")</f>
        <v/>
      </c>
      <c r="J100" s="93" t="str">
        <f>IFERROR(VLOOKUP(C100,'Employees List'!$B$2:$G$991,5,0),"")</f>
        <v>8131010000016977</v>
      </c>
      <c r="K100" s="95">
        <f>IFERROR(VLOOKUP(F100,'Employees List'!$C$1:$AB$991,5,0),"")</f>
        <v>18000</v>
      </c>
      <c r="L100" s="91">
        <f t="shared" si="3"/>
        <v>12600</v>
      </c>
      <c r="M100" s="91">
        <f t="shared" si="4"/>
        <v>5400</v>
      </c>
      <c r="N100" s="89">
        <f>IFERROR(VLOOKUP(B100,'Employees List'!$A$2:$H$991,8,0),"")</f>
        <v>31</v>
      </c>
      <c r="O100" s="89">
        <f>IFERROR(VLOOKUP(D100,'Daily Attendance Report 24-25'!A101:BP999,5,0),"")</f>
        <v>31</v>
      </c>
      <c r="P100" s="89">
        <f>IFERROR(VLOOKUP(E100,'Daily Attendance Report 24-25'!$A$1:$BO$617,5,0),"")</f>
        <v>3</v>
      </c>
      <c r="Q100" s="96">
        <v>1200.0</v>
      </c>
      <c r="R100" s="89"/>
      <c r="S100" s="91">
        <f t="shared" si="17"/>
        <v>18000</v>
      </c>
      <c r="T100" s="91">
        <f t="shared" si="6"/>
        <v>326.6129032</v>
      </c>
      <c r="U100" s="91">
        <f t="shared" si="7"/>
        <v>19526.6129</v>
      </c>
      <c r="V100" s="91">
        <f t="shared" si="8"/>
        <v>146.4495968</v>
      </c>
      <c r="W100" s="91">
        <f t="shared" si="9"/>
        <v>19526.6129</v>
      </c>
      <c r="X100" s="89"/>
      <c r="Y100" s="89"/>
      <c r="Z100" s="89"/>
      <c r="AA100" s="89"/>
      <c r="AB100" s="89"/>
      <c r="AC100" s="89"/>
      <c r="AD100" s="89"/>
      <c r="AE100" s="89"/>
      <c r="AF100" s="89"/>
      <c r="AG100" s="89"/>
      <c r="AH100" s="89"/>
    </row>
    <row r="101">
      <c r="A101" s="8" t="s">
        <v>239</v>
      </c>
      <c r="B101" s="90" t="s">
        <v>40</v>
      </c>
      <c r="C101" s="8" t="s">
        <v>18</v>
      </c>
      <c r="D101" s="89" t="str">
        <f t="shared" si="1"/>
        <v>DecemberGANESH</v>
      </c>
      <c r="E101" s="89" t="str">
        <f t="shared" si="2"/>
        <v>DecemberGANESHOT Hours</v>
      </c>
      <c r="F101" s="89" t="str">
        <f>IFERROR(VLOOKUP(C101,'Employees List'!$B$1:$G$999,2,0),"")</f>
        <v>GANESH</v>
      </c>
      <c r="G101" s="91">
        <f t="shared" si="20"/>
        <v>15786.11593</v>
      </c>
      <c r="H101" s="92">
        <v>45667.0</v>
      </c>
      <c r="I101" s="89" t="str">
        <f>IFERROR(VLOOKUP(F101,'Employees List'!$C:$F,2,0),"")</f>
        <v/>
      </c>
      <c r="J101" s="93" t="str">
        <f>IFERROR(VLOOKUP(C101,'Employees List'!$B$2:$G$991,5,0),"")</f>
        <v>8811010012054879</v>
      </c>
      <c r="K101" s="95">
        <f>IFERROR(VLOOKUP(F101,'Employees List'!$C$1:$AB$991,5,0),"")</f>
        <v>17500</v>
      </c>
      <c r="L101" s="91">
        <f t="shared" si="3"/>
        <v>12250</v>
      </c>
      <c r="M101" s="91">
        <f t="shared" si="4"/>
        <v>5250</v>
      </c>
      <c r="N101" s="89">
        <f>IFERROR(VLOOKUP(B101,'Employees List'!$A$2:$H$991,8,0),"")</f>
        <v>31</v>
      </c>
      <c r="O101" s="89">
        <f>IFERROR(VLOOKUP(D101,'Daily Attendance Report 24-25'!A102:BP999,5,0),"")</f>
        <v>31</v>
      </c>
      <c r="P101" s="89">
        <f>IFERROR(VLOOKUP(E101,'Daily Attendance Report 24-25'!$A$1:$BO$617,5,0),"")</f>
        <v>14</v>
      </c>
      <c r="Q101" s="96">
        <v>450.0</v>
      </c>
      <c r="R101" s="8">
        <v>3500.0</v>
      </c>
      <c r="S101" s="91">
        <f t="shared" si="17"/>
        <v>17500</v>
      </c>
      <c r="T101" s="91">
        <f t="shared" si="6"/>
        <v>1481.854839</v>
      </c>
      <c r="U101" s="91">
        <f t="shared" si="7"/>
        <v>15931.85484</v>
      </c>
      <c r="V101" s="91">
        <f t="shared" si="8"/>
        <v>145.7389113</v>
      </c>
      <c r="W101" s="91">
        <f t="shared" si="9"/>
        <v>19431.85484</v>
      </c>
      <c r="X101" s="89"/>
      <c r="Y101" s="89"/>
      <c r="Z101" s="89"/>
      <c r="AA101" s="89"/>
      <c r="AB101" s="89"/>
      <c r="AC101" s="89"/>
      <c r="AD101" s="89"/>
      <c r="AE101" s="89"/>
      <c r="AF101" s="89"/>
      <c r="AG101" s="89"/>
      <c r="AH101" s="89"/>
    </row>
    <row r="102">
      <c r="A102" s="8" t="s">
        <v>240</v>
      </c>
      <c r="B102" s="90" t="s">
        <v>40</v>
      </c>
      <c r="C102" s="8" t="s">
        <v>22</v>
      </c>
      <c r="D102" s="89" t="str">
        <f t="shared" si="1"/>
        <v>DecemberADHIKARI BALIA</v>
      </c>
      <c r="E102" s="89" t="str">
        <f t="shared" si="2"/>
        <v>DecemberADHIKARI BALIAOT Hours</v>
      </c>
      <c r="F102" s="89" t="str">
        <f>IFERROR(VLOOKUP(C102,'Employees List'!$B$1:$G$999,2,0),"")</f>
        <v>ADHIKARI BALIA</v>
      </c>
      <c r="G102" s="91">
        <f t="shared" si="20"/>
        <v>5300.092742</v>
      </c>
      <c r="H102" s="92">
        <v>45667.0</v>
      </c>
      <c r="I102" s="89" t="str">
        <f>IFERROR(VLOOKUP(F102,'Employees List'!$C:$F,2,0),"")</f>
        <v/>
      </c>
      <c r="J102" s="93" t="str">
        <f>IFERROR(VLOOKUP(C102,'Employees List'!$B$2:$G$991,5,0),"")</f>
        <v>8131010000018948</v>
      </c>
      <c r="K102" s="95">
        <f>IFERROR(VLOOKUP(F102,'Employees List'!$C$1:$AB$991,5,0),"")</f>
        <v>12000</v>
      </c>
      <c r="L102" s="91">
        <f t="shared" si="3"/>
        <v>8400</v>
      </c>
      <c r="M102" s="91">
        <f t="shared" si="4"/>
        <v>3600</v>
      </c>
      <c r="N102" s="89">
        <f>IFERROR(VLOOKUP(B102,'Employees List'!$A$2:$H$991,8,0),"")</f>
        <v>31</v>
      </c>
      <c r="O102" s="89">
        <f>IFERROR(VLOOKUP(D102,'Daily Attendance Report 24-25'!A103:BP999,5,0),"")</f>
        <v>24.5</v>
      </c>
      <c r="P102" s="89">
        <f>IFERROR(VLOOKUP(E102,'Daily Attendance Report 24-25'!$A$1:$BO$617,5,0),"")</f>
        <v>20</v>
      </c>
      <c r="Q102" s="96">
        <v>450.0</v>
      </c>
      <c r="R102" s="8">
        <v>6000.0</v>
      </c>
      <c r="S102" s="91">
        <f t="shared" si="17"/>
        <v>9483.870968</v>
      </c>
      <c r="T102" s="91">
        <f t="shared" si="6"/>
        <v>1451.612903</v>
      </c>
      <c r="U102" s="91">
        <f t="shared" si="7"/>
        <v>5385.483871</v>
      </c>
      <c r="V102" s="91">
        <f t="shared" si="8"/>
        <v>85.39112903</v>
      </c>
      <c r="W102" s="91">
        <f t="shared" si="9"/>
        <v>11385.48387</v>
      </c>
      <c r="X102" s="89"/>
      <c r="Y102" s="89"/>
      <c r="Z102" s="89"/>
      <c r="AA102" s="89"/>
      <c r="AB102" s="89"/>
      <c r="AC102" s="89"/>
      <c r="AD102" s="89"/>
      <c r="AE102" s="89"/>
      <c r="AF102" s="89"/>
      <c r="AG102" s="89"/>
      <c r="AH102" s="89"/>
    </row>
    <row r="103">
      <c r="A103" s="8" t="s">
        <v>241</v>
      </c>
      <c r="B103" s="90" t="s">
        <v>40</v>
      </c>
      <c r="C103" s="8" t="s">
        <v>26</v>
      </c>
      <c r="D103" s="89" t="str">
        <f t="shared" si="1"/>
        <v>DecemberRUPESH</v>
      </c>
      <c r="E103" s="89" t="str">
        <f t="shared" si="2"/>
        <v>DecemberRUPESHOT Hours</v>
      </c>
      <c r="F103" s="89" t="str">
        <f>IFERROR(VLOOKUP(C103,'Employees List'!$B$1:$G$999,2,0),"")</f>
        <v>RUPESH</v>
      </c>
      <c r="G103" s="91">
        <f t="shared" si="20"/>
        <v>12380.6371</v>
      </c>
      <c r="H103" s="92">
        <v>45667.0</v>
      </c>
      <c r="I103" s="89" t="str">
        <f>IFERROR(VLOOKUP(F103,'Employees List'!$C:$F,2,0),"")</f>
        <v/>
      </c>
      <c r="J103" s="93" t="str">
        <f>IFERROR(VLOOKUP(C103,'Employees List'!$B$2:$G$991,5,0),"")</f>
        <v>8131010000020156</v>
      </c>
      <c r="K103" s="95">
        <f>IFERROR(VLOOKUP(F103,'Employees List'!$C$1:$AB$991,5,0),"")</f>
        <v>12000</v>
      </c>
      <c r="L103" s="91">
        <f t="shared" si="3"/>
        <v>8400</v>
      </c>
      <c r="M103" s="91">
        <f t="shared" si="4"/>
        <v>3600</v>
      </c>
      <c r="N103" s="89">
        <f>IFERROR(VLOOKUP(B103,'Employees List'!$A$2:$H$991,8,0),"")</f>
        <v>31</v>
      </c>
      <c r="O103" s="89">
        <f>IFERROR(VLOOKUP(D103,'Daily Attendance Report 24-25'!A104:BP999,5,0),"")</f>
        <v>24.5</v>
      </c>
      <c r="P103" s="89">
        <f>IFERROR(VLOOKUP(E103,'Daily Attendance Report 24-25'!$A$1:$BO$617,5,0),"")</f>
        <v>35</v>
      </c>
      <c r="Q103" s="96">
        <v>450.0</v>
      </c>
      <c r="R103" s="89"/>
      <c r="S103" s="91">
        <f t="shared" si="17"/>
        <v>9483.870968</v>
      </c>
      <c r="T103" s="91">
        <f t="shared" si="6"/>
        <v>2540.322581</v>
      </c>
      <c r="U103" s="91">
        <f t="shared" si="7"/>
        <v>12474.19355</v>
      </c>
      <c r="V103" s="91">
        <f t="shared" si="8"/>
        <v>93.55645161</v>
      </c>
      <c r="W103" s="91">
        <f t="shared" si="9"/>
        <v>12474.19355</v>
      </c>
      <c r="X103" s="89"/>
      <c r="Y103" s="89"/>
      <c r="Z103" s="89"/>
      <c r="AA103" s="89"/>
      <c r="AB103" s="89"/>
      <c r="AC103" s="89"/>
      <c r="AD103" s="89"/>
      <c r="AE103" s="89"/>
      <c r="AF103" s="89"/>
      <c r="AG103" s="89"/>
      <c r="AH103" s="89"/>
    </row>
    <row r="104">
      <c r="A104" s="8" t="s">
        <v>242</v>
      </c>
      <c r="B104" s="90" t="s">
        <v>40</v>
      </c>
      <c r="C104" s="8" t="s">
        <v>30</v>
      </c>
      <c r="D104" s="89" t="str">
        <f t="shared" si="1"/>
        <v>DecemberSANJAI BHAGAT</v>
      </c>
      <c r="E104" s="89" t="str">
        <f t="shared" si="2"/>
        <v>DecemberSANJAI BHAGATOT Hours</v>
      </c>
      <c r="F104" s="89" t="str">
        <f>IFERROR(VLOOKUP(C104,'Employees List'!$B$1:$G$999,2,0),"")</f>
        <v>SANJAI BHAGAT</v>
      </c>
      <c r="G104" s="91">
        <f t="shared" si="20"/>
        <v>6452.673387</v>
      </c>
      <c r="H104" s="92">
        <v>45667.0</v>
      </c>
      <c r="I104" s="89" t="str">
        <f>IFERROR(VLOOKUP(F104,'Employees List'!$C:$F,2,0),"")</f>
        <v/>
      </c>
      <c r="J104" s="93" t="str">
        <f>IFERROR(VLOOKUP(C104,'Employees List'!$B$2:$G$991,5,0),"")</f>
        <v>8131010000021225</v>
      </c>
      <c r="K104" s="95">
        <f>IFERROR(VLOOKUP(F104,'Employees List'!$C$1:$AB$991,5,0),"")</f>
        <v>12000</v>
      </c>
      <c r="L104" s="91">
        <f t="shared" si="3"/>
        <v>8400</v>
      </c>
      <c r="M104" s="91">
        <f t="shared" si="4"/>
        <v>3600</v>
      </c>
      <c r="N104" s="89">
        <f>IFERROR(VLOOKUP(B104,'Employees List'!$A$2:$H$991,8,0),"")</f>
        <v>31</v>
      </c>
      <c r="O104" s="89">
        <f>IFERROR(VLOOKUP(D104,'Daily Attendance Report 24-25'!A105:BP999,5,0),"")</f>
        <v>24.5</v>
      </c>
      <c r="P104" s="89">
        <f>IFERROR(VLOOKUP(E104,'Daily Attendance Report 24-25'!$A$1:$BO$617,5,0),"")</f>
        <v>36</v>
      </c>
      <c r="Q104" s="96">
        <v>450.0</v>
      </c>
      <c r="R104" s="8">
        <v>6000.0</v>
      </c>
      <c r="S104" s="91">
        <f t="shared" si="17"/>
        <v>9483.870968</v>
      </c>
      <c r="T104" s="91">
        <f t="shared" si="6"/>
        <v>2612.903226</v>
      </c>
      <c r="U104" s="91">
        <f t="shared" si="7"/>
        <v>6546.774194</v>
      </c>
      <c r="V104" s="91">
        <f t="shared" si="8"/>
        <v>94.10080645</v>
      </c>
      <c r="W104" s="91">
        <f t="shared" si="9"/>
        <v>12546.77419</v>
      </c>
      <c r="X104" s="89"/>
      <c r="Y104" s="89"/>
      <c r="Z104" s="89"/>
      <c r="AA104" s="89"/>
      <c r="AB104" s="89"/>
      <c r="AC104" s="89"/>
      <c r="AD104" s="89"/>
      <c r="AE104" s="89"/>
      <c r="AF104" s="89"/>
      <c r="AG104" s="89"/>
      <c r="AH104" s="89"/>
    </row>
    <row r="105">
      <c r="A105" s="8" t="s">
        <v>243</v>
      </c>
      <c r="B105" s="90" t="s">
        <v>40</v>
      </c>
      <c r="C105" s="8" t="s">
        <v>70</v>
      </c>
      <c r="D105" s="89" t="str">
        <f t="shared" si="1"/>
        <v>DecemberMathi</v>
      </c>
      <c r="E105" s="89" t="str">
        <f t="shared" si="2"/>
        <v>DecemberMathiOT Hours</v>
      </c>
      <c r="F105" s="89" t="str">
        <f>IFERROR(VLOOKUP(C105,'Employees List'!$B$1:$G$999,2,0),"")</f>
        <v>Mathi</v>
      </c>
      <c r="G105" s="91">
        <f t="shared" si="20"/>
        <v>17518.5</v>
      </c>
      <c r="H105" s="92">
        <v>45667.0</v>
      </c>
      <c r="I105" s="89" t="str">
        <f>IFERROR(VLOOKUP(F105,'Employees List'!$C:$F,2,0),"")</f>
        <v/>
      </c>
      <c r="J105" s="93" t="str">
        <f>IFERROR(VLOOKUP(C105,'Employees List'!$B$2:$G$991,5,0),"")</f>
        <v>8131010000016986</v>
      </c>
      <c r="K105" s="95">
        <f>IFERROR(VLOOKUP(F105,'Employees List'!$C$1:$AB$991,5,0),"")</f>
        <v>20000</v>
      </c>
      <c r="L105" s="91">
        <f t="shared" si="3"/>
        <v>14000</v>
      </c>
      <c r="M105" s="91">
        <f t="shared" si="4"/>
        <v>6000</v>
      </c>
      <c r="N105" s="89">
        <f>IFERROR(VLOOKUP(B105,'Employees List'!$A$2:$H$991,8,0),"")</f>
        <v>31</v>
      </c>
      <c r="O105" s="89">
        <f>IFERROR(VLOOKUP(D105,'Daily Attendance Report 24-25'!A106:BP999,5,0),"")</f>
        <v>29.5</v>
      </c>
      <c r="P105" s="89">
        <f>IFERROR(VLOOKUP(E105,'Daily Attendance Report 24-25'!$A$1:$BO$617,5,0),"")</f>
        <v>39</v>
      </c>
      <c r="Q105" s="96">
        <v>450.0</v>
      </c>
      <c r="R105" s="8">
        <v>6500.0</v>
      </c>
      <c r="S105" s="91">
        <f t="shared" si="17"/>
        <v>19032.25806</v>
      </c>
      <c r="T105" s="91">
        <f t="shared" si="6"/>
        <v>4717.741935</v>
      </c>
      <c r="U105" s="91">
        <f t="shared" si="7"/>
        <v>17700</v>
      </c>
      <c r="V105" s="91">
        <f t="shared" si="8"/>
        <v>181.5</v>
      </c>
      <c r="W105" s="91">
        <f t="shared" si="9"/>
        <v>24200</v>
      </c>
      <c r="X105" s="89"/>
      <c r="Y105" s="89"/>
      <c r="Z105" s="89"/>
      <c r="AA105" s="89"/>
      <c r="AB105" s="89"/>
      <c r="AC105" s="89"/>
      <c r="AD105" s="89"/>
      <c r="AE105" s="89"/>
      <c r="AF105" s="89"/>
      <c r="AG105" s="89"/>
      <c r="AH105" s="89"/>
    </row>
    <row r="106">
      <c r="A106" s="8" t="s">
        <v>244</v>
      </c>
      <c r="B106" s="90" t="s">
        <v>40</v>
      </c>
      <c r="C106" s="8" t="s">
        <v>37</v>
      </c>
      <c r="D106" s="89" t="str">
        <f t="shared" si="1"/>
        <v>DecemberAMMU</v>
      </c>
      <c r="E106" s="89" t="str">
        <f t="shared" si="2"/>
        <v>DecemberAMMUOT Hours</v>
      </c>
      <c r="F106" s="89" t="str">
        <f>IFERROR(VLOOKUP(C106,'Employees List'!$B$1:$G$999,2,0),"")</f>
        <v>AMMU</v>
      </c>
      <c r="G106" s="91">
        <f t="shared" si="20"/>
        <v>10892.2873</v>
      </c>
      <c r="H106" s="92">
        <v>45667.0</v>
      </c>
      <c r="I106" s="89" t="str">
        <f>IFERROR(VLOOKUP(F106,'Employees List'!$C:$F,2,0),"")</f>
        <v/>
      </c>
      <c r="J106" s="93">
        <f>IFERROR(VLOOKUP(C106,'Employees List'!$B$2:$G$991,5,0),"")</f>
        <v>65801000040238</v>
      </c>
      <c r="K106" s="95">
        <f>IFERROR(VLOOKUP(F106,'Employees List'!$C$1:$AB$991,5,0),"")</f>
        <v>9500</v>
      </c>
      <c r="L106" s="91">
        <f t="shared" si="3"/>
        <v>6650</v>
      </c>
      <c r="M106" s="91">
        <f t="shared" si="4"/>
        <v>2850</v>
      </c>
      <c r="N106" s="89">
        <f>IFERROR(VLOOKUP(B106,'Employees List'!$A$2:$H$991,8,0),"")</f>
        <v>31</v>
      </c>
      <c r="O106" s="89">
        <f>IFERROR(VLOOKUP(D106,'Daily Attendance Report 24-25'!A107:BP999,5,0),"")</f>
        <v>31</v>
      </c>
      <c r="P106" s="89">
        <f>IFERROR(VLOOKUP(E106,'Daily Attendance Report 24-25'!$A$1:$BO$617,5,0),"")</f>
        <v>10</v>
      </c>
      <c r="Q106" s="96">
        <v>900.0</v>
      </c>
      <c r="R106" s="89"/>
      <c r="S106" s="91">
        <f t="shared" si="17"/>
        <v>9500</v>
      </c>
      <c r="T106" s="91">
        <f t="shared" si="6"/>
        <v>574.5967742</v>
      </c>
      <c r="U106" s="91">
        <f t="shared" si="7"/>
        <v>10974.59677</v>
      </c>
      <c r="V106" s="91">
        <f t="shared" si="8"/>
        <v>82.30947581</v>
      </c>
      <c r="W106" s="91">
        <f t="shared" si="9"/>
        <v>10974.59677</v>
      </c>
      <c r="X106" s="89"/>
      <c r="Y106" s="89"/>
      <c r="Z106" s="89"/>
      <c r="AA106" s="89"/>
      <c r="AB106" s="89"/>
      <c r="AC106" s="89"/>
      <c r="AD106" s="89"/>
      <c r="AE106" s="89"/>
      <c r="AF106" s="89"/>
      <c r="AG106" s="89"/>
      <c r="AH106" s="89"/>
    </row>
    <row r="107">
      <c r="A107" s="8" t="s">
        <v>245</v>
      </c>
      <c r="B107" s="90" t="s">
        <v>40</v>
      </c>
      <c r="C107" s="8" t="s">
        <v>41</v>
      </c>
      <c r="D107" s="89" t="str">
        <f t="shared" si="1"/>
        <v>DecemberREVATHI S</v>
      </c>
      <c r="E107" s="89" t="str">
        <f t="shared" si="2"/>
        <v>DecemberREVATHI SOT Hours</v>
      </c>
      <c r="F107" s="89" t="str">
        <f>IFERROR(VLOOKUP(C107,'Employees List'!$B$1:$G$999,2,0),"")</f>
        <v>REVATHI S</v>
      </c>
      <c r="G107" s="91">
        <f t="shared" si="20"/>
        <v>8653.011089</v>
      </c>
      <c r="H107" s="92">
        <v>45667.0</v>
      </c>
      <c r="I107" s="89" t="str">
        <f>IFERROR(VLOOKUP(F107,'Employees List'!$C:$F,2,0),"")</f>
        <v/>
      </c>
      <c r="J107" s="93" t="str">
        <f>IFERROR(VLOOKUP(C107,'Employees List'!$B$2:$G$991,5,0),"")</f>
        <v>8131010000016995</v>
      </c>
      <c r="K107" s="95">
        <f>IFERROR(VLOOKUP(F107,'Employees List'!$C$1:$AB$991,5,0),"")</f>
        <v>9500</v>
      </c>
      <c r="L107" s="91">
        <f t="shared" si="3"/>
        <v>6650</v>
      </c>
      <c r="M107" s="91">
        <f t="shared" si="4"/>
        <v>2850</v>
      </c>
      <c r="N107" s="89">
        <f>IFERROR(VLOOKUP(B107,'Employees List'!$A$2:$H$991,8,0),"")</f>
        <v>31</v>
      </c>
      <c r="O107" s="89">
        <f>IFERROR(VLOOKUP(D107,'Daily Attendance Report 24-25'!A108:BP999,5,0),"")</f>
        <v>27.5</v>
      </c>
      <c r="P107" s="89">
        <f>IFERROR(VLOOKUP(E107,'Daily Attendance Report 24-25'!$A$1:$BO$617,5,0),"")</f>
        <v>6</v>
      </c>
      <c r="Q107" s="96">
        <v>450.0</v>
      </c>
      <c r="R107" s="8">
        <v>500.0</v>
      </c>
      <c r="S107" s="91">
        <f t="shared" si="17"/>
        <v>8427.419355</v>
      </c>
      <c r="T107" s="91">
        <f t="shared" si="6"/>
        <v>344.7580645</v>
      </c>
      <c r="U107" s="91">
        <f t="shared" si="7"/>
        <v>8722.177419</v>
      </c>
      <c r="V107" s="91">
        <f t="shared" si="8"/>
        <v>69.16633065</v>
      </c>
      <c r="W107" s="91">
        <f t="shared" si="9"/>
        <v>9222.177419</v>
      </c>
      <c r="X107" s="89"/>
      <c r="Y107" s="89"/>
      <c r="Z107" s="89"/>
      <c r="AA107" s="89"/>
      <c r="AB107" s="89"/>
      <c r="AC107" s="89"/>
      <c r="AD107" s="89"/>
      <c r="AE107" s="89"/>
      <c r="AF107" s="89"/>
      <c r="AG107" s="89"/>
      <c r="AH107" s="89"/>
    </row>
    <row r="108">
      <c r="A108" s="8" t="s">
        <v>246</v>
      </c>
      <c r="B108" s="90" t="s">
        <v>40</v>
      </c>
      <c r="C108" s="8" t="s">
        <v>67</v>
      </c>
      <c r="D108" s="89" t="str">
        <f t="shared" si="1"/>
        <v>DecemberLEELA</v>
      </c>
      <c r="E108" s="89" t="str">
        <f t="shared" si="2"/>
        <v>DecemberLEELAOT Hours</v>
      </c>
      <c r="F108" s="89" t="str">
        <f>IFERROR(VLOOKUP(C108,'Employees List'!$B$1:$G$999,2,0),"")</f>
        <v>LEELA</v>
      </c>
      <c r="G108" s="91">
        <f t="shared" si="20"/>
        <v>11932.91532</v>
      </c>
      <c r="H108" s="92">
        <v>45667.0</v>
      </c>
      <c r="I108" s="89" t="str">
        <f>IFERROR(VLOOKUP(F108,'Employees List'!$C:$F,2,0),"")</f>
        <v/>
      </c>
      <c r="J108" s="93" t="str">
        <f>IFERROR(VLOOKUP(C108,'Employees List'!$B$2:$G$991,5,0),"")</f>
        <v>8387010000017745</v>
      </c>
      <c r="K108" s="95">
        <f>IFERROR(VLOOKUP(F108,'Employees List'!$C$1:$AB$991,5,0),"")</f>
        <v>13000</v>
      </c>
      <c r="L108" s="91">
        <f t="shared" si="3"/>
        <v>9100</v>
      </c>
      <c r="M108" s="91">
        <f t="shared" si="4"/>
        <v>3900</v>
      </c>
      <c r="N108" s="89">
        <f>IFERROR(VLOOKUP(B108,'Employees List'!$A$2:$H$991,8,0),"")</f>
        <v>31</v>
      </c>
      <c r="O108" s="89">
        <f>IFERROR(VLOOKUP(D108,'Daily Attendance Report 24-25'!A109:BP999,5,0),"")</f>
        <v>30</v>
      </c>
      <c r="P108" s="89">
        <f>IFERROR(VLOOKUP(E108,'Daily Attendance Report 24-25'!$A$1:$BO$617,5,0),"")</f>
        <v>0</v>
      </c>
      <c r="Q108" s="96">
        <v>450.0</v>
      </c>
      <c r="R108" s="8">
        <v>1000.0</v>
      </c>
      <c r="S108" s="91">
        <f t="shared" si="17"/>
        <v>12580.64516</v>
      </c>
      <c r="T108" s="91">
        <f t="shared" si="6"/>
        <v>0</v>
      </c>
      <c r="U108" s="91">
        <f t="shared" si="7"/>
        <v>12030.64516</v>
      </c>
      <c r="V108" s="91">
        <f t="shared" si="8"/>
        <v>97.72983871</v>
      </c>
      <c r="W108" s="91">
        <f t="shared" si="9"/>
        <v>13030.64516</v>
      </c>
      <c r="X108" s="89"/>
      <c r="Y108" s="89"/>
      <c r="Z108" s="89"/>
      <c r="AA108" s="89"/>
      <c r="AB108" s="89"/>
      <c r="AC108" s="89"/>
      <c r="AD108" s="89"/>
      <c r="AE108" s="89"/>
      <c r="AF108" s="89"/>
      <c r="AG108" s="89"/>
      <c r="AH108" s="89"/>
    </row>
    <row r="109">
      <c r="A109" s="8" t="s">
        <v>247</v>
      </c>
      <c r="B109" s="90" t="s">
        <v>40</v>
      </c>
      <c r="C109" s="8" t="s">
        <v>53</v>
      </c>
      <c r="D109" s="89" t="str">
        <f t="shared" si="1"/>
        <v>DecemberPINU BAGH</v>
      </c>
      <c r="E109" s="89" t="str">
        <f t="shared" si="2"/>
        <v>DecemberPINU BAGHOT Hours</v>
      </c>
      <c r="F109" s="89" t="str">
        <f>IFERROR(VLOOKUP(C109,'Employees List'!$B$1:$G$999,2,0),"")</f>
        <v>PINU BAGH</v>
      </c>
      <c r="G109" s="91">
        <f t="shared" si="20"/>
        <v>3857.86996</v>
      </c>
      <c r="H109" s="92">
        <v>45667.0</v>
      </c>
      <c r="I109" s="89" t="str">
        <f>IFERROR(VLOOKUP(F109,'Employees List'!$C:$F,2,0),"")</f>
        <v/>
      </c>
      <c r="J109" s="93" t="str">
        <f>IFERROR(VLOOKUP(C109,'Employees List'!$B$2:$G$991,5,0),"")</f>
        <v>8131010000018814</v>
      </c>
      <c r="K109" s="95">
        <f>IFERROR(VLOOKUP(F109,'Employees List'!$C$1:$AB$991,5,0),"")</f>
        <v>11000</v>
      </c>
      <c r="L109" s="91">
        <f t="shared" si="3"/>
        <v>7700</v>
      </c>
      <c r="M109" s="91">
        <f t="shared" si="4"/>
        <v>3300</v>
      </c>
      <c r="N109" s="89">
        <f>IFERROR(VLOOKUP(B109,'Employees List'!$A$2:$H$991,8,0),"")</f>
        <v>31</v>
      </c>
      <c r="O109" s="89">
        <f>IFERROR(VLOOKUP(D109,'Daily Attendance Report 24-25'!A110:BP999,5,0),"")</f>
        <v>24.5</v>
      </c>
      <c r="P109" s="89">
        <f>IFERROR(VLOOKUP(E109,'Daily Attendance Report 24-25'!$A$1:$BO$617,5,0),"")</f>
        <v>27</v>
      </c>
      <c r="Q109" s="96">
        <v>450.0</v>
      </c>
      <c r="R109" s="8">
        <v>7000.0</v>
      </c>
      <c r="S109" s="91">
        <f t="shared" si="17"/>
        <v>8693.548387</v>
      </c>
      <c r="T109" s="91">
        <f t="shared" si="6"/>
        <v>1796.370968</v>
      </c>
      <c r="U109" s="91">
        <f t="shared" si="7"/>
        <v>3939.919355</v>
      </c>
      <c r="V109" s="91">
        <f t="shared" si="8"/>
        <v>82.04939516</v>
      </c>
      <c r="W109" s="91">
        <f t="shared" si="9"/>
        <v>10939.91935</v>
      </c>
      <c r="X109" s="89"/>
      <c r="Y109" s="89"/>
      <c r="Z109" s="89"/>
      <c r="AA109" s="89"/>
      <c r="AB109" s="89"/>
      <c r="AC109" s="89"/>
      <c r="AD109" s="89"/>
      <c r="AE109" s="89"/>
      <c r="AF109" s="89"/>
      <c r="AG109" s="89"/>
      <c r="AH109" s="89"/>
    </row>
    <row r="110">
      <c r="A110" s="8" t="s">
        <v>248</v>
      </c>
      <c r="B110" s="90" t="s">
        <v>40</v>
      </c>
      <c r="C110" s="8" t="s">
        <v>77</v>
      </c>
      <c r="D110" s="89" t="str">
        <f t="shared" si="1"/>
        <v>DecemberSIDHESHWAR</v>
      </c>
      <c r="E110" s="89" t="str">
        <f t="shared" si="2"/>
        <v>DecemberSIDHESHWAROT Hours</v>
      </c>
      <c r="F110" s="89" t="str">
        <f>IFERROR(VLOOKUP(C110,'Employees List'!$B$1:$G$999,2,0),"")</f>
        <v>SIDHESHWAR</v>
      </c>
      <c r="G110" s="91">
        <f t="shared" si="20"/>
        <v>2539.694556</v>
      </c>
      <c r="H110" s="92">
        <v>45667.0</v>
      </c>
      <c r="I110" s="89" t="str">
        <f>IFERROR(VLOOKUP(F110,'Employees List'!$C:$F,2,0),"")</f>
        <v/>
      </c>
      <c r="J110" s="93" t="str">
        <f>IFERROR(VLOOKUP(C110,'Employees List'!$B$2:$G$991,5,0),"")</f>
        <v>8131010000018939</v>
      </c>
      <c r="K110" s="95">
        <f>IFERROR(VLOOKUP(F110,'Employees List'!$C$1:$AB$991,5,0),"")</f>
        <v>10500</v>
      </c>
      <c r="L110" s="91">
        <f t="shared" si="3"/>
        <v>7350</v>
      </c>
      <c r="M110" s="91">
        <f t="shared" si="4"/>
        <v>3150</v>
      </c>
      <c r="N110" s="89">
        <f>IFERROR(VLOOKUP(B110,'Employees List'!$A$2:$H$991,8,0),"")</f>
        <v>31</v>
      </c>
      <c r="O110" s="89">
        <f>IFERROR(VLOOKUP(D110,'Daily Attendance Report 24-25'!A111:BP999,5,0),"")</f>
        <v>17</v>
      </c>
      <c r="P110" s="89">
        <f>IFERROR(VLOOKUP(E110,'Daily Attendance Report 24-25'!$A$1:$BO$617,5,0),"")</f>
        <v>6</v>
      </c>
      <c r="Q110" s="96">
        <v>450.0</v>
      </c>
      <c r="R110" s="8">
        <v>4000.0</v>
      </c>
      <c r="S110" s="91">
        <f t="shared" si="17"/>
        <v>5758.064516</v>
      </c>
      <c r="T110" s="91">
        <f t="shared" si="6"/>
        <v>381.0483871</v>
      </c>
      <c r="U110" s="91">
        <f t="shared" si="7"/>
        <v>2589.112903</v>
      </c>
      <c r="V110" s="91">
        <f t="shared" si="8"/>
        <v>49.41834677</v>
      </c>
      <c r="W110" s="91">
        <f t="shared" si="9"/>
        <v>6589.112903</v>
      </c>
      <c r="X110" s="89"/>
      <c r="Y110" s="89"/>
      <c r="Z110" s="89"/>
      <c r="AA110" s="89"/>
      <c r="AB110" s="89"/>
      <c r="AC110" s="89"/>
      <c r="AD110" s="89"/>
      <c r="AE110" s="89"/>
      <c r="AF110" s="89"/>
      <c r="AG110" s="89"/>
      <c r="AH110" s="89"/>
    </row>
    <row r="111">
      <c r="A111" s="8" t="s">
        <v>249</v>
      </c>
      <c r="B111" s="90" t="s">
        <v>40</v>
      </c>
      <c r="C111" s="8" t="s">
        <v>97</v>
      </c>
      <c r="D111" s="89" t="str">
        <f t="shared" si="1"/>
        <v>DecemberPARSHU BAGH</v>
      </c>
      <c r="E111" s="89" t="str">
        <f t="shared" si="2"/>
        <v>DecemberPARSHU BAGHOT Hours</v>
      </c>
      <c r="F111" s="89" t="str">
        <f>IFERROR(VLOOKUP(C111,'Employees List'!$B$1:$G$999,2,0),"")</f>
        <v>PARSHU BAGH</v>
      </c>
      <c r="G111" s="91">
        <f t="shared" si="20"/>
        <v>13608.41129</v>
      </c>
      <c r="H111" s="92">
        <v>45667.0</v>
      </c>
      <c r="I111" s="89" t="str">
        <f>IFERROR(VLOOKUP(F111,'Employees List'!$C:$F,2,0),"")</f>
        <v/>
      </c>
      <c r="J111" s="93">
        <f>IFERROR(VLOOKUP(C111,'Employees List'!$B$2:$G$991,5,0),"")</f>
        <v>40653547928</v>
      </c>
      <c r="K111" s="95">
        <f>IFERROR(VLOOKUP(F111,'Employees List'!$C$1:$AB$991,5,0),"")</f>
        <v>12000</v>
      </c>
      <c r="L111" s="91">
        <f t="shared" si="3"/>
        <v>8400</v>
      </c>
      <c r="M111" s="91">
        <f t="shared" si="4"/>
        <v>3600</v>
      </c>
      <c r="N111" s="89">
        <f>IFERROR(VLOOKUP(B111,'Employees List'!$A$2:$H$991,8,0),"")</f>
        <v>31</v>
      </c>
      <c r="O111" s="89">
        <f>IFERROR(VLOOKUP(D111,'Daily Attendance Report 24-25'!A112:BP999,5,0),"")</f>
        <v>31</v>
      </c>
      <c r="P111" s="89">
        <f>IFERROR(VLOOKUP(E111,'Daily Attendance Report 24-25'!$A$1:$BO$617,5,0),"")</f>
        <v>32</v>
      </c>
      <c r="Q111" s="96">
        <v>900.0</v>
      </c>
      <c r="R111" s="8">
        <v>1500.0</v>
      </c>
      <c r="S111" s="91">
        <f t="shared" si="17"/>
        <v>12000</v>
      </c>
      <c r="T111" s="91">
        <f t="shared" si="6"/>
        <v>2322.580645</v>
      </c>
      <c r="U111" s="91">
        <f t="shared" si="7"/>
        <v>13722.58065</v>
      </c>
      <c r="V111" s="91">
        <f t="shared" si="8"/>
        <v>114.1693548</v>
      </c>
      <c r="W111" s="91">
        <f t="shared" si="9"/>
        <v>15222.58065</v>
      </c>
      <c r="X111" s="89"/>
      <c r="Y111" s="89"/>
      <c r="Z111" s="89"/>
      <c r="AA111" s="89"/>
      <c r="AB111" s="89"/>
      <c r="AC111" s="89"/>
      <c r="AD111" s="89"/>
      <c r="AE111" s="89"/>
      <c r="AF111" s="89"/>
      <c r="AG111" s="89"/>
      <c r="AH111" s="89"/>
    </row>
    <row r="112">
      <c r="A112" s="8" t="s">
        <v>250</v>
      </c>
      <c r="B112" s="90" t="s">
        <v>44</v>
      </c>
      <c r="C112" s="8" t="s">
        <v>9</v>
      </c>
      <c r="D112" s="89" t="str">
        <f t="shared" si="1"/>
        <v>JanuaryBHUVANESWARAN</v>
      </c>
      <c r="E112" s="89" t="str">
        <f t="shared" si="2"/>
        <v>JanuaryBHUVANESWARANOT Hours</v>
      </c>
      <c r="F112" s="89" t="str">
        <f>IFERROR(VLOOKUP(C112,'Employees List'!$B$1:$G$999,2,0),"")</f>
        <v>BHUVANESWARAN</v>
      </c>
      <c r="G112" s="91">
        <f>U112</f>
        <v>60900</v>
      </c>
      <c r="H112" s="92">
        <v>45698.0</v>
      </c>
      <c r="I112" s="89" t="str">
        <f>IFERROR(VLOOKUP(F112,'Employees List'!$C:$F,2,0),"")</f>
        <v/>
      </c>
      <c r="J112" s="93">
        <f>IFERROR(VLOOKUP(C112,'Employees List'!$B$2:$G$991,5,0),"")</f>
        <v>500101011548924</v>
      </c>
      <c r="K112" s="95">
        <f>IFERROR(VLOOKUP(F112,'Employees List'!$C$1:$AB$991,5,0),"")</f>
        <v>60000</v>
      </c>
      <c r="L112" s="91">
        <f t="shared" si="3"/>
        <v>42000</v>
      </c>
      <c r="M112" s="91">
        <f t="shared" si="4"/>
        <v>18000</v>
      </c>
      <c r="N112" s="89">
        <f>IFERROR(VLOOKUP(B112,'Employees List'!$A$2:$H$991,8,0),"")</f>
        <v>31</v>
      </c>
      <c r="O112" s="89">
        <f>IFERROR(VLOOKUP(D112,'Daily Attendance Report 24-25'!A113:BP999,5,0),"")</f>
        <v>31</v>
      </c>
      <c r="P112" s="89">
        <f>IFERROR(VLOOKUP(E112,'Daily Attendance Report 24-25'!$A$1:$BO$617,5,0),"")</f>
        <v>0</v>
      </c>
      <c r="Q112" s="96">
        <v>900.0</v>
      </c>
      <c r="R112" s="89"/>
      <c r="S112" s="91">
        <f t="shared" si="17"/>
        <v>60000</v>
      </c>
      <c r="T112" s="91">
        <f t="shared" si="6"/>
        <v>0</v>
      </c>
      <c r="U112" s="91">
        <f t="shared" si="7"/>
        <v>60900</v>
      </c>
      <c r="V112" s="91">
        <f t="shared" si="8"/>
        <v>456.75</v>
      </c>
      <c r="W112" s="91">
        <f t="shared" si="9"/>
        <v>60900</v>
      </c>
      <c r="X112" s="89"/>
      <c r="Y112" s="89"/>
      <c r="Z112" s="89"/>
      <c r="AA112" s="89"/>
      <c r="AB112" s="89"/>
      <c r="AC112" s="89"/>
      <c r="AD112" s="89"/>
      <c r="AE112" s="89"/>
      <c r="AF112" s="89"/>
      <c r="AG112" s="89"/>
      <c r="AH112" s="89"/>
    </row>
    <row r="113">
      <c r="A113" s="8" t="s">
        <v>251</v>
      </c>
      <c r="B113" s="90" t="s">
        <v>44</v>
      </c>
      <c r="C113" s="8" t="s">
        <v>64</v>
      </c>
      <c r="D113" s="89" t="str">
        <f t="shared" si="1"/>
        <v>JanuarySUNDARI</v>
      </c>
      <c r="E113" s="89" t="str">
        <f t="shared" si="2"/>
        <v>JanuarySUNDARIOT Hours</v>
      </c>
      <c r="F113" s="89" t="str">
        <f>IFERROR(VLOOKUP(C113,'Employees List'!$B$1:$G$999,2,0),"")</f>
        <v>SUNDARI</v>
      </c>
      <c r="G113" s="91">
        <f t="shared" ref="G113:G120" si="21">U113-V113</f>
        <v>19380.16331</v>
      </c>
      <c r="H113" s="92">
        <v>45698.0</v>
      </c>
      <c r="I113" s="89" t="str">
        <f>IFERROR(VLOOKUP(F113,'Employees List'!$C:$F,2,0),"")</f>
        <v/>
      </c>
      <c r="J113" s="93" t="str">
        <f>IFERROR(VLOOKUP(C113,'Employees List'!$B$2:$G$991,5,0),"")</f>
        <v>8131010000016977</v>
      </c>
      <c r="K113" s="94">
        <v>18000.0</v>
      </c>
      <c r="L113" s="91">
        <f t="shared" si="3"/>
        <v>12600</v>
      </c>
      <c r="M113" s="91">
        <f t="shared" si="4"/>
        <v>5400</v>
      </c>
      <c r="N113" s="89">
        <f>IFERROR(VLOOKUP(B113,'Employees List'!$A$2:$H$991,8,0),"")</f>
        <v>31</v>
      </c>
      <c r="O113" s="89">
        <f>IFERROR(VLOOKUP(D113,'Daily Attendance Report 24-25'!A114:BP999,5,0),"")</f>
        <v>31</v>
      </c>
      <c r="P113" s="89">
        <f>IFERROR(VLOOKUP(E113,'Daily Attendance Report 24-25'!$A$1:$BO$617,5,0),"")</f>
        <v>3</v>
      </c>
      <c r="Q113" s="96">
        <v>1200.0</v>
      </c>
      <c r="R113" s="89"/>
      <c r="S113" s="91">
        <f t="shared" si="17"/>
        <v>18000</v>
      </c>
      <c r="T113" s="91">
        <f t="shared" si="6"/>
        <v>326.6129032</v>
      </c>
      <c r="U113" s="91">
        <f t="shared" si="7"/>
        <v>19526.6129</v>
      </c>
      <c r="V113" s="91">
        <f t="shared" si="8"/>
        <v>146.4495968</v>
      </c>
      <c r="W113" s="91">
        <f t="shared" si="9"/>
        <v>19526.6129</v>
      </c>
      <c r="X113" s="89"/>
      <c r="Y113" s="89"/>
      <c r="Z113" s="89"/>
      <c r="AA113" s="89"/>
      <c r="AB113" s="89"/>
      <c r="AC113" s="89"/>
      <c r="AD113" s="89"/>
      <c r="AE113" s="89"/>
      <c r="AF113" s="89"/>
      <c r="AG113" s="89"/>
      <c r="AH113" s="89"/>
    </row>
    <row r="114">
      <c r="A114" s="8" t="s">
        <v>252</v>
      </c>
      <c r="B114" s="90" t="s">
        <v>44</v>
      </c>
      <c r="C114" s="8" t="s">
        <v>18</v>
      </c>
      <c r="D114" s="89" t="str">
        <f t="shared" si="1"/>
        <v>JanuaryGANESH</v>
      </c>
      <c r="E114" s="89" t="str">
        <f t="shared" si="2"/>
        <v>JanuaryGANESHOT Hours</v>
      </c>
      <c r="F114" s="89" t="str">
        <f>IFERROR(VLOOKUP(C114,'Employees List'!$B$1:$G$999,2,0),"")</f>
        <v>GANESH</v>
      </c>
      <c r="G114" s="91">
        <f t="shared" si="21"/>
        <v>18782.12147</v>
      </c>
      <c r="H114" s="92">
        <v>45698.0</v>
      </c>
      <c r="I114" s="89" t="str">
        <f>IFERROR(VLOOKUP(F114,'Employees List'!$C:$F,2,0),"")</f>
        <v/>
      </c>
      <c r="J114" s="93" t="str">
        <f>IFERROR(VLOOKUP(C114,'Employees List'!$B$2:$G$991,5,0),"")</f>
        <v>8811010012054879</v>
      </c>
      <c r="K114" s="95">
        <f>IFERROR(VLOOKUP(F114,'Employees List'!$C$1:$AB$991,5,0),"")</f>
        <v>17500</v>
      </c>
      <c r="L114" s="91">
        <f t="shared" si="3"/>
        <v>12250</v>
      </c>
      <c r="M114" s="91">
        <f t="shared" si="4"/>
        <v>5250</v>
      </c>
      <c r="N114" s="89">
        <f>IFERROR(VLOOKUP(B114,'Employees List'!$A$2:$H$991,8,0),"")</f>
        <v>31</v>
      </c>
      <c r="O114" s="89">
        <f>IFERROR(VLOOKUP(D114,'Daily Attendance Report 24-25'!A115:BP999,5,0),"")</f>
        <v>31</v>
      </c>
      <c r="P114" s="89">
        <f>IFERROR(VLOOKUP(E114,'Daily Attendance Report 24-25'!$A$1:$BO$617,5,0),"")</f>
        <v>33</v>
      </c>
      <c r="Q114" s="96">
        <v>450.0</v>
      </c>
      <c r="R114" s="8">
        <v>2500.0</v>
      </c>
      <c r="S114" s="91">
        <f t="shared" si="17"/>
        <v>17500</v>
      </c>
      <c r="T114" s="91">
        <f t="shared" si="6"/>
        <v>3492.943548</v>
      </c>
      <c r="U114" s="91">
        <f t="shared" si="7"/>
        <v>18942.94355</v>
      </c>
      <c r="V114" s="91">
        <f t="shared" si="8"/>
        <v>160.8220766</v>
      </c>
      <c r="W114" s="91">
        <f t="shared" si="9"/>
        <v>21442.94355</v>
      </c>
      <c r="X114" s="89"/>
      <c r="Y114" s="89"/>
      <c r="Z114" s="89"/>
      <c r="AA114" s="89"/>
      <c r="AB114" s="89"/>
      <c r="AC114" s="89"/>
      <c r="AD114" s="89"/>
      <c r="AE114" s="89"/>
      <c r="AF114" s="89"/>
      <c r="AG114" s="89"/>
      <c r="AH114" s="89"/>
    </row>
    <row r="115">
      <c r="A115" s="8" t="s">
        <v>253</v>
      </c>
      <c r="B115" s="90" t="s">
        <v>44</v>
      </c>
      <c r="C115" s="8" t="s">
        <v>70</v>
      </c>
      <c r="D115" s="89" t="str">
        <f t="shared" si="1"/>
        <v>JanuaryMathi</v>
      </c>
      <c r="E115" s="89" t="str">
        <f t="shared" si="2"/>
        <v>JanuaryMathiOT Hours</v>
      </c>
      <c r="F115" s="89" t="str">
        <f>IFERROR(VLOOKUP(C115,'Employees List'!$B$1:$G$999,2,0),"")</f>
        <v>Mathi</v>
      </c>
      <c r="G115" s="91">
        <f t="shared" si="21"/>
        <v>10934.42742</v>
      </c>
      <c r="H115" s="92">
        <v>45698.0</v>
      </c>
      <c r="I115" s="89" t="str">
        <f>IFERROR(VLOOKUP(F115,'Employees List'!$C:$F,2,0),"")</f>
        <v/>
      </c>
      <c r="J115" s="93" t="str">
        <f>IFERROR(VLOOKUP(C115,'Employees List'!$B$2:$G$991,5,0),"")</f>
        <v>8131010000016986</v>
      </c>
      <c r="K115" s="95">
        <f>IFERROR(VLOOKUP(F115,'Employees List'!$C$1:$AB$991,5,0),"")</f>
        <v>20000</v>
      </c>
      <c r="L115" s="91">
        <f t="shared" si="3"/>
        <v>14000</v>
      </c>
      <c r="M115" s="91">
        <f t="shared" si="4"/>
        <v>6000</v>
      </c>
      <c r="N115" s="89">
        <f>IFERROR(VLOOKUP(B115,'Employees List'!$A$2:$H$991,8,0),"")</f>
        <v>31</v>
      </c>
      <c r="O115" s="89">
        <f>IFERROR(VLOOKUP(D115,'Daily Attendance Report 24-25'!A116:BP999,5,0),"")</f>
        <v>19.5</v>
      </c>
      <c r="P115" s="89">
        <f>IFERROR(VLOOKUP(E115,'Daily Attendance Report 24-25'!$A$1:$BO$617,5,0),"")</f>
        <v>25</v>
      </c>
      <c r="Q115" s="96">
        <v>450.0</v>
      </c>
      <c r="R115" s="8">
        <v>5000.0</v>
      </c>
      <c r="S115" s="91">
        <f t="shared" si="17"/>
        <v>12580.64516</v>
      </c>
      <c r="T115" s="91">
        <f t="shared" si="6"/>
        <v>3024.193548</v>
      </c>
      <c r="U115" s="91">
        <f t="shared" si="7"/>
        <v>11054.83871</v>
      </c>
      <c r="V115" s="91">
        <f t="shared" si="8"/>
        <v>120.4112903</v>
      </c>
      <c r="W115" s="91">
        <f t="shared" si="9"/>
        <v>16054.83871</v>
      </c>
      <c r="X115" s="89"/>
      <c r="Y115" s="89"/>
      <c r="Z115" s="89"/>
      <c r="AA115" s="89"/>
      <c r="AB115" s="89"/>
      <c r="AC115" s="89"/>
      <c r="AD115" s="89"/>
      <c r="AE115" s="89"/>
      <c r="AF115" s="89"/>
      <c r="AG115" s="89"/>
      <c r="AH115" s="89"/>
    </row>
    <row r="116">
      <c r="A116" s="8" t="s">
        <v>254</v>
      </c>
      <c r="B116" s="90" t="s">
        <v>44</v>
      </c>
      <c r="C116" s="8" t="s">
        <v>37</v>
      </c>
      <c r="D116" s="89" t="str">
        <f t="shared" si="1"/>
        <v>JanuaryAMMU</v>
      </c>
      <c r="E116" s="89" t="str">
        <f t="shared" si="2"/>
        <v>JanuaryAMMUOT Hours</v>
      </c>
      <c r="F116" s="89" t="str">
        <f>IFERROR(VLOOKUP(C116,'Employees List'!$B$1:$G$999,2,0),"")</f>
        <v>AMMU</v>
      </c>
      <c r="G116" s="91">
        <f t="shared" si="21"/>
        <v>10749.81552</v>
      </c>
      <c r="H116" s="92">
        <v>45698.0</v>
      </c>
      <c r="I116" s="89" t="str">
        <f>IFERROR(VLOOKUP(F116,'Employees List'!$C:$F,2,0),"")</f>
        <v/>
      </c>
      <c r="J116" s="93">
        <f>IFERROR(VLOOKUP(C116,'Employees List'!$B$2:$G$991,5,0),"")</f>
        <v>65801000040238</v>
      </c>
      <c r="K116" s="95">
        <f>IFERROR(VLOOKUP(F116,'Employees List'!$C$1:$AB$991,5,0),"")</f>
        <v>9500</v>
      </c>
      <c r="L116" s="91">
        <f t="shared" si="3"/>
        <v>6650</v>
      </c>
      <c r="M116" s="91">
        <f t="shared" si="4"/>
        <v>2850</v>
      </c>
      <c r="N116" s="89">
        <f>IFERROR(VLOOKUP(B116,'Employees List'!$A$2:$H$991,8,0),"")</f>
        <v>31</v>
      </c>
      <c r="O116" s="89">
        <f>IFERROR(VLOOKUP(D116,'Daily Attendance Report 24-25'!A117:BP999,5,0),"")</f>
        <v>29</v>
      </c>
      <c r="P116" s="89">
        <f>IFERROR(VLOOKUP(E116,'Daily Attendance Report 24-25'!$A$1:$BO$617,5,0),"")</f>
        <v>26</v>
      </c>
      <c r="Q116" s="96">
        <v>450.0</v>
      </c>
      <c r="R116" s="89"/>
      <c r="S116" s="91">
        <f t="shared" si="17"/>
        <v>8887.096774</v>
      </c>
      <c r="T116" s="91">
        <f t="shared" si="6"/>
        <v>1493.951613</v>
      </c>
      <c r="U116" s="91">
        <f t="shared" si="7"/>
        <v>10831.04839</v>
      </c>
      <c r="V116" s="91">
        <f t="shared" si="8"/>
        <v>81.2328629</v>
      </c>
      <c r="W116" s="91">
        <f t="shared" si="9"/>
        <v>10831.04839</v>
      </c>
      <c r="X116" s="89"/>
      <c r="Y116" s="89"/>
      <c r="Z116" s="89"/>
      <c r="AA116" s="89"/>
      <c r="AB116" s="89"/>
      <c r="AC116" s="89"/>
      <c r="AD116" s="89"/>
      <c r="AE116" s="89"/>
      <c r="AF116" s="89"/>
      <c r="AG116" s="89"/>
      <c r="AH116" s="89"/>
    </row>
    <row r="117">
      <c r="A117" s="8" t="s">
        <v>255</v>
      </c>
      <c r="B117" s="90" t="s">
        <v>44</v>
      </c>
      <c r="C117" s="8" t="s">
        <v>41</v>
      </c>
      <c r="D117" s="89" t="str">
        <f t="shared" si="1"/>
        <v>JanuaryREVATHI S</v>
      </c>
      <c r="E117" s="89" t="str">
        <f t="shared" si="2"/>
        <v>JanuaryREVATHI SOT Hours</v>
      </c>
      <c r="F117" s="89" t="str">
        <f>IFERROR(VLOOKUP(C117,'Employees List'!$B$1:$G$999,2,0),"")</f>
        <v>REVATHI S</v>
      </c>
      <c r="G117" s="91">
        <f t="shared" si="21"/>
        <v>7559.719758</v>
      </c>
      <c r="H117" s="92">
        <v>45698.0</v>
      </c>
      <c r="I117" s="89" t="str">
        <f>IFERROR(VLOOKUP(F117,'Employees List'!$C:$F,2,0),"")</f>
        <v/>
      </c>
      <c r="J117" s="93" t="str">
        <f>IFERROR(VLOOKUP(C117,'Employees List'!$B$2:$G$991,5,0),"")</f>
        <v>8131010000016995</v>
      </c>
      <c r="K117" s="95">
        <f>IFERROR(VLOOKUP(F117,'Employees List'!$C$1:$AB$991,5,0),"")</f>
        <v>9500</v>
      </c>
      <c r="L117" s="91">
        <f t="shared" si="3"/>
        <v>6650</v>
      </c>
      <c r="M117" s="91">
        <f t="shared" si="4"/>
        <v>2850</v>
      </c>
      <c r="N117" s="89">
        <f>IFERROR(VLOOKUP(B117,'Employees List'!$A$2:$H$991,8,0),"")</f>
        <v>31</v>
      </c>
      <c r="O117" s="89">
        <f>IFERROR(VLOOKUP(D117,'Daily Attendance Report 24-25'!A118:BP999,5,0),"")</f>
        <v>28</v>
      </c>
      <c r="P117" s="89">
        <f>IFERROR(VLOOKUP(E117,'Daily Attendance Report 24-25'!$A$1:$BO$617,5,0),"")</f>
        <v>28</v>
      </c>
      <c r="Q117" s="96">
        <v>450.0</v>
      </c>
      <c r="R117" s="8">
        <v>3000.0</v>
      </c>
      <c r="S117" s="91">
        <f t="shared" si="17"/>
        <v>8580.645161</v>
      </c>
      <c r="T117" s="91">
        <f t="shared" si="6"/>
        <v>1608.870968</v>
      </c>
      <c r="U117" s="91">
        <f t="shared" si="7"/>
        <v>7639.516129</v>
      </c>
      <c r="V117" s="91">
        <f t="shared" si="8"/>
        <v>79.79637097</v>
      </c>
      <c r="W117" s="91">
        <f t="shared" si="9"/>
        <v>10639.51613</v>
      </c>
      <c r="X117" s="89"/>
      <c r="Y117" s="89"/>
      <c r="Z117" s="89"/>
      <c r="AA117" s="89"/>
      <c r="AB117" s="89"/>
      <c r="AC117" s="89"/>
      <c r="AD117" s="89"/>
      <c r="AE117" s="89"/>
      <c r="AF117" s="89"/>
      <c r="AG117" s="89"/>
      <c r="AH117" s="89"/>
    </row>
    <row r="118">
      <c r="A118" s="8" t="s">
        <v>256</v>
      </c>
      <c r="B118" s="90" t="s">
        <v>44</v>
      </c>
      <c r="C118" s="8" t="s">
        <v>67</v>
      </c>
      <c r="D118" s="89" t="str">
        <f t="shared" si="1"/>
        <v>JanuaryLEELA</v>
      </c>
      <c r="E118" s="89" t="str">
        <f t="shared" si="2"/>
        <v>JanuaryLEELAOT Hours</v>
      </c>
      <c r="F118" s="89" t="str">
        <f>IFERROR(VLOOKUP(C118,'Employees List'!$B$1:$G$999,2,0),"")</f>
        <v>LEELA</v>
      </c>
      <c r="G118" s="91">
        <f t="shared" si="21"/>
        <v>13951.82863</v>
      </c>
      <c r="H118" s="92">
        <v>45698.0</v>
      </c>
      <c r="I118" s="89" t="str">
        <f>IFERROR(VLOOKUP(F118,'Employees List'!$C:$F,2,0),"")</f>
        <v/>
      </c>
      <c r="J118" s="93" t="str">
        <f>IFERROR(VLOOKUP(C118,'Employees List'!$B$2:$G$991,5,0),"")</f>
        <v>8387010000017745</v>
      </c>
      <c r="K118" s="95">
        <f>IFERROR(VLOOKUP(F118,'Employees List'!$C$1:$AB$991,5,0),"")</f>
        <v>13000</v>
      </c>
      <c r="L118" s="91">
        <f t="shared" si="3"/>
        <v>9100</v>
      </c>
      <c r="M118" s="91">
        <f t="shared" si="4"/>
        <v>3900</v>
      </c>
      <c r="N118" s="89">
        <f>IFERROR(VLOOKUP(B118,'Employees List'!$A$2:$H$991,8,0),"")</f>
        <v>31</v>
      </c>
      <c r="O118" s="89">
        <f>IFERROR(VLOOKUP(D118,'Daily Attendance Report 24-25'!A119:BP999,5,0),"")</f>
        <v>31</v>
      </c>
      <c r="P118" s="89">
        <f>IFERROR(VLOOKUP(E118,'Daily Attendance Report 24-25'!$A$1:$BO$617,5,0),"")</f>
        <v>2</v>
      </c>
      <c r="Q118" s="96">
        <v>900.0</v>
      </c>
      <c r="R118" s="89"/>
      <c r="S118" s="91">
        <f t="shared" si="17"/>
        <v>13000</v>
      </c>
      <c r="T118" s="91">
        <f t="shared" si="6"/>
        <v>157.2580645</v>
      </c>
      <c r="U118" s="91">
        <f t="shared" si="7"/>
        <v>14057.25806</v>
      </c>
      <c r="V118" s="91">
        <f t="shared" si="8"/>
        <v>105.4294355</v>
      </c>
      <c r="W118" s="91">
        <f t="shared" si="9"/>
        <v>14057.25806</v>
      </c>
      <c r="X118" s="89"/>
      <c r="Y118" s="89"/>
      <c r="Z118" s="89"/>
      <c r="AA118" s="89"/>
      <c r="AB118" s="89"/>
      <c r="AC118" s="89"/>
      <c r="AD118" s="89"/>
      <c r="AE118" s="89"/>
      <c r="AF118" s="89"/>
      <c r="AG118" s="89"/>
      <c r="AH118" s="89"/>
    </row>
    <row r="119">
      <c r="A119" s="8" t="s">
        <v>257</v>
      </c>
      <c r="B119" s="90" t="s">
        <v>44</v>
      </c>
      <c r="C119" s="8" t="s">
        <v>97</v>
      </c>
      <c r="D119" s="89" t="str">
        <f t="shared" si="1"/>
        <v>JanuaryPARSHU BAGH</v>
      </c>
      <c r="E119" s="89" t="str">
        <f t="shared" si="2"/>
        <v>JanuaryPARSHU BAGHOT Hours</v>
      </c>
      <c r="F119" s="89" t="str">
        <f>IFERROR(VLOOKUP(C119,'Employees List'!$B$1:$G$999,2,0),"")</f>
        <v>PARSHU BAGH</v>
      </c>
      <c r="G119" s="91">
        <f t="shared" si="21"/>
        <v>19862.80645</v>
      </c>
      <c r="H119" s="92">
        <v>45698.0</v>
      </c>
      <c r="I119" s="89" t="str">
        <f>IFERROR(VLOOKUP(F119,'Employees List'!$C:$F,2,0),"")</f>
        <v/>
      </c>
      <c r="J119" s="93">
        <f>IFERROR(VLOOKUP(C119,'Employees List'!$B$2:$G$991,5,0),"")</f>
        <v>40653547928</v>
      </c>
      <c r="K119" s="95">
        <f>IFERROR(VLOOKUP(F119,'Employees List'!$C$1:$AB$991,5,0),"")</f>
        <v>12000</v>
      </c>
      <c r="L119" s="91">
        <f t="shared" si="3"/>
        <v>8400</v>
      </c>
      <c r="M119" s="91">
        <f t="shared" si="4"/>
        <v>3600</v>
      </c>
      <c r="N119" s="89">
        <f>IFERROR(VLOOKUP(B119,'Employees List'!$A$2:$H$991,8,0),"")</f>
        <v>31</v>
      </c>
      <c r="O119" s="89">
        <f>IFERROR(VLOOKUP(D119,'Daily Attendance Report 24-25'!A120:BP999,5,0),"")</f>
        <v>31</v>
      </c>
      <c r="P119" s="89">
        <f>IFERROR(VLOOKUP(E119,'Daily Attendance Report 24-25'!$A$1:$BO$617,5,0),"")</f>
        <v>98</v>
      </c>
      <c r="Q119" s="96">
        <v>900.0</v>
      </c>
      <c r="R119" s="89"/>
      <c r="S119" s="91">
        <f t="shared" si="17"/>
        <v>12000</v>
      </c>
      <c r="T119" s="91">
        <f t="shared" si="6"/>
        <v>7112.903226</v>
      </c>
      <c r="U119" s="91">
        <f t="shared" si="7"/>
        <v>20012.90323</v>
      </c>
      <c r="V119" s="91">
        <f t="shared" si="8"/>
        <v>150.0967742</v>
      </c>
      <c r="W119" s="91">
        <f t="shared" si="9"/>
        <v>20012.90323</v>
      </c>
      <c r="X119" s="89"/>
      <c r="Y119" s="89"/>
      <c r="Z119" s="89"/>
      <c r="AA119" s="89"/>
      <c r="AB119" s="89"/>
      <c r="AC119" s="89"/>
      <c r="AD119" s="89"/>
      <c r="AE119" s="89"/>
      <c r="AF119" s="89"/>
      <c r="AG119" s="89"/>
      <c r="AH119" s="89"/>
    </row>
    <row r="120">
      <c r="A120" s="8" t="s">
        <v>258</v>
      </c>
      <c r="B120" s="90" t="s">
        <v>44</v>
      </c>
      <c r="C120" s="8" t="s">
        <v>53</v>
      </c>
      <c r="D120" s="89" t="str">
        <f t="shared" si="1"/>
        <v>JanuaryPINU BAGH</v>
      </c>
      <c r="E120" s="89" t="str">
        <f t="shared" si="2"/>
        <v>JanuaryPINU BAGHOT Hours</v>
      </c>
      <c r="F120" s="89" t="str">
        <f>IFERROR(VLOOKUP(C120,'Employees List'!$B$1:$G$999,2,0),"")</f>
        <v>PINU BAGH</v>
      </c>
      <c r="G120" s="91">
        <f t="shared" si="21"/>
        <v>7496.191532</v>
      </c>
      <c r="H120" s="92">
        <v>45698.0</v>
      </c>
      <c r="I120" s="89" t="str">
        <f>IFERROR(VLOOKUP(F120,'Employees List'!$C:$F,2,0),"")</f>
        <v/>
      </c>
      <c r="J120" s="93" t="str">
        <f>IFERROR(VLOOKUP(C120,'Employees List'!$B$2:$G$991,5,0),"")</f>
        <v>8131010000018814</v>
      </c>
      <c r="K120" s="95">
        <f>IFERROR(VLOOKUP(F120,'Employees List'!$C$1:$AB$991,5,0),"")</f>
        <v>11000</v>
      </c>
      <c r="L120" s="91">
        <f t="shared" si="3"/>
        <v>7700</v>
      </c>
      <c r="M120" s="91">
        <f t="shared" si="4"/>
        <v>3300</v>
      </c>
      <c r="N120" s="89">
        <f>IFERROR(VLOOKUP(B120,'Employees List'!$A$2:$H$991,8,0),"")</f>
        <v>31</v>
      </c>
      <c r="O120" s="89">
        <f>IFERROR(VLOOKUP(D120,'Daily Attendance Report 24-25'!A121:BP999,5,0),"")</f>
        <v>22</v>
      </c>
      <c r="P120" s="89">
        <f>IFERROR(VLOOKUP(E120,'Daily Attendance Report 24-25'!$A$1:$BO$617,5,0),"")</f>
        <v>50</v>
      </c>
      <c r="Q120" s="96">
        <v>450.0</v>
      </c>
      <c r="R120" s="8">
        <v>4000.0</v>
      </c>
      <c r="S120" s="91">
        <f t="shared" si="17"/>
        <v>7806.451613</v>
      </c>
      <c r="T120" s="91">
        <f t="shared" si="6"/>
        <v>3326.612903</v>
      </c>
      <c r="U120" s="91">
        <f t="shared" si="7"/>
        <v>7583.064516</v>
      </c>
      <c r="V120" s="91">
        <f t="shared" si="8"/>
        <v>86.87298387</v>
      </c>
      <c r="W120" s="91">
        <f t="shared" si="9"/>
        <v>11583.06452</v>
      </c>
      <c r="X120" s="89"/>
      <c r="Y120" s="89"/>
      <c r="Z120" s="89"/>
      <c r="AA120" s="89"/>
      <c r="AB120" s="89"/>
      <c r="AC120" s="89"/>
      <c r="AD120" s="89"/>
      <c r="AE120" s="89"/>
      <c r="AF120" s="89"/>
      <c r="AG120" s="89"/>
      <c r="AH120" s="89"/>
    </row>
    <row r="121">
      <c r="A121" s="8" t="s">
        <v>259</v>
      </c>
      <c r="B121" s="90" t="s">
        <v>47</v>
      </c>
      <c r="C121" s="8" t="s">
        <v>9</v>
      </c>
      <c r="D121" s="89" t="str">
        <f t="shared" si="1"/>
        <v>FebruaryBHUVANESWARAN</v>
      </c>
      <c r="E121" s="89" t="str">
        <f t="shared" si="2"/>
        <v>FebruaryBHUVANESWARANOT Hours</v>
      </c>
      <c r="F121" s="89" t="str">
        <f>IFERROR(VLOOKUP(C121,'Employees List'!$B$1:$G$999,2,0),"")</f>
        <v>BHUVANESWARAN</v>
      </c>
      <c r="G121" s="91">
        <f>U121</f>
        <v>60900</v>
      </c>
      <c r="H121" s="92">
        <v>45726.0</v>
      </c>
      <c r="I121" s="89" t="str">
        <f>IFERROR(VLOOKUP(F121,'Employees List'!$C:$F,2,0),"")</f>
        <v/>
      </c>
      <c r="J121" s="93">
        <f>IFERROR(VLOOKUP(C121,'Employees List'!$B$2:$G$991,5,0),"")</f>
        <v>500101011548924</v>
      </c>
      <c r="K121" s="95">
        <f>IFERROR(VLOOKUP(F121,'Employees List'!$C$1:$AB$991,5,0),"")</f>
        <v>60000</v>
      </c>
      <c r="L121" s="91">
        <f t="shared" si="3"/>
        <v>42000</v>
      </c>
      <c r="M121" s="91">
        <f t="shared" si="4"/>
        <v>18000</v>
      </c>
      <c r="N121" s="89">
        <f>IFERROR(VLOOKUP(B121,'Employees List'!$A$2:$H$991,8,0),"")</f>
        <v>28</v>
      </c>
      <c r="O121" s="89">
        <f>IFERROR(VLOOKUP(D121,'Daily Attendance Report 24-25'!A122:BP999,5,0),"")</f>
        <v>28</v>
      </c>
      <c r="P121" s="89">
        <f>IFERROR(VLOOKUP(E121,'Daily Attendance Report 24-25'!$A$1:$BO$617,5,0),"")</f>
        <v>0</v>
      </c>
      <c r="Q121" s="96">
        <v>900.0</v>
      </c>
      <c r="R121" s="89"/>
      <c r="S121" s="91">
        <f t="shared" si="17"/>
        <v>60000</v>
      </c>
      <c r="T121" s="91">
        <f t="shared" si="6"/>
        <v>0</v>
      </c>
      <c r="U121" s="91">
        <f t="shared" si="7"/>
        <v>60900</v>
      </c>
      <c r="V121" s="91">
        <f t="shared" si="8"/>
        <v>456.75</v>
      </c>
      <c r="W121" s="91">
        <f t="shared" si="9"/>
        <v>60900</v>
      </c>
      <c r="X121" s="89"/>
      <c r="Y121" s="89"/>
      <c r="Z121" s="89"/>
      <c r="AA121" s="89"/>
      <c r="AB121" s="89"/>
      <c r="AC121" s="89"/>
      <c r="AD121" s="89"/>
      <c r="AE121" s="89"/>
      <c r="AF121" s="89"/>
      <c r="AG121" s="89"/>
      <c r="AH121" s="89"/>
    </row>
    <row r="122">
      <c r="A122" s="8" t="s">
        <v>260</v>
      </c>
      <c r="B122" s="90" t="s">
        <v>47</v>
      </c>
      <c r="C122" s="8" t="s">
        <v>64</v>
      </c>
      <c r="D122" s="89" t="str">
        <f t="shared" si="1"/>
        <v>FebruarySUNDARI</v>
      </c>
      <c r="E122" s="89" t="str">
        <f t="shared" si="2"/>
        <v>FebruarySUNDARIOT Hours</v>
      </c>
      <c r="F122" s="89" t="str">
        <f>IFERROR(VLOOKUP(C122,'Employees List'!$B$1:$G$999,2,0),"")</f>
        <v>SUNDARI</v>
      </c>
      <c r="G122" s="91">
        <f t="shared" ref="G122:G129" si="22">U122-V122</f>
        <v>19414.89509</v>
      </c>
      <c r="H122" s="92">
        <v>45726.0</v>
      </c>
      <c r="I122" s="89" t="str">
        <f>IFERROR(VLOOKUP(F122,'Employees List'!$C:$F,2,0),"")</f>
        <v/>
      </c>
      <c r="J122" s="93" t="str">
        <f>IFERROR(VLOOKUP(C122,'Employees List'!$B$2:$G$991,5,0),"")</f>
        <v>8131010000016977</v>
      </c>
      <c r="K122" s="95">
        <f>IFERROR(VLOOKUP(F122,'Employees List'!$C$1:$AB$991,5,0),"")</f>
        <v>18000</v>
      </c>
      <c r="L122" s="91">
        <f t="shared" si="3"/>
        <v>12600</v>
      </c>
      <c r="M122" s="91">
        <f t="shared" si="4"/>
        <v>5400</v>
      </c>
      <c r="N122" s="89">
        <f>IFERROR(VLOOKUP(B122,'Employees List'!$A$2:$H$991,8,0),"")</f>
        <v>28</v>
      </c>
      <c r="O122" s="89">
        <f>IFERROR(VLOOKUP(D122,'Daily Attendance Report 24-25'!A123:BP999,5,0),"")</f>
        <v>28</v>
      </c>
      <c r="P122" s="89">
        <f>IFERROR(VLOOKUP(E122,'Daily Attendance Report 24-25'!$A$1:$BO$617,5,0),"")</f>
        <v>3</v>
      </c>
      <c r="Q122" s="96">
        <v>1200.0</v>
      </c>
      <c r="R122" s="89"/>
      <c r="S122" s="91">
        <f t="shared" si="17"/>
        <v>18000</v>
      </c>
      <c r="T122" s="91">
        <f t="shared" si="6"/>
        <v>361.6071429</v>
      </c>
      <c r="U122" s="91">
        <f t="shared" si="7"/>
        <v>19561.60714</v>
      </c>
      <c r="V122" s="91">
        <f t="shared" si="8"/>
        <v>146.7120536</v>
      </c>
      <c r="W122" s="91">
        <f t="shared" si="9"/>
        <v>19561.60714</v>
      </c>
      <c r="X122" s="89"/>
      <c r="Y122" s="89"/>
      <c r="Z122" s="89"/>
      <c r="AA122" s="89"/>
      <c r="AB122" s="89"/>
      <c r="AC122" s="89"/>
      <c r="AD122" s="89"/>
      <c r="AE122" s="89"/>
      <c r="AF122" s="89"/>
      <c r="AG122" s="89"/>
      <c r="AH122" s="89"/>
    </row>
    <row r="123">
      <c r="A123" s="8" t="s">
        <v>261</v>
      </c>
      <c r="B123" s="90" t="s">
        <v>47</v>
      </c>
      <c r="C123" s="8" t="s">
        <v>18</v>
      </c>
      <c r="D123" s="89" t="str">
        <f t="shared" si="1"/>
        <v>FebruaryGANESH</v>
      </c>
      <c r="E123" s="89" t="str">
        <f t="shared" si="2"/>
        <v>FebruaryGANESHOT Hours</v>
      </c>
      <c r="F123" s="89" t="str">
        <f>IFERROR(VLOOKUP(C123,'Employees List'!$B$1:$G$999,2,0),"")</f>
        <v>GANESH</v>
      </c>
      <c r="G123" s="91">
        <f t="shared" si="22"/>
        <v>16084.61328</v>
      </c>
      <c r="H123" s="92">
        <v>45726.0</v>
      </c>
      <c r="I123" s="89" t="str">
        <f>IFERROR(VLOOKUP(F123,'Employees List'!$C:$F,2,0),"")</f>
        <v/>
      </c>
      <c r="J123" s="93" t="str">
        <f>IFERROR(VLOOKUP(C123,'Employees List'!$B$2:$G$991,5,0),"")</f>
        <v>8811010012054879</v>
      </c>
      <c r="K123" s="95">
        <f>IFERROR(VLOOKUP(F123,'Employees List'!$C$1:$AB$991,5,0),"")</f>
        <v>17500</v>
      </c>
      <c r="L123" s="91">
        <f t="shared" si="3"/>
        <v>12250</v>
      </c>
      <c r="M123" s="91">
        <f t="shared" si="4"/>
        <v>5250</v>
      </c>
      <c r="N123" s="89">
        <f>IFERROR(VLOOKUP(B123,'Employees List'!$A$2:$H$991,8,0),"")</f>
        <v>28</v>
      </c>
      <c r="O123" s="89">
        <f>IFERROR(VLOOKUP(D123,'Daily Attendance Report 24-25'!A124:BP999,5,0),"")</f>
        <v>24.5</v>
      </c>
      <c r="P123" s="89">
        <f>IFERROR(VLOOKUP(E123,'Daily Attendance Report 24-25'!$A$1:$BO$617,5,0),"")</f>
        <v>27</v>
      </c>
      <c r="Q123" s="96">
        <v>450.0</v>
      </c>
      <c r="R123" s="8">
        <v>2700.0</v>
      </c>
      <c r="S123" s="91">
        <f t="shared" si="17"/>
        <v>15312.5</v>
      </c>
      <c r="T123" s="91">
        <f t="shared" si="6"/>
        <v>3164.0625</v>
      </c>
      <c r="U123" s="91">
        <f t="shared" si="7"/>
        <v>16226.5625</v>
      </c>
      <c r="V123" s="91">
        <f t="shared" si="8"/>
        <v>141.9492188</v>
      </c>
      <c r="W123" s="91">
        <f t="shared" si="9"/>
        <v>18926.5625</v>
      </c>
      <c r="X123" s="89"/>
      <c r="Y123" s="89"/>
      <c r="Z123" s="89"/>
      <c r="AA123" s="89"/>
      <c r="AB123" s="89"/>
      <c r="AC123" s="89"/>
      <c r="AD123" s="89"/>
      <c r="AE123" s="89"/>
      <c r="AF123" s="89"/>
      <c r="AG123" s="89"/>
      <c r="AH123" s="89"/>
    </row>
    <row r="124">
      <c r="A124" s="8" t="s">
        <v>262</v>
      </c>
      <c r="B124" s="90" t="s">
        <v>47</v>
      </c>
      <c r="C124" s="8" t="s">
        <v>70</v>
      </c>
      <c r="D124" s="89" t="str">
        <f t="shared" si="1"/>
        <v>FebruaryMathi</v>
      </c>
      <c r="E124" s="89" t="str">
        <f t="shared" si="2"/>
        <v>FebruaryMathiOT Hours</v>
      </c>
      <c r="F124" s="89" t="str">
        <f>IFERROR(VLOOKUP(C124,'Employees List'!$B$1:$G$999,2,0),"")</f>
        <v>Mathi</v>
      </c>
      <c r="G124" s="91">
        <f t="shared" si="22"/>
        <v>20948.96875</v>
      </c>
      <c r="H124" s="92">
        <v>45726.0</v>
      </c>
      <c r="I124" s="89" t="str">
        <f>IFERROR(VLOOKUP(F124,'Employees List'!$C:$F,2,0),"")</f>
        <v/>
      </c>
      <c r="J124" s="93" t="str">
        <f>IFERROR(VLOOKUP(C124,'Employees List'!$B$2:$G$991,5,0),"")</f>
        <v>8131010000016986</v>
      </c>
      <c r="K124" s="95">
        <f>IFERROR(VLOOKUP(F124,'Employees List'!$C$1:$AB$991,5,0),"")</f>
        <v>20000</v>
      </c>
      <c r="L124" s="91">
        <f t="shared" si="3"/>
        <v>14000</v>
      </c>
      <c r="M124" s="91">
        <f t="shared" si="4"/>
        <v>6000</v>
      </c>
      <c r="N124" s="89">
        <f>IFERROR(VLOOKUP(B124,'Employees List'!$A$2:$H$991,8,0),"")</f>
        <v>28</v>
      </c>
      <c r="O124" s="89">
        <f>IFERROR(VLOOKUP(D124,'Daily Attendance Report 24-25'!A125:BP999,5,0),"")</f>
        <v>25</v>
      </c>
      <c r="P124" s="89">
        <f>IFERROR(VLOOKUP(E124,'Daily Attendance Report 24-25'!$A$1:$BO$617,5,0),"")</f>
        <v>51</v>
      </c>
      <c r="Q124" s="96">
        <v>450.0</v>
      </c>
      <c r="R124" s="8">
        <v>4000.0</v>
      </c>
      <c r="S124" s="91">
        <f t="shared" si="17"/>
        <v>17857.14286</v>
      </c>
      <c r="T124" s="91">
        <f t="shared" si="6"/>
        <v>6830.357143</v>
      </c>
      <c r="U124" s="91">
        <f t="shared" si="7"/>
        <v>21137.5</v>
      </c>
      <c r="V124" s="91">
        <f t="shared" si="8"/>
        <v>188.53125</v>
      </c>
      <c r="W124" s="91">
        <f t="shared" si="9"/>
        <v>25137.5</v>
      </c>
      <c r="X124" s="89"/>
      <c r="Y124" s="89"/>
      <c r="Z124" s="89"/>
      <c r="AA124" s="89"/>
      <c r="AB124" s="89"/>
      <c r="AC124" s="89"/>
      <c r="AD124" s="89"/>
      <c r="AE124" s="89"/>
      <c r="AF124" s="89"/>
      <c r="AG124" s="89"/>
      <c r="AH124" s="89"/>
    </row>
    <row r="125">
      <c r="A125" s="8" t="s">
        <v>263</v>
      </c>
      <c r="B125" s="90" t="s">
        <v>47</v>
      </c>
      <c r="C125" s="8" t="s">
        <v>37</v>
      </c>
      <c r="D125" s="89" t="str">
        <f t="shared" si="1"/>
        <v>FebruaryAMMU</v>
      </c>
      <c r="E125" s="89" t="str">
        <f t="shared" si="2"/>
        <v>FebruaryAMMUOT Hours</v>
      </c>
      <c r="F125" s="89" t="str">
        <f>IFERROR(VLOOKUP(C125,'Employees List'!$B$1:$G$999,2,0),"")</f>
        <v>AMMU</v>
      </c>
      <c r="G125" s="91">
        <f t="shared" si="22"/>
        <v>11306.52455</v>
      </c>
      <c r="H125" s="92">
        <v>45726.0</v>
      </c>
      <c r="I125" s="89" t="str">
        <f>IFERROR(VLOOKUP(F125,'Employees List'!$C:$F,2,0),"")</f>
        <v/>
      </c>
      <c r="J125" s="93">
        <f>IFERROR(VLOOKUP(C125,'Employees List'!$B$2:$G$991,5,0),"")</f>
        <v>65801000040238</v>
      </c>
      <c r="K125" s="95">
        <f>IFERROR(VLOOKUP(F125,'Employees List'!$C$1:$AB$991,5,0),"")</f>
        <v>9500</v>
      </c>
      <c r="L125" s="91">
        <f t="shared" si="3"/>
        <v>6650</v>
      </c>
      <c r="M125" s="91">
        <f t="shared" si="4"/>
        <v>2850</v>
      </c>
      <c r="N125" s="89">
        <f>IFERROR(VLOOKUP(B125,'Employees List'!$A$2:$H$991,8,0),"")</f>
        <v>28</v>
      </c>
      <c r="O125" s="89">
        <f>IFERROR(VLOOKUP(D125,'Daily Attendance Report 24-25'!A126:BP999,5,0),"")</f>
        <v>27</v>
      </c>
      <c r="P125" s="89">
        <f>IFERROR(VLOOKUP(E125,'Daily Attendance Report 24-25'!$A$1:$BO$617,5,0),"")</f>
        <v>28</v>
      </c>
      <c r="Q125" s="96">
        <v>450.0</v>
      </c>
      <c r="R125" s="89"/>
      <c r="S125" s="91">
        <f t="shared" si="17"/>
        <v>9160.714286</v>
      </c>
      <c r="T125" s="91">
        <f t="shared" si="6"/>
        <v>1781.25</v>
      </c>
      <c r="U125" s="91">
        <f t="shared" si="7"/>
        <v>11391.96429</v>
      </c>
      <c r="V125" s="91">
        <f t="shared" si="8"/>
        <v>85.43973214</v>
      </c>
      <c r="W125" s="91">
        <f t="shared" si="9"/>
        <v>11391.96429</v>
      </c>
      <c r="X125" s="89"/>
      <c r="Y125" s="89"/>
      <c r="Z125" s="89"/>
      <c r="AA125" s="89"/>
      <c r="AB125" s="89"/>
      <c r="AC125" s="89"/>
      <c r="AD125" s="89"/>
      <c r="AE125" s="89"/>
      <c r="AF125" s="89"/>
      <c r="AG125" s="89"/>
      <c r="AH125" s="89"/>
    </row>
    <row r="126">
      <c r="A126" s="8" t="s">
        <v>264</v>
      </c>
      <c r="B126" s="90" t="s">
        <v>47</v>
      </c>
      <c r="C126" s="8" t="s">
        <v>41</v>
      </c>
      <c r="D126" s="89" t="str">
        <f t="shared" si="1"/>
        <v>FebruaryREVATHI S</v>
      </c>
      <c r="E126" s="89" t="str">
        <f t="shared" si="2"/>
        <v>FebruaryREVATHI SOT Hours</v>
      </c>
      <c r="F126" s="89" t="str">
        <f>IFERROR(VLOOKUP(C126,'Employees List'!$B$1:$G$999,2,0),"")</f>
        <v>REVATHI S</v>
      </c>
      <c r="G126" s="91">
        <f t="shared" si="22"/>
        <v>9048.857143</v>
      </c>
      <c r="H126" s="92">
        <v>45726.0</v>
      </c>
      <c r="I126" s="89" t="str">
        <f>IFERROR(VLOOKUP(F126,'Employees List'!$C:$F,2,0),"")</f>
        <v/>
      </c>
      <c r="J126" s="93" t="str">
        <f>IFERROR(VLOOKUP(C126,'Employees List'!$B$2:$G$991,5,0),"")</f>
        <v>8131010000016995</v>
      </c>
      <c r="K126" s="95">
        <f>IFERROR(VLOOKUP(F126,'Employees List'!$C$1:$AB$991,5,0),"")</f>
        <v>9500</v>
      </c>
      <c r="L126" s="91">
        <f t="shared" si="3"/>
        <v>6650</v>
      </c>
      <c r="M126" s="91">
        <f t="shared" si="4"/>
        <v>2850</v>
      </c>
      <c r="N126" s="89">
        <f>IFERROR(VLOOKUP(B126,'Employees List'!$A$2:$H$991,8,0),"")</f>
        <v>28</v>
      </c>
      <c r="O126" s="89">
        <f>IFERROR(VLOOKUP(D126,'Daily Attendance Report 24-25'!A127:BP999,5,0),"")</f>
        <v>25.5</v>
      </c>
      <c r="P126" s="89">
        <f>IFERROR(VLOOKUP(E126,'Daily Attendance Report 24-25'!$A$1:$BO$617,5,0),"")</f>
        <v>24</v>
      </c>
      <c r="Q126" s="96">
        <v>450.0</v>
      </c>
      <c r="R126" s="8">
        <v>1500.0</v>
      </c>
      <c r="S126" s="91">
        <f t="shared" si="17"/>
        <v>8651.785714</v>
      </c>
      <c r="T126" s="91">
        <f t="shared" si="6"/>
        <v>1526.785714</v>
      </c>
      <c r="U126" s="91">
        <f t="shared" si="7"/>
        <v>9128.571429</v>
      </c>
      <c r="V126" s="91">
        <f t="shared" si="8"/>
        <v>79.71428571</v>
      </c>
      <c r="W126" s="91">
        <f t="shared" si="9"/>
        <v>10628.57143</v>
      </c>
      <c r="X126" s="89"/>
      <c r="Y126" s="89"/>
      <c r="Z126" s="89"/>
      <c r="AA126" s="89"/>
      <c r="AB126" s="89"/>
      <c r="AC126" s="89"/>
      <c r="AD126" s="89"/>
      <c r="AE126" s="89"/>
      <c r="AF126" s="89"/>
      <c r="AG126" s="89"/>
      <c r="AH126" s="89"/>
    </row>
    <row r="127">
      <c r="A127" s="8" t="s">
        <v>265</v>
      </c>
      <c r="B127" s="90" t="s">
        <v>47</v>
      </c>
      <c r="C127" s="8" t="s">
        <v>67</v>
      </c>
      <c r="D127" s="89" t="str">
        <f t="shared" si="1"/>
        <v>FebruaryLEELA</v>
      </c>
      <c r="E127" s="89" t="str">
        <f t="shared" si="2"/>
        <v>FebruaryLEELAOT Hours</v>
      </c>
      <c r="F127" s="89" t="str">
        <f>IFERROR(VLOOKUP(C127,'Employees List'!$B$1:$G$999,2,0),"")</f>
        <v>LEELA</v>
      </c>
      <c r="G127" s="91">
        <f t="shared" si="22"/>
        <v>13795.75</v>
      </c>
      <c r="H127" s="92">
        <v>45726.0</v>
      </c>
      <c r="I127" s="89" t="str">
        <f>IFERROR(VLOOKUP(F127,'Employees List'!$C:$F,2,0),"")</f>
        <v/>
      </c>
      <c r="J127" s="93" t="str">
        <f>IFERROR(VLOOKUP(C127,'Employees List'!$B$2:$G$991,5,0),"")</f>
        <v>8387010000017745</v>
      </c>
      <c r="K127" s="95">
        <f>IFERROR(VLOOKUP(F127,'Employees List'!$C$1:$AB$991,5,0),"")</f>
        <v>13000</v>
      </c>
      <c r="L127" s="91">
        <f t="shared" si="3"/>
        <v>9100</v>
      </c>
      <c r="M127" s="91">
        <f t="shared" si="4"/>
        <v>3900</v>
      </c>
      <c r="N127" s="89">
        <f>IFERROR(VLOOKUP(B127,'Employees List'!$A$2:$H$991,8,0),"")</f>
        <v>28</v>
      </c>
      <c r="O127" s="89">
        <f>IFERROR(VLOOKUP(D127,'Daily Attendance Report 24-25'!A128:BP999,5,0),"")</f>
        <v>28</v>
      </c>
      <c r="P127" s="89">
        <f>IFERROR(VLOOKUP(E127,'Daily Attendance Report 24-25'!$A$1:$BO$617,5,0),"")</f>
        <v>0</v>
      </c>
      <c r="Q127" s="96">
        <v>900.0</v>
      </c>
      <c r="R127" s="89"/>
      <c r="S127" s="91">
        <f t="shared" si="17"/>
        <v>13000</v>
      </c>
      <c r="T127" s="91">
        <f t="shared" si="6"/>
        <v>0</v>
      </c>
      <c r="U127" s="91">
        <f t="shared" si="7"/>
        <v>13900</v>
      </c>
      <c r="V127" s="91">
        <f t="shared" si="8"/>
        <v>104.25</v>
      </c>
      <c r="W127" s="91">
        <f t="shared" si="9"/>
        <v>13900</v>
      </c>
      <c r="X127" s="89"/>
      <c r="Y127" s="89"/>
      <c r="Z127" s="89"/>
      <c r="AA127" s="89"/>
      <c r="AB127" s="89"/>
      <c r="AC127" s="89"/>
      <c r="AD127" s="89"/>
      <c r="AE127" s="89"/>
      <c r="AF127" s="89"/>
      <c r="AG127" s="89"/>
      <c r="AH127" s="89"/>
    </row>
    <row r="128">
      <c r="A128" s="8" t="s">
        <v>266</v>
      </c>
      <c r="B128" s="90" t="s">
        <v>47</v>
      </c>
      <c r="C128" s="8" t="s">
        <v>53</v>
      </c>
      <c r="D128" s="89" t="str">
        <f t="shared" si="1"/>
        <v>FebruaryPINU BAGH</v>
      </c>
      <c r="E128" s="89" t="str">
        <f t="shared" si="2"/>
        <v>FebruaryPINU BAGHOT Hours</v>
      </c>
      <c r="F128" s="89" t="str">
        <f>IFERROR(VLOOKUP(C128,'Employees List'!$B$1:$G$999,2,0),"")</f>
        <v>PINU BAGH</v>
      </c>
      <c r="G128" s="91">
        <f t="shared" si="22"/>
        <v>13244.27679</v>
      </c>
      <c r="H128" s="92">
        <v>45726.0</v>
      </c>
      <c r="I128" s="89" t="str">
        <f>IFERROR(VLOOKUP(F128,'Employees List'!$C:$F,2,0),"")</f>
        <v/>
      </c>
      <c r="J128" s="93" t="str">
        <f>IFERROR(VLOOKUP(C128,'Employees List'!$B$2:$G$991,5,0),"")</f>
        <v>8131010000018814</v>
      </c>
      <c r="K128" s="95">
        <f>IFERROR(VLOOKUP(F128,'Employees List'!$C$1:$AB$991,5,0),"")</f>
        <v>11000</v>
      </c>
      <c r="L128" s="91">
        <f t="shared" si="3"/>
        <v>7700</v>
      </c>
      <c r="M128" s="91">
        <f t="shared" si="4"/>
        <v>3300</v>
      </c>
      <c r="N128" s="89">
        <f>IFERROR(VLOOKUP(B128,'Employees List'!$A$2:$H$991,8,0),"")</f>
        <v>28</v>
      </c>
      <c r="O128" s="89">
        <f>IFERROR(VLOOKUP(D128,'Daily Attendance Report 24-25'!A129:BP999,5,0),"")</f>
        <v>28</v>
      </c>
      <c r="P128" s="89">
        <f>IFERROR(VLOOKUP(E128,'Daily Attendance Report 24-25'!$A$1:$BO$617,5,0),"")</f>
        <v>88</v>
      </c>
      <c r="Q128" s="96">
        <v>900.0</v>
      </c>
      <c r="R128" s="8">
        <v>5000.0</v>
      </c>
      <c r="S128" s="91">
        <f t="shared" si="17"/>
        <v>11000</v>
      </c>
      <c r="T128" s="91">
        <f t="shared" si="6"/>
        <v>6482.142857</v>
      </c>
      <c r="U128" s="91">
        <f t="shared" si="7"/>
        <v>13382.14286</v>
      </c>
      <c r="V128" s="91">
        <f t="shared" si="8"/>
        <v>137.8660714</v>
      </c>
      <c r="W128" s="91">
        <f t="shared" si="9"/>
        <v>18382.14286</v>
      </c>
      <c r="X128" s="89"/>
      <c r="Y128" s="89"/>
      <c r="Z128" s="89"/>
      <c r="AA128" s="89"/>
      <c r="AB128" s="89"/>
      <c r="AC128" s="89"/>
      <c r="AD128" s="89"/>
      <c r="AE128" s="89"/>
      <c r="AF128" s="89"/>
      <c r="AG128" s="89"/>
      <c r="AH128" s="89"/>
    </row>
    <row r="129">
      <c r="A129" s="8" t="s">
        <v>267</v>
      </c>
      <c r="B129" s="90" t="s">
        <v>47</v>
      </c>
      <c r="C129" s="8" t="s">
        <v>97</v>
      </c>
      <c r="D129" s="89" t="str">
        <f t="shared" si="1"/>
        <v>FebruaryPARSHU BAGH</v>
      </c>
      <c r="E129" s="89" t="str">
        <f t="shared" si="2"/>
        <v>FebruaryPARSHU BAGHOT Hours</v>
      </c>
      <c r="F129" s="89" t="str">
        <f>IFERROR(VLOOKUP(C129,'Employees List'!$B$1:$G$999,2,0),"")</f>
        <v>PARSHU BAGH</v>
      </c>
      <c r="G129" s="91">
        <f t="shared" si="22"/>
        <v>18364.58929</v>
      </c>
      <c r="H129" s="92">
        <v>45726.0</v>
      </c>
      <c r="I129" s="89" t="str">
        <f>IFERROR(VLOOKUP(F129,'Employees List'!$C:$F,2,0),"")</f>
        <v/>
      </c>
      <c r="J129" s="93">
        <f>IFERROR(VLOOKUP(C129,'Employees List'!$B$2:$G$991,5,0),"")</f>
        <v>40653547928</v>
      </c>
      <c r="K129" s="95">
        <f>IFERROR(VLOOKUP(F129,'Employees List'!$C$1:$AB$991,5,0),"")</f>
        <v>12000</v>
      </c>
      <c r="L129" s="91">
        <f t="shared" si="3"/>
        <v>8400</v>
      </c>
      <c r="M129" s="91">
        <f t="shared" si="4"/>
        <v>3600</v>
      </c>
      <c r="N129" s="89">
        <f>IFERROR(VLOOKUP(B129,'Employees List'!$A$2:$H$991,8,0),"")</f>
        <v>28</v>
      </c>
      <c r="O129" s="89">
        <f>IFERROR(VLOOKUP(D129,'Daily Attendance Report 24-25'!A130:BP999,5,0),"")</f>
        <v>28</v>
      </c>
      <c r="P129" s="89">
        <f>IFERROR(VLOOKUP(E129,'Daily Attendance Report 24-25'!$A$1:$BO$617,5,0),"")</f>
        <v>76</v>
      </c>
      <c r="Q129" s="96">
        <v>900.0</v>
      </c>
      <c r="R129" s="8">
        <v>500.0</v>
      </c>
      <c r="S129" s="91">
        <f t="shared" si="17"/>
        <v>12000</v>
      </c>
      <c r="T129" s="91">
        <f t="shared" si="6"/>
        <v>6107.142857</v>
      </c>
      <c r="U129" s="91">
        <f t="shared" si="7"/>
        <v>18507.14286</v>
      </c>
      <c r="V129" s="91">
        <f t="shared" si="8"/>
        <v>142.5535714</v>
      </c>
      <c r="W129" s="91">
        <f t="shared" si="9"/>
        <v>19007.14286</v>
      </c>
      <c r="X129" s="89"/>
      <c r="Y129" s="89"/>
      <c r="Z129" s="89"/>
      <c r="AA129" s="89"/>
      <c r="AB129" s="89"/>
      <c r="AC129" s="89"/>
      <c r="AD129" s="89"/>
      <c r="AE129" s="89"/>
      <c r="AF129" s="89"/>
      <c r="AG129" s="89"/>
      <c r="AH129" s="89"/>
    </row>
    <row r="130">
      <c r="A130" s="8" t="s">
        <v>268</v>
      </c>
      <c r="B130" s="90" t="s">
        <v>50</v>
      </c>
      <c r="C130" s="8" t="s">
        <v>9</v>
      </c>
      <c r="D130" s="89" t="str">
        <f t="shared" si="1"/>
        <v>MarchBHUVANESWARAN</v>
      </c>
      <c r="E130" s="89" t="str">
        <f t="shared" si="2"/>
        <v>MarchBHUVANESWARANOT Hours</v>
      </c>
      <c r="F130" s="89" t="str">
        <f>IFERROR(VLOOKUP(C130,'Employees List'!$B$1:$G$999,2,0),"")</f>
        <v>BHUVANESWARAN</v>
      </c>
      <c r="G130" s="91">
        <f>U130</f>
        <v>60900</v>
      </c>
      <c r="H130" s="92">
        <v>45757.0</v>
      </c>
      <c r="I130" s="89" t="str">
        <f>IFERROR(VLOOKUP(F130,'Employees List'!$C:$F,2,0),"")</f>
        <v/>
      </c>
      <c r="J130" s="93">
        <f>IFERROR(VLOOKUP(C130,'Employees List'!$B$2:$G$991,5,0),"")</f>
        <v>500101011548924</v>
      </c>
      <c r="K130" s="95">
        <f>IFERROR(VLOOKUP(F130,'Employees List'!$C$1:$AB$991,5,0),"")</f>
        <v>60000</v>
      </c>
      <c r="L130" s="91">
        <f t="shared" si="3"/>
        <v>42000</v>
      </c>
      <c r="M130" s="91">
        <f t="shared" si="4"/>
        <v>18000</v>
      </c>
      <c r="N130" s="89">
        <f>IFERROR(VLOOKUP(B130,'Employees List'!$A$2:$H$991,8,0),"")</f>
        <v>31</v>
      </c>
      <c r="O130" s="89">
        <f>IFERROR(VLOOKUP(D130,'Daily Attendance Report 24-25'!A131:BP999,5,0),"")</f>
        <v>31</v>
      </c>
      <c r="P130" s="89">
        <f>IFERROR(VLOOKUP(E130,'Daily Attendance Report 24-25'!$A$1:$BO$617,5,0),"")</f>
        <v>0</v>
      </c>
      <c r="Q130" s="96">
        <v>900.0</v>
      </c>
      <c r="R130" s="89"/>
      <c r="S130" s="91">
        <f t="shared" si="17"/>
        <v>60000</v>
      </c>
      <c r="T130" s="91">
        <f t="shared" si="6"/>
        <v>0</v>
      </c>
      <c r="U130" s="91">
        <f t="shared" si="7"/>
        <v>60900</v>
      </c>
      <c r="V130" s="91">
        <f t="shared" si="8"/>
        <v>456.75</v>
      </c>
      <c r="W130" s="91">
        <f t="shared" si="9"/>
        <v>60900</v>
      </c>
      <c r="X130" s="89"/>
      <c r="Y130" s="89"/>
      <c r="Z130" s="89"/>
      <c r="AA130" s="89"/>
      <c r="AB130" s="89"/>
      <c r="AC130" s="89"/>
      <c r="AD130" s="89"/>
      <c r="AE130" s="89"/>
      <c r="AF130" s="89"/>
      <c r="AG130" s="89"/>
      <c r="AH130" s="89"/>
    </row>
    <row r="131">
      <c r="A131" s="8" t="s">
        <v>269</v>
      </c>
      <c r="B131" s="90" t="s">
        <v>50</v>
      </c>
      <c r="C131" s="8" t="s">
        <v>64</v>
      </c>
      <c r="D131" s="89" t="str">
        <f t="shared" si="1"/>
        <v>MarchSUNDARI</v>
      </c>
      <c r="E131" s="89" t="str">
        <f t="shared" si="2"/>
        <v>MarchSUNDARIOT Hours</v>
      </c>
      <c r="F131" s="89" t="str">
        <f>IFERROR(VLOOKUP(C131,'Employees List'!$B$1:$G$999,2,0),"")</f>
        <v>SUNDARI</v>
      </c>
      <c r="G131" s="91">
        <f t="shared" ref="G131:G999" si="23">U131-V131</f>
        <v>20136.54435</v>
      </c>
      <c r="H131" s="92">
        <v>45757.0</v>
      </c>
      <c r="I131" s="89" t="str">
        <f>IFERROR(VLOOKUP(F131,'Employees List'!$C:$F,2,0),"")</f>
        <v/>
      </c>
      <c r="J131" s="93" t="str">
        <f>IFERROR(VLOOKUP(C131,'Employees List'!$B$2:$G$991,5,0),"")</f>
        <v>8131010000016977</v>
      </c>
      <c r="K131" s="95">
        <f>IFERROR(VLOOKUP(F131,'Employees List'!$C$1:$AB$991,5,0),"")</f>
        <v>18000</v>
      </c>
      <c r="L131" s="91">
        <f t="shared" si="3"/>
        <v>12600</v>
      </c>
      <c r="M131" s="91">
        <f t="shared" si="4"/>
        <v>5400</v>
      </c>
      <c r="N131" s="89">
        <f>IFERROR(VLOOKUP(B131,'Employees List'!$A$2:$H$991,8,0),"")</f>
        <v>31</v>
      </c>
      <c r="O131" s="89">
        <f>IFERROR(VLOOKUP(D131,'Daily Attendance Report 24-25'!A132:BP999,5,0),"")</f>
        <v>31</v>
      </c>
      <c r="P131" s="89">
        <f>IFERROR(VLOOKUP(E131,'Daily Attendance Report 24-25'!$A$1:$BO$617,5,0),"")</f>
        <v>10</v>
      </c>
      <c r="Q131" s="96">
        <v>1200.0</v>
      </c>
      <c r="R131" s="89"/>
      <c r="S131" s="91">
        <f t="shared" si="17"/>
        <v>18000</v>
      </c>
      <c r="T131" s="91">
        <f t="shared" si="6"/>
        <v>1088.709677</v>
      </c>
      <c r="U131" s="91">
        <f t="shared" si="7"/>
        <v>20288.70968</v>
      </c>
      <c r="V131" s="91">
        <f t="shared" si="8"/>
        <v>152.1653226</v>
      </c>
      <c r="W131" s="91">
        <f t="shared" si="9"/>
        <v>20288.70968</v>
      </c>
      <c r="X131" s="89"/>
      <c r="Y131" s="89"/>
      <c r="Z131" s="89"/>
      <c r="AA131" s="89"/>
      <c r="AB131" s="89"/>
      <c r="AC131" s="89"/>
      <c r="AD131" s="89"/>
      <c r="AE131" s="89"/>
      <c r="AF131" s="89"/>
      <c r="AG131" s="89"/>
      <c r="AH131" s="89"/>
    </row>
    <row r="132">
      <c r="A132" s="8" t="s">
        <v>270</v>
      </c>
      <c r="B132" s="90" t="s">
        <v>50</v>
      </c>
      <c r="C132" s="8" t="s">
        <v>18</v>
      </c>
      <c r="D132" s="89" t="str">
        <f t="shared" si="1"/>
        <v>MarchGANESH</v>
      </c>
      <c r="E132" s="89" t="str">
        <f t="shared" si="2"/>
        <v>MarchGANESHOT Hours</v>
      </c>
      <c r="F132" s="89" t="str">
        <f>IFERROR(VLOOKUP(C132,'Employees List'!$B$1:$G$999,2,0),"")</f>
        <v>GANESH</v>
      </c>
      <c r="G132" s="91">
        <f t="shared" si="23"/>
        <v>16597.28024</v>
      </c>
      <c r="H132" s="92">
        <v>45757.0</v>
      </c>
      <c r="I132" s="89" t="str">
        <f>IFERROR(VLOOKUP(F132,'Employees List'!$C:$F,2,0),"")</f>
        <v/>
      </c>
      <c r="J132" s="93" t="str">
        <f>IFERROR(VLOOKUP(C132,'Employees List'!$B$2:$G$991,5,0),"")</f>
        <v>8811010012054879</v>
      </c>
      <c r="K132" s="95">
        <f>IFERROR(VLOOKUP(F132,'Employees List'!$C$1:$AB$991,5,0),"")</f>
        <v>17500</v>
      </c>
      <c r="L132" s="91">
        <f t="shared" si="3"/>
        <v>12250</v>
      </c>
      <c r="M132" s="91">
        <f t="shared" si="4"/>
        <v>5250</v>
      </c>
      <c r="N132" s="89">
        <f>IFERROR(VLOOKUP(B132,'Employees List'!$A$2:$H$991,8,0),"")</f>
        <v>31</v>
      </c>
      <c r="O132" s="8">
        <v>31.0</v>
      </c>
      <c r="P132" s="89">
        <f>IFERROR(VLOOKUP(E132,'Daily Attendance Report 24-25'!$A$1:$BO$617,5,0),"")</f>
        <v>36</v>
      </c>
      <c r="Q132" s="96">
        <v>450.0</v>
      </c>
      <c r="R132" s="8">
        <v>5000.0</v>
      </c>
      <c r="S132" s="91">
        <f t="shared" si="17"/>
        <v>17500</v>
      </c>
      <c r="T132" s="91">
        <f t="shared" si="6"/>
        <v>3810.483871</v>
      </c>
      <c r="U132" s="91">
        <f t="shared" si="7"/>
        <v>16760.48387</v>
      </c>
      <c r="V132" s="91">
        <f t="shared" si="8"/>
        <v>163.203629</v>
      </c>
      <c r="W132" s="91">
        <f t="shared" si="9"/>
        <v>21760.48387</v>
      </c>
      <c r="X132" s="89"/>
      <c r="Y132" s="89"/>
      <c r="Z132" s="89"/>
      <c r="AA132" s="89"/>
      <c r="AB132" s="89"/>
      <c r="AC132" s="89"/>
      <c r="AD132" s="89"/>
      <c r="AE132" s="89"/>
      <c r="AF132" s="89"/>
      <c r="AG132" s="89"/>
      <c r="AH132" s="89"/>
    </row>
    <row r="133">
      <c r="A133" s="8" t="s">
        <v>271</v>
      </c>
      <c r="B133" s="90" t="s">
        <v>50</v>
      </c>
      <c r="C133" s="8" t="s">
        <v>70</v>
      </c>
      <c r="D133" s="89" t="str">
        <f t="shared" si="1"/>
        <v>MarchMathi</v>
      </c>
      <c r="E133" s="89" t="str">
        <f t="shared" si="2"/>
        <v>MarchMathiOT Hours</v>
      </c>
      <c r="F133" s="89" t="str">
        <f>IFERROR(VLOOKUP(C133,'Employees List'!$B$1:$G$999,2,0),"")</f>
        <v>Mathi</v>
      </c>
      <c r="G133" s="91">
        <f t="shared" si="23"/>
        <v>13615.77823</v>
      </c>
      <c r="H133" s="92">
        <v>45757.0</v>
      </c>
      <c r="I133" s="89" t="str">
        <f>IFERROR(VLOOKUP(F133,'Employees List'!$C:$F,2,0),"")</f>
        <v/>
      </c>
      <c r="J133" s="93" t="str">
        <f>IFERROR(VLOOKUP(C133,'Employees List'!$B$2:$G$991,5,0),"")</f>
        <v>8131010000016986</v>
      </c>
      <c r="K133" s="95">
        <f>IFERROR(VLOOKUP(F133,'Employees List'!$C$1:$AB$991,5,0),"")</f>
        <v>20000</v>
      </c>
      <c r="L133" s="91">
        <f t="shared" si="3"/>
        <v>14000</v>
      </c>
      <c r="M133" s="91">
        <f t="shared" si="4"/>
        <v>6000</v>
      </c>
      <c r="N133" s="89">
        <f>IFERROR(VLOOKUP(B133,'Employees List'!$A$2:$H$991,8,0),"")</f>
        <v>31</v>
      </c>
      <c r="O133" s="89">
        <f>IFERROR(VLOOKUP(D133,'Daily Attendance Report 24-25'!A134:BP999,5,0),"")</f>
        <v>23.5</v>
      </c>
      <c r="P133" s="89">
        <f>IFERROR(VLOOKUP(E133,'Daily Attendance Report 24-25'!$A$1:$BO$617,5,0),"")</f>
        <v>26</v>
      </c>
      <c r="Q133" s="96">
        <v>450.0</v>
      </c>
      <c r="R133" s="8">
        <v>5000.0</v>
      </c>
      <c r="S133" s="91">
        <f t="shared" si="17"/>
        <v>15161.29032</v>
      </c>
      <c r="T133" s="91">
        <f t="shared" si="6"/>
        <v>3145.16129</v>
      </c>
      <c r="U133" s="91">
        <f t="shared" si="7"/>
        <v>13756.45161</v>
      </c>
      <c r="V133" s="91">
        <f t="shared" si="8"/>
        <v>140.6733871</v>
      </c>
      <c r="W133" s="91">
        <f t="shared" si="9"/>
        <v>18756.45161</v>
      </c>
      <c r="X133" s="89"/>
      <c r="Y133" s="89"/>
      <c r="Z133" s="89"/>
      <c r="AA133" s="89"/>
      <c r="AB133" s="89"/>
      <c r="AC133" s="89"/>
      <c r="AD133" s="89"/>
      <c r="AE133" s="89"/>
      <c r="AF133" s="89"/>
      <c r="AG133" s="89"/>
      <c r="AH133" s="89"/>
    </row>
    <row r="134">
      <c r="A134" s="8" t="s">
        <v>272</v>
      </c>
      <c r="B134" s="90" t="s">
        <v>50</v>
      </c>
      <c r="C134" s="8" t="s">
        <v>37</v>
      </c>
      <c r="D134" s="89" t="str">
        <f t="shared" si="1"/>
        <v>MarchAMMU</v>
      </c>
      <c r="E134" s="89" t="str">
        <f t="shared" si="2"/>
        <v>MarchAMMUOT Hours</v>
      </c>
      <c r="F134" s="89" t="str">
        <f>IFERROR(VLOOKUP(C134,'Employees List'!$B$1:$G$999,2,0),"")</f>
        <v>AMMU</v>
      </c>
      <c r="G134" s="91">
        <f t="shared" si="23"/>
        <v>10559.71976</v>
      </c>
      <c r="H134" s="92">
        <v>45757.0</v>
      </c>
      <c r="I134" s="89" t="str">
        <f>IFERROR(VLOOKUP(F134,'Employees List'!$C:$F,2,0),"")</f>
        <v/>
      </c>
      <c r="J134" s="93">
        <f>IFERROR(VLOOKUP(C134,'Employees List'!$B$2:$G$991,5,0),"")</f>
        <v>65801000040238</v>
      </c>
      <c r="K134" s="95">
        <f>IFERROR(VLOOKUP(F134,'Employees List'!$C$1:$AB$991,5,0),"")</f>
        <v>9500</v>
      </c>
      <c r="L134" s="91">
        <f t="shared" si="3"/>
        <v>6650</v>
      </c>
      <c r="M134" s="91">
        <f t="shared" si="4"/>
        <v>2850</v>
      </c>
      <c r="N134" s="89">
        <f>IFERROR(VLOOKUP(B134,'Employees List'!$A$2:$H$991,8,0),"")</f>
        <v>31</v>
      </c>
      <c r="O134" s="8">
        <v>31.0</v>
      </c>
      <c r="P134" s="89">
        <f>IFERROR(VLOOKUP(E134,'Daily Attendance Report 24-25'!$A$1:$BO$617,5,0),"")</f>
        <v>12</v>
      </c>
      <c r="Q134" s="96">
        <v>450.0</v>
      </c>
      <c r="R134" s="89"/>
      <c r="S134" s="91">
        <f t="shared" si="17"/>
        <v>9500</v>
      </c>
      <c r="T134" s="91">
        <f t="shared" si="6"/>
        <v>689.516129</v>
      </c>
      <c r="U134" s="91">
        <f t="shared" si="7"/>
        <v>10639.51613</v>
      </c>
      <c r="V134" s="91">
        <f t="shared" si="8"/>
        <v>79.79637097</v>
      </c>
      <c r="W134" s="91">
        <f t="shared" si="9"/>
        <v>10639.51613</v>
      </c>
      <c r="X134" s="89"/>
      <c r="Y134" s="89"/>
      <c r="Z134" s="89"/>
      <c r="AA134" s="89"/>
      <c r="AB134" s="89"/>
      <c r="AC134" s="89"/>
      <c r="AD134" s="89"/>
      <c r="AE134" s="89"/>
      <c r="AF134" s="89"/>
      <c r="AG134" s="89"/>
      <c r="AH134" s="89"/>
    </row>
    <row r="135">
      <c r="A135" s="8" t="s">
        <v>273</v>
      </c>
      <c r="B135" s="90" t="s">
        <v>50</v>
      </c>
      <c r="C135" s="8" t="s">
        <v>41</v>
      </c>
      <c r="D135" s="89" t="str">
        <f t="shared" si="1"/>
        <v>MarchREVATHI S</v>
      </c>
      <c r="E135" s="89" t="str">
        <f t="shared" si="2"/>
        <v>MarchREVATHI SOT Hours</v>
      </c>
      <c r="F135" s="89" t="str">
        <f>IFERROR(VLOOKUP(C135,'Employees List'!$B$1:$G$999,2,0),"")</f>
        <v>REVATHI S</v>
      </c>
      <c r="G135" s="91">
        <f t="shared" si="23"/>
        <v>8679.528226</v>
      </c>
      <c r="H135" s="92">
        <v>45757.0</v>
      </c>
      <c r="I135" s="89" t="str">
        <f>IFERROR(VLOOKUP(F135,'Employees List'!$C:$F,2,0),"")</f>
        <v/>
      </c>
      <c r="J135" s="93" t="str">
        <f>IFERROR(VLOOKUP(C135,'Employees List'!$B$2:$G$991,5,0),"")</f>
        <v>8131010000016995</v>
      </c>
      <c r="K135" s="95">
        <f>IFERROR(VLOOKUP(F135,'Employees List'!$C$1:$AB$991,5,0),"")</f>
        <v>9500</v>
      </c>
      <c r="L135" s="91">
        <f t="shared" si="3"/>
        <v>6650</v>
      </c>
      <c r="M135" s="91">
        <f t="shared" si="4"/>
        <v>2850</v>
      </c>
      <c r="N135" s="89">
        <f>IFERROR(VLOOKUP(B135,'Employees List'!$A$2:$H$991,8,0),"")</f>
        <v>31</v>
      </c>
      <c r="O135" s="89">
        <f>IFERROR(VLOOKUP(D135,'Daily Attendance Report 24-25'!A136:BP999,5,0),"")</f>
        <v>29</v>
      </c>
      <c r="P135" s="89">
        <f>IFERROR(VLOOKUP(E135,'Daily Attendance Report 24-25'!$A$1:$BO$617,5,0),"")</f>
        <v>16</v>
      </c>
      <c r="Q135" s="96">
        <v>450.0</v>
      </c>
      <c r="R135" s="8">
        <v>1500.0</v>
      </c>
      <c r="S135" s="91">
        <f t="shared" si="17"/>
        <v>8887.096774</v>
      </c>
      <c r="T135" s="91">
        <f t="shared" si="6"/>
        <v>919.3548387</v>
      </c>
      <c r="U135" s="91">
        <f t="shared" si="7"/>
        <v>8756.451613</v>
      </c>
      <c r="V135" s="91">
        <f t="shared" si="8"/>
        <v>76.9233871</v>
      </c>
      <c r="W135" s="91">
        <f t="shared" si="9"/>
        <v>10256.45161</v>
      </c>
      <c r="X135" s="89"/>
      <c r="Y135" s="89"/>
      <c r="Z135" s="89"/>
      <c r="AA135" s="89"/>
      <c r="AB135" s="89"/>
      <c r="AC135" s="89"/>
      <c r="AD135" s="89"/>
      <c r="AE135" s="89"/>
      <c r="AF135" s="89"/>
      <c r="AG135" s="89"/>
      <c r="AH135" s="89"/>
    </row>
    <row r="136">
      <c r="A136" s="8" t="s">
        <v>274</v>
      </c>
      <c r="B136" s="90" t="s">
        <v>50</v>
      </c>
      <c r="C136" s="8" t="s">
        <v>67</v>
      </c>
      <c r="D136" s="89" t="str">
        <f t="shared" si="1"/>
        <v>MarchLEELA</v>
      </c>
      <c r="E136" s="89" t="str">
        <f t="shared" si="2"/>
        <v>MarchLEELAOT Hours</v>
      </c>
      <c r="F136" s="89" t="str">
        <f>IFERROR(VLOOKUP(C136,'Employees List'!$B$1:$G$999,2,0),"")</f>
        <v>LEELA</v>
      </c>
      <c r="G136" s="91">
        <f t="shared" si="23"/>
        <v>13295.75</v>
      </c>
      <c r="H136" s="92">
        <v>45757.0</v>
      </c>
      <c r="I136" s="89" t="str">
        <f>IFERROR(VLOOKUP(F136,'Employees List'!$C:$F,2,0),"")</f>
        <v/>
      </c>
      <c r="J136" s="93" t="str">
        <f>IFERROR(VLOOKUP(C136,'Employees List'!$B$2:$G$991,5,0),"")</f>
        <v>8387010000017745</v>
      </c>
      <c r="K136" s="95">
        <f>IFERROR(VLOOKUP(F136,'Employees List'!$C$1:$AB$991,5,0),"")</f>
        <v>13000</v>
      </c>
      <c r="L136" s="91">
        <f t="shared" si="3"/>
        <v>9100</v>
      </c>
      <c r="M136" s="91">
        <f t="shared" si="4"/>
        <v>3900</v>
      </c>
      <c r="N136" s="89">
        <f>IFERROR(VLOOKUP(B136,'Employees List'!$A$2:$H$991,8,0),"")</f>
        <v>31</v>
      </c>
      <c r="O136" s="89">
        <f>IFERROR(VLOOKUP(D136,'Daily Attendance Report 24-25'!A151:BP999,5,0),"")</f>
        <v>31</v>
      </c>
      <c r="P136" s="89">
        <f>IFERROR(VLOOKUP(E136,'Daily Attendance Report 24-25'!$A$1:$BO$617,5,0),"")</f>
        <v>0</v>
      </c>
      <c r="Q136" s="96">
        <v>900.0</v>
      </c>
      <c r="R136" s="8">
        <v>500.0</v>
      </c>
      <c r="S136" s="91">
        <f t="shared" si="17"/>
        <v>13000</v>
      </c>
      <c r="T136" s="91">
        <f t="shared" si="6"/>
        <v>0</v>
      </c>
      <c r="U136" s="91">
        <f t="shared" si="7"/>
        <v>13400</v>
      </c>
      <c r="V136" s="91">
        <f t="shared" si="8"/>
        <v>104.25</v>
      </c>
      <c r="W136" s="91">
        <f t="shared" si="9"/>
        <v>13900</v>
      </c>
      <c r="X136" s="89"/>
      <c r="Y136" s="89"/>
      <c r="Z136" s="89"/>
      <c r="AA136" s="89"/>
      <c r="AB136" s="89"/>
      <c r="AC136" s="89"/>
      <c r="AD136" s="89"/>
      <c r="AE136" s="89"/>
      <c r="AF136" s="89"/>
      <c r="AG136" s="89"/>
      <c r="AH136" s="89"/>
    </row>
    <row r="137">
      <c r="A137" s="8" t="s">
        <v>275</v>
      </c>
      <c r="B137" s="90" t="s">
        <v>50</v>
      </c>
      <c r="C137" s="8" t="s">
        <v>97</v>
      </c>
      <c r="D137" s="89" t="str">
        <f t="shared" si="1"/>
        <v>MarchPARSHU BAGH</v>
      </c>
      <c r="E137" s="89" t="str">
        <f t="shared" si="2"/>
        <v>MarchPARSHU BAGHOT Hours</v>
      </c>
      <c r="F137" s="89" t="str">
        <f>IFERROR(VLOOKUP(C137,'Employees List'!$B$1:$G$999,2,0),"")</f>
        <v>PARSHU BAGH</v>
      </c>
      <c r="G137" s="91">
        <f t="shared" si="23"/>
        <v>18061.89919</v>
      </c>
      <c r="H137" s="92">
        <v>45757.0</v>
      </c>
      <c r="I137" s="89" t="str">
        <f>IFERROR(VLOOKUP(F137,'Employees List'!$C:$F,2,0),"")</f>
        <v/>
      </c>
      <c r="J137" s="93">
        <f>IFERROR(VLOOKUP(C137,'Employees List'!$B$2:$G$991,5,0),"")</f>
        <v>40653547928</v>
      </c>
      <c r="K137" s="95">
        <f>IFERROR(VLOOKUP(F137,'Employees List'!$C$1:$AB$991,5,0),"")</f>
        <v>12000</v>
      </c>
      <c r="L137" s="91">
        <f t="shared" si="3"/>
        <v>8400</v>
      </c>
      <c r="M137" s="91">
        <f t="shared" si="4"/>
        <v>3600</v>
      </c>
      <c r="N137" s="89">
        <f>IFERROR(VLOOKUP(B137,'Employees List'!$A$2:$H$991,8,0),"")</f>
        <v>31</v>
      </c>
      <c r="O137" s="89">
        <f>IFERROR(VLOOKUP(D137,'Daily Attendance Report 24-25'!A152:BP999,5,0),"")</f>
        <v>31</v>
      </c>
      <c r="P137" s="89">
        <f>IFERROR(VLOOKUP(E137,'Daily Attendance Report 24-25'!$A$1:$BO$617,5,0),"")</f>
        <v>73</v>
      </c>
      <c r="Q137" s="96">
        <v>900.0</v>
      </c>
      <c r="R137" s="89"/>
      <c r="S137" s="91">
        <f t="shared" si="17"/>
        <v>12000</v>
      </c>
      <c r="T137" s="91">
        <f t="shared" si="6"/>
        <v>5298.387097</v>
      </c>
      <c r="U137" s="91">
        <f t="shared" si="7"/>
        <v>18198.3871</v>
      </c>
      <c r="V137" s="91">
        <f t="shared" si="8"/>
        <v>136.4879032</v>
      </c>
      <c r="W137" s="91">
        <f t="shared" si="9"/>
        <v>18198.3871</v>
      </c>
      <c r="X137" s="89"/>
      <c r="Y137" s="89"/>
      <c r="Z137" s="89"/>
      <c r="AA137" s="89"/>
      <c r="AB137" s="89"/>
      <c r="AC137" s="89"/>
      <c r="AD137" s="89"/>
      <c r="AE137" s="89"/>
      <c r="AF137" s="89"/>
      <c r="AG137" s="89"/>
      <c r="AH137" s="89"/>
    </row>
    <row r="138">
      <c r="A138" s="8" t="s">
        <v>276</v>
      </c>
      <c r="B138" s="90" t="s">
        <v>50</v>
      </c>
      <c r="C138" s="8" t="s">
        <v>53</v>
      </c>
      <c r="D138" s="89" t="str">
        <f t="shared" si="1"/>
        <v>MarchPINU BAGH</v>
      </c>
      <c r="E138" s="89" t="str">
        <f t="shared" si="2"/>
        <v>MarchPINU BAGHOT Hours</v>
      </c>
      <c r="F138" s="89" t="str">
        <f>IFERROR(VLOOKUP(C138,'Employees List'!$B$1:$G$999,2,0),"")</f>
        <v>PINU BAGH</v>
      </c>
      <c r="G138" s="91">
        <f t="shared" si="23"/>
        <v>10885.89919</v>
      </c>
      <c r="H138" s="92">
        <v>45757.0</v>
      </c>
      <c r="I138" s="89" t="str">
        <f>IFERROR(VLOOKUP(F138,'Employees List'!$C:$F,2,0),"")</f>
        <v/>
      </c>
      <c r="J138" s="93" t="str">
        <f>IFERROR(VLOOKUP(C138,'Employees List'!$B$2:$G$991,5,0),"")</f>
        <v>8131010000018814</v>
      </c>
      <c r="K138" s="95">
        <f>IFERROR(VLOOKUP(F138,'Employees List'!$C$1:$AB$991,5,0),"")</f>
        <v>11000</v>
      </c>
      <c r="L138" s="91">
        <f t="shared" si="3"/>
        <v>7700</v>
      </c>
      <c r="M138" s="91">
        <f t="shared" si="4"/>
        <v>3300</v>
      </c>
      <c r="N138" s="89">
        <f>IFERROR(VLOOKUP(B138,'Employees List'!$A$2:$H$991,8,0),"")</f>
        <v>31</v>
      </c>
      <c r="O138" s="89">
        <f>IFERROR(VLOOKUP(D138,'Daily Attendance Report 24-25'!A153:BP999,5,0),"")</f>
        <v>29</v>
      </c>
      <c r="P138" s="89">
        <f>IFERROR(VLOOKUP(E138,'Daily Attendance Report 24-25'!$A$1:$BO$617,5,0),"")</f>
        <v>64</v>
      </c>
      <c r="Q138" s="96">
        <v>450.0</v>
      </c>
      <c r="R138" s="8">
        <v>4000.0</v>
      </c>
      <c r="S138" s="91">
        <f t="shared" si="17"/>
        <v>10290.32258</v>
      </c>
      <c r="T138" s="91">
        <f t="shared" si="6"/>
        <v>4258.064516</v>
      </c>
      <c r="U138" s="91">
        <f t="shared" si="7"/>
        <v>10998.3871</v>
      </c>
      <c r="V138" s="91">
        <f t="shared" si="8"/>
        <v>112.4879032</v>
      </c>
      <c r="W138" s="91">
        <f t="shared" si="9"/>
        <v>14998.3871</v>
      </c>
      <c r="X138" s="89"/>
      <c r="Y138" s="89"/>
      <c r="Z138" s="89"/>
      <c r="AA138" s="89"/>
      <c r="AB138" s="89"/>
      <c r="AC138" s="89"/>
      <c r="AD138" s="89"/>
      <c r="AE138" s="89"/>
      <c r="AF138" s="89"/>
      <c r="AG138" s="89"/>
      <c r="AH138" s="89"/>
    </row>
    <row r="139">
      <c r="A139" s="8" t="s">
        <v>277</v>
      </c>
      <c r="B139" s="90" t="s">
        <v>50</v>
      </c>
      <c r="C139" s="8" t="s">
        <v>30</v>
      </c>
      <c r="D139" s="89" t="str">
        <f t="shared" si="1"/>
        <v>MarchSANJAI BHAGAT</v>
      </c>
      <c r="E139" s="89" t="str">
        <f t="shared" si="2"/>
        <v>MarchSANJAI BHAGATOT Hours</v>
      </c>
      <c r="F139" s="89" t="str">
        <f>IFERROR(VLOOKUP(C139,'Employees List'!$B$1:$G$999,2,0),"")</f>
        <v>SANJAI BHAGAT</v>
      </c>
      <c r="G139" s="91">
        <f t="shared" si="23"/>
        <v>4562.298387</v>
      </c>
      <c r="H139" s="92">
        <v>45757.0</v>
      </c>
      <c r="I139" s="89" t="str">
        <f>IFERROR(VLOOKUP(F139,'Employees List'!$C:$F,2,0),"")</f>
        <v/>
      </c>
      <c r="J139" s="93" t="str">
        <f>IFERROR(VLOOKUP(C139,'Employees List'!$B$2:$G$991,5,0),"")</f>
        <v>8131010000021225</v>
      </c>
      <c r="K139" s="95">
        <f>IFERROR(VLOOKUP(F139,'Employees List'!$C$1:$AB$991,5,0),"")</f>
        <v>12000</v>
      </c>
      <c r="L139" s="91">
        <f t="shared" si="3"/>
        <v>8400</v>
      </c>
      <c r="M139" s="91">
        <f t="shared" si="4"/>
        <v>3600</v>
      </c>
      <c r="N139" s="89">
        <f>IFERROR(VLOOKUP(B139,'Employees List'!$A$2:$H$991,8,0),"")</f>
        <v>31</v>
      </c>
      <c r="O139" s="89">
        <f>IFERROR(VLOOKUP(D139,'Daily Attendance Report 24-25'!A154:BP999,5,0),"")</f>
        <v>7</v>
      </c>
      <c r="P139" s="89">
        <f>IFERROR(VLOOKUP(E139,'Daily Attendance Report 24-25'!$A$1:$BO$617,5,0),"")</f>
        <v>26</v>
      </c>
      <c r="Q139" s="96"/>
      <c r="R139" s="89"/>
      <c r="S139" s="91">
        <f t="shared" si="17"/>
        <v>2709.677419</v>
      </c>
      <c r="T139" s="91">
        <f t="shared" si="6"/>
        <v>1887.096774</v>
      </c>
      <c r="U139" s="91">
        <f t="shared" si="7"/>
        <v>4596.774194</v>
      </c>
      <c r="V139" s="91">
        <f t="shared" si="8"/>
        <v>34.47580645</v>
      </c>
      <c r="W139" s="91">
        <f t="shared" si="9"/>
        <v>4596.774194</v>
      </c>
      <c r="X139" s="89"/>
      <c r="Y139" s="89"/>
      <c r="Z139" s="89"/>
      <c r="AA139" s="89"/>
      <c r="AB139" s="89"/>
      <c r="AC139" s="89"/>
      <c r="AD139" s="89"/>
      <c r="AE139" s="89"/>
      <c r="AF139" s="89"/>
      <c r="AG139" s="89"/>
      <c r="AH139" s="89"/>
    </row>
    <row r="140">
      <c r="A140" s="8" t="s">
        <v>278</v>
      </c>
      <c r="B140" s="97"/>
      <c r="C140" s="8"/>
      <c r="D140" s="89" t="str">
        <f t="shared" si="1"/>
        <v/>
      </c>
      <c r="E140" s="89" t="str">
        <f t="shared" si="2"/>
        <v>OT Hours</v>
      </c>
      <c r="F140" s="89" t="str">
        <f>IFERROR(VLOOKUP(C140,'Employees List'!$B$1:$G$999,2,0),"")</f>
        <v/>
      </c>
      <c r="G140" s="89" t="str">
        <f t="shared" si="23"/>
        <v>#DIV/0!</v>
      </c>
      <c r="H140" s="98"/>
      <c r="I140" s="89" t="str">
        <f>IFERROR(VLOOKUP(F140,'Employees List'!$C:$F,2,0),"")</f>
        <v/>
      </c>
      <c r="J140" s="93" t="str">
        <f>IFERROR(VLOOKUP(C140,'Employees List'!$B$2:$G$991,5,0),"")</f>
        <v/>
      </c>
      <c r="K140" s="95" t="str">
        <f>IFERROR(VLOOKUP(F140,'Employees List'!$C$1:$AB$991,5,0),"")</f>
        <v/>
      </c>
      <c r="L140" s="91">
        <f t="shared" si="3"/>
        <v>0</v>
      </c>
      <c r="M140" s="91">
        <f t="shared" si="4"/>
        <v>0</v>
      </c>
      <c r="N140" s="89" t="str">
        <f>IFERROR(VLOOKUP(B140,'Employees List'!$A$2:$H$991,8,0),"")</f>
        <v/>
      </c>
      <c r="O140" s="89" t="str">
        <f>IFERROR(VLOOKUP(D140,'Daily Attendance Report 24-25'!A151:BP999,5,0),"")</f>
        <v/>
      </c>
      <c r="P140" s="89" t="str">
        <f>IFERROR(VLOOKUP(E140,'Daily Attendance Report 24-25'!$A$1:$BO$617,5,0),"")</f>
        <v/>
      </c>
      <c r="Q140" s="99"/>
      <c r="R140" s="89"/>
      <c r="S140" s="89" t="str">
        <f t="shared" si="17"/>
        <v>#DIV/0!</v>
      </c>
      <c r="T140" s="89" t="str">
        <f t="shared" si="6"/>
        <v>#DIV/0!</v>
      </c>
      <c r="U140" s="89" t="str">
        <f t="shared" si="7"/>
        <v>#DIV/0!</v>
      </c>
      <c r="V140" s="89" t="str">
        <f t="shared" si="8"/>
        <v>#DIV/0!</v>
      </c>
      <c r="W140" s="89" t="str">
        <f t="shared" si="9"/>
        <v>#DIV/0!</v>
      </c>
      <c r="X140" s="89"/>
      <c r="Y140" s="89"/>
      <c r="Z140" s="89"/>
      <c r="AA140" s="89"/>
      <c r="AB140" s="89"/>
      <c r="AC140" s="89"/>
      <c r="AD140" s="89"/>
      <c r="AE140" s="89"/>
      <c r="AF140" s="89"/>
      <c r="AG140" s="89"/>
      <c r="AH140" s="89"/>
    </row>
    <row r="141">
      <c r="A141" s="8" t="s">
        <v>279</v>
      </c>
      <c r="B141" s="97"/>
      <c r="C141" s="8"/>
      <c r="D141" s="89" t="str">
        <f t="shared" si="1"/>
        <v/>
      </c>
      <c r="E141" s="89" t="str">
        <f t="shared" si="2"/>
        <v>OT Hours</v>
      </c>
      <c r="F141" s="89" t="str">
        <f>IFERROR(VLOOKUP(C141,'Employees List'!$B$1:$G$999,2,0),"")</f>
        <v/>
      </c>
      <c r="G141" s="89" t="str">
        <f t="shared" si="23"/>
        <v>#DIV/0!</v>
      </c>
      <c r="H141" s="98"/>
      <c r="I141" s="89" t="str">
        <f>IFERROR(VLOOKUP(F141,'Employees List'!$C:$F,2,0),"")</f>
        <v/>
      </c>
      <c r="J141" s="93" t="str">
        <f>IFERROR(VLOOKUP(C141,'Employees List'!$B$2:$G$991,5,0),"")</f>
        <v/>
      </c>
      <c r="K141" s="95" t="str">
        <f>IFERROR(VLOOKUP(F141,'Employees List'!$C$1:$AB$991,5,0),"")</f>
        <v/>
      </c>
      <c r="L141" s="91">
        <f t="shared" si="3"/>
        <v>0</v>
      </c>
      <c r="M141" s="91">
        <f t="shared" si="4"/>
        <v>0</v>
      </c>
      <c r="N141" s="89" t="str">
        <f>IFERROR(VLOOKUP(B141,'Employees List'!$A$2:$H$991,8,0),"")</f>
        <v/>
      </c>
      <c r="O141" s="89" t="str">
        <f>IFERROR(VLOOKUP(D141,'Daily Attendance Report 24-25'!A151:BP999,5,0),"")</f>
        <v/>
      </c>
      <c r="P141" s="89" t="str">
        <f>IFERROR(VLOOKUP(E141,'Daily Attendance Report 24-25'!$A$1:$BO$617,5,0),"")</f>
        <v/>
      </c>
      <c r="Q141" s="99"/>
      <c r="R141" s="89"/>
      <c r="S141" s="89" t="str">
        <f t="shared" si="17"/>
        <v>#DIV/0!</v>
      </c>
      <c r="T141" s="89" t="str">
        <f t="shared" si="6"/>
        <v>#DIV/0!</v>
      </c>
      <c r="U141" s="89" t="str">
        <f t="shared" si="7"/>
        <v>#DIV/0!</v>
      </c>
      <c r="V141" s="89" t="str">
        <f t="shared" si="8"/>
        <v>#DIV/0!</v>
      </c>
      <c r="W141" s="89" t="str">
        <f t="shared" si="9"/>
        <v>#DIV/0!</v>
      </c>
      <c r="X141" s="89"/>
      <c r="Y141" s="89"/>
      <c r="Z141" s="89"/>
      <c r="AA141" s="89"/>
      <c r="AB141" s="89"/>
      <c r="AC141" s="89"/>
      <c r="AD141" s="89"/>
      <c r="AE141" s="89"/>
      <c r="AF141" s="89"/>
      <c r="AG141" s="89"/>
      <c r="AH141" s="89"/>
    </row>
    <row r="142">
      <c r="A142" s="8" t="s">
        <v>280</v>
      </c>
      <c r="B142" s="97"/>
      <c r="C142" s="8"/>
      <c r="D142" s="89" t="str">
        <f t="shared" si="1"/>
        <v/>
      </c>
      <c r="E142" s="89" t="str">
        <f t="shared" si="2"/>
        <v>OT Hours</v>
      </c>
      <c r="F142" s="89" t="str">
        <f>IFERROR(VLOOKUP(C142,'Employees List'!$B$1:$G$999,2,0),"")</f>
        <v/>
      </c>
      <c r="G142" s="89" t="str">
        <f t="shared" si="23"/>
        <v>#DIV/0!</v>
      </c>
      <c r="H142" s="98"/>
      <c r="I142" s="89" t="str">
        <f>IFERROR(VLOOKUP(F142,'Employees List'!$C:$F,2,0),"")</f>
        <v/>
      </c>
      <c r="J142" s="93" t="str">
        <f>IFERROR(VLOOKUP(C142,'Employees List'!$B$2:$G$991,5,0),"")</f>
        <v/>
      </c>
      <c r="K142" s="95" t="str">
        <f>IFERROR(VLOOKUP(F142,'Employees List'!$C$1:$AB$991,5,0),"")</f>
        <v/>
      </c>
      <c r="L142" s="91">
        <f t="shared" si="3"/>
        <v>0</v>
      </c>
      <c r="M142" s="91">
        <f t="shared" si="4"/>
        <v>0</v>
      </c>
      <c r="N142" s="89" t="str">
        <f>IFERROR(VLOOKUP(B142,'Employees List'!$A$2:$H$991,8,0),"")</f>
        <v/>
      </c>
      <c r="O142" s="89" t="str">
        <f>IFERROR(VLOOKUP(D142,'Daily Attendance Report 24-25'!A151:BP999,5,0),"")</f>
        <v/>
      </c>
      <c r="P142" s="89" t="str">
        <f>IFERROR(VLOOKUP(E142,'Daily Attendance Report 24-25'!$A$1:$BO$617,5,0),"")</f>
        <v/>
      </c>
      <c r="Q142" s="99"/>
      <c r="R142" s="89"/>
      <c r="S142" s="89" t="str">
        <f t="shared" si="17"/>
        <v>#DIV/0!</v>
      </c>
      <c r="T142" s="89" t="str">
        <f t="shared" si="6"/>
        <v>#DIV/0!</v>
      </c>
      <c r="U142" s="89" t="str">
        <f t="shared" si="7"/>
        <v>#DIV/0!</v>
      </c>
      <c r="V142" s="89" t="str">
        <f t="shared" si="8"/>
        <v>#DIV/0!</v>
      </c>
      <c r="W142" s="89" t="str">
        <f t="shared" si="9"/>
        <v>#DIV/0!</v>
      </c>
      <c r="X142" s="89"/>
      <c r="Y142" s="89"/>
      <c r="Z142" s="89"/>
      <c r="AA142" s="89"/>
      <c r="AB142" s="89"/>
      <c r="AC142" s="89"/>
      <c r="AD142" s="89"/>
      <c r="AE142" s="89"/>
      <c r="AF142" s="89"/>
      <c r="AG142" s="89"/>
      <c r="AH142" s="89"/>
    </row>
    <row r="143">
      <c r="A143" s="8" t="s">
        <v>281</v>
      </c>
      <c r="B143" s="97"/>
      <c r="C143" s="8"/>
      <c r="D143" s="89" t="str">
        <f t="shared" si="1"/>
        <v/>
      </c>
      <c r="E143" s="89" t="str">
        <f t="shared" si="2"/>
        <v>OT Hours</v>
      </c>
      <c r="F143" s="89" t="str">
        <f>IFERROR(VLOOKUP(C143,'Employees List'!$B$1:$G$999,2,0),"")</f>
        <v/>
      </c>
      <c r="G143" s="89" t="str">
        <f t="shared" si="23"/>
        <v>#DIV/0!</v>
      </c>
      <c r="H143" s="98"/>
      <c r="I143" s="89" t="str">
        <f>IFERROR(VLOOKUP(F143,'Employees List'!$C:$F,2,0),"")</f>
        <v/>
      </c>
      <c r="J143" s="93" t="str">
        <f>IFERROR(VLOOKUP(C143,'Employees List'!$B$2:$G$991,5,0),"")</f>
        <v/>
      </c>
      <c r="K143" s="95" t="str">
        <f>IFERROR(VLOOKUP(F143,'Employees List'!$C$1:$AB$991,5,0),"")</f>
        <v/>
      </c>
      <c r="L143" s="91">
        <f t="shared" si="3"/>
        <v>0</v>
      </c>
      <c r="M143" s="91">
        <f t="shared" si="4"/>
        <v>0</v>
      </c>
      <c r="N143" s="89" t="str">
        <f>IFERROR(VLOOKUP(B143,'Employees List'!$A$2:$H$991,8,0),"")</f>
        <v/>
      </c>
      <c r="O143" s="89" t="str">
        <f>IFERROR(VLOOKUP(D143,'Daily Attendance Report 24-25'!A151:BP999,5,0),"")</f>
        <v/>
      </c>
      <c r="P143" s="89" t="str">
        <f>IFERROR(VLOOKUP(E143,'Daily Attendance Report 24-25'!$A$1:$BO$617,5,0),"")</f>
        <v/>
      </c>
      <c r="Q143" s="99"/>
      <c r="R143" s="89"/>
      <c r="S143" s="89" t="str">
        <f t="shared" si="17"/>
        <v>#DIV/0!</v>
      </c>
      <c r="T143" s="89" t="str">
        <f t="shared" si="6"/>
        <v>#DIV/0!</v>
      </c>
      <c r="U143" s="89" t="str">
        <f t="shared" si="7"/>
        <v>#DIV/0!</v>
      </c>
      <c r="V143" s="89" t="str">
        <f t="shared" ref="V143:V999" si="24">(U143+Q143)*0.75%</f>
        <v>#DIV/0!</v>
      </c>
      <c r="W143" s="89" t="str">
        <f t="shared" si="9"/>
        <v>#DIV/0!</v>
      </c>
      <c r="X143" s="89"/>
      <c r="Y143" s="89"/>
      <c r="Z143" s="89"/>
      <c r="AA143" s="89"/>
      <c r="AB143" s="89"/>
      <c r="AC143" s="89"/>
      <c r="AD143" s="89"/>
      <c r="AE143" s="89"/>
      <c r="AF143" s="89"/>
      <c r="AG143" s="89"/>
      <c r="AH143" s="89"/>
    </row>
    <row r="144">
      <c r="A144" s="8" t="s">
        <v>282</v>
      </c>
      <c r="B144" s="97"/>
      <c r="C144" s="8"/>
      <c r="D144" s="89" t="str">
        <f t="shared" si="1"/>
        <v/>
      </c>
      <c r="E144" s="89" t="str">
        <f t="shared" si="2"/>
        <v>OT Hours</v>
      </c>
      <c r="F144" s="89" t="str">
        <f>IFERROR(VLOOKUP(C144,'Employees List'!$B$1:$G$999,2,0),"")</f>
        <v/>
      </c>
      <c r="G144" s="89" t="str">
        <f t="shared" si="23"/>
        <v>#DIV/0!</v>
      </c>
      <c r="H144" s="98"/>
      <c r="I144" s="89" t="str">
        <f>IFERROR(VLOOKUP(F144,'Employees List'!$C:$F,2,0),"")</f>
        <v/>
      </c>
      <c r="J144" s="93" t="str">
        <f>IFERROR(VLOOKUP(C144,'Employees List'!$B$2:$G$991,5,0),"")</f>
        <v/>
      </c>
      <c r="K144" s="95" t="str">
        <f>IFERROR(VLOOKUP(F144,'Employees List'!$C$1:$AB$991,5,0),"")</f>
        <v/>
      </c>
      <c r="L144" s="91">
        <f t="shared" si="3"/>
        <v>0</v>
      </c>
      <c r="M144" s="91">
        <f t="shared" si="4"/>
        <v>0</v>
      </c>
      <c r="N144" s="89" t="str">
        <f>IFERROR(VLOOKUP(B144,'Employees List'!$A$2:$H$991,8,0),"")</f>
        <v/>
      </c>
      <c r="O144" s="89" t="str">
        <f>IFERROR(VLOOKUP(D144,'Daily Attendance Report 24-25'!A151:BP999,5,0),"")</f>
        <v/>
      </c>
      <c r="P144" s="89" t="str">
        <f>IFERROR(VLOOKUP(E144,'Daily Attendance Report 24-25'!$A$1:$BO$617,5,0),"")</f>
        <v/>
      </c>
      <c r="Q144" s="99"/>
      <c r="R144" s="89"/>
      <c r="S144" s="89" t="str">
        <f t="shared" si="17"/>
        <v>#DIV/0!</v>
      </c>
      <c r="T144" s="89" t="str">
        <f t="shared" si="6"/>
        <v>#DIV/0!</v>
      </c>
      <c r="U144" s="89" t="str">
        <f t="shared" si="7"/>
        <v>#DIV/0!</v>
      </c>
      <c r="V144" s="89" t="str">
        <f t="shared" si="24"/>
        <v>#DIV/0!</v>
      </c>
      <c r="W144" s="89" t="str">
        <f t="shared" si="9"/>
        <v>#DIV/0!</v>
      </c>
      <c r="X144" s="89"/>
      <c r="Y144" s="89"/>
      <c r="Z144" s="89"/>
      <c r="AA144" s="89"/>
      <c r="AB144" s="89"/>
      <c r="AC144" s="89"/>
      <c r="AD144" s="89"/>
      <c r="AE144" s="89"/>
      <c r="AF144" s="89"/>
      <c r="AG144" s="89"/>
      <c r="AH144" s="89"/>
    </row>
    <row r="145">
      <c r="A145" s="8" t="s">
        <v>283</v>
      </c>
      <c r="B145" s="97"/>
      <c r="C145" s="8"/>
      <c r="D145" s="89" t="str">
        <f t="shared" si="1"/>
        <v/>
      </c>
      <c r="E145" s="89" t="str">
        <f t="shared" si="2"/>
        <v>OT Hours</v>
      </c>
      <c r="F145" s="89" t="str">
        <f>IFERROR(VLOOKUP(C145,'Employees List'!$B$1:$G$999,2,0),"")</f>
        <v/>
      </c>
      <c r="G145" s="89" t="str">
        <f t="shared" si="23"/>
        <v>#DIV/0!</v>
      </c>
      <c r="H145" s="98"/>
      <c r="I145" s="89" t="str">
        <f>IFERROR(VLOOKUP(F145,'Employees List'!$C:$F,2,0),"")</f>
        <v/>
      </c>
      <c r="J145" s="93" t="str">
        <f>IFERROR(VLOOKUP(C145,'Employees List'!$B$2:$G$991,5,0),"")</f>
        <v/>
      </c>
      <c r="K145" s="95" t="str">
        <f>IFERROR(VLOOKUP(F145,'Employees List'!$C$1:$AB$991,5,0),"")</f>
        <v/>
      </c>
      <c r="L145" s="91">
        <f t="shared" si="3"/>
        <v>0</v>
      </c>
      <c r="M145" s="91">
        <f t="shared" si="4"/>
        <v>0</v>
      </c>
      <c r="N145" s="89" t="str">
        <f>IFERROR(VLOOKUP(B145,'Employees List'!$A$2:$H$991,8,0),"")</f>
        <v/>
      </c>
      <c r="O145" s="89" t="str">
        <f>IFERROR(VLOOKUP(D145,'Daily Attendance Report 24-25'!A152:BP999,5,0),"")</f>
        <v/>
      </c>
      <c r="P145" s="89" t="str">
        <f>IFERROR(VLOOKUP(E145,'Daily Attendance Report 24-25'!$A$1:$BO$617,5,0),"")</f>
        <v/>
      </c>
      <c r="Q145" s="99"/>
      <c r="R145" s="89"/>
      <c r="S145" s="89" t="str">
        <f t="shared" si="17"/>
        <v>#DIV/0!</v>
      </c>
      <c r="T145" s="89" t="str">
        <f t="shared" si="6"/>
        <v>#DIV/0!</v>
      </c>
      <c r="U145" s="89" t="str">
        <f t="shared" si="7"/>
        <v>#DIV/0!</v>
      </c>
      <c r="V145" s="89" t="str">
        <f t="shared" si="24"/>
        <v>#DIV/0!</v>
      </c>
      <c r="W145" s="89" t="str">
        <f t="shared" si="9"/>
        <v>#DIV/0!</v>
      </c>
      <c r="X145" s="89"/>
      <c r="Y145" s="89"/>
      <c r="Z145" s="89"/>
      <c r="AA145" s="89"/>
      <c r="AB145" s="89"/>
      <c r="AC145" s="89"/>
      <c r="AD145" s="89"/>
      <c r="AE145" s="89"/>
      <c r="AF145" s="89"/>
      <c r="AG145" s="89"/>
      <c r="AH145" s="89"/>
    </row>
    <row r="146">
      <c r="A146" s="8" t="s">
        <v>284</v>
      </c>
      <c r="B146" s="97"/>
      <c r="C146" s="8"/>
      <c r="D146" s="89" t="str">
        <f t="shared" si="1"/>
        <v/>
      </c>
      <c r="E146" s="89" t="str">
        <f t="shared" si="2"/>
        <v>OT Hours</v>
      </c>
      <c r="F146" s="89" t="str">
        <f>IFERROR(VLOOKUP(C146,'Employees List'!$B$1:$G$999,2,0),"")</f>
        <v/>
      </c>
      <c r="G146" s="89" t="str">
        <f t="shared" si="23"/>
        <v>#DIV/0!</v>
      </c>
      <c r="H146" s="98"/>
      <c r="I146" s="89" t="str">
        <f>IFERROR(VLOOKUP(F146,'Employees List'!$C:$F,2,0),"")</f>
        <v/>
      </c>
      <c r="J146" s="93" t="str">
        <f>IFERROR(VLOOKUP(C146,'Employees List'!$B$2:$G$991,5,0),"")</f>
        <v/>
      </c>
      <c r="K146" s="95" t="str">
        <f>IFERROR(VLOOKUP(F146,'Employees List'!$C$1:$AB$991,5,0),"")</f>
        <v/>
      </c>
      <c r="L146" s="91">
        <f t="shared" si="3"/>
        <v>0</v>
      </c>
      <c r="M146" s="91">
        <f t="shared" si="4"/>
        <v>0</v>
      </c>
      <c r="N146" s="89" t="str">
        <f>IFERROR(VLOOKUP(B146,'Employees List'!$A$2:$H$991,8,0),"")</f>
        <v/>
      </c>
      <c r="O146" s="89" t="str">
        <f>IFERROR(VLOOKUP(D146,'Daily Attendance Report 24-25'!A153:BP999,5,0),"")</f>
        <v/>
      </c>
      <c r="P146" s="89" t="str">
        <f>IFERROR(VLOOKUP(E146,'Daily Attendance Report 24-25'!$A$1:$BO$617,5,0),"")</f>
        <v/>
      </c>
      <c r="Q146" s="89"/>
      <c r="R146" s="89"/>
      <c r="S146" s="89" t="str">
        <f t="shared" si="17"/>
        <v>#DIV/0!</v>
      </c>
      <c r="T146" s="89" t="str">
        <f t="shared" si="6"/>
        <v>#DIV/0!</v>
      </c>
      <c r="U146" s="89" t="str">
        <f t="shared" si="7"/>
        <v>#DIV/0!</v>
      </c>
      <c r="V146" s="89" t="str">
        <f t="shared" si="24"/>
        <v>#DIV/0!</v>
      </c>
      <c r="W146" s="89" t="str">
        <f t="shared" si="9"/>
        <v>#DIV/0!</v>
      </c>
      <c r="X146" s="89"/>
      <c r="Y146" s="89"/>
      <c r="Z146" s="89"/>
      <c r="AA146" s="89"/>
      <c r="AB146" s="89"/>
      <c r="AC146" s="89"/>
      <c r="AD146" s="89"/>
      <c r="AE146" s="89"/>
      <c r="AF146" s="89"/>
      <c r="AG146" s="89"/>
      <c r="AH146" s="89"/>
    </row>
    <row r="147">
      <c r="A147" s="8" t="s">
        <v>285</v>
      </c>
      <c r="B147" s="97"/>
      <c r="C147" s="8"/>
      <c r="D147" s="89" t="str">
        <f t="shared" si="1"/>
        <v/>
      </c>
      <c r="E147" s="89" t="str">
        <f t="shared" si="2"/>
        <v>OT Hours</v>
      </c>
      <c r="F147" s="89" t="str">
        <f>IFERROR(VLOOKUP(C147,'Employees List'!$B$1:$G$999,2,0),"")</f>
        <v/>
      </c>
      <c r="G147" s="89" t="str">
        <f t="shared" si="23"/>
        <v>#DIV/0!</v>
      </c>
      <c r="H147" s="98"/>
      <c r="I147" s="89" t="str">
        <f>IFERROR(VLOOKUP(F147,'Employees List'!$C:$F,2,0),"")</f>
        <v/>
      </c>
      <c r="J147" s="93" t="str">
        <f>IFERROR(VLOOKUP(C147,'Employees List'!$B$2:$G$991,5,0),"")</f>
        <v/>
      </c>
      <c r="K147" s="95" t="str">
        <f>IFERROR(VLOOKUP(F147,'Employees List'!$C$1:$AB$991,5,0),"")</f>
        <v/>
      </c>
      <c r="L147" s="91">
        <f t="shared" si="3"/>
        <v>0</v>
      </c>
      <c r="M147" s="91">
        <f t="shared" si="4"/>
        <v>0</v>
      </c>
      <c r="N147" s="89" t="str">
        <f>IFERROR(VLOOKUP(B147,'Employees List'!$A$2:$H$991,8,0),"")</f>
        <v/>
      </c>
      <c r="O147" s="89" t="str">
        <f>IFERROR(VLOOKUP(D147,'Daily Attendance Report 24-25'!A154:BP999,5,0),"")</f>
        <v/>
      </c>
      <c r="P147" s="89" t="str">
        <f>IFERROR(VLOOKUP(E147,'Daily Attendance Report 24-25'!$A$1:$BO$617,5,0),"")</f>
        <v/>
      </c>
      <c r="Q147" s="89"/>
      <c r="R147" s="89"/>
      <c r="S147" s="89" t="str">
        <f t="shared" si="17"/>
        <v>#DIV/0!</v>
      </c>
      <c r="T147" s="89" t="str">
        <f t="shared" si="6"/>
        <v>#DIV/0!</v>
      </c>
      <c r="U147" s="89" t="str">
        <f t="shared" si="7"/>
        <v>#DIV/0!</v>
      </c>
      <c r="V147" s="89" t="str">
        <f t="shared" si="24"/>
        <v>#DIV/0!</v>
      </c>
      <c r="W147" s="89" t="str">
        <f t="shared" si="9"/>
        <v>#DIV/0!</v>
      </c>
      <c r="X147" s="89"/>
      <c r="Y147" s="89"/>
      <c r="Z147" s="89"/>
      <c r="AA147" s="89"/>
      <c r="AB147" s="89"/>
      <c r="AC147" s="89"/>
      <c r="AD147" s="89"/>
      <c r="AE147" s="89"/>
      <c r="AF147" s="89"/>
      <c r="AG147" s="89"/>
      <c r="AH147" s="89"/>
    </row>
    <row r="148">
      <c r="A148" s="8" t="s">
        <v>286</v>
      </c>
      <c r="B148" s="97"/>
      <c r="C148" s="8"/>
      <c r="D148" s="89" t="str">
        <f t="shared" si="1"/>
        <v/>
      </c>
      <c r="E148" s="89" t="str">
        <f t="shared" si="2"/>
        <v>OT Hours</v>
      </c>
      <c r="F148" s="89" t="str">
        <f>IFERROR(VLOOKUP(C148,'Employees List'!$B$1:$G$999,2,0),"")</f>
        <v/>
      </c>
      <c r="G148" s="89" t="str">
        <f t="shared" si="23"/>
        <v>#DIV/0!</v>
      </c>
      <c r="H148" s="98"/>
      <c r="I148" s="89" t="str">
        <f>IFERROR(VLOOKUP(F148,'Employees List'!$C:$F,2,0),"")</f>
        <v/>
      </c>
      <c r="J148" s="93" t="str">
        <f>IFERROR(VLOOKUP(C148,'Employees List'!$B$2:$G$991,5,0),"")</f>
        <v/>
      </c>
      <c r="K148" s="95" t="str">
        <f>IFERROR(VLOOKUP(F148,'Employees List'!$C$1:$AB$991,5,0),"")</f>
        <v/>
      </c>
      <c r="L148" s="91">
        <f t="shared" si="3"/>
        <v>0</v>
      </c>
      <c r="M148" s="91">
        <f t="shared" si="4"/>
        <v>0</v>
      </c>
      <c r="N148" s="89" t="str">
        <f>IFERROR(VLOOKUP(B148,'Employees List'!$A$2:$H$991,8,0),"")</f>
        <v/>
      </c>
      <c r="O148" s="89" t="str">
        <f>IFERROR(VLOOKUP(D148,'Daily Attendance Report 24-25'!A155:BP999,5,0),"")</f>
        <v/>
      </c>
      <c r="P148" s="89" t="str">
        <f>IFERROR(VLOOKUP(E148,'Daily Attendance Report 24-25'!$A$1:$BO$617,5,0),"")</f>
        <v/>
      </c>
      <c r="Q148" s="89"/>
      <c r="R148" s="89"/>
      <c r="S148" s="89" t="str">
        <f t="shared" si="17"/>
        <v>#DIV/0!</v>
      </c>
      <c r="T148" s="89" t="str">
        <f t="shared" si="6"/>
        <v>#DIV/0!</v>
      </c>
      <c r="U148" s="89" t="str">
        <f t="shared" si="7"/>
        <v>#DIV/0!</v>
      </c>
      <c r="V148" s="89" t="str">
        <f t="shared" si="24"/>
        <v>#DIV/0!</v>
      </c>
      <c r="W148" s="89" t="str">
        <f t="shared" si="9"/>
        <v>#DIV/0!</v>
      </c>
      <c r="X148" s="89"/>
      <c r="Y148" s="89"/>
      <c r="Z148" s="89"/>
      <c r="AA148" s="89"/>
      <c r="AB148" s="89"/>
      <c r="AC148" s="89"/>
      <c r="AD148" s="89"/>
      <c r="AE148" s="89"/>
      <c r="AF148" s="89"/>
      <c r="AG148" s="89"/>
      <c r="AH148" s="89"/>
    </row>
    <row r="149">
      <c r="A149" s="8" t="s">
        <v>287</v>
      </c>
      <c r="B149" s="97"/>
      <c r="C149" s="8"/>
      <c r="D149" s="89" t="str">
        <f t="shared" si="1"/>
        <v/>
      </c>
      <c r="E149" s="89" t="str">
        <f t="shared" si="2"/>
        <v>OT Hours</v>
      </c>
      <c r="F149" s="89" t="str">
        <f>IFERROR(VLOOKUP(C149,'Employees List'!$B$1:$G$999,2,0),"")</f>
        <v/>
      </c>
      <c r="G149" s="89" t="str">
        <f t="shared" si="23"/>
        <v>#DIV/0!</v>
      </c>
      <c r="H149" s="98"/>
      <c r="I149" s="89" t="str">
        <f>IFERROR(VLOOKUP(F149,'Employees List'!$C:$F,2,0),"")</f>
        <v/>
      </c>
      <c r="J149" s="93" t="str">
        <f>IFERROR(VLOOKUP(C149,'Employees List'!$B$2:$G$991,5,0),"")</f>
        <v/>
      </c>
      <c r="K149" s="95" t="str">
        <f>IFERROR(VLOOKUP(F149,'Employees List'!$C$1:$AB$991,5,0),"")</f>
        <v/>
      </c>
      <c r="L149" s="91">
        <f t="shared" si="3"/>
        <v>0</v>
      </c>
      <c r="M149" s="91">
        <f t="shared" si="4"/>
        <v>0</v>
      </c>
      <c r="N149" s="89" t="str">
        <f>IFERROR(VLOOKUP(B149,'Employees List'!$A$2:$H$991,8,0),"")</f>
        <v/>
      </c>
      <c r="O149" s="89" t="str">
        <f>IFERROR(VLOOKUP(D149,'Daily Attendance Report 24-25'!A156:BP999,5,0),"")</f>
        <v/>
      </c>
      <c r="P149" s="89" t="str">
        <f>IFERROR(VLOOKUP(E149,'Daily Attendance Report 24-25'!$A$1:$BO$617,5,0),"")</f>
        <v/>
      </c>
      <c r="Q149" s="89"/>
      <c r="R149" s="89"/>
      <c r="S149" s="89" t="str">
        <f t="shared" si="17"/>
        <v>#DIV/0!</v>
      </c>
      <c r="T149" s="89" t="str">
        <f t="shared" si="6"/>
        <v>#DIV/0!</v>
      </c>
      <c r="U149" s="89" t="str">
        <f t="shared" si="7"/>
        <v>#DIV/0!</v>
      </c>
      <c r="V149" s="89" t="str">
        <f t="shared" si="24"/>
        <v>#DIV/0!</v>
      </c>
      <c r="W149" s="89" t="str">
        <f t="shared" si="9"/>
        <v>#DIV/0!</v>
      </c>
      <c r="X149" s="89"/>
      <c r="Y149" s="89"/>
      <c r="Z149" s="89"/>
      <c r="AA149" s="89"/>
      <c r="AB149" s="89"/>
      <c r="AC149" s="89"/>
      <c r="AD149" s="89"/>
      <c r="AE149" s="89"/>
      <c r="AF149" s="89"/>
      <c r="AG149" s="89"/>
      <c r="AH149" s="89"/>
    </row>
    <row r="150">
      <c r="A150" s="8" t="s">
        <v>288</v>
      </c>
      <c r="B150" s="97"/>
      <c r="C150" s="8"/>
      <c r="D150" s="89" t="str">
        <f t="shared" si="1"/>
        <v/>
      </c>
      <c r="E150" s="89" t="str">
        <f t="shared" si="2"/>
        <v>OT Hours</v>
      </c>
      <c r="F150" s="89" t="str">
        <f>IFERROR(VLOOKUP(C150,'Employees List'!$B$1:$G$999,2,0),"")</f>
        <v/>
      </c>
      <c r="G150" s="89" t="str">
        <f t="shared" si="23"/>
        <v>#DIV/0!</v>
      </c>
      <c r="H150" s="98"/>
      <c r="I150" s="89" t="str">
        <f>IFERROR(VLOOKUP(F150,'Employees List'!$C:$F,2,0),"")</f>
        <v/>
      </c>
      <c r="J150" s="93" t="str">
        <f>IFERROR(VLOOKUP(C150,'Employees List'!$B$2:$G$991,5,0),"")</f>
        <v/>
      </c>
      <c r="K150" s="95" t="str">
        <f>IFERROR(VLOOKUP(F150,'Employees List'!$C$1:$AB$991,5,0),"")</f>
        <v/>
      </c>
      <c r="L150" s="91">
        <f t="shared" si="3"/>
        <v>0</v>
      </c>
      <c r="M150" s="91">
        <f t="shared" si="4"/>
        <v>0</v>
      </c>
      <c r="N150" s="89" t="str">
        <f>IFERROR(VLOOKUP(B150,'Employees List'!$A$2:$H$991,8,0),"")</f>
        <v/>
      </c>
      <c r="O150" s="89" t="str">
        <f>IFERROR(VLOOKUP(D150,'Daily Attendance Report 24-25'!A157:BP999,5,0),"")</f>
        <v/>
      </c>
      <c r="P150" s="89" t="str">
        <f>IFERROR(VLOOKUP(E150,'Daily Attendance Report 24-25'!$A$1:$BO$617,5,0),"")</f>
        <v/>
      </c>
      <c r="Q150" s="89"/>
      <c r="R150" s="89"/>
      <c r="S150" s="89" t="str">
        <f t="shared" si="17"/>
        <v>#DIV/0!</v>
      </c>
      <c r="T150" s="89" t="str">
        <f t="shared" si="6"/>
        <v>#DIV/0!</v>
      </c>
      <c r="U150" s="89" t="str">
        <f t="shared" si="7"/>
        <v>#DIV/0!</v>
      </c>
      <c r="V150" s="89" t="str">
        <f t="shared" si="24"/>
        <v>#DIV/0!</v>
      </c>
      <c r="W150" s="89" t="str">
        <f t="shared" si="9"/>
        <v>#DIV/0!</v>
      </c>
      <c r="X150" s="89"/>
      <c r="Y150" s="89"/>
      <c r="Z150" s="89"/>
      <c r="AA150" s="89"/>
      <c r="AB150" s="89"/>
      <c r="AC150" s="89"/>
      <c r="AD150" s="89"/>
      <c r="AE150" s="89"/>
      <c r="AF150" s="89"/>
      <c r="AG150" s="89"/>
      <c r="AH150" s="89"/>
    </row>
    <row r="151">
      <c r="A151" s="8" t="s">
        <v>289</v>
      </c>
      <c r="B151" s="97"/>
      <c r="C151" s="8"/>
      <c r="D151" s="89" t="str">
        <f t="shared" si="1"/>
        <v/>
      </c>
      <c r="E151" s="89" t="str">
        <f t="shared" si="2"/>
        <v>OT Hours</v>
      </c>
      <c r="F151" s="89" t="str">
        <f>IFERROR(VLOOKUP(C151,'Employees List'!$B$1:$G$999,2,0),"")</f>
        <v/>
      </c>
      <c r="G151" s="89" t="str">
        <f t="shared" si="23"/>
        <v>#DIV/0!</v>
      </c>
      <c r="H151" s="98"/>
      <c r="I151" s="89" t="str">
        <f>IFERROR(VLOOKUP(F151,'Employees List'!$C:$F,2,0),"")</f>
        <v/>
      </c>
      <c r="J151" s="93" t="str">
        <f>IFERROR(VLOOKUP(C151,'Employees List'!$B$2:$G$991,5,0),"")</f>
        <v/>
      </c>
      <c r="K151" s="95" t="str">
        <f>IFERROR(VLOOKUP(F151,'Employees List'!$C$1:$AB$991,5,0),"")</f>
        <v/>
      </c>
      <c r="L151" s="91">
        <f t="shared" si="3"/>
        <v>0</v>
      </c>
      <c r="M151" s="91">
        <f t="shared" si="4"/>
        <v>0</v>
      </c>
      <c r="N151" s="89" t="str">
        <f>IFERROR(VLOOKUP(B151,'Employees List'!$A$2:$H$991,8,0),"")</f>
        <v/>
      </c>
      <c r="O151" s="89" t="str">
        <f>IFERROR(VLOOKUP(D151,'Daily Attendance Report 24-25'!A158:BP999,5,0),"")</f>
        <v/>
      </c>
      <c r="P151" s="89" t="str">
        <f>IFERROR(VLOOKUP(E151,'Daily Attendance Report 24-25'!$A$1:$BO$617,5,0),"")</f>
        <v/>
      </c>
      <c r="Q151" s="89"/>
      <c r="R151" s="89"/>
      <c r="S151" s="89" t="str">
        <f t="shared" si="17"/>
        <v>#DIV/0!</v>
      </c>
      <c r="T151" s="89" t="str">
        <f t="shared" si="6"/>
        <v>#DIV/0!</v>
      </c>
      <c r="U151" s="89" t="str">
        <f t="shared" si="7"/>
        <v>#DIV/0!</v>
      </c>
      <c r="V151" s="89" t="str">
        <f t="shared" si="24"/>
        <v>#DIV/0!</v>
      </c>
      <c r="W151" s="89" t="str">
        <f t="shared" si="9"/>
        <v>#DIV/0!</v>
      </c>
      <c r="X151" s="89"/>
      <c r="Y151" s="89"/>
      <c r="Z151" s="89"/>
      <c r="AA151" s="89"/>
      <c r="AB151" s="89"/>
      <c r="AC151" s="89"/>
      <c r="AD151" s="89"/>
      <c r="AE151" s="89"/>
      <c r="AF151" s="89"/>
      <c r="AG151" s="89"/>
      <c r="AH151" s="89"/>
    </row>
    <row r="152">
      <c r="A152" s="8" t="s">
        <v>290</v>
      </c>
      <c r="B152" s="97"/>
      <c r="C152" s="8"/>
      <c r="D152" s="89" t="str">
        <f t="shared" si="1"/>
        <v/>
      </c>
      <c r="E152" s="89" t="str">
        <f t="shared" si="2"/>
        <v>OT Hours</v>
      </c>
      <c r="F152" s="89" t="str">
        <f>IFERROR(VLOOKUP(C152,'Employees List'!$B$1:$G$999,2,0),"")</f>
        <v/>
      </c>
      <c r="G152" s="89" t="str">
        <f t="shared" si="23"/>
        <v>#DIV/0!</v>
      </c>
      <c r="H152" s="98"/>
      <c r="I152" s="89" t="str">
        <f>IFERROR(VLOOKUP(F152,'Employees List'!$C:$F,2,0),"")</f>
        <v/>
      </c>
      <c r="J152" s="93" t="str">
        <f>IFERROR(VLOOKUP(C152,'Employees List'!$B$2:$G$991,5,0),"")</f>
        <v/>
      </c>
      <c r="K152" s="95" t="str">
        <f>IFERROR(VLOOKUP(F152,'Employees List'!$C$1:$AB$991,5,0),"")</f>
        <v/>
      </c>
      <c r="L152" s="91">
        <f t="shared" si="3"/>
        <v>0</v>
      </c>
      <c r="M152" s="91">
        <f t="shared" si="4"/>
        <v>0</v>
      </c>
      <c r="N152" s="89" t="str">
        <f>IFERROR(VLOOKUP(B152,'Employees List'!$A$2:$H$991,8,0),"")</f>
        <v/>
      </c>
      <c r="O152" s="89" t="str">
        <f>IFERROR(VLOOKUP(D152,'Daily Attendance Report 24-25'!A159:BP999,5,0),"")</f>
        <v/>
      </c>
      <c r="P152" s="89" t="str">
        <f>IFERROR(VLOOKUP(E152,'Daily Attendance Report 24-25'!$A$1:$BO$617,5,0),"")</f>
        <v/>
      </c>
      <c r="Q152" s="89"/>
      <c r="R152" s="89"/>
      <c r="S152" s="89" t="str">
        <f t="shared" si="17"/>
        <v>#DIV/0!</v>
      </c>
      <c r="T152" s="89" t="str">
        <f t="shared" si="6"/>
        <v>#DIV/0!</v>
      </c>
      <c r="U152" s="89" t="str">
        <f t="shared" si="7"/>
        <v>#DIV/0!</v>
      </c>
      <c r="V152" s="89" t="str">
        <f t="shared" si="24"/>
        <v>#DIV/0!</v>
      </c>
      <c r="W152" s="89" t="str">
        <f t="shared" si="9"/>
        <v>#DIV/0!</v>
      </c>
      <c r="X152" s="89"/>
      <c r="Y152" s="89"/>
      <c r="Z152" s="89"/>
      <c r="AA152" s="89"/>
      <c r="AB152" s="89"/>
      <c r="AC152" s="89"/>
      <c r="AD152" s="89"/>
      <c r="AE152" s="89"/>
      <c r="AF152" s="89"/>
      <c r="AG152" s="89"/>
      <c r="AH152" s="89"/>
    </row>
    <row r="153">
      <c r="A153" s="8" t="s">
        <v>291</v>
      </c>
      <c r="B153" s="97"/>
      <c r="C153" s="8"/>
      <c r="D153" s="89" t="str">
        <f t="shared" si="1"/>
        <v/>
      </c>
      <c r="E153" s="89" t="str">
        <f t="shared" si="2"/>
        <v>OT Hours</v>
      </c>
      <c r="F153" s="89" t="str">
        <f>IFERROR(VLOOKUP(C153,'Employees List'!$B$1:$G$999,2,0),"")</f>
        <v/>
      </c>
      <c r="G153" s="89" t="str">
        <f t="shared" si="23"/>
        <v>#DIV/0!</v>
      </c>
      <c r="H153" s="98"/>
      <c r="I153" s="89" t="str">
        <f>IFERROR(VLOOKUP(F153,'Employees List'!$C:$F,2,0),"")</f>
        <v/>
      </c>
      <c r="J153" s="93" t="str">
        <f>IFERROR(VLOOKUP(C153,'Employees List'!$B$2:$G$991,5,0),"")</f>
        <v/>
      </c>
      <c r="K153" s="95" t="str">
        <f>IFERROR(VLOOKUP(F153,'Employees List'!$C$1:$AB$991,5,0),"")</f>
        <v/>
      </c>
      <c r="L153" s="91">
        <f t="shared" si="3"/>
        <v>0</v>
      </c>
      <c r="M153" s="91">
        <f t="shared" si="4"/>
        <v>0</v>
      </c>
      <c r="N153" s="89" t="str">
        <f>IFERROR(VLOOKUP(B153,'Employees List'!$A$2:$H$991,8,0),"")</f>
        <v/>
      </c>
      <c r="O153" s="89" t="str">
        <f>IFERROR(VLOOKUP(D153,'Daily Attendance Report 24-25'!A160:BP999,5,0),"")</f>
        <v/>
      </c>
      <c r="P153" s="89" t="str">
        <f>IFERROR(VLOOKUP(E153,'Daily Attendance Report 24-25'!$A$1:$BO$617,5,0),"")</f>
        <v/>
      </c>
      <c r="Q153" s="89"/>
      <c r="R153" s="89"/>
      <c r="S153" s="89" t="str">
        <f t="shared" si="17"/>
        <v>#DIV/0!</v>
      </c>
      <c r="T153" s="89" t="str">
        <f t="shared" si="6"/>
        <v>#DIV/0!</v>
      </c>
      <c r="U153" s="89" t="str">
        <f t="shared" si="7"/>
        <v>#DIV/0!</v>
      </c>
      <c r="V153" s="89" t="str">
        <f t="shared" si="24"/>
        <v>#DIV/0!</v>
      </c>
      <c r="W153" s="89" t="str">
        <f t="shared" si="9"/>
        <v>#DIV/0!</v>
      </c>
      <c r="X153" s="89"/>
      <c r="Y153" s="89"/>
      <c r="Z153" s="89"/>
      <c r="AA153" s="89"/>
      <c r="AB153" s="89"/>
      <c r="AC153" s="89"/>
      <c r="AD153" s="89"/>
      <c r="AE153" s="89"/>
      <c r="AF153" s="89"/>
      <c r="AG153" s="89"/>
      <c r="AH153" s="89"/>
    </row>
    <row r="154">
      <c r="A154" s="8" t="s">
        <v>292</v>
      </c>
      <c r="B154" s="97"/>
      <c r="C154" s="8"/>
      <c r="D154" s="89" t="str">
        <f t="shared" si="1"/>
        <v/>
      </c>
      <c r="E154" s="89" t="str">
        <f t="shared" si="2"/>
        <v>OT Hours</v>
      </c>
      <c r="F154" s="89" t="str">
        <f>IFERROR(VLOOKUP(C154,'Employees List'!$B$1:$G$999,2,0),"")</f>
        <v/>
      </c>
      <c r="G154" s="89" t="str">
        <f t="shared" si="23"/>
        <v>#DIV/0!</v>
      </c>
      <c r="H154" s="98"/>
      <c r="I154" s="89" t="str">
        <f>IFERROR(VLOOKUP(F154,'Employees List'!$C:$F,2,0),"")</f>
        <v/>
      </c>
      <c r="J154" s="93" t="str">
        <f>IFERROR(VLOOKUP(C154,'Employees List'!$B$2:$G$991,5,0),"")</f>
        <v/>
      </c>
      <c r="K154" s="95" t="str">
        <f>IFERROR(VLOOKUP(F154,'Employees List'!$C$1:$AB$991,5,0),"")</f>
        <v/>
      </c>
      <c r="L154" s="91">
        <f t="shared" si="3"/>
        <v>0</v>
      </c>
      <c r="M154" s="91">
        <f t="shared" si="4"/>
        <v>0</v>
      </c>
      <c r="N154" s="89" t="str">
        <f>IFERROR(VLOOKUP(B154,'Employees List'!$A$2:$H$991,8,0),"")</f>
        <v/>
      </c>
      <c r="O154" s="89" t="str">
        <f>IFERROR(VLOOKUP(D154,'Daily Attendance Report 24-25'!A161:BP999,5,0),"")</f>
        <v/>
      </c>
      <c r="P154" s="89" t="str">
        <f>IFERROR(VLOOKUP(E154,'Daily Attendance Report 24-25'!$A$1:$BO$617,5,0),"")</f>
        <v/>
      </c>
      <c r="Q154" s="89"/>
      <c r="R154" s="89"/>
      <c r="S154" s="89" t="str">
        <f t="shared" si="17"/>
        <v>#DIV/0!</v>
      </c>
      <c r="T154" s="89" t="str">
        <f t="shared" si="6"/>
        <v>#DIV/0!</v>
      </c>
      <c r="U154" s="89" t="str">
        <f t="shared" si="7"/>
        <v>#DIV/0!</v>
      </c>
      <c r="V154" s="89" t="str">
        <f t="shared" si="24"/>
        <v>#DIV/0!</v>
      </c>
      <c r="W154" s="89" t="str">
        <f t="shared" si="9"/>
        <v>#DIV/0!</v>
      </c>
      <c r="X154" s="89"/>
      <c r="Y154" s="89"/>
      <c r="Z154" s="89"/>
      <c r="AA154" s="89"/>
      <c r="AB154" s="89"/>
      <c r="AC154" s="89"/>
      <c r="AD154" s="89"/>
      <c r="AE154" s="89"/>
      <c r="AF154" s="89"/>
      <c r="AG154" s="89"/>
      <c r="AH154" s="89"/>
    </row>
    <row r="155">
      <c r="A155" s="8" t="s">
        <v>293</v>
      </c>
      <c r="B155" s="97"/>
      <c r="C155" s="8"/>
      <c r="D155" s="89" t="str">
        <f t="shared" si="1"/>
        <v/>
      </c>
      <c r="E155" s="89" t="str">
        <f t="shared" si="2"/>
        <v>OT Hours</v>
      </c>
      <c r="F155" s="89" t="str">
        <f>IFERROR(VLOOKUP(C155,'Employees List'!$B$1:$G$999,2,0),"")</f>
        <v/>
      </c>
      <c r="G155" s="89" t="str">
        <f t="shared" si="23"/>
        <v>#DIV/0!</v>
      </c>
      <c r="H155" s="98"/>
      <c r="I155" s="89" t="str">
        <f>IFERROR(VLOOKUP(F155,'Employees List'!$C:$F,2,0),"")</f>
        <v/>
      </c>
      <c r="J155" s="93" t="str">
        <f>IFERROR(VLOOKUP(C155,'Employees List'!$B$2:$G$991,5,0),"")</f>
        <v/>
      </c>
      <c r="K155" s="95" t="str">
        <f>IFERROR(VLOOKUP(F155,'Employees List'!$C$1:$AB$991,5,0),"")</f>
        <v/>
      </c>
      <c r="L155" s="91">
        <f t="shared" si="3"/>
        <v>0</v>
      </c>
      <c r="M155" s="91">
        <f t="shared" si="4"/>
        <v>0</v>
      </c>
      <c r="N155" s="89" t="str">
        <f>IFERROR(VLOOKUP(B155,'Employees List'!$A$2:$H$991,8,0),"")</f>
        <v/>
      </c>
      <c r="O155" s="89" t="str">
        <f>IFERROR(VLOOKUP(D155,'Daily Attendance Report 24-25'!A162:BP999,5,0),"")</f>
        <v/>
      </c>
      <c r="P155" s="89" t="str">
        <f>IFERROR(VLOOKUP(E155,'Daily Attendance Report 24-25'!$A$1:$BO$617,5,0),"")</f>
        <v/>
      </c>
      <c r="Q155" s="89"/>
      <c r="R155" s="89"/>
      <c r="S155" s="89" t="str">
        <f t="shared" si="17"/>
        <v>#DIV/0!</v>
      </c>
      <c r="T155" s="89" t="str">
        <f t="shared" si="6"/>
        <v>#DIV/0!</v>
      </c>
      <c r="U155" s="89" t="str">
        <f t="shared" si="7"/>
        <v>#DIV/0!</v>
      </c>
      <c r="V155" s="89" t="str">
        <f t="shared" si="24"/>
        <v>#DIV/0!</v>
      </c>
      <c r="W155" s="89" t="str">
        <f t="shared" si="9"/>
        <v>#DIV/0!</v>
      </c>
      <c r="X155" s="89"/>
      <c r="Y155" s="89"/>
      <c r="Z155" s="89"/>
      <c r="AA155" s="89"/>
      <c r="AB155" s="89"/>
      <c r="AC155" s="89"/>
      <c r="AD155" s="89"/>
      <c r="AE155" s="89"/>
      <c r="AF155" s="89"/>
      <c r="AG155" s="89"/>
      <c r="AH155" s="89"/>
    </row>
    <row r="156">
      <c r="A156" s="8" t="s">
        <v>294</v>
      </c>
      <c r="B156" s="97"/>
      <c r="C156" s="8"/>
      <c r="D156" s="89" t="str">
        <f t="shared" si="1"/>
        <v/>
      </c>
      <c r="E156" s="89" t="str">
        <f t="shared" si="2"/>
        <v>OT Hours</v>
      </c>
      <c r="F156" s="89" t="str">
        <f>IFERROR(VLOOKUP(C156,'Employees List'!$B$1:$G$999,2,0),"")</f>
        <v/>
      </c>
      <c r="G156" s="89" t="str">
        <f t="shared" si="23"/>
        <v>#DIV/0!</v>
      </c>
      <c r="H156" s="98"/>
      <c r="I156" s="89" t="str">
        <f>IFERROR(VLOOKUP(F156,'Employees List'!$C:$F,2,0),"")</f>
        <v/>
      </c>
      <c r="J156" s="93" t="str">
        <f>IFERROR(VLOOKUP(C156,'Employees List'!$B$2:$G$991,5,0),"")</f>
        <v/>
      </c>
      <c r="K156" s="95" t="str">
        <f>IFERROR(VLOOKUP(F156,'Employees List'!$C$1:$AB$991,5,0),"")</f>
        <v/>
      </c>
      <c r="L156" s="91">
        <f t="shared" si="3"/>
        <v>0</v>
      </c>
      <c r="M156" s="91">
        <f t="shared" si="4"/>
        <v>0</v>
      </c>
      <c r="N156" s="89" t="str">
        <f>IFERROR(VLOOKUP(B156,'Employees List'!$A$2:$H$991,8,0),"")</f>
        <v/>
      </c>
      <c r="O156" s="89" t="str">
        <f>IFERROR(VLOOKUP(D156,'Daily Attendance Report 24-25'!A163:BP999,5,0),"")</f>
        <v/>
      </c>
      <c r="P156" s="89" t="str">
        <f>IFERROR(VLOOKUP(E156,'Daily Attendance Report 24-25'!$A$1:$BO$617,5,0),"")</f>
        <v/>
      </c>
      <c r="Q156" s="89"/>
      <c r="R156" s="89"/>
      <c r="S156" s="89" t="str">
        <f t="shared" si="17"/>
        <v>#DIV/0!</v>
      </c>
      <c r="T156" s="89" t="str">
        <f t="shared" si="6"/>
        <v>#DIV/0!</v>
      </c>
      <c r="U156" s="89" t="str">
        <f t="shared" si="7"/>
        <v>#DIV/0!</v>
      </c>
      <c r="V156" s="89" t="str">
        <f t="shared" si="24"/>
        <v>#DIV/0!</v>
      </c>
      <c r="W156" s="89" t="str">
        <f t="shared" si="9"/>
        <v>#DIV/0!</v>
      </c>
      <c r="X156" s="89"/>
      <c r="Y156" s="89"/>
      <c r="Z156" s="89"/>
      <c r="AA156" s="89"/>
      <c r="AB156" s="89"/>
      <c r="AC156" s="89"/>
      <c r="AD156" s="89"/>
      <c r="AE156" s="89"/>
      <c r="AF156" s="89"/>
      <c r="AG156" s="89"/>
      <c r="AH156" s="89"/>
    </row>
    <row r="157">
      <c r="A157" s="8" t="s">
        <v>295</v>
      </c>
      <c r="B157" s="97"/>
      <c r="C157" s="8"/>
      <c r="D157" s="89" t="str">
        <f t="shared" si="1"/>
        <v/>
      </c>
      <c r="E157" s="89" t="str">
        <f t="shared" si="2"/>
        <v>OT Hours</v>
      </c>
      <c r="F157" s="89" t="str">
        <f>IFERROR(VLOOKUP(C157,'Employees List'!$B$1:$G$999,2,0),"")</f>
        <v/>
      </c>
      <c r="G157" s="89" t="str">
        <f t="shared" si="23"/>
        <v>#DIV/0!</v>
      </c>
      <c r="H157" s="98"/>
      <c r="I157" s="89" t="str">
        <f>IFERROR(VLOOKUP(F157,'Employees List'!$C:$F,2,0),"")</f>
        <v/>
      </c>
      <c r="J157" s="93" t="str">
        <f>IFERROR(VLOOKUP(C157,'Employees List'!$B$2:$G$991,5,0),"")</f>
        <v/>
      </c>
      <c r="K157" s="95" t="str">
        <f>IFERROR(VLOOKUP(F157,'Employees List'!$C$1:$AB$991,5,0),"")</f>
        <v/>
      </c>
      <c r="L157" s="91">
        <f t="shared" si="3"/>
        <v>0</v>
      </c>
      <c r="M157" s="91">
        <f t="shared" si="4"/>
        <v>0</v>
      </c>
      <c r="N157" s="89" t="str">
        <f>IFERROR(VLOOKUP(B157,'Employees List'!$A$2:$H$991,8,0),"")</f>
        <v/>
      </c>
      <c r="O157" s="89" t="str">
        <f>IFERROR(VLOOKUP(D157,'Daily Attendance Report 24-25'!A164:BP999,5,0),"")</f>
        <v/>
      </c>
      <c r="P157" s="89" t="str">
        <f>IFERROR(VLOOKUP(E157,'Daily Attendance Report 24-25'!$A$1:$BO$617,5,0),"")</f>
        <v/>
      </c>
      <c r="Q157" s="89"/>
      <c r="R157" s="89"/>
      <c r="S157" s="89" t="str">
        <f t="shared" si="17"/>
        <v>#DIV/0!</v>
      </c>
      <c r="T157" s="89" t="str">
        <f t="shared" si="6"/>
        <v>#DIV/0!</v>
      </c>
      <c r="U157" s="89" t="str">
        <f t="shared" si="7"/>
        <v>#DIV/0!</v>
      </c>
      <c r="V157" s="89" t="str">
        <f t="shared" si="24"/>
        <v>#DIV/0!</v>
      </c>
      <c r="W157" s="89" t="str">
        <f t="shared" si="9"/>
        <v>#DIV/0!</v>
      </c>
      <c r="X157" s="89"/>
      <c r="Y157" s="89"/>
      <c r="Z157" s="89"/>
      <c r="AA157" s="89"/>
      <c r="AB157" s="89"/>
      <c r="AC157" s="89"/>
      <c r="AD157" s="89"/>
      <c r="AE157" s="89"/>
      <c r="AF157" s="89"/>
      <c r="AG157" s="89"/>
      <c r="AH157" s="89"/>
    </row>
    <row r="158">
      <c r="A158" s="8" t="s">
        <v>296</v>
      </c>
      <c r="B158" s="97"/>
      <c r="C158" s="8"/>
      <c r="D158" s="89" t="str">
        <f t="shared" si="1"/>
        <v/>
      </c>
      <c r="E158" s="89" t="str">
        <f t="shared" si="2"/>
        <v>OT Hours</v>
      </c>
      <c r="F158" s="89" t="str">
        <f>IFERROR(VLOOKUP(C158,'Employees List'!$B$1:$G$999,2,0),"")</f>
        <v/>
      </c>
      <c r="G158" s="89" t="str">
        <f t="shared" si="23"/>
        <v>#DIV/0!</v>
      </c>
      <c r="H158" s="98"/>
      <c r="I158" s="89" t="str">
        <f>IFERROR(VLOOKUP(F158,'Employees List'!$C:$F,2,0),"")</f>
        <v/>
      </c>
      <c r="J158" s="93" t="str">
        <f>IFERROR(VLOOKUP(C158,'Employees List'!$B$2:$G$991,5,0),"")</f>
        <v/>
      </c>
      <c r="K158" s="95" t="str">
        <f>IFERROR(VLOOKUP(F158,'Employees List'!$C$1:$AB$991,5,0),"")</f>
        <v/>
      </c>
      <c r="L158" s="91">
        <f t="shared" si="3"/>
        <v>0</v>
      </c>
      <c r="M158" s="91">
        <f t="shared" si="4"/>
        <v>0</v>
      </c>
      <c r="N158" s="89" t="str">
        <f>IFERROR(VLOOKUP(B158,'Employees List'!$A$2:$H$991,8,0),"")</f>
        <v/>
      </c>
      <c r="O158" s="89" t="str">
        <f>IFERROR(VLOOKUP(D158,'Daily Attendance Report 24-25'!A165:BP999,5,0),"")</f>
        <v/>
      </c>
      <c r="P158" s="89" t="str">
        <f>IFERROR(VLOOKUP(E158,'Daily Attendance Report 24-25'!$A$1:$BO$617,5,0),"")</f>
        <v/>
      </c>
      <c r="Q158" s="89"/>
      <c r="R158" s="89"/>
      <c r="S158" s="89" t="str">
        <f t="shared" si="17"/>
        <v>#DIV/0!</v>
      </c>
      <c r="T158" s="89" t="str">
        <f t="shared" si="6"/>
        <v>#DIV/0!</v>
      </c>
      <c r="U158" s="89" t="str">
        <f t="shared" si="7"/>
        <v>#DIV/0!</v>
      </c>
      <c r="V158" s="89" t="str">
        <f t="shared" si="24"/>
        <v>#DIV/0!</v>
      </c>
      <c r="W158" s="89" t="str">
        <f t="shared" si="9"/>
        <v>#DIV/0!</v>
      </c>
      <c r="X158" s="89"/>
      <c r="Y158" s="89"/>
      <c r="Z158" s="89"/>
      <c r="AA158" s="89"/>
      <c r="AB158" s="89"/>
      <c r="AC158" s="89"/>
      <c r="AD158" s="89"/>
      <c r="AE158" s="89"/>
      <c r="AF158" s="89"/>
      <c r="AG158" s="89"/>
      <c r="AH158" s="89"/>
    </row>
    <row r="159">
      <c r="A159" s="8" t="s">
        <v>297</v>
      </c>
      <c r="B159" s="97"/>
      <c r="C159" s="8"/>
      <c r="D159" s="89" t="str">
        <f t="shared" si="1"/>
        <v/>
      </c>
      <c r="E159" s="89" t="str">
        <f t="shared" si="2"/>
        <v>OT Hours</v>
      </c>
      <c r="F159" s="89" t="str">
        <f>IFERROR(VLOOKUP(C159,'Employees List'!$B$1:$G$999,2,0),"")</f>
        <v/>
      </c>
      <c r="G159" s="89" t="str">
        <f t="shared" si="23"/>
        <v>#DIV/0!</v>
      </c>
      <c r="H159" s="98"/>
      <c r="I159" s="89" t="str">
        <f>IFERROR(VLOOKUP(F159,'Employees List'!$C:$F,2,0),"")</f>
        <v/>
      </c>
      <c r="J159" s="93" t="str">
        <f>IFERROR(VLOOKUP(C159,'Employees List'!$B$2:$G$991,5,0),"")</f>
        <v/>
      </c>
      <c r="K159" s="95" t="str">
        <f>IFERROR(VLOOKUP(F159,'Employees List'!$C$1:$AB$991,5,0),"")</f>
        <v/>
      </c>
      <c r="L159" s="91">
        <f t="shared" si="3"/>
        <v>0</v>
      </c>
      <c r="M159" s="91">
        <f t="shared" si="4"/>
        <v>0</v>
      </c>
      <c r="N159" s="89" t="str">
        <f>IFERROR(VLOOKUP(B159,'Employees List'!$A$2:$H$991,8,0),"")</f>
        <v/>
      </c>
      <c r="O159" s="89" t="str">
        <f>IFERROR(VLOOKUP(D159,'Daily Attendance Report 24-25'!A166:BP999,5,0),"")</f>
        <v/>
      </c>
      <c r="P159" s="89" t="str">
        <f>IFERROR(VLOOKUP(E159,'Daily Attendance Report 24-25'!$A$1:$BO$617,5,0),"")</f>
        <v/>
      </c>
      <c r="Q159" s="89"/>
      <c r="R159" s="89"/>
      <c r="S159" s="89" t="str">
        <f t="shared" si="17"/>
        <v>#DIV/0!</v>
      </c>
      <c r="T159" s="89" t="str">
        <f t="shared" si="6"/>
        <v>#DIV/0!</v>
      </c>
      <c r="U159" s="89" t="str">
        <f t="shared" si="7"/>
        <v>#DIV/0!</v>
      </c>
      <c r="V159" s="89" t="str">
        <f t="shared" si="24"/>
        <v>#DIV/0!</v>
      </c>
      <c r="W159" s="89" t="str">
        <f t="shared" si="9"/>
        <v>#DIV/0!</v>
      </c>
      <c r="X159" s="89"/>
      <c r="Y159" s="89"/>
      <c r="Z159" s="89"/>
      <c r="AA159" s="89"/>
      <c r="AB159" s="89"/>
      <c r="AC159" s="89"/>
      <c r="AD159" s="89"/>
      <c r="AE159" s="89"/>
      <c r="AF159" s="89"/>
      <c r="AG159" s="89"/>
      <c r="AH159" s="89"/>
    </row>
    <row r="160">
      <c r="A160" s="8" t="s">
        <v>298</v>
      </c>
      <c r="B160" s="97"/>
      <c r="C160" s="8"/>
      <c r="D160" s="89" t="str">
        <f t="shared" si="1"/>
        <v/>
      </c>
      <c r="E160" s="89" t="str">
        <f t="shared" si="2"/>
        <v>OT Hours</v>
      </c>
      <c r="F160" s="89" t="str">
        <f>IFERROR(VLOOKUP(C160,'Employees List'!$B$1:$G$999,2,0),"")</f>
        <v/>
      </c>
      <c r="G160" s="89" t="str">
        <f t="shared" si="23"/>
        <v>#DIV/0!</v>
      </c>
      <c r="H160" s="98"/>
      <c r="I160" s="89" t="str">
        <f>IFERROR(VLOOKUP(F160,'Employees List'!$C:$F,2,0),"")</f>
        <v/>
      </c>
      <c r="J160" s="93" t="str">
        <f>IFERROR(VLOOKUP(C160,'Employees List'!$B$2:$G$991,5,0),"")</f>
        <v/>
      </c>
      <c r="K160" s="95" t="str">
        <f>IFERROR(VLOOKUP(F160,'Employees List'!$C$1:$AB$991,5,0),"")</f>
        <v/>
      </c>
      <c r="L160" s="91">
        <f t="shared" si="3"/>
        <v>0</v>
      </c>
      <c r="M160" s="91">
        <f t="shared" si="4"/>
        <v>0</v>
      </c>
      <c r="N160" s="89" t="str">
        <f>IFERROR(VLOOKUP(B160,'Employees List'!$A$2:$H$991,8,0),"")</f>
        <v/>
      </c>
      <c r="O160" s="89" t="str">
        <f>IFERROR(VLOOKUP(D160,'Daily Attendance Report 24-25'!A167:BP999,5,0),"")</f>
        <v/>
      </c>
      <c r="P160" s="89" t="str">
        <f>IFERROR(VLOOKUP(E160,'Daily Attendance Report 24-25'!$A$1:$BO$617,5,0),"")</f>
        <v/>
      </c>
      <c r="Q160" s="89"/>
      <c r="R160" s="89"/>
      <c r="S160" s="89" t="str">
        <f t="shared" si="17"/>
        <v>#DIV/0!</v>
      </c>
      <c r="T160" s="89" t="str">
        <f t="shared" si="6"/>
        <v>#DIV/0!</v>
      </c>
      <c r="U160" s="89" t="str">
        <f t="shared" si="7"/>
        <v>#DIV/0!</v>
      </c>
      <c r="V160" s="89" t="str">
        <f t="shared" si="24"/>
        <v>#DIV/0!</v>
      </c>
      <c r="W160" s="89" t="str">
        <f t="shared" si="9"/>
        <v>#DIV/0!</v>
      </c>
      <c r="X160" s="89"/>
      <c r="Y160" s="89"/>
      <c r="Z160" s="89"/>
      <c r="AA160" s="89"/>
      <c r="AB160" s="89"/>
      <c r="AC160" s="89"/>
      <c r="AD160" s="89"/>
      <c r="AE160" s="89"/>
      <c r="AF160" s="89"/>
      <c r="AG160" s="89"/>
      <c r="AH160" s="89"/>
    </row>
    <row r="161">
      <c r="A161" s="8" t="s">
        <v>299</v>
      </c>
      <c r="B161" s="97"/>
      <c r="C161" s="8"/>
      <c r="D161" s="89" t="str">
        <f t="shared" si="1"/>
        <v/>
      </c>
      <c r="E161" s="89" t="str">
        <f t="shared" si="2"/>
        <v>OT Hours</v>
      </c>
      <c r="F161" s="89" t="str">
        <f>IFERROR(VLOOKUP(C161,'Employees List'!$B$1:$G$999,2,0),"")</f>
        <v/>
      </c>
      <c r="G161" s="89" t="str">
        <f t="shared" si="23"/>
        <v>#DIV/0!</v>
      </c>
      <c r="H161" s="98"/>
      <c r="I161" s="89" t="str">
        <f>IFERROR(VLOOKUP(F161,'Employees List'!$C:$F,2,0),"")</f>
        <v/>
      </c>
      <c r="J161" s="93" t="str">
        <f>IFERROR(VLOOKUP(C161,'Employees List'!$B$2:$G$991,5,0),"")</f>
        <v/>
      </c>
      <c r="K161" s="95" t="str">
        <f>IFERROR(VLOOKUP(F161,'Employees List'!$C$1:$AB$991,5,0),"")</f>
        <v/>
      </c>
      <c r="L161" s="91">
        <f t="shared" si="3"/>
        <v>0</v>
      </c>
      <c r="M161" s="91">
        <f t="shared" si="4"/>
        <v>0</v>
      </c>
      <c r="N161" s="89" t="str">
        <f>IFERROR(VLOOKUP(B161,'Employees List'!$A$2:$H$991,8,0),"")</f>
        <v/>
      </c>
      <c r="O161" s="89" t="str">
        <f>IFERROR(VLOOKUP(D161,'Daily Attendance Report 24-25'!A168:BP999,5,0),"")</f>
        <v/>
      </c>
      <c r="P161" s="89" t="str">
        <f>IFERROR(VLOOKUP(E161,'Daily Attendance Report 24-25'!$A$1:$BO$617,5,0),"")</f>
        <v/>
      </c>
      <c r="Q161" s="89"/>
      <c r="R161" s="89"/>
      <c r="S161" s="89" t="str">
        <f t="shared" si="17"/>
        <v>#DIV/0!</v>
      </c>
      <c r="T161" s="89" t="str">
        <f t="shared" si="6"/>
        <v>#DIV/0!</v>
      </c>
      <c r="U161" s="89" t="str">
        <f t="shared" si="7"/>
        <v>#DIV/0!</v>
      </c>
      <c r="V161" s="89" t="str">
        <f t="shared" si="24"/>
        <v>#DIV/0!</v>
      </c>
      <c r="W161" s="89" t="str">
        <f t="shared" si="9"/>
        <v>#DIV/0!</v>
      </c>
      <c r="X161" s="89"/>
      <c r="Y161" s="89"/>
      <c r="Z161" s="89"/>
      <c r="AA161" s="89"/>
      <c r="AB161" s="89"/>
      <c r="AC161" s="89"/>
      <c r="AD161" s="89"/>
      <c r="AE161" s="89"/>
      <c r="AF161" s="89"/>
      <c r="AG161" s="89"/>
      <c r="AH161" s="89"/>
    </row>
    <row r="162">
      <c r="A162" s="8" t="s">
        <v>300</v>
      </c>
      <c r="B162" s="97"/>
      <c r="C162" s="8"/>
      <c r="D162" s="89" t="str">
        <f t="shared" si="1"/>
        <v/>
      </c>
      <c r="E162" s="89" t="str">
        <f t="shared" si="2"/>
        <v>OT Hours</v>
      </c>
      <c r="F162" s="89" t="str">
        <f>IFERROR(VLOOKUP(C162,'Employees List'!$B$1:$G$999,2,0),"")</f>
        <v/>
      </c>
      <c r="G162" s="89" t="str">
        <f t="shared" si="23"/>
        <v>#DIV/0!</v>
      </c>
      <c r="H162" s="98"/>
      <c r="I162" s="89" t="str">
        <f>IFERROR(VLOOKUP(F162,'Employees List'!$C:$F,2,0),"")</f>
        <v/>
      </c>
      <c r="J162" s="93" t="str">
        <f>IFERROR(VLOOKUP(C162,'Employees List'!$B$2:$G$991,5,0),"")</f>
        <v/>
      </c>
      <c r="K162" s="95" t="str">
        <f>IFERROR(VLOOKUP(F162,'Employees List'!$C$1:$AB$991,5,0),"")</f>
        <v/>
      </c>
      <c r="L162" s="91">
        <f t="shared" si="3"/>
        <v>0</v>
      </c>
      <c r="M162" s="91">
        <f t="shared" si="4"/>
        <v>0</v>
      </c>
      <c r="N162" s="89" t="str">
        <f>IFERROR(VLOOKUP(B162,'Employees List'!$A$2:$H$991,8,0),"")</f>
        <v/>
      </c>
      <c r="O162" s="89" t="str">
        <f>IFERROR(VLOOKUP(D162,'Daily Attendance Report 24-25'!A169:BP999,5,0),"")</f>
        <v/>
      </c>
      <c r="P162" s="89" t="str">
        <f>IFERROR(VLOOKUP(E162,'Daily Attendance Report 24-25'!$A$1:$BO$617,5,0),"")</f>
        <v/>
      </c>
      <c r="Q162" s="89"/>
      <c r="R162" s="89"/>
      <c r="S162" s="89" t="str">
        <f t="shared" si="17"/>
        <v>#DIV/0!</v>
      </c>
      <c r="T162" s="89" t="str">
        <f t="shared" si="6"/>
        <v>#DIV/0!</v>
      </c>
      <c r="U162" s="89" t="str">
        <f t="shared" si="7"/>
        <v>#DIV/0!</v>
      </c>
      <c r="V162" s="89" t="str">
        <f t="shared" si="24"/>
        <v>#DIV/0!</v>
      </c>
      <c r="W162" s="89" t="str">
        <f t="shared" si="9"/>
        <v>#DIV/0!</v>
      </c>
      <c r="X162" s="89"/>
      <c r="Y162" s="89"/>
      <c r="Z162" s="89"/>
      <c r="AA162" s="89"/>
      <c r="AB162" s="89"/>
      <c r="AC162" s="89"/>
      <c r="AD162" s="89"/>
      <c r="AE162" s="89"/>
      <c r="AF162" s="89"/>
      <c r="AG162" s="89"/>
      <c r="AH162" s="89"/>
    </row>
    <row r="163">
      <c r="A163" s="8" t="s">
        <v>301</v>
      </c>
      <c r="B163" s="97"/>
      <c r="C163" s="8"/>
      <c r="D163" s="89" t="str">
        <f t="shared" si="1"/>
        <v/>
      </c>
      <c r="E163" s="89" t="str">
        <f t="shared" si="2"/>
        <v>OT Hours</v>
      </c>
      <c r="F163" s="89" t="str">
        <f>IFERROR(VLOOKUP(C163,'Employees List'!$B$1:$G$999,2,0),"")</f>
        <v/>
      </c>
      <c r="G163" s="89" t="str">
        <f t="shared" si="23"/>
        <v>#DIV/0!</v>
      </c>
      <c r="H163" s="98"/>
      <c r="I163" s="89" t="str">
        <f>IFERROR(VLOOKUP(F163,'Employees List'!$C:$F,2,0),"")</f>
        <v/>
      </c>
      <c r="J163" s="93" t="str">
        <f>IFERROR(VLOOKUP(C163,'Employees List'!$B$2:$G$991,5,0),"")</f>
        <v/>
      </c>
      <c r="K163" s="95" t="str">
        <f>IFERROR(VLOOKUP(F163,'Employees List'!$C$1:$AB$991,5,0),"")</f>
        <v/>
      </c>
      <c r="L163" s="91">
        <f t="shared" si="3"/>
        <v>0</v>
      </c>
      <c r="M163" s="91">
        <f t="shared" si="4"/>
        <v>0</v>
      </c>
      <c r="N163" s="89" t="str">
        <f>IFERROR(VLOOKUP(B163,'Employees List'!$A$2:$H$991,8,0),"")</f>
        <v/>
      </c>
      <c r="O163" s="89" t="str">
        <f>IFERROR(VLOOKUP(D163,'Daily Attendance Report 24-25'!A178:BP999,5,0),"")</f>
        <v/>
      </c>
      <c r="P163" s="89" t="str">
        <f>IFERROR(VLOOKUP(E163,'Daily Attendance Report 24-25'!$A$1:$BO$617,5,0),"")</f>
        <v/>
      </c>
      <c r="Q163" s="89"/>
      <c r="R163" s="89"/>
      <c r="S163" s="89" t="str">
        <f t="shared" si="17"/>
        <v>#DIV/0!</v>
      </c>
      <c r="T163" s="89" t="str">
        <f t="shared" si="6"/>
        <v>#DIV/0!</v>
      </c>
      <c r="U163" s="89" t="str">
        <f t="shared" si="7"/>
        <v>#DIV/0!</v>
      </c>
      <c r="V163" s="89" t="str">
        <f t="shared" si="24"/>
        <v>#DIV/0!</v>
      </c>
      <c r="W163" s="89" t="str">
        <f t="shared" si="9"/>
        <v>#DIV/0!</v>
      </c>
      <c r="X163" s="89"/>
      <c r="Y163" s="89"/>
      <c r="Z163" s="89"/>
      <c r="AA163" s="89"/>
      <c r="AB163" s="89"/>
      <c r="AC163" s="89"/>
      <c r="AD163" s="89"/>
      <c r="AE163" s="89"/>
      <c r="AF163" s="89"/>
      <c r="AG163" s="89"/>
      <c r="AH163" s="89"/>
    </row>
    <row r="164">
      <c r="A164" s="8" t="s">
        <v>302</v>
      </c>
      <c r="B164" s="97"/>
      <c r="C164" s="8"/>
      <c r="D164" s="89" t="str">
        <f t="shared" si="1"/>
        <v/>
      </c>
      <c r="E164" s="89" t="str">
        <f t="shared" si="2"/>
        <v>OT Hours</v>
      </c>
      <c r="F164" s="89" t="str">
        <f>IFERROR(VLOOKUP(C164,'Employees List'!$B$1:$G$999,2,0),"")</f>
        <v/>
      </c>
      <c r="G164" s="89" t="str">
        <f t="shared" si="23"/>
        <v>#DIV/0!</v>
      </c>
      <c r="H164" s="98"/>
      <c r="I164" s="89" t="str">
        <f>IFERROR(VLOOKUP(F164,'Employees List'!$C:$F,2,0),"")</f>
        <v/>
      </c>
      <c r="J164" s="93" t="str">
        <f>IFERROR(VLOOKUP(C164,'Employees List'!$B$2:$G$991,5,0),"")</f>
        <v/>
      </c>
      <c r="K164" s="95" t="str">
        <f>IFERROR(VLOOKUP(F164,'Employees List'!$C$1:$AB$991,5,0),"")</f>
        <v/>
      </c>
      <c r="L164" s="91">
        <f t="shared" si="3"/>
        <v>0</v>
      </c>
      <c r="M164" s="91">
        <f t="shared" si="4"/>
        <v>0</v>
      </c>
      <c r="N164" s="89" t="str">
        <f>IFERROR(VLOOKUP(B164,'Employees List'!$A$2:$H$991,8,0),"")</f>
        <v/>
      </c>
      <c r="O164" s="89" t="str">
        <f>IFERROR(VLOOKUP(D164,'Daily Attendance Report 24-25'!A179:BP999,5,0),"")</f>
        <v/>
      </c>
      <c r="P164" s="89" t="str">
        <f>IFERROR(VLOOKUP(E164,'Daily Attendance Report 24-25'!$A$1:$BO$617,5,0),"")</f>
        <v/>
      </c>
      <c r="Q164" s="89"/>
      <c r="R164" s="89"/>
      <c r="S164" s="89" t="str">
        <f t="shared" si="17"/>
        <v>#DIV/0!</v>
      </c>
      <c r="T164" s="89" t="str">
        <f t="shared" si="6"/>
        <v>#DIV/0!</v>
      </c>
      <c r="U164" s="89" t="str">
        <f t="shared" si="7"/>
        <v>#DIV/0!</v>
      </c>
      <c r="V164" s="89" t="str">
        <f t="shared" si="24"/>
        <v>#DIV/0!</v>
      </c>
      <c r="W164" s="89" t="str">
        <f t="shared" si="9"/>
        <v>#DIV/0!</v>
      </c>
      <c r="X164" s="89"/>
      <c r="Y164" s="89"/>
      <c r="Z164" s="89"/>
      <c r="AA164" s="89"/>
      <c r="AB164" s="89"/>
      <c r="AC164" s="89"/>
      <c r="AD164" s="89"/>
      <c r="AE164" s="89"/>
      <c r="AF164" s="89"/>
      <c r="AG164" s="89"/>
      <c r="AH164" s="89"/>
    </row>
    <row r="165">
      <c r="A165" s="8" t="s">
        <v>303</v>
      </c>
      <c r="B165" s="97"/>
      <c r="C165" s="8"/>
      <c r="D165" s="89" t="str">
        <f t="shared" si="1"/>
        <v/>
      </c>
      <c r="E165" s="89" t="str">
        <f t="shared" si="2"/>
        <v>OT Hours</v>
      </c>
      <c r="F165" s="89" t="str">
        <f>IFERROR(VLOOKUP(C165,'Employees List'!$B$1:$G$999,2,0),"")</f>
        <v/>
      </c>
      <c r="G165" s="89" t="str">
        <f t="shared" si="23"/>
        <v>#DIV/0!</v>
      </c>
      <c r="H165" s="98"/>
      <c r="I165" s="89" t="str">
        <f>IFERROR(VLOOKUP(F165,'Employees List'!$C:$F,2,0),"")</f>
        <v/>
      </c>
      <c r="J165" s="93" t="str">
        <f>IFERROR(VLOOKUP(C165,'Employees List'!$B$2:$G$991,5,0),"")</f>
        <v/>
      </c>
      <c r="K165" s="95" t="str">
        <f>IFERROR(VLOOKUP(F165,'Employees List'!$C$1:$AB$991,5,0),"")</f>
        <v/>
      </c>
      <c r="L165" s="91">
        <f t="shared" si="3"/>
        <v>0</v>
      </c>
      <c r="M165" s="91">
        <f t="shared" si="4"/>
        <v>0</v>
      </c>
      <c r="N165" s="89" t="str">
        <f>IFERROR(VLOOKUP(B165,'Employees List'!$A$2:$H$991,8,0),"")</f>
        <v/>
      </c>
      <c r="O165" s="89" t="str">
        <f>IFERROR(VLOOKUP(D165,'Daily Attendance Report 24-25'!A180:BP999,5,0),"")</f>
        <v/>
      </c>
      <c r="P165" s="89" t="str">
        <f>IFERROR(VLOOKUP(E165,'Daily Attendance Report 24-25'!$A$1:$BO$617,5,0),"")</f>
        <v/>
      </c>
      <c r="Q165" s="89"/>
      <c r="R165" s="89"/>
      <c r="S165" s="89" t="str">
        <f t="shared" si="17"/>
        <v>#DIV/0!</v>
      </c>
      <c r="T165" s="89" t="str">
        <f t="shared" si="6"/>
        <v>#DIV/0!</v>
      </c>
      <c r="U165" s="89" t="str">
        <f t="shared" si="7"/>
        <v>#DIV/0!</v>
      </c>
      <c r="V165" s="89" t="str">
        <f t="shared" si="24"/>
        <v>#DIV/0!</v>
      </c>
      <c r="W165" s="89" t="str">
        <f t="shared" si="9"/>
        <v>#DIV/0!</v>
      </c>
      <c r="X165" s="89"/>
      <c r="Y165" s="89"/>
      <c r="Z165" s="89"/>
      <c r="AA165" s="89"/>
      <c r="AB165" s="89"/>
      <c r="AC165" s="89"/>
      <c r="AD165" s="89"/>
      <c r="AE165" s="89"/>
      <c r="AF165" s="89"/>
      <c r="AG165" s="89"/>
      <c r="AH165" s="89"/>
    </row>
    <row r="166">
      <c r="A166" s="8" t="s">
        <v>304</v>
      </c>
      <c r="B166" s="97"/>
      <c r="C166" s="8"/>
      <c r="D166" s="89" t="str">
        <f t="shared" si="1"/>
        <v/>
      </c>
      <c r="E166" s="89" t="str">
        <f t="shared" si="2"/>
        <v>OT Hours</v>
      </c>
      <c r="F166" s="89" t="str">
        <f>IFERROR(VLOOKUP(C166,'Employees List'!$B$1:$G$999,2,0),"")</f>
        <v/>
      </c>
      <c r="G166" s="89" t="str">
        <f t="shared" si="23"/>
        <v>#DIV/0!</v>
      </c>
      <c r="H166" s="98"/>
      <c r="I166" s="89" t="str">
        <f>IFERROR(VLOOKUP(F166,'Employees List'!$C:$F,2,0),"")</f>
        <v/>
      </c>
      <c r="J166" s="93" t="str">
        <f>IFERROR(VLOOKUP(C166,'Employees List'!$B$2:$G$991,5,0),"")</f>
        <v/>
      </c>
      <c r="K166" s="95" t="str">
        <f>IFERROR(VLOOKUP(F166,'Employees List'!$C$1:$AB$991,5,0),"")</f>
        <v/>
      </c>
      <c r="L166" s="91">
        <f t="shared" si="3"/>
        <v>0</v>
      </c>
      <c r="M166" s="91">
        <f t="shared" si="4"/>
        <v>0</v>
      </c>
      <c r="N166" s="89" t="str">
        <f>IFERROR(VLOOKUP(B166,'Employees List'!$A$2:$H$991,8,0),"")</f>
        <v/>
      </c>
      <c r="O166" s="89" t="str">
        <f>IFERROR(VLOOKUP(D166,'Daily Attendance Report 24-25'!A181:BP999,5,0),"")</f>
        <v/>
      </c>
      <c r="P166" s="89" t="str">
        <f>IFERROR(VLOOKUP(E166,'Daily Attendance Report 24-25'!$A$1:$BO$617,5,0),"")</f>
        <v/>
      </c>
      <c r="Q166" s="89"/>
      <c r="R166" s="89"/>
      <c r="S166" s="89" t="str">
        <f t="shared" si="17"/>
        <v>#DIV/0!</v>
      </c>
      <c r="T166" s="89" t="str">
        <f t="shared" si="6"/>
        <v>#DIV/0!</v>
      </c>
      <c r="U166" s="89" t="str">
        <f t="shared" si="7"/>
        <v>#DIV/0!</v>
      </c>
      <c r="V166" s="89" t="str">
        <f t="shared" si="24"/>
        <v>#DIV/0!</v>
      </c>
      <c r="W166" s="89" t="str">
        <f t="shared" si="9"/>
        <v>#DIV/0!</v>
      </c>
      <c r="X166" s="89"/>
      <c r="Y166" s="89"/>
      <c r="Z166" s="89"/>
      <c r="AA166" s="89"/>
      <c r="AB166" s="89"/>
      <c r="AC166" s="89"/>
      <c r="AD166" s="89"/>
      <c r="AE166" s="89"/>
      <c r="AF166" s="89"/>
      <c r="AG166" s="89"/>
      <c r="AH166" s="89"/>
    </row>
    <row r="167">
      <c r="A167" s="8" t="s">
        <v>305</v>
      </c>
      <c r="B167" s="97"/>
      <c r="C167" s="8"/>
      <c r="D167" s="89" t="str">
        <f t="shared" si="1"/>
        <v/>
      </c>
      <c r="E167" s="89" t="str">
        <f t="shared" si="2"/>
        <v>OT Hours</v>
      </c>
      <c r="F167" s="89" t="str">
        <f>IFERROR(VLOOKUP(C167,'Employees List'!$B$1:$G$999,2,0),"")</f>
        <v/>
      </c>
      <c r="G167" s="89" t="str">
        <f t="shared" si="23"/>
        <v>#DIV/0!</v>
      </c>
      <c r="H167" s="98"/>
      <c r="I167" s="89" t="str">
        <f>IFERROR(VLOOKUP(F167,'Employees List'!$C:$F,2,0),"")</f>
        <v/>
      </c>
      <c r="J167" s="93" t="str">
        <f>IFERROR(VLOOKUP(C167,'Employees List'!$B$2:$G$991,5,0),"")</f>
        <v/>
      </c>
      <c r="K167" s="95" t="str">
        <f>IFERROR(VLOOKUP(F167,'Employees List'!$C$1:$AB$991,5,0),"")</f>
        <v/>
      </c>
      <c r="L167" s="91">
        <f t="shared" si="3"/>
        <v>0</v>
      </c>
      <c r="M167" s="91">
        <f t="shared" si="4"/>
        <v>0</v>
      </c>
      <c r="N167" s="89" t="str">
        <f>IFERROR(VLOOKUP(B167,'Employees List'!$A$2:$H$991,8,0),"")</f>
        <v/>
      </c>
      <c r="O167" s="89" t="str">
        <f>IFERROR(VLOOKUP(D167,'Daily Attendance Report 24-25'!A182:BP999,5,0),"")</f>
        <v/>
      </c>
      <c r="P167" s="89" t="str">
        <f>IFERROR(VLOOKUP(E167,'Daily Attendance Report 24-25'!$A$1:$BO$617,5,0),"")</f>
        <v/>
      </c>
      <c r="Q167" s="89"/>
      <c r="R167" s="89"/>
      <c r="S167" s="89" t="str">
        <f t="shared" si="17"/>
        <v>#DIV/0!</v>
      </c>
      <c r="T167" s="89" t="str">
        <f t="shared" si="6"/>
        <v>#DIV/0!</v>
      </c>
      <c r="U167" s="89" t="str">
        <f t="shared" si="7"/>
        <v>#DIV/0!</v>
      </c>
      <c r="V167" s="89" t="str">
        <f t="shared" si="24"/>
        <v>#DIV/0!</v>
      </c>
      <c r="W167" s="89" t="str">
        <f t="shared" si="9"/>
        <v>#DIV/0!</v>
      </c>
      <c r="X167" s="89"/>
      <c r="Y167" s="89"/>
      <c r="Z167" s="89"/>
      <c r="AA167" s="89"/>
      <c r="AB167" s="89"/>
      <c r="AC167" s="89"/>
      <c r="AD167" s="89"/>
      <c r="AE167" s="89"/>
      <c r="AF167" s="89"/>
      <c r="AG167" s="89"/>
      <c r="AH167" s="89"/>
    </row>
    <row r="168">
      <c r="A168" s="8" t="s">
        <v>306</v>
      </c>
      <c r="B168" s="97"/>
      <c r="C168" s="8"/>
      <c r="D168" s="89" t="str">
        <f t="shared" si="1"/>
        <v/>
      </c>
      <c r="E168" s="89" t="str">
        <f t="shared" si="2"/>
        <v>OT Hours</v>
      </c>
      <c r="F168" s="89" t="str">
        <f>IFERROR(VLOOKUP(C168,'Employees List'!$B$1:$G$999,2,0),"")</f>
        <v/>
      </c>
      <c r="G168" s="89" t="str">
        <f t="shared" si="23"/>
        <v>#DIV/0!</v>
      </c>
      <c r="H168" s="98"/>
      <c r="I168" s="89" t="str">
        <f>IFERROR(VLOOKUP(F168,'Employees List'!$C:$F,2,0),"")</f>
        <v/>
      </c>
      <c r="J168" s="93" t="str">
        <f>IFERROR(VLOOKUP(C168,'Employees List'!$B$2:$G$991,5,0),"")</f>
        <v/>
      </c>
      <c r="K168" s="95" t="str">
        <f>IFERROR(VLOOKUP(F168,'Employees List'!$C$1:$AB$991,5,0),"")</f>
        <v/>
      </c>
      <c r="L168" s="91">
        <f t="shared" si="3"/>
        <v>0</v>
      </c>
      <c r="M168" s="91">
        <f t="shared" si="4"/>
        <v>0</v>
      </c>
      <c r="N168" s="89" t="str">
        <f>IFERROR(VLOOKUP(B168,'Employees List'!$A$2:$H$991,8,0),"")</f>
        <v/>
      </c>
      <c r="O168" s="89" t="str">
        <f>IFERROR(VLOOKUP(D168,'Daily Attendance Report 24-25'!A183:BP999,5,0),"")</f>
        <v/>
      </c>
      <c r="P168" s="89" t="str">
        <f>IFERROR(VLOOKUP(E168,'Daily Attendance Report 24-25'!$A$1:$BO$617,5,0),"")</f>
        <v/>
      </c>
      <c r="Q168" s="89"/>
      <c r="R168" s="89"/>
      <c r="S168" s="89" t="str">
        <f t="shared" si="17"/>
        <v>#DIV/0!</v>
      </c>
      <c r="T168" s="89" t="str">
        <f t="shared" si="6"/>
        <v>#DIV/0!</v>
      </c>
      <c r="U168" s="89" t="str">
        <f t="shared" si="7"/>
        <v>#DIV/0!</v>
      </c>
      <c r="V168" s="89" t="str">
        <f t="shared" si="24"/>
        <v>#DIV/0!</v>
      </c>
      <c r="W168" s="89" t="str">
        <f t="shared" si="9"/>
        <v>#DIV/0!</v>
      </c>
      <c r="X168" s="89"/>
      <c r="Y168" s="89"/>
      <c r="Z168" s="89"/>
      <c r="AA168" s="89"/>
      <c r="AB168" s="89"/>
      <c r="AC168" s="89"/>
      <c r="AD168" s="89"/>
      <c r="AE168" s="89"/>
      <c r="AF168" s="89"/>
      <c r="AG168" s="89"/>
      <c r="AH168" s="89"/>
    </row>
    <row r="169">
      <c r="A169" s="8" t="s">
        <v>307</v>
      </c>
      <c r="B169" s="97"/>
      <c r="C169" s="8"/>
      <c r="D169" s="89" t="str">
        <f t="shared" si="1"/>
        <v/>
      </c>
      <c r="E169" s="89" t="str">
        <f t="shared" si="2"/>
        <v>OT Hours</v>
      </c>
      <c r="F169" s="89" t="str">
        <f>IFERROR(VLOOKUP(C169,'Employees List'!$B$1:$G$999,2,0),"")</f>
        <v/>
      </c>
      <c r="G169" s="89" t="str">
        <f t="shared" si="23"/>
        <v>#DIV/0!</v>
      </c>
      <c r="H169" s="98"/>
      <c r="I169" s="89" t="str">
        <f>IFERROR(VLOOKUP(F169,'Employees List'!$C:$F,2,0),"")</f>
        <v/>
      </c>
      <c r="J169" s="93" t="str">
        <f>IFERROR(VLOOKUP(C169,'Employees List'!$B$2:$G$991,5,0),"")</f>
        <v/>
      </c>
      <c r="K169" s="95" t="str">
        <f>IFERROR(VLOOKUP(F169,'Employees List'!$C$1:$AB$991,5,0),"")</f>
        <v/>
      </c>
      <c r="L169" s="91">
        <f t="shared" si="3"/>
        <v>0</v>
      </c>
      <c r="M169" s="91">
        <f t="shared" si="4"/>
        <v>0</v>
      </c>
      <c r="N169" s="89" t="str">
        <f>IFERROR(VLOOKUP(B169,'Employees List'!$A$2:$H$991,8,0),"")</f>
        <v/>
      </c>
      <c r="O169" s="89" t="str">
        <f>IFERROR(VLOOKUP(D169,'Daily Attendance Report 24-25'!A184:BP999,5,0),"")</f>
        <v/>
      </c>
      <c r="P169" s="89" t="str">
        <f>IFERROR(VLOOKUP(E169,'Daily Attendance Report 24-25'!$A$1:$BO$617,5,0),"")</f>
        <v/>
      </c>
      <c r="Q169" s="89"/>
      <c r="R169" s="89"/>
      <c r="S169" s="89" t="str">
        <f t="shared" si="17"/>
        <v>#DIV/0!</v>
      </c>
      <c r="T169" s="89" t="str">
        <f t="shared" si="6"/>
        <v>#DIV/0!</v>
      </c>
      <c r="U169" s="89" t="str">
        <f t="shared" si="7"/>
        <v>#DIV/0!</v>
      </c>
      <c r="V169" s="89" t="str">
        <f t="shared" si="24"/>
        <v>#DIV/0!</v>
      </c>
      <c r="W169" s="89" t="str">
        <f t="shared" si="9"/>
        <v>#DIV/0!</v>
      </c>
      <c r="X169" s="89"/>
      <c r="Y169" s="89"/>
      <c r="Z169" s="89"/>
      <c r="AA169" s="89"/>
      <c r="AB169" s="89"/>
      <c r="AC169" s="89"/>
      <c r="AD169" s="89"/>
      <c r="AE169" s="89"/>
      <c r="AF169" s="89"/>
      <c r="AG169" s="89"/>
      <c r="AH169" s="89"/>
    </row>
    <row r="170">
      <c r="A170" s="8" t="s">
        <v>308</v>
      </c>
      <c r="B170" s="97"/>
      <c r="C170" s="8"/>
      <c r="D170" s="89" t="str">
        <f t="shared" si="1"/>
        <v/>
      </c>
      <c r="E170" s="89" t="str">
        <f t="shared" si="2"/>
        <v>OT Hours</v>
      </c>
      <c r="F170" s="89" t="str">
        <f>IFERROR(VLOOKUP(C170,'Employees List'!$B$1:$G$999,2,0),"")</f>
        <v/>
      </c>
      <c r="G170" s="89" t="str">
        <f t="shared" si="23"/>
        <v>#DIV/0!</v>
      </c>
      <c r="H170" s="98"/>
      <c r="I170" s="89" t="str">
        <f>IFERROR(VLOOKUP(F170,'Employees List'!$C:$F,2,0),"")</f>
        <v/>
      </c>
      <c r="J170" s="93" t="str">
        <f>IFERROR(VLOOKUP(C170,'Employees List'!$B$2:$G$991,5,0),"")</f>
        <v/>
      </c>
      <c r="K170" s="95" t="str">
        <f>IFERROR(VLOOKUP(F170,'Employees List'!$C$1:$AB$991,5,0),"")</f>
        <v/>
      </c>
      <c r="L170" s="91">
        <f t="shared" si="3"/>
        <v>0</v>
      </c>
      <c r="M170" s="91">
        <f t="shared" si="4"/>
        <v>0</v>
      </c>
      <c r="N170" s="89" t="str">
        <f>IFERROR(VLOOKUP(B170,'Employees List'!$A$2:$H$991,8,0),"")</f>
        <v/>
      </c>
      <c r="O170" s="89" t="str">
        <f>IFERROR(VLOOKUP(D170,'Daily Attendance Report 24-25'!A185:BP999,5,0),"")</f>
        <v/>
      </c>
      <c r="P170" s="89" t="str">
        <f>IFERROR(VLOOKUP(E170,'Daily Attendance Report 24-25'!$A$1:$BO$617,5,0),"")</f>
        <v/>
      </c>
      <c r="Q170" s="89"/>
      <c r="R170" s="89"/>
      <c r="S170" s="89" t="str">
        <f t="shared" si="17"/>
        <v>#DIV/0!</v>
      </c>
      <c r="T170" s="89" t="str">
        <f t="shared" si="6"/>
        <v>#DIV/0!</v>
      </c>
      <c r="U170" s="89" t="str">
        <f t="shared" si="7"/>
        <v>#DIV/0!</v>
      </c>
      <c r="V170" s="89" t="str">
        <f t="shared" si="24"/>
        <v>#DIV/0!</v>
      </c>
      <c r="W170" s="89" t="str">
        <f t="shared" si="9"/>
        <v>#DIV/0!</v>
      </c>
      <c r="X170" s="89"/>
      <c r="Y170" s="89"/>
      <c r="Z170" s="89"/>
      <c r="AA170" s="89"/>
      <c r="AB170" s="89"/>
      <c r="AC170" s="89"/>
      <c r="AD170" s="89"/>
      <c r="AE170" s="89"/>
      <c r="AF170" s="89"/>
      <c r="AG170" s="89"/>
      <c r="AH170" s="89"/>
    </row>
    <row r="171">
      <c r="A171" s="8" t="s">
        <v>309</v>
      </c>
      <c r="B171" s="97"/>
      <c r="C171" s="8"/>
      <c r="D171" s="89" t="str">
        <f t="shared" si="1"/>
        <v/>
      </c>
      <c r="E171" s="89" t="str">
        <f t="shared" si="2"/>
        <v>OT Hours</v>
      </c>
      <c r="F171" s="89" t="str">
        <f>IFERROR(VLOOKUP(C171,'Employees List'!$B$1:$G$999,2,0),"")</f>
        <v/>
      </c>
      <c r="G171" s="89" t="str">
        <f t="shared" si="23"/>
        <v>#DIV/0!</v>
      </c>
      <c r="H171" s="98"/>
      <c r="I171" s="89" t="str">
        <f>IFERROR(VLOOKUP(F171,'Employees List'!$C:$F,2,0),"")</f>
        <v/>
      </c>
      <c r="J171" s="93" t="str">
        <f>IFERROR(VLOOKUP(C171,'Employees List'!$B$2:$G$991,5,0),"")</f>
        <v/>
      </c>
      <c r="K171" s="95" t="str">
        <f>IFERROR(VLOOKUP(F171,'Employees List'!$C$1:$AB$991,5,0),"")</f>
        <v/>
      </c>
      <c r="L171" s="91">
        <f t="shared" si="3"/>
        <v>0</v>
      </c>
      <c r="M171" s="91">
        <f t="shared" si="4"/>
        <v>0</v>
      </c>
      <c r="N171" s="89" t="str">
        <f>IFERROR(VLOOKUP(B171,'Employees List'!$A$2:$H$991,8,0),"")</f>
        <v/>
      </c>
      <c r="O171" s="89" t="str">
        <f>IFERROR(VLOOKUP(D171,'Daily Attendance Report 24-25'!A186:BP999,5,0),"")</f>
        <v/>
      </c>
      <c r="P171" s="89" t="str">
        <f>IFERROR(VLOOKUP(E171,'Daily Attendance Report 24-25'!$A$1:$BO$617,5,0),"")</f>
        <v/>
      </c>
      <c r="Q171" s="89"/>
      <c r="R171" s="89"/>
      <c r="S171" s="89" t="str">
        <f t="shared" si="17"/>
        <v>#DIV/0!</v>
      </c>
      <c r="T171" s="89" t="str">
        <f t="shared" si="6"/>
        <v>#DIV/0!</v>
      </c>
      <c r="U171" s="89" t="str">
        <f t="shared" si="7"/>
        <v>#DIV/0!</v>
      </c>
      <c r="V171" s="89" t="str">
        <f t="shared" si="24"/>
        <v>#DIV/0!</v>
      </c>
      <c r="W171" s="89" t="str">
        <f t="shared" si="9"/>
        <v>#DIV/0!</v>
      </c>
      <c r="X171" s="89"/>
      <c r="Y171" s="89"/>
      <c r="Z171" s="89"/>
      <c r="AA171" s="89"/>
      <c r="AB171" s="89"/>
      <c r="AC171" s="89"/>
      <c r="AD171" s="89"/>
      <c r="AE171" s="89"/>
      <c r="AF171" s="89"/>
      <c r="AG171" s="89"/>
      <c r="AH171" s="89"/>
    </row>
    <row r="172">
      <c r="A172" s="8" t="s">
        <v>310</v>
      </c>
      <c r="B172" s="97"/>
      <c r="C172" s="8"/>
      <c r="D172" s="89" t="str">
        <f t="shared" si="1"/>
        <v/>
      </c>
      <c r="E172" s="89" t="str">
        <f t="shared" si="2"/>
        <v>OT Hours</v>
      </c>
      <c r="F172" s="89" t="str">
        <f>IFERROR(VLOOKUP(C172,'Employees List'!$B$1:$G$999,2,0),"")</f>
        <v/>
      </c>
      <c r="G172" s="89" t="str">
        <f t="shared" si="23"/>
        <v>#DIV/0!</v>
      </c>
      <c r="H172" s="98"/>
      <c r="I172" s="89" t="str">
        <f>IFERROR(VLOOKUP(F172,'Employees List'!$C:$F,2,0),"")</f>
        <v/>
      </c>
      <c r="J172" s="93" t="str">
        <f>IFERROR(VLOOKUP(C172,'Employees List'!$B$2:$G$991,5,0),"")</f>
        <v/>
      </c>
      <c r="K172" s="95" t="str">
        <f>IFERROR(VLOOKUP(F172,'Employees List'!$C$1:$AB$991,5,0),"")</f>
        <v/>
      </c>
      <c r="L172" s="91">
        <f t="shared" si="3"/>
        <v>0</v>
      </c>
      <c r="M172" s="91">
        <f t="shared" si="4"/>
        <v>0</v>
      </c>
      <c r="N172" s="89" t="str">
        <f>IFERROR(VLOOKUP(B172,'Employees List'!$A$2:$H$991,8,0),"")</f>
        <v/>
      </c>
      <c r="O172" s="89" t="str">
        <f>IFERROR(VLOOKUP(D172,'Daily Attendance Report 24-25'!A187:BP999,5,0),"")</f>
        <v/>
      </c>
      <c r="P172" s="89" t="str">
        <f>IFERROR(VLOOKUP(E172,'Daily Attendance Report 24-25'!$A$1:$BO$617,5,0),"")</f>
        <v/>
      </c>
      <c r="Q172" s="89"/>
      <c r="R172" s="89"/>
      <c r="S172" s="89" t="str">
        <f t="shared" si="17"/>
        <v>#DIV/0!</v>
      </c>
      <c r="T172" s="89" t="str">
        <f t="shared" si="6"/>
        <v>#DIV/0!</v>
      </c>
      <c r="U172" s="89" t="str">
        <f t="shared" si="7"/>
        <v>#DIV/0!</v>
      </c>
      <c r="V172" s="89" t="str">
        <f t="shared" si="24"/>
        <v>#DIV/0!</v>
      </c>
      <c r="W172" s="89" t="str">
        <f t="shared" si="9"/>
        <v>#DIV/0!</v>
      </c>
      <c r="X172" s="89"/>
      <c r="Y172" s="89"/>
      <c r="Z172" s="89"/>
      <c r="AA172" s="89"/>
      <c r="AB172" s="89"/>
      <c r="AC172" s="89"/>
      <c r="AD172" s="89"/>
      <c r="AE172" s="89"/>
      <c r="AF172" s="89"/>
      <c r="AG172" s="89"/>
      <c r="AH172" s="89"/>
    </row>
    <row r="173">
      <c r="A173" s="8" t="s">
        <v>311</v>
      </c>
      <c r="B173" s="97"/>
      <c r="C173" s="8"/>
      <c r="D173" s="89" t="str">
        <f t="shared" si="1"/>
        <v/>
      </c>
      <c r="E173" s="89" t="str">
        <f t="shared" si="2"/>
        <v>OT Hours</v>
      </c>
      <c r="F173" s="89" t="str">
        <f>IFERROR(VLOOKUP(C173,'Employees List'!$B$1:$G$999,2,0),"")</f>
        <v/>
      </c>
      <c r="G173" s="89" t="str">
        <f t="shared" si="23"/>
        <v>#DIV/0!</v>
      </c>
      <c r="H173" s="98"/>
      <c r="I173" s="89" t="str">
        <f>IFERROR(VLOOKUP(F173,'Employees List'!$C:$F,2,0),"")</f>
        <v/>
      </c>
      <c r="J173" s="93" t="str">
        <f>IFERROR(VLOOKUP(C173,'Employees List'!$B$2:$G$991,5,0),"")</f>
        <v/>
      </c>
      <c r="K173" s="95" t="str">
        <f>IFERROR(VLOOKUP(F173,'Employees List'!$C$1:$AB$991,5,0),"")</f>
        <v/>
      </c>
      <c r="L173" s="91">
        <f t="shared" si="3"/>
        <v>0</v>
      </c>
      <c r="M173" s="91">
        <f t="shared" si="4"/>
        <v>0</v>
      </c>
      <c r="N173" s="89" t="str">
        <f>IFERROR(VLOOKUP(B173,'Employees List'!$A$2:$H$991,8,0),"")</f>
        <v/>
      </c>
      <c r="O173" s="89" t="str">
        <f>IFERROR(VLOOKUP(D173,'Daily Attendance Report 24-25'!A188:BP999,5,0),"")</f>
        <v/>
      </c>
      <c r="P173" s="89" t="str">
        <f>IFERROR(VLOOKUP(E173,'Daily Attendance Report 24-25'!$A$1:$BO$617,5,0),"")</f>
        <v/>
      </c>
      <c r="Q173" s="89"/>
      <c r="R173" s="89"/>
      <c r="S173" s="89" t="str">
        <f t="shared" si="17"/>
        <v>#DIV/0!</v>
      </c>
      <c r="T173" s="89" t="str">
        <f t="shared" si="6"/>
        <v>#DIV/0!</v>
      </c>
      <c r="U173" s="89" t="str">
        <f t="shared" si="7"/>
        <v>#DIV/0!</v>
      </c>
      <c r="V173" s="89" t="str">
        <f t="shared" si="24"/>
        <v>#DIV/0!</v>
      </c>
      <c r="W173" s="89" t="str">
        <f t="shared" si="9"/>
        <v>#DIV/0!</v>
      </c>
      <c r="X173" s="89"/>
      <c r="Y173" s="89"/>
      <c r="Z173" s="89"/>
      <c r="AA173" s="89"/>
      <c r="AB173" s="89"/>
      <c r="AC173" s="89"/>
      <c r="AD173" s="89"/>
      <c r="AE173" s="89"/>
      <c r="AF173" s="89"/>
      <c r="AG173" s="89"/>
      <c r="AH173" s="89"/>
    </row>
    <row r="174">
      <c r="A174" s="8" t="s">
        <v>312</v>
      </c>
      <c r="B174" s="97"/>
      <c r="C174" s="8"/>
      <c r="D174" s="89" t="str">
        <f t="shared" si="1"/>
        <v/>
      </c>
      <c r="E174" s="89" t="str">
        <f t="shared" si="2"/>
        <v>OT Hours</v>
      </c>
      <c r="F174" s="89" t="str">
        <f>IFERROR(VLOOKUP(C174,'Employees List'!$B$1:$G$999,2,0),"")</f>
        <v/>
      </c>
      <c r="G174" s="89" t="str">
        <f t="shared" si="23"/>
        <v>#DIV/0!</v>
      </c>
      <c r="H174" s="98"/>
      <c r="I174" s="89" t="str">
        <f>IFERROR(VLOOKUP(F174,'Employees List'!$C:$F,2,0),"")</f>
        <v/>
      </c>
      <c r="J174" s="93" t="str">
        <f>IFERROR(VLOOKUP(C174,'Employees List'!$B$2:$G$991,5,0),"")</f>
        <v/>
      </c>
      <c r="K174" s="95" t="str">
        <f>IFERROR(VLOOKUP(F174,'Employees List'!$C$1:$AB$991,5,0),"")</f>
        <v/>
      </c>
      <c r="L174" s="91">
        <f t="shared" si="3"/>
        <v>0</v>
      </c>
      <c r="M174" s="91">
        <f t="shared" si="4"/>
        <v>0</v>
      </c>
      <c r="N174" s="89" t="str">
        <f>IFERROR(VLOOKUP(B174,'Employees List'!$A$2:$H$991,8,0),"")</f>
        <v/>
      </c>
      <c r="O174" s="89" t="str">
        <f>IFERROR(VLOOKUP(D174,'Daily Attendance Report 24-25'!A189:BP999,5,0),"")</f>
        <v/>
      </c>
      <c r="P174" s="89" t="str">
        <f>IFERROR(VLOOKUP(E174,'Daily Attendance Report 24-25'!$A$1:$BO$617,5,0),"")</f>
        <v/>
      </c>
      <c r="Q174" s="89"/>
      <c r="R174" s="89"/>
      <c r="S174" s="89" t="str">
        <f t="shared" si="17"/>
        <v>#DIV/0!</v>
      </c>
      <c r="T174" s="89" t="str">
        <f t="shared" si="6"/>
        <v>#DIV/0!</v>
      </c>
      <c r="U174" s="89" t="str">
        <f t="shared" si="7"/>
        <v>#DIV/0!</v>
      </c>
      <c r="V174" s="89" t="str">
        <f t="shared" si="24"/>
        <v>#DIV/0!</v>
      </c>
      <c r="W174" s="89" t="str">
        <f t="shared" si="9"/>
        <v>#DIV/0!</v>
      </c>
      <c r="X174" s="89"/>
      <c r="Y174" s="89"/>
      <c r="Z174" s="89"/>
      <c r="AA174" s="89"/>
      <c r="AB174" s="89"/>
      <c r="AC174" s="89"/>
      <c r="AD174" s="89"/>
      <c r="AE174" s="89"/>
      <c r="AF174" s="89"/>
      <c r="AG174" s="89"/>
      <c r="AH174" s="89"/>
    </row>
    <row r="175">
      <c r="A175" s="8" t="s">
        <v>313</v>
      </c>
      <c r="B175" s="97"/>
      <c r="C175" s="8"/>
      <c r="D175" s="89" t="str">
        <f t="shared" si="1"/>
        <v/>
      </c>
      <c r="E175" s="89" t="str">
        <f t="shared" si="2"/>
        <v>OT Hours</v>
      </c>
      <c r="F175" s="89" t="str">
        <f>IFERROR(VLOOKUP(C175,'Employees List'!$B$1:$G$999,2,0),"")</f>
        <v/>
      </c>
      <c r="G175" s="89" t="str">
        <f t="shared" si="23"/>
        <v>#DIV/0!</v>
      </c>
      <c r="H175" s="98"/>
      <c r="I175" s="89" t="str">
        <f>IFERROR(VLOOKUP(F175,'Employees List'!$C:$F,2,0),"")</f>
        <v/>
      </c>
      <c r="J175" s="93" t="str">
        <f>IFERROR(VLOOKUP(C175,'Employees List'!$B$2:$G$991,5,0),"")</f>
        <v/>
      </c>
      <c r="K175" s="95" t="str">
        <f>IFERROR(VLOOKUP(F175,'Employees List'!$C$1:$AB$991,5,0),"")</f>
        <v/>
      </c>
      <c r="L175" s="91">
        <f t="shared" si="3"/>
        <v>0</v>
      </c>
      <c r="M175" s="91">
        <f t="shared" si="4"/>
        <v>0</v>
      </c>
      <c r="N175" s="89" t="str">
        <f>IFERROR(VLOOKUP(B175,'Employees List'!$A$2:$H$991,8,0),"")</f>
        <v/>
      </c>
      <c r="O175" s="89" t="str">
        <f>IFERROR(VLOOKUP(D175,'Daily Attendance Report 24-25'!A190:BP999,5,0),"")</f>
        <v/>
      </c>
      <c r="P175" s="89" t="str">
        <f>IFERROR(VLOOKUP(E175,'Daily Attendance Report 24-25'!$A$1:$BO$617,5,0),"")</f>
        <v/>
      </c>
      <c r="Q175" s="89"/>
      <c r="R175" s="89"/>
      <c r="S175" s="89" t="str">
        <f t="shared" si="17"/>
        <v>#DIV/0!</v>
      </c>
      <c r="T175" s="89" t="str">
        <f t="shared" si="6"/>
        <v>#DIV/0!</v>
      </c>
      <c r="U175" s="89" t="str">
        <f t="shared" si="7"/>
        <v>#DIV/0!</v>
      </c>
      <c r="V175" s="89" t="str">
        <f t="shared" si="24"/>
        <v>#DIV/0!</v>
      </c>
      <c r="W175" s="89" t="str">
        <f t="shared" si="9"/>
        <v>#DIV/0!</v>
      </c>
      <c r="X175" s="89"/>
      <c r="Y175" s="89"/>
      <c r="Z175" s="89"/>
      <c r="AA175" s="89"/>
      <c r="AB175" s="89"/>
      <c r="AC175" s="89"/>
      <c r="AD175" s="89"/>
      <c r="AE175" s="89"/>
      <c r="AF175" s="89"/>
      <c r="AG175" s="89"/>
      <c r="AH175" s="89"/>
    </row>
    <row r="176">
      <c r="A176" s="8" t="s">
        <v>314</v>
      </c>
      <c r="B176" s="97"/>
      <c r="C176" s="8"/>
      <c r="D176" s="89" t="str">
        <f t="shared" si="1"/>
        <v/>
      </c>
      <c r="E176" s="89" t="str">
        <f t="shared" si="2"/>
        <v>OT Hours</v>
      </c>
      <c r="F176" s="89" t="str">
        <f>IFERROR(VLOOKUP(C176,'Employees List'!$B$1:$G$999,2,0),"")</f>
        <v/>
      </c>
      <c r="G176" s="89" t="str">
        <f t="shared" si="23"/>
        <v>#DIV/0!</v>
      </c>
      <c r="H176" s="98"/>
      <c r="I176" s="89" t="str">
        <f>IFERROR(VLOOKUP(F176,'Employees List'!$C:$F,2,0),"")</f>
        <v/>
      </c>
      <c r="J176" s="93" t="str">
        <f>IFERROR(VLOOKUP(C176,'Employees List'!$B$2:$G$991,5,0),"")</f>
        <v/>
      </c>
      <c r="K176" s="95" t="str">
        <f>IFERROR(VLOOKUP(F176,'Employees List'!$C$1:$AB$991,5,0),"")</f>
        <v/>
      </c>
      <c r="L176" s="91">
        <f t="shared" si="3"/>
        <v>0</v>
      </c>
      <c r="M176" s="91">
        <f t="shared" si="4"/>
        <v>0</v>
      </c>
      <c r="N176" s="89" t="str">
        <f>IFERROR(VLOOKUP(B176,'Employees List'!$A$2:$H$991,8,0),"")</f>
        <v/>
      </c>
      <c r="O176" s="89" t="str">
        <f>IFERROR(VLOOKUP(D176,'Daily Attendance Report 24-25'!A191:BP999,5,0),"")</f>
        <v/>
      </c>
      <c r="P176" s="89" t="str">
        <f>IFERROR(VLOOKUP(E176,'Daily Attendance Report 24-25'!$A$1:$BO$617,5,0),"")</f>
        <v/>
      </c>
      <c r="Q176" s="89"/>
      <c r="R176" s="89"/>
      <c r="S176" s="89" t="str">
        <f t="shared" si="17"/>
        <v>#DIV/0!</v>
      </c>
      <c r="T176" s="89" t="str">
        <f t="shared" si="6"/>
        <v>#DIV/0!</v>
      </c>
      <c r="U176" s="89" t="str">
        <f t="shared" si="7"/>
        <v>#DIV/0!</v>
      </c>
      <c r="V176" s="89" t="str">
        <f t="shared" si="24"/>
        <v>#DIV/0!</v>
      </c>
      <c r="W176" s="89" t="str">
        <f t="shared" si="9"/>
        <v>#DIV/0!</v>
      </c>
      <c r="X176" s="89"/>
      <c r="Y176" s="89"/>
      <c r="Z176" s="89"/>
      <c r="AA176" s="89"/>
      <c r="AB176" s="89"/>
      <c r="AC176" s="89"/>
      <c r="AD176" s="89"/>
      <c r="AE176" s="89"/>
      <c r="AF176" s="89"/>
      <c r="AG176" s="89"/>
      <c r="AH176" s="89"/>
    </row>
    <row r="177">
      <c r="A177" s="8" t="s">
        <v>315</v>
      </c>
      <c r="B177" s="97"/>
      <c r="C177" s="8"/>
      <c r="D177" s="89" t="str">
        <f t="shared" si="1"/>
        <v/>
      </c>
      <c r="E177" s="89" t="str">
        <f t="shared" si="2"/>
        <v>OT Hours</v>
      </c>
      <c r="F177" s="89" t="str">
        <f>IFERROR(VLOOKUP(C177,'Employees List'!$B$1:$G$999,2,0),"")</f>
        <v/>
      </c>
      <c r="G177" s="89" t="str">
        <f t="shared" si="23"/>
        <v>#DIV/0!</v>
      </c>
      <c r="H177" s="98"/>
      <c r="I177" s="89" t="str">
        <f>IFERROR(VLOOKUP(F177,'Employees List'!$C:$F,2,0),"")</f>
        <v/>
      </c>
      <c r="J177" s="93" t="str">
        <f>IFERROR(VLOOKUP(C177,'Employees List'!$B$2:$G$991,5,0),"")</f>
        <v/>
      </c>
      <c r="K177" s="95" t="str">
        <f>IFERROR(VLOOKUP(F177,'Employees List'!$C$1:$AB$991,5,0),"")</f>
        <v/>
      </c>
      <c r="L177" s="91">
        <f t="shared" si="3"/>
        <v>0</v>
      </c>
      <c r="M177" s="91">
        <f t="shared" si="4"/>
        <v>0</v>
      </c>
      <c r="N177" s="89" t="str">
        <f>IFERROR(VLOOKUP(B177,'Employees List'!$A$2:$H$991,8,0),"")</f>
        <v/>
      </c>
      <c r="O177" s="89" t="str">
        <f>IFERROR(VLOOKUP(D177,'Daily Attendance Report 24-25'!A192:BP999,5,0),"")</f>
        <v/>
      </c>
      <c r="P177" s="89" t="str">
        <f>IFERROR(VLOOKUP(E177,'Daily Attendance Report 24-25'!$A$1:$BO$617,5,0),"")</f>
        <v/>
      </c>
      <c r="Q177" s="89"/>
      <c r="R177" s="89"/>
      <c r="S177" s="89" t="str">
        <f t="shared" si="17"/>
        <v>#DIV/0!</v>
      </c>
      <c r="T177" s="89" t="str">
        <f t="shared" si="6"/>
        <v>#DIV/0!</v>
      </c>
      <c r="U177" s="89" t="str">
        <f t="shared" si="7"/>
        <v>#DIV/0!</v>
      </c>
      <c r="V177" s="89" t="str">
        <f t="shared" si="24"/>
        <v>#DIV/0!</v>
      </c>
      <c r="W177" s="89" t="str">
        <f t="shared" si="9"/>
        <v>#DIV/0!</v>
      </c>
      <c r="X177" s="89"/>
      <c r="Y177" s="89"/>
      <c r="Z177" s="89"/>
      <c r="AA177" s="89"/>
      <c r="AB177" s="89"/>
      <c r="AC177" s="89"/>
      <c r="AD177" s="89"/>
      <c r="AE177" s="89"/>
      <c r="AF177" s="89"/>
      <c r="AG177" s="89"/>
      <c r="AH177" s="89"/>
    </row>
    <row r="178">
      <c r="A178" s="8" t="s">
        <v>316</v>
      </c>
      <c r="B178" s="97"/>
      <c r="C178" s="8"/>
      <c r="D178" s="89" t="str">
        <f t="shared" si="1"/>
        <v/>
      </c>
      <c r="E178" s="89" t="str">
        <f t="shared" si="2"/>
        <v>OT Hours</v>
      </c>
      <c r="F178" s="89" t="str">
        <f>IFERROR(VLOOKUP(C178,'Employees List'!$B$1:$G$999,2,0),"")</f>
        <v/>
      </c>
      <c r="G178" s="89" t="str">
        <f t="shared" si="23"/>
        <v>#DIV/0!</v>
      </c>
      <c r="H178" s="98"/>
      <c r="I178" s="89" t="str">
        <f>IFERROR(VLOOKUP(F178,'Employees List'!$C:$F,2,0),"")</f>
        <v/>
      </c>
      <c r="J178" s="93" t="str">
        <f>IFERROR(VLOOKUP(C178,'Employees List'!$B$2:$G$991,5,0),"")</f>
        <v/>
      </c>
      <c r="K178" s="95" t="str">
        <f>IFERROR(VLOOKUP(F178,'Employees List'!$C$1:$AB$991,5,0),"")</f>
        <v/>
      </c>
      <c r="L178" s="91">
        <f t="shared" si="3"/>
        <v>0</v>
      </c>
      <c r="M178" s="91">
        <f t="shared" si="4"/>
        <v>0</v>
      </c>
      <c r="N178" s="89" t="str">
        <f>IFERROR(VLOOKUP(B178,'Employees List'!$A$2:$H$991,8,0),"")</f>
        <v/>
      </c>
      <c r="O178" s="89" t="str">
        <f>IFERROR(VLOOKUP(D178,'Daily Attendance Report 24-25'!A193:BP999,5,0),"")</f>
        <v/>
      </c>
      <c r="P178" s="89" t="str">
        <f>IFERROR(VLOOKUP(E178,'Daily Attendance Report 24-25'!$A$1:$BO$617,5,0),"")</f>
        <v/>
      </c>
      <c r="Q178" s="89"/>
      <c r="R178" s="89"/>
      <c r="S178" s="89" t="str">
        <f t="shared" si="17"/>
        <v>#DIV/0!</v>
      </c>
      <c r="T178" s="89" t="str">
        <f t="shared" si="6"/>
        <v>#DIV/0!</v>
      </c>
      <c r="U178" s="89" t="str">
        <f t="shared" si="7"/>
        <v>#DIV/0!</v>
      </c>
      <c r="V178" s="89" t="str">
        <f t="shared" si="24"/>
        <v>#DIV/0!</v>
      </c>
      <c r="W178" s="89" t="str">
        <f t="shared" si="9"/>
        <v>#DIV/0!</v>
      </c>
      <c r="X178" s="89"/>
      <c r="Y178" s="89"/>
      <c r="Z178" s="89"/>
      <c r="AA178" s="89"/>
      <c r="AB178" s="89"/>
      <c r="AC178" s="89"/>
      <c r="AD178" s="89"/>
      <c r="AE178" s="89"/>
      <c r="AF178" s="89"/>
      <c r="AG178" s="89"/>
      <c r="AH178" s="89"/>
    </row>
    <row r="179">
      <c r="A179" s="8" t="s">
        <v>317</v>
      </c>
      <c r="B179" s="97"/>
      <c r="C179" s="8"/>
      <c r="D179" s="89" t="str">
        <f t="shared" si="1"/>
        <v/>
      </c>
      <c r="E179" s="89" t="str">
        <f t="shared" si="2"/>
        <v>OT Hours</v>
      </c>
      <c r="F179" s="89" t="str">
        <f>IFERROR(VLOOKUP(C179,'Employees List'!$B$1:$G$999,2,0),"")</f>
        <v/>
      </c>
      <c r="G179" s="89" t="str">
        <f t="shared" si="23"/>
        <v>#DIV/0!</v>
      </c>
      <c r="H179" s="98"/>
      <c r="I179" s="89" t="str">
        <f>IFERROR(VLOOKUP(F179,'Employees List'!$C:$F,2,0),"")</f>
        <v/>
      </c>
      <c r="J179" s="93" t="str">
        <f>IFERROR(VLOOKUP(C179,'Employees List'!$B$2:$G$991,5,0),"")</f>
        <v/>
      </c>
      <c r="K179" s="95" t="str">
        <f>IFERROR(VLOOKUP(F179,'Employees List'!$C$1:$AB$991,5,0),"")</f>
        <v/>
      </c>
      <c r="L179" s="91">
        <f t="shared" si="3"/>
        <v>0</v>
      </c>
      <c r="M179" s="91">
        <f t="shared" si="4"/>
        <v>0</v>
      </c>
      <c r="N179" s="89" t="str">
        <f>IFERROR(VLOOKUP(B179,'Employees List'!$A$2:$H$991,8,0),"")</f>
        <v/>
      </c>
      <c r="O179" s="89" t="str">
        <f>IFERROR(VLOOKUP(D179,'Daily Attendance Report 24-25'!A194:BP999,5,0),"")</f>
        <v/>
      </c>
      <c r="P179" s="89" t="str">
        <f>IFERROR(VLOOKUP(E179,'Daily Attendance Report 24-25'!$A$1:$BO$617,5,0),"")</f>
        <v/>
      </c>
      <c r="Q179" s="89"/>
      <c r="R179" s="89"/>
      <c r="S179" s="89" t="str">
        <f t="shared" si="17"/>
        <v>#DIV/0!</v>
      </c>
      <c r="T179" s="89" t="str">
        <f t="shared" si="6"/>
        <v>#DIV/0!</v>
      </c>
      <c r="U179" s="89" t="str">
        <f t="shared" si="7"/>
        <v>#DIV/0!</v>
      </c>
      <c r="V179" s="89" t="str">
        <f t="shared" si="24"/>
        <v>#DIV/0!</v>
      </c>
      <c r="W179" s="89" t="str">
        <f t="shared" si="9"/>
        <v>#DIV/0!</v>
      </c>
      <c r="X179" s="89"/>
      <c r="Y179" s="89"/>
      <c r="Z179" s="89"/>
      <c r="AA179" s="89"/>
      <c r="AB179" s="89"/>
      <c r="AC179" s="89"/>
      <c r="AD179" s="89"/>
      <c r="AE179" s="89"/>
      <c r="AF179" s="89"/>
      <c r="AG179" s="89"/>
      <c r="AH179" s="89"/>
    </row>
    <row r="180">
      <c r="A180" s="8" t="s">
        <v>318</v>
      </c>
      <c r="B180" s="97"/>
      <c r="C180" s="8"/>
      <c r="D180" s="89" t="str">
        <f t="shared" si="1"/>
        <v/>
      </c>
      <c r="E180" s="89" t="str">
        <f t="shared" si="2"/>
        <v>OT Hours</v>
      </c>
      <c r="F180" s="89" t="str">
        <f>IFERROR(VLOOKUP(C180,'Employees List'!$B$1:$G$999,2,0),"")</f>
        <v/>
      </c>
      <c r="G180" s="89" t="str">
        <f t="shared" si="23"/>
        <v>#DIV/0!</v>
      </c>
      <c r="H180" s="98"/>
      <c r="I180" s="89" t="str">
        <f>IFERROR(VLOOKUP(F180,'Employees List'!$C:$F,2,0),"")</f>
        <v/>
      </c>
      <c r="J180" s="93" t="str">
        <f>IFERROR(VLOOKUP(C180,'Employees List'!$B$2:$G$991,5,0),"")</f>
        <v/>
      </c>
      <c r="K180" s="95" t="str">
        <f>IFERROR(VLOOKUP(F180,'Employees List'!$C$1:$AB$991,5,0),"")</f>
        <v/>
      </c>
      <c r="L180" s="91">
        <f t="shared" si="3"/>
        <v>0</v>
      </c>
      <c r="M180" s="91">
        <f t="shared" si="4"/>
        <v>0</v>
      </c>
      <c r="N180" s="89" t="str">
        <f>IFERROR(VLOOKUP(B180,'Employees List'!$A$2:$H$991,8,0),"")</f>
        <v/>
      </c>
      <c r="O180" s="89" t="str">
        <f>IFERROR(VLOOKUP(D180,'Daily Attendance Report 24-25'!A195:BP999,5,0),"")</f>
        <v/>
      </c>
      <c r="P180" s="89" t="str">
        <f>IFERROR(VLOOKUP(E180,'Daily Attendance Report 24-25'!$A$1:$BO$617,5,0),"")</f>
        <v/>
      </c>
      <c r="Q180" s="89"/>
      <c r="R180" s="89"/>
      <c r="S180" s="89" t="str">
        <f t="shared" si="17"/>
        <v>#DIV/0!</v>
      </c>
      <c r="T180" s="89" t="str">
        <f t="shared" si="6"/>
        <v>#DIV/0!</v>
      </c>
      <c r="U180" s="89" t="str">
        <f t="shared" si="7"/>
        <v>#DIV/0!</v>
      </c>
      <c r="V180" s="89" t="str">
        <f t="shared" si="24"/>
        <v>#DIV/0!</v>
      </c>
      <c r="W180" s="89" t="str">
        <f t="shared" si="9"/>
        <v>#DIV/0!</v>
      </c>
      <c r="X180" s="89"/>
      <c r="Y180" s="89"/>
      <c r="Z180" s="89"/>
      <c r="AA180" s="89"/>
      <c r="AB180" s="89"/>
      <c r="AC180" s="89"/>
      <c r="AD180" s="89"/>
      <c r="AE180" s="89"/>
      <c r="AF180" s="89"/>
      <c r="AG180" s="89"/>
      <c r="AH180" s="89"/>
    </row>
    <row r="181">
      <c r="A181" s="8" t="s">
        <v>319</v>
      </c>
      <c r="B181" s="97"/>
      <c r="C181" s="8"/>
      <c r="D181" s="89" t="str">
        <f t="shared" si="1"/>
        <v/>
      </c>
      <c r="E181" s="89" t="str">
        <f t="shared" si="2"/>
        <v>OT Hours</v>
      </c>
      <c r="F181" s="89" t="str">
        <f>IFERROR(VLOOKUP(C181,'Employees List'!$B$1:$G$999,2,0),"")</f>
        <v/>
      </c>
      <c r="G181" s="89" t="str">
        <f t="shared" si="23"/>
        <v>#DIV/0!</v>
      </c>
      <c r="H181" s="98"/>
      <c r="I181" s="89" t="str">
        <f>IFERROR(VLOOKUP(F181,'Employees List'!$C:$F,2,0),"")</f>
        <v/>
      </c>
      <c r="J181" s="93" t="str">
        <f>IFERROR(VLOOKUP(C181,'Employees List'!$B$2:$G$991,5,0),"")</f>
        <v/>
      </c>
      <c r="K181" s="95" t="str">
        <f>IFERROR(VLOOKUP(F181,'Employees List'!$C$1:$AB$991,5,0),"")</f>
        <v/>
      </c>
      <c r="L181" s="91">
        <f t="shared" si="3"/>
        <v>0</v>
      </c>
      <c r="M181" s="91">
        <f t="shared" si="4"/>
        <v>0</v>
      </c>
      <c r="N181" s="89" t="str">
        <f>IFERROR(VLOOKUP(B181,'Employees List'!$A$2:$H$991,8,0),"")</f>
        <v/>
      </c>
      <c r="O181" s="89" t="str">
        <f>IFERROR(VLOOKUP(D181,'Daily Attendance Report 24-25'!A196:BP999,5,0),"")</f>
        <v/>
      </c>
      <c r="P181" s="89" t="str">
        <f>IFERROR(VLOOKUP(E181,'Daily Attendance Report 24-25'!$A$1:$BO$617,5,0),"")</f>
        <v/>
      </c>
      <c r="Q181" s="89"/>
      <c r="R181" s="89"/>
      <c r="S181" s="89" t="str">
        <f t="shared" si="17"/>
        <v>#DIV/0!</v>
      </c>
      <c r="T181" s="89" t="str">
        <f t="shared" si="6"/>
        <v>#DIV/0!</v>
      </c>
      <c r="U181" s="89" t="str">
        <f t="shared" si="7"/>
        <v>#DIV/0!</v>
      </c>
      <c r="V181" s="89" t="str">
        <f t="shared" si="24"/>
        <v>#DIV/0!</v>
      </c>
      <c r="W181" s="89" t="str">
        <f t="shared" si="9"/>
        <v>#DIV/0!</v>
      </c>
      <c r="X181" s="89"/>
      <c r="Y181" s="89"/>
      <c r="Z181" s="89"/>
      <c r="AA181" s="89"/>
      <c r="AB181" s="89"/>
      <c r="AC181" s="89"/>
      <c r="AD181" s="89"/>
      <c r="AE181" s="89"/>
      <c r="AF181" s="89"/>
      <c r="AG181" s="89"/>
      <c r="AH181" s="89"/>
    </row>
    <row r="182">
      <c r="A182" s="8" t="s">
        <v>320</v>
      </c>
      <c r="B182" s="97"/>
      <c r="C182" s="8"/>
      <c r="D182" s="89" t="str">
        <f t="shared" si="1"/>
        <v/>
      </c>
      <c r="E182" s="89" t="str">
        <f t="shared" si="2"/>
        <v>OT Hours</v>
      </c>
      <c r="F182" s="89" t="str">
        <f>IFERROR(VLOOKUP(C182,'Employees List'!$B$1:$G$999,2,0),"")</f>
        <v/>
      </c>
      <c r="G182" s="89" t="str">
        <f t="shared" si="23"/>
        <v>#DIV/0!</v>
      </c>
      <c r="H182" s="98"/>
      <c r="I182" s="89" t="str">
        <f>IFERROR(VLOOKUP(F182,'Employees List'!$C:$F,2,0),"")</f>
        <v/>
      </c>
      <c r="J182" s="93" t="str">
        <f>IFERROR(VLOOKUP(C182,'Employees List'!$B$2:$G$991,5,0),"")</f>
        <v/>
      </c>
      <c r="K182" s="95" t="str">
        <f>IFERROR(VLOOKUP(F182,'Employees List'!$C$1:$AB$991,5,0),"")</f>
        <v/>
      </c>
      <c r="L182" s="91">
        <f t="shared" si="3"/>
        <v>0</v>
      </c>
      <c r="M182" s="91">
        <f t="shared" si="4"/>
        <v>0</v>
      </c>
      <c r="N182" s="89" t="str">
        <f>IFERROR(VLOOKUP(B182,'Employees List'!$A$2:$H$991,8,0),"")</f>
        <v/>
      </c>
      <c r="O182" s="89" t="str">
        <f>IFERROR(VLOOKUP(D182,'Daily Attendance Report 24-25'!A197:BP999,5,0),"")</f>
        <v/>
      </c>
      <c r="P182" s="89" t="str">
        <f>IFERROR(VLOOKUP(E182,'Daily Attendance Report 24-25'!$A$1:$BO$617,5,0),"")</f>
        <v/>
      </c>
      <c r="Q182" s="89"/>
      <c r="R182" s="89"/>
      <c r="S182" s="89" t="str">
        <f t="shared" si="17"/>
        <v>#DIV/0!</v>
      </c>
      <c r="T182" s="89" t="str">
        <f t="shared" si="6"/>
        <v>#DIV/0!</v>
      </c>
      <c r="U182" s="89" t="str">
        <f t="shared" si="7"/>
        <v>#DIV/0!</v>
      </c>
      <c r="V182" s="89" t="str">
        <f t="shared" si="24"/>
        <v>#DIV/0!</v>
      </c>
      <c r="W182" s="89" t="str">
        <f t="shared" si="9"/>
        <v>#DIV/0!</v>
      </c>
      <c r="X182" s="89"/>
      <c r="Y182" s="89"/>
      <c r="Z182" s="89"/>
      <c r="AA182" s="89"/>
      <c r="AB182" s="89"/>
      <c r="AC182" s="89"/>
      <c r="AD182" s="89"/>
      <c r="AE182" s="89"/>
      <c r="AF182" s="89"/>
      <c r="AG182" s="89"/>
      <c r="AH182" s="89"/>
    </row>
    <row r="183">
      <c r="A183" s="8" t="s">
        <v>321</v>
      </c>
      <c r="B183" s="97"/>
      <c r="C183" s="8"/>
      <c r="D183" s="89" t="str">
        <f t="shared" si="1"/>
        <v/>
      </c>
      <c r="E183" s="89" t="str">
        <f t="shared" si="2"/>
        <v>OT Hours</v>
      </c>
      <c r="F183" s="89" t="str">
        <f>IFERROR(VLOOKUP(C183,'Employees List'!$B$1:$G$999,2,0),"")</f>
        <v/>
      </c>
      <c r="G183" s="89" t="str">
        <f t="shared" si="23"/>
        <v>#DIV/0!</v>
      </c>
      <c r="H183" s="98"/>
      <c r="I183" s="89" t="str">
        <f>IFERROR(VLOOKUP(F183,'Employees List'!$C:$F,2,0),"")</f>
        <v/>
      </c>
      <c r="J183" s="93" t="str">
        <f>IFERROR(VLOOKUP(C183,'Employees List'!$B$2:$G$991,5,0),"")</f>
        <v/>
      </c>
      <c r="K183" s="95" t="str">
        <f>IFERROR(VLOOKUP(F183,'Employees List'!$C$1:$AB$991,5,0),"")</f>
        <v/>
      </c>
      <c r="L183" s="91">
        <f t="shared" si="3"/>
        <v>0</v>
      </c>
      <c r="M183" s="91">
        <f t="shared" si="4"/>
        <v>0</v>
      </c>
      <c r="N183" s="89" t="str">
        <f>IFERROR(VLOOKUP(B183,'Employees List'!$A$2:$H$991,8,0),"")</f>
        <v/>
      </c>
      <c r="O183" s="89" t="str">
        <f>IFERROR(VLOOKUP(D183,'Daily Attendance Report 24-25'!A198:BP999,5,0),"")</f>
        <v/>
      </c>
      <c r="P183" s="89" t="str">
        <f>IFERROR(VLOOKUP(E183,'Daily Attendance Report 24-25'!$A$1:$BO$617,5,0),"")</f>
        <v/>
      </c>
      <c r="Q183" s="89"/>
      <c r="R183" s="89"/>
      <c r="S183" s="89" t="str">
        <f t="shared" si="17"/>
        <v>#DIV/0!</v>
      </c>
      <c r="T183" s="89" t="str">
        <f t="shared" si="6"/>
        <v>#DIV/0!</v>
      </c>
      <c r="U183" s="89" t="str">
        <f t="shared" si="7"/>
        <v>#DIV/0!</v>
      </c>
      <c r="V183" s="89" t="str">
        <f t="shared" si="24"/>
        <v>#DIV/0!</v>
      </c>
      <c r="W183" s="89" t="str">
        <f t="shared" si="9"/>
        <v>#DIV/0!</v>
      </c>
      <c r="X183" s="89"/>
      <c r="Y183" s="89"/>
      <c r="Z183" s="89"/>
      <c r="AA183" s="89"/>
      <c r="AB183" s="89"/>
      <c r="AC183" s="89"/>
      <c r="AD183" s="89"/>
      <c r="AE183" s="89"/>
      <c r="AF183" s="89"/>
      <c r="AG183" s="89"/>
      <c r="AH183" s="89"/>
    </row>
    <row r="184">
      <c r="A184" s="8" t="s">
        <v>322</v>
      </c>
      <c r="B184" s="97"/>
      <c r="C184" s="8"/>
      <c r="D184" s="89" t="str">
        <f t="shared" si="1"/>
        <v/>
      </c>
      <c r="E184" s="89" t="str">
        <f t="shared" si="2"/>
        <v>OT Hours</v>
      </c>
      <c r="F184" s="89" t="str">
        <f>IFERROR(VLOOKUP(C184,'Employees List'!$B$1:$G$999,2,0),"")</f>
        <v/>
      </c>
      <c r="G184" s="89" t="str">
        <f t="shared" si="23"/>
        <v>#DIV/0!</v>
      </c>
      <c r="H184" s="98"/>
      <c r="I184" s="89" t="str">
        <f>IFERROR(VLOOKUP(F184,'Employees List'!$C:$F,2,0),"")</f>
        <v/>
      </c>
      <c r="J184" s="93" t="str">
        <f>IFERROR(VLOOKUP(C184,'Employees List'!$B$2:$G$991,5,0),"")</f>
        <v/>
      </c>
      <c r="K184" s="95" t="str">
        <f>IFERROR(VLOOKUP(F184,'Employees List'!$C$1:$AB$991,5,0),"")</f>
        <v/>
      </c>
      <c r="L184" s="91">
        <f t="shared" si="3"/>
        <v>0</v>
      </c>
      <c r="M184" s="91">
        <f t="shared" si="4"/>
        <v>0</v>
      </c>
      <c r="N184" s="89" t="str">
        <f>IFERROR(VLOOKUP(B184,'Employees List'!$A$2:$H$991,8,0),"")</f>
        <v/>
      </c>
      <c r="O184" s="89" t="str">
        <f>IFERROR(VLOOKUP(D184,'Daily Attendance Report 24-25'!A199:BP999,5,0),"")</f>
        <v/>
      </c>
      <c r="P184" s="89" t="str">
        <f>IFERROR(VLOOKUP(E184,'Daily Attendance Report 24-25'!$A$1:$BO$617,5,0),"")</f>
        <v/>
      </c>
      <c r="Q184" s="89"/>
      <c r="R184" s="89"/>
      <c r="S184" s="89" t="str">
        <f t="shared" si="17"/>
        <v>#DIV/0!</v>
      </c>
      <c r="T184" s="89" t="str">
        <f t="shared" si="6"/>
        <v>#DIV/0!</v>
      </c>
      <c r="U184" s="89" t="str">
        <f t="shared" si="7"/>
        <v>#DIV/0!</v>
      </c>
      <c r="V184" s="89" t="str">
        <f t="shared" si="24"/>
        <v>#DIV/0!</v>
      </c>
      <c r="W184" s="89" t="str">
        <f t="shared" si="9"/>
        <v>#DIV/0!</v>
      </c>
      <c r="X184" s="89"/>
      <c r="Y184" s="89"/>
      <c r="Z184" s="89"/>
      <c r="AA184" s="89"/>
      <c r="AB184" s="89"/>
      <c r="AC184" s="89"/>
      <c r="AD184" s="89"/>
      <c r="AE184" s="89"/>
      <c r="AF184" s="89"/>
      <c r="AG184" s="89"/>
      <c r="AH184" s="89"/>
    </row>
    <row r="185">
      <c r="A185" s="8" t="s">
        <v>323</v>
      </c>
      <c r="B185" s="97"/>
      <c r="C185" s="8"/>
      <c r="D185" s="89" t="str">
        <f t="shared" si="1"/>
        <v/>
      </c>
      <c r="E185" s="89" t="str">
        <f t="shared" si="2"/>
        <v>OT Hours</v>
      </c>
      <c r="F185" s="89" t="str">
        <f>IFERROR(VLOOKUP(C185,'Employees List'!$B$1:$G$999,2,0),"")</f>
        <v/>
      </c>
      <c r="G185" s="89" t="str">
        <f t="shared" si="23"/>
        <v>#DIV/0!</v>
      </c>
      <c r="H185" s="98"/>
      <c r="I185" s="89" t="str">
        <f>IFERROR(VLOOKUP(F185,'Employees List'!$C:$F,2,0),"")</f>
        <v/>
      </c>
      <c r="J185" s="93" t="str">
        <f>IFERROR(VLOOKUP(C185,'Employees List'!$B$2:$G$991,5,0),"")</f>
        <v/>
      </c>
      <c r="K185" s="95" t="str">
        <f>IFERROR(VLOOKUP(F185,'Employees List'!$C$1:$AB$991,5,0),"")</f>
        <v/>
      </c>
      <c r="L185" s="91">
        <f t="shared" si="3"/>
        <v>0</v>
      </c>
      <c r="M185" s="91">
        <f t="shared" si="4"/>
        <v>0</v>
      </c>
      <c r="N185" s="89" t="str">
        <f>IFERROR(VLOOKUP(B185,'Employees List'!$A$2:$H$991,8,0),"")</f>
        <v/>
      </c>
      <c r="O185" s="89" t="str">
        <f>IFERROR(VLOOKUP(D185,'Daily Attendance Report 24-25'!A200:BP999,5,0),"")</f>
        <v/>
      </c>
      <c r="P185" s="89" t="str">
        <f>IFERROR(VLOOKUP(E185,'Daily Attendance Report 24-25'!$A$1:$BO$617,5,0),"")</f>
        <v/>
      </c>
      <c r="Q185" s="89"/>
      <c r="R185" s="89"/>
      <c r="S185" s="89" t="str">
        <f t="shared" si="17"/>
        <v>#DIV/0!</v>
      </c>
      <c r="T185" s="89" t="str">
        <f t="shared" si="6"/>
        <v>#DIV/0!</v>
      </c>
      <c r="U185" s="89" t="str">
        <f t="shared" si="7"/>
        <v>#DIV/0!</v>
      </c>
      <c r="V185" s="89" t="str">
        <f t="shared" si="24"/>
        <v>#DIV/0!</v>
      </c>
      <c r="W185" s="89" t="str">
        <f t="shared" si="9"/>
        <v>#DIV/0!</v>
      </c>
      <c r="X185" s="89"/>
      <c r="Y185" s="89"/>
      <c r="Z185" s="89"/>
      <c r="AA185" s="89"/>
      <c r="AB185" s="89"/>
      <c r="AC185" s="89"/>
      <c r="AD185" s="89"/>
      <c r="AE185" s="89"/>
      <c r="AF185" s="89"/>
      <c r="AG185" s="89"/>
      <c r="AH185" s="89"/>
    </row>
    <row r="186">
      <c r="A186" s="8" t="s">
        <v>324</v>
      </c>
      <c r="B186" s="97"/>
      <c r="C186" s="8"/>
      <c r="D186" s="89" t="str">
        <f t="shared" si="1"/>
        <v/>
      </c>
      <c r="E186" s="89" t="str">
        <f t="shared" si="2"/>
        <v>OT Hours</v>
      </c>
      <c r="F186" s="89" t="str">
        <f>IFERROR(VLOOKUP(C186,'Employees List'!$B$1:$G$999,2,0),"")</f>
        <v/>
      </c>
      <c r="G186" s="89" t="str">
        <f t="shared" si="23"/>
        <v>#DIV/0!</v>
      </c>
      <c r="H186" s="98"/>
      <c r="I186" s="89" t="str">
        <f>IFERROR(VLOOKUP(F186,'Employees List'!$C:$F,2,0),"")</f>
        <v/>
      </c>
      <c r="J186" s="93" t="str">
        <f>IFERROR(VLOOKUP(C186,'Employees List'!$B$2:$G$991,5,0),"")</f>
        <v/>
      </c>
      <c r="K186" s="95" t="str">
        <f>IFERROR(VLOOKUP(F186,'Employees List'!$C$1:$AB$991,5,0),"")</f>
        <v/>
      </c>
      <c r="L186" s="91">
        <f t="shared" si="3"/>
        <v>0</v>
      </c>
      <c r="M186" s="91">
        <f t="shared" si="4"/>
        <v>0</v>
      </c>
      <c r="N186" s="89" t="str">
        <f>IFERROR(VLOOKUP(B186,'Employees List'!$A$2:$H$991,8,0),"")</f>
        <v/>
      </c>
      <c r="O186" s="89" t="str">
        <f>IFERROR(VLOOKUP(D186,'Daily Attendance Report 24-25'!A201:BP999,5,0),"")</f>
        <v/>
      </c>
      <c r="P186" s="89" t="str">
        <f>IFERROR(VLOOKUP(E186,'Daily Attendance Report 24-25'!$A$1:$BO$617,5,0),"")</f>
        <v/>
      </c>
      <c r="Q186" s="89"/>
      <c r="R186" s="89"/>
      <c r="S186" s="89" t="str">
        <f t="shared" si="17"/>
        <v>#DIV/0!</v>
      </c>
      <c r="T186" s="89" t="str">
        <f t="shared" si="6"/>
        <v>#DIV/0!</v>
      </c>
      <c r="U186" s="89" t="str">
        <f t="shared" si="7"/>
        <v>#DIV/0!</v>
      </c>
      <c r="V186" s="89" t="str">
        <f t="shared" si="24"/>
        <v>#DIV/0!</v>
      </c>
      <c r="W186" s="89" t="str">
        <f t="shared" si="9"/>
        <v>#DIV/0!</v>
      </c>
      <c r="X186" s="89"/>
      <c r="Y186" s="89"/>
      <c r="Z186" s="89"/>
      <c r="AA186" s="89"/>
      <c r="AB186" s="89"/>
      <c r="AC186" s="89"/>
      <c r="AD186" s="89"/>
      <c r="AE186" s="89"/>
      <c r="AF186" s="89"/>
      <c r="AG186" s="89"/>
      <c r="AH186" s="89"/>
    </row>
    <row r="187">
      <c r="A187" s="8" t="s">
        <v>325</v>
      </c>
      <c r="B187" s="97"/>
      <c r="C187" s="8"/>
      <c r="D187" s="89" t="str">
        <f t="shared" si="1"/>
        <v/>
      </c>
      <c r="E187" s="89" t="str">
        <f t="shared" si="2"/>
        <v>OT Hours</v>
      </c>
      <c r="F187" s="89" t="str">
        <f>IFERROR(VLOOKUP(C187,'Employees List'!$B$1:$G$999,2,0),"")</f>
        <v/>
      </c>
      <c r="G187" s="89" t="str">
        <f t="shared" si="23"/>
        <v>#DIV/0!</v>
      </c>
      <c r="H187" s="98"/>
      <c r="I187" s="89" t="str">
        <f>IFERROR(VLOOKUP(F187,'Employees List'!$C:$F,2,0),"")</f>
        <v/>
      </c>
      <c r="J187" s="93" t="str">
        <f>IFERROR(VLOOKUP(C187,'Employees List'!$B$2:$G$991,5,0),"")</f>
        <v/>
      </c>
      <c r="K187" s="95" t="str">
        <f>IFERROR(VLOOKUP(F187,'Employees List'!$C$1:$AB$991,5,0),"")</f>
        <v/>
      </c>
      <c r="L187" s="91">
        <f t="shared" si="3"/>
        <v>0</v>
      </c>
      <c r="M187" s="91">
        <f t="shared" si="4"/>
        <v>0</v>
      </c>
      <c r="N187" s="89" t="str">
        <f>IFERROR(VLOOKUP(B187,'Employees List'!$A$2:$H$991,8,0),"")</f>
        <v/>
      </c>
      <c r="O187" s="89" t="str">
        <f>IFERROR(VLOOKUP(D187,'Daily Attendance Report 24-25'!A202:BP999,5,0),"")</f>
        <v/>
      </c>
      <c r="P187" s="89" t="str">
        <f>IFERROR(VLOOKUP(E187,'Daily Attendance Report 24-25'!$A$1:$BO$617,5,0),"")</f>
        <v/>
      </c>
      <c r="Q187" s="89"/>
      <c r="R187" s="89"/>
      <c r="S187" s="89" t="str">
        <f t="shared" si="17"/>
        <v>#DIV/0!</v>
      </c>
      <c r="T187" s="89" t="str">
        <f t="shared" si="6"/>
        <v>#DIV/0!</v>
      </c>
      <c r="U187" s="89" t="str">
        <f t="shared" si="7"/>
        <v>#DIV/0!</v>
      </c>
      <c r="V187" s="89" t="str">
        <f t="shared" si="24"/>
        <v>#DIV/0!</v>
      </c>
      <c r="W187" s="89" t="str">
        <f t="shared" si="9"/>
        <v>#DIV/0!</v>
      </c>
      <c r="X187" s="89"/>
      <c r="Y187" s="89"/>
      <c r="Z187" s="89"/>
      <c r="AA187" s="89"/>
      <c r="AB187" s="89"/>
      <c r="AC187" s="89"/>
      <c r="AD187" s="89"/>
      <c r="AE187" s="89"/>
      <c r="AF187" s="89"/>
      <c r="AG187" s="89"/>
      <c r="AH187" s="89"/>
    </row>
    <row r="188">
      <c r="A188" s="8" t="s">
        <v>326</v>
      </c>
      <c r="B188" s="97"/>
      <c r="C188" s="8"/>
      <c r="D188" s="89" t="str">
        <f t="shared" si="1"/>
        <v/>
      </c>
      <c r="E188" s="89" t="str">
        <f t="shared" si="2"/>
        <v>OT Hours</v>
      </c>
      <c r="F188" s="89" t="str">
        <f>IFERROR(VLOOKUP(C188,'Employees List'!$B$1:$G$999,2,0),"")</f>
        <v/>
      </c>
      <c r="G188" s="89" t="str">
        <f t="shared" si="23"/>
        <v>#DIV/0!</v>
      </c>
      <c r="H188" s="98"/>
      <c r="I188" s="89" t="str">
        <f>IFERROR(VLOOKUP(F188,'Employees List'!$C:$F,2,0),"")</f>
        <v/>
      </c>
      <c r="J188" s="93" t="str">
        <f>IFERROR(VLOOKUP(C188,'Employees List'!$B$2:$G$991,5,0),"")</f>
        <v/>
      </c>
      <c r="K188" s="95" t="str">
        <f>IFERROR(VLOOKUP(F188,'Employees List'!$C$1:$AB$991,5,0),"")</f>
        <v/>
      </c>
      <c r="L188" s="91">
        <f t="shared" si="3"/>
        <v>0</v>
      </c>
      <c r="M188" s="91">
        <f t="shared" si="4"/>
        <v>0</v>
      </c>
      <c r="N188" s="89" t="str">
        <f>IFERROR(VLOOKUP(B188,'Employees List'!$A$2:$H$991,8,0),"")</f>
        <v/>
      </c>
      <c r="O188" s="89" t="str">
        <f>IFERROR(VLOOKUP(D188,'Daily Attendance Report 24-25'!A203:BP999,5,0),"")</f>
        <v/>
      </c>
      <c r="P188" s="89" t="str">
        <f>IFERROR(VLOOKUP(E188,'Daily Attendance Report 24-25'!$A$1:$BO$617,5,0),"")</f>
        <v/>
      </c>
      <c r="Q188" s="89"/>
      <c r="R188" s="89"/>
      <c r="S188" s="89" t="str">
        <f t="shared" si="17"/>
        <v>#DIV/0!</v>
      </c>
      <c r="T188" s="89" t="str">
        <f t="shared" si="6"/>
        <v>#DIV/0!</v>
      </c>
      <c r="U188" s="89" t="str">
        <f t="shared" si="7"/>
        <v>#DIV/0!</v>
      </c>
      <c r="V188" s="89" t="str">
        <f t="shared" si="24"/>
        <v>#DIV/0!</v>
      </c>
      <c r="W188" s="89" t="str">
        <f t="shared" si="9"/>
        <v>#DIV/0!</v>
      </c>
      <c r="X188" s="89"/>
      <c r="Y188" s="89"/>
      <c r="Z188" s="89"/>
      <c r="AA188" s="89"/>
      <c r="AB188" s="89"/>
      <c r="AC188" s="89"/>
      <c r="AD188" s="89"/>
      <c r="AE188" s="89"/>
      <c r="AF188" s="89"/>
      <c r="AG188" s="89"/>
      <c r="AH188" s="89"/>
    </row>
    <row r="189">
      <c r="A189" s="8" t="s">
        <v>327</v>
      </c>
      <c r="B189" s="97"/>
      <c r="C189" s="8"/>
      <c r="D189" s="89" t="str">
        <f t="shared" si="1"/>
        <v/>
      </c>
      <c r="E189" s="89" t="str">
        <f t="shared" si="2"/>
        <v>OT Hours</v>
      </c>
      <c r="F189" s="89" t="str">
        <f>IFERROR(VLOOKUP(C189,'Employees List'!$B$1:$G$999,2,0),"")</f>
        <v/>
      </c>
      <c r="G189" s="89" t="str">
        <f t="shared" si="23"/>
        <v>#DIV/0!</v>
      </c>
      <c r="H189" s="98"/>
      <c r="I189" s="89" t="str">
        <f>IFERROR(VLOOKUP(F189,'Employees List'!$C:$F,2,0),"")</f>
        <v/>
      </c>
      <c r="J189" s="93" t="str">
        <f>IFERROR(VLOOKUP(C189,'Employees List'!$B$2:$G$991,5,0),"")</f>
        <v/>
      </c>
      <c r="K189" s="95" t="str">
        <f>IFERROR(VLOOKUP(F189,'Employees List'!$C$1:$AB$991,5,0),"")</f>
        <v/>
      </c>
      <c r="L189" s="91">
        <f t="shared" si="3"/>
        <v>0</v>
      </c>
      <c r="M189" s="91">
        <f t="shared" si="4"/>
        <v>0</v>
      </c>
      <c r="N189" s="89" t="str">
        <f>IFERROR(VLOOKUP(B189,'Employees List'!$A$2:$H$991,8,0),"")</f>
        <v/>
      </c>
      <c r="O189" s="89" t="str">
        <f>IFERROR(VLOOKUP(D189,'Daily Attendance Report 24-25'!A204:BP999,5,0),"")</f>
        <v/>
      </c>
      <c r="P189" s="89" t="str">
        <f>IFERROR(VLOOKUP(E189,'Daily Attendance Report 24-25'!$A$1:$BO$617,5,0),"")</f>
        <v/>
      </c>
      <c r="Q189" s="89"/>
      <c r="R189" s="89"/>
      <c r="S189" s="89" t="str">
        <f t="shared" si="17"/>
        <v>#DIV/0!</v>
      </c>
      <c r="T189" s="89" t="str">
        <f t="shared" si="6"/>
        <v>#DIV/0!</v>
      </c>
      <c r="U189" s="89" t="str">
        <f t="shared" si="7"/>
        <v>#DIV/0!</v>
      </c>
      <c r="V189" s="89" t="str">
        <f t="shared" si="24"/>
        <v>#DIV/0!</v>
      </c>
      <c r="W189" s="89" t="str">
        <f t="shared" si="9"/>
        <v>#DIV/0!</v>
      </c>
      <c r="X189" s="89"/>
      <c r="Y189" s="89"/>
      <c r="Z189" s="89"/>
      <c r="AA189" s="89"/>
      <c r="AB189" s="89"/>
      <c r="AC189" s="89"/>
      <c r="AD189" s="89"/>
      <c r="AE189" s="89"/>
      <c r="AF189" s="89"/>
      <c r="AG189" s="89"/>
      <c r="AH189" s="89"/>
    </row>
    <row r="190">
      <c r="A190" s="8" t="s">
        <v>328</v>
      </c>
      <c r="B190" s="97"/>
      <c r="C190" s="8"/>
      <c r="D190" s="89" t="str">
        <f t="shared" si="1"/>
        <v/>
      </c>
      <c r="E190" s="89" t="str">
        <f t="shared" si="2"/>
        <v>OT Hours</v>
      </c>
      <c r="F190" s="89" t="str">
        <f>IFERROR(VLOOKUP(C190,'Employees List'!$B$1:$G$999,2,0),"")</f>
        <v/>
      </c>
      <c r="G190" s="89" t="str">
        <f t="shared" si="23"/>
        <v>#DIV/0!</v>
      </c>
      <c r="H190" s="98"/>
      <c r="I190" s="89" t="str">
        <f>IFERROR(VLOOKUP(F190,'Employees List'!$C:$F,2,0),"")</f>
        <v/>
      </c>
      <c r="J190" s="93" t="str">
        <f>IFERROR(VLOOKUP(C190,'Employees List'!$B$2:$G$991,5,0),"")</f>
        <v/>
      </c>
      <c r="K190" s="95" t="str">
        <f>IFERROR(VLOOKUP(F190,'Employees List'!$C$1:$AB$991,5,0),"")</f>
        <v/>
      </c>
      <c r="L190" s="91">
        <f t="shared" si="3"/>
        <v>0</v>
      </c>
      <c r="M190" s="91">
        <f t="shared" si="4"/>
        <v>0</v>
      </c>
      <c r="N190" s="89" t="str">
        <f>IFERROR(VLOOKUP(B190,'Employees List'!$A$2:$H$991,8,0),"")</f>
        <v/>
      </c>
      <c r="O190" s="89" t="str">
        <f>IFERROR(VLOOKUP(D190,'Daily Attendance Report 24-25'!A205:BP999,5,0),"")</f>
        <v/>
      </c>
      <c r="P190" s="89" t="str">
        <f>IFERROR(VLOOKUP(E190,'Daily Attendance Report 24-25'!$A$1:$BO$617,5,0),"")</f>
        <v/>
      </c>
      <c r="Q190" s="89"/>
      <c r="R190" s="89"/>
      <c r="S190" s="89" t="str">
        <f t="shared" si="17"/>
        <v>#DIV/0!</v>
      </c>
      <c r="T190" s="89" t="str">
        <f t="shared" si="6"/>
        <v>#DIV/0!</v>
      </c>
      <c r="U190" s="89" t="str">
        <f t="shared" si="7"/>
        <v>#DIV/0!</v>
      </c>
      <c r="V190" s="89" t="str">
        <f t="shared" si="24"/>
        <v>#DIV/0!</v>
      </c>
      <c r="W190" s="89" t="str">
        <f t="shared" si="9"/>
        <v>#DIV/0!</v>
      </c>
      <c r="X190" s="89"/>
      <c r="Y190" s="89"/>
      <c r="Z190" s="89"/>
      <c r="AA190" s="89"/>
      <c r="AB190" s="89"/>
      <c r="AC190" s="89"/>
      <c r="AD190" s="89"/>
      <c r="AE190" s="89"/>
      <c r="AF190" s="89"/>
      <c r="AG190" s="89"/>
      <c r="AH190" s="89"/>
    </row>
    <row r="191">
      <c r="A191" s="8" t="s">
        <v>329</v>
      </c>
      <c r="B191" s="97"/>
      <c r="C191" s="8"/>
      <c r="D191" s="89" t="str">
        <f t="shared" si="1"/>
        <v/>
      </c>
      <c r="E191" s="89" t="str">
        <f t="shared" si="2"/>
        <v>OT Hours</v>
      </c>
      <c r="F191" s="89" t="str">
        <f>IFERROR(VLOOKUP(C191,'Employees List'!$B$1:$G$999,2,0),"")</f>
        <v/>
      </c>
      <c r="G191" s="89" t="str">
        <f t="shared" si="23"/>
        <v>#DIV/0!</v>
      </c>
      <c r="H191" s="98"/>
      <c r="I191" s="89" t="str">
        <f>IFERROR(VLOOKUP(F191,'Employees List'!$C:$F,2,0),"")</f>
        <v/>
      </c>
      <c r="J191" s="93" t="str">
        <f>IFERROR(VLOOKUP(C191,'Employees List'!$B$2:$G$991,5,0),"")</f>
        <v/>
      </c>
      <c r="K191" s="95" t="str">
        <f>IFERROR(VLOOKUP(F191,'Employees List'!$C$1:$AB$991,5,0),"")</f>
        <v/>
      </c>
      <c r="L191" s="91">
        <f t="shared" si="3"/>
        <v>0</v>
      </c>
      <c r="M191" s="91">
        <f t="shared" si="4"/>
        <v>0</v>
      </c>
      <c r="N191" s="89" t="str">
        <f>IFERROR(VLOOKUP(B191,'Employees List'!$A$2:$H$991,8,0),"")</f>
        <v/>
      </c>
      <c r="O191" s="89" t="str">
        <f>IFERROR(VLOOKUP(D191,'Daily Attendance Report 24-25'!A206:BP999,5,0),"")</f>
        <v/>
      </c>
      <c r="P191" s="89" t="str">
        <f>IFERROR(VLOOKUP(E191,'Daily Attendance Report 24-25'!$A$1:$BO$617,5,0),"")</f>
        <v/>
      </c>
      <c r="Q191" s="89"/>
      <c r="R191" s="89"/>
      <c r="S191" s="89" t="str">
        <f t="shared" si="17"/>
        <v>#DIV/0!</v>
      </c>
      <c r="T191" s="89" t="str">
        <f t="shared" si="6"/>
        <v>#DIV/0!</v>
      </c>
      <c r="U191" s="89" t="str">
        <f t="shared" si="7"/>
        <v>#DIV/0!</v>
      </c>
      <c r="V191" s="89" t="str">
        <f t="shared" si="24"/>
        <v>#DIV/0!</v>
      </c>
      <c r="W191" s="89" t="str">
        <f t="shared" si="9"/>
        <v>#DIV/0!</v>
      </c>
      <c r="X191" s="89"/>
      <c r="Y191" s="89"/>
      <c r="Z191" s="89"/>
      <c r="AA191" s="89"/>
      <c r="AB191" s="89"/>
      <c r="AC191" s="89"/>
      <c r="AD191" s="89"/>
      <c r="AE191" s="89"/>
      <c r="AF191" s="89"/>
      <c r="AG191" s="89"/>
      <c r="AH191" s="89"/>
    </row>
    <row r="192">
      <c r="A192" s="8" t="s">
        <v>330</v>
      </c>
      <c r="B192" s="97"/>
      <c r="C192" s="8"/>
      <c r="D192" s="89" t="str">
        <f t="shared" si="1"/>
        <v/>
      </c>
      <c r="E192" s="89" t="str">
        <f t="shared" si="2"/>
        <v>OT Hours</v>
      </c>
      <c r="F192" s="89" t="str">
        <f>IFERROR(VLOOKUP(C192,'Employees List'!$B$1:$G$999,2,0),"")</f>
        <v/>
      </c>
      <c r="G192" s="89" t="str">
        <f t="shared" si="23"/>
        <v>#DIV/0!</v>
      </c>
      <c r="H192" s="98"/>
      <c r="I192" s="89" t="str">
        <f>IFERROR(VLOOKUP(F192,'Employees List'!$C:$F,2,0),"")</f>
        <v/>
      </c>
      <c r="J192" s="93" t="str">
        <f>IFERROR(VLOOKUP(C192,'Employees List'!$B$2:$G$991,5,0),"")</f>
        <v/>
      </c>
      <c r="K192" s="95" t="str">
        <f>IFERROR(VLOOKUP(F192,'Employees List'!$C$1:$AB$991,5,0),"")</f>
        <v/>
      </c>
      <c r="L192" s="91">
        <f t="shared" si="3"/>
        <v>0</v>
      </c>
      <c r="M192" s="91">
        <f t="shared" si="4"/>
        <v>0</v>
      </c>
      <c r="N192" s="89" t="str">
        <f>IFERROR(VLOOKUP(B192,'Employees List'!$A$2:$H$991,8,0),"")</f>
        <v/>
      </c>
      <c r="O192" s="89" t="str">
        <f>IFERROR(VLOOKUP(D192,'Daily Attendance Report 24-25'!A207:BP999,5,0),"")</f>
        <v/>
      </c>
      <c r="P192" s="89" t="str">
        <f>IFERROR(VLOOKUP(E192,'Daily Attendance Report 24-25'!$A$1:$BO$617,5,0),"")</f>
        <v/>
      </c>
      <c r="Q192" s="89"/>
      <c r="R192" s="89"/>
      <c r="S192" s="89" t="str">
        <f t="shared" si="17"/>
        <v>#DIV/0!</v>
      </c>
      <c r="T192" s="89" t="str">
        <f t="shared" si="6"/>
        <v>#DIV/0!</v>
      </c>
      <c r="U192" s="89" t="str">
        <f t="shared" si="7"/>
        <v>#DIV/0!</v>
      </c>
      <c r="V192" s="89" t="str">
        <f t="shared" si="24"/>
        <v>#DIV/0!</v>
      </c>
      <c r="W192" s="89" t="str">
        <f t="shared" si="9"/>
        <v>#DIV/0!</v>
      </c>
      <c r="X192" s="89"/>
      <c r="Y192" s="89"/>
      <c r="Z192" s="89"/>
      <c r="AA192" s="89"/>
      <c r="AB192" s="89"/>
      <c r="AC192" s="89"/>
      <c r="AD192" s="89"/>
      <c r="AE192" s="89"/>
      <c r="AF192" s="89"/>
      <c r="AG192" s="89"/>
      <c r="AH192" s="89"/>
    </row>
    <row r="193">
      <c r="A193" s="8" t="s">
        <v>331</v>
      </c>
      <c r="B193" s="97"/>
      <c r="C193" s="8"/>
      <c r="D193" s="89" t="str">
        <f t="shared" si="1"/>
        <v/>
      </c>
      <c r="E193" s="89" t="str">
        <f t="shared" si="2"/>
        <v>OT Hours</v>
      </c>
      <c r="F193" s="89" t="str">
        <f>IFERROR(VLOOKUP(C193,'Employees List'!$B$1:$G$999,2,0),"")</f>
        <v/>
      </c>
      <c r="G193" s="89" t="str">
        <f t="shared" si="23"/>
        <v>#DIV/0!</v>
      </c>
      <c r="H193" s="98"/>
      <c r="I193" s="89" t="str">
        <f>IFERROR(VLOOKUP(F193,'Employees List'!$C:$F,2,0),"")</f>
        <v/>
      </c>
      <c r="J193" s="93" t="str">
        <f>IFERROR(VLOOKUP(C193,'Employees List'!$B$2:$G$991,5,0),"")</f>
        <v/>
      </c>
      <c r="K193" s="95" t="str">
        <f>IFERROR(VLOOKUP(F193,'Employees List'!$C$1:$AB$991,5,0),"")</f>
        <v/>
      </c>
      <c r="L193" s="91">
        <f t="shared" si="3"/>
        <v>0</v>
      </c>
      <c r="M193" s="91">
        <f t="shared" si="4"/>
        <v>0</v>
      </c>
      <c r="N193" s="89" t="str">
        <f>IFERROR(VLOOKUP(B193,'Employees List'!$A$2:$H$991,8,0),"")</f>
        <v/>
      </c>
      <c r="O193" s="89" t="str">
        <f>IFERROR(VLOOKUP(D193,'Daily Attendance Report 24-25'!A208:BP999,5,0),"")</f>
        <v/>
      </c>
      <c r="P193" s="89" t="str">
        <f>IFERROR(VLOOKUP(E193,'Daily Attendance Report 24-25'!$A$1:$BO$617,5,0),"")</f>
        <v/>
      </c>
      <c r="Q193" s="89"/>
      <c r="R193" s="89"/>
      <c r="S193" s="89" t="str">
        <f t="shared" si="17"/>
        <v>#DIV/0!</v>
      </c>
      <c r="T193" s="89" t="str">
        <f t="shared" si="6"/>
        <v>#DIV/0!</v>
      </c>
      <c r="U193" s="89" t="str">
        <f t="shared" si="7"/>
        <v>#DIV/0!</v>
      </c>
      <c r="V193" s="89" t="str">
        <f t="shared" si="24"/>
        <v>#DIV/0!</v>
      </c>
      <c r="W193" s="89" t="str">
        <f t="shared" si="9"/>
        <v>#DIV/0!</v>
      </c>
      <c r="X193" s="89"/>
      <c r="Y193" s="89"/>
      <c r="Z193" s="89"/>
      <c r="AA193" s="89"/>
      <c r="AB193" s="89"/>
      <c r="AC193" s="89"/>
      <c r="AD193" s="89"/>
      <c r="AE193" s="89"/>
      <c r="AF193" s="89"/>
      <c r="AG193" s="89"/>
      <c r="AH193" s="89"/>
    </row>
    <row r="194">
      <c r="A194" s="8" t="s">
        <v>332</v>
      </c>
      <c r="B194" s="97"/>
      <c r="C194" s="8"/>
      <c r="D194" s="89" t="str">
        <f t="shared" si="1"/>
        <v/>
      </c>
      <c r="E194" s="89" t="str">
        <f t="shared" si="2"/>
        <v>OT Hours</v>
      </c>
      <c r="F194" s="89" t="str">
        <f>IFERROR(VLOOKUP(C194,'Employees List'!$B$1:$G$999,2,0),"")</f>
        <v/>
      </c>
      <c r="G194" s="89" t="str">
        <f t="shared" si="23"/>
        <v>#DIV/0!</v>
      </c>
      <c r="H194" s="98"/>
      <c r="I194" s="89" t="str">
        <f>IFERROR(VLOOKUP(F194,'Employees List'!$C:$F,2,0),"")</f>
        <v/>
      </c>
      <c r="J194" s="93" t="str">
        <f>IFERROR(VLOOKUP(C194,'Employees List'!$B$2:$G$991,5,0),"")</f>
        <v/>
      </c>
      <c r="K194" s="95" t="str">
        <f>IFERROR(VLOOKUP(F194,'Employees List'!$C$1:$AB$991,5,0),"")</f>
        <v/>
      </c>
      <c r="L194" s="91">
        <f t="shared" si="3"/>
        <v>0</v>
      </c>
      <c r="M194" s="91">
        <f t="shared" si="4"/>
        <v>0</v>
      </c>
      <c r="N194" s="89" t="str">
        <f>IFERROR(VLOOKUP(B194,'Employees List'!$A$2:$H$991,8,0),"")</f>
        <v/>
      </c>
      <c r="O194" s="89" t="str">
        <f>IFERROR(VLOOKUP(D194,'Daily Attendance Report 24-25'!A209:BP999,5,0),"")</f>
        <v/>
      </c>
      <c r="P194" s="89" t="str">
        <f>IFERROR(VLOOKUP(E194,'Daily Attendance Report 24-25'!$A$1:$BO$617,5,0),"")</f>
        <v/>
      </c>
      <c r="Q194" s="89"/>
      <c r="R194" s="89"/>
      <c r="S194" s="89" t="str">
        <f t="shared" si="17"/>
        <v>#DIV/0!</v>
      </c>
      <c r="T194" s="89" t="str">
        <f t="shared" si="6"/>
        <v>#DIV/0!</v>
      </c>
      <c r="U194" s="89" t="str">
        <f t="shared" si="7"/>
        <v>#DIV/0!</v>
      </c>
      <c r="V194" s="89" t="str">
        <f t="shared" si="24"/>
        <v>#DIV/0!</v>
      </c>
      <c r="W194" s="89" t="str">
        <f t="shared" si="9"/>
        <v>#DIV/0!</v>
      </c>
      <c r="X194" s="89"/>
      <c r="Y194" s="89"/>
      <c r="Z194" s="89"/>
      <c r="AA194" s="89"/>
      <c r="AB194" s="89"/>
      <c r="AC194" s="89"/>
      <c r="AD194" s="89"/>
      <c r="AE194" s="89"/>
      <c r="AF194" s="89"/>
      <c r="AG194" s="89"/>
      <c r="AH194" s="89"/>
    </row>
    <row r="195">
      <c r="A195" s="8" t="s">
        <v>333</v>
      </c>
      <c r="B195" s="97"/>
      <c r="C195" s="8"/>
      <c r="D195" s="89" t="str">
        <f t="shared" si="1"/>
        <v/>
      </c>
      <c r="E195" s="89" t="str">
        <f t="shared" si="2"/>
        <v>OT Hours</v>
      </c>
      <c r="F195" s="89" t="str">
        <f>IFERROR(VLOOKUP(C195,'Employees List'!$B$1:$G$999,2,0),"")</f>
        <v/>
      </c>
      <c r="G195" s="89" t="str">
        <f t="shared" si="23"/>
        <v>#DIV/0!</v>
      </c>
      <c r="H195" s="98"/>
      <c r="I195" s="89" t="str">
        <f>IFERROR(VLOOKUP(F195,'Employees List'!$C:$F,2,0),"")</f>
        <v/>
      </c>
      <c r="J195" s="93" t="str">
        <f>IFERROR(VLOOKUP(C195,'Employees List'!$B$2:$G$991,5,0),"")</f>
        <v/>
      </c>
      <c r="K195" s="95" t="str">
        <f>IFERROR(VLOOKUP(F195,'Employees List'!$C$1:$AB$991,5,0),"")</f>
        <v/>
      </c>
      <c r="L195" s="91">
        <f t="shared" si="3"/>
        <v>0</v>
      </c>
      <c r="M195" s="91">
        <f t="shared" si="4"/>
        <v>0</v>
      </c>
      <c r="N195" s="89" t="str">
        <f>IFERROR(VLOOKUP(B195,'Employees List'!$A$2:$H$991,8,0),"")</f>
        <v/>
      </c>
      <c r="O195" s="89" t="str">
        <f>IFERROR(VLOOKUP(D195,'Daily Attendance Report 24-25'!A210:BP999,5,0),"")</f>
        <v/>
      </c>
      <c r="P195" s="89" t="str">
        <f>IFERROR(VLOOKUP(E195,'Daily Attendance Report 24-25'!$A$1:$BO$617,5,0),"")</f>
        <v/>
      </c>
      <c r="Q195" s="89"/>
      <c r="R195" s="89"/>
      <c r="S195" s="89" t="str">
        <f t="shared" si="17"/>
        <v>#DIV/0!</v>
      </c>
      <c r="T195" s="89" t="str">
        <f t="shared" si="6"/>
        <v>#DIV/0!</v>
      </c>
      <c r="U195" s="89" t="str">
        <f t="shared" si="7"/>
        <v>#DIV/0!</v>
      </c>
      <c r="V195" s="89" t="str">
        <f t="shared" si="24"/>
        <v>#DIV/0!</v>
      </c>
      <c r="W195" s="89" t="str">
        <f t="shared" si="9"/>
        <v>#DIV/0!</v>
      </c>
      <c r="X195" s="89"/>
      <c r="Y195" s="89"/>
      <c r="Z195" s="89"/>
      <c r="AA195" s="89"/>
      <c r="AB195" s="89"/>
      <c r="AC195" s="89"/>
      <c r="AD195" s="89"/>
      <c r="AE195" s="89"/>
      <c r="AF195" s="89"/>
      <c r="AG195" s="89"/>
      <c r="AH195" s="89"/>
    </row>
    <row r="196">
      <c r="A196" s="8" t="s">
        <v>334</v>
      </c>
      <c r="B196" s="97"/>
      <c r="C196" s="8"/>
      <c r="D196" s="89" t="str">
        <f t="shared" si="1"/>
        <v/>
      </c>
      <c r="E196" s="89" t="str">
        <f t="shared" si="2"/>
        <v>OT Hours</v>
      </c>
      <c r="F196" s="89" t="str">
        <f>IFERROR(VLOOKUP(C196,'Employees List'!$B$1:$G$999,2,0),"")</f>
        <v/>
      </c>
      <c r="G196" s="89" t="str">
        <f t="shared" si="23"/>
        <v>#DIV/0!</v>
      </c>
      <c r="H196" s="98"/>
      <c r="I196" s="89" t="str">
        <f>IFERROR(VLOOKUP(F196,'Employees List'!$C:$F,2,0),"")</f>
        <v/>
      </c>
      <c r="J196" s="93" t="str">
        <f>IFERROR(VLOOKUP(C196,'Employees List'!$B$2:$G$991,5,0),"")</f>
        <v/>
      </c>
      <c r="K196" s="95" t="str">
        <f>IFERROR(VLOOKUP(F196,'Employees List'!$C$1:$AB$991,5,0),"")</f>
        <v/>
      </c>
      <c r="L196" s="91">
        <f t="shared" si="3"/>
        <v>0</v>
      </c>
      <c r="M196" s="91">
        <f t="shared" si="4"/>
        <v>0</v>
      </c>
      <c r="N196" s="89" t="str">
        <f>IFERROR(VLOOKUP(B196,'Employees List'!$A$2:$H$991,8,0),"")</f>
        <v/>
      </c>
      <c r="O196" s="89" t="str">
        <f>IFERROR(VLOOKUP(D196,'Daily Attendance Report 24-25'!A211:BP999,5,0),"")</f>
        <v/>
      </c>
      <c r="P196" s="89" t="str">
        <f>IFERROR(VLOOKUP(E196,'Daily Attendance Report 24-25'!$A$1:$BO$617,5,0),"")</f>
        <v/>
      </c>
      <c r="Q196" s="89"/>
      <c r="R196" s="89"/>
      <c r="S196" s="89" t="str">
        <f t="shared" si="17"/>
        <v>#DIV/0!</v>
      </c>
      <c r="T196" s="89" t="str">
        <f t="shared" si="6"/>
        <v>#DIV/0!</v>
      </c>
      <c r="U196" s="89" t="str">
        <f t="shared" si="7"/>
        <v>#DIV/0!</v>
      </c>
      <c r="V196" s="89" t="str">
        <f t="shared" si="24"/>
        <v>#DIV/0!</v>
      </c>
      <c r="W196" s="89" t="str">
        <f t="shared" si="9"/>
        <v>#DIV/0!</v>
      </c>
      <c r="X196" s="89"/>
      <c r="Y196" s="89"/>
      <c r="Z196" s="89"/>
      <c r="AA196" s="89"/>
      <c r="AB196" s="89"/>
      <c r="AC196" s="89"/>
      <c r="AD196" s="89"/>
      <c r="AE196" s="89"/>
      <c r="AF196" s="89"/>
      <c r="AG196" s="89"/>
      <c r="AH196" s="89"/>
    </row>
    <row r="197">
      <c r="A197" s="8" t="s">
        <v>335</v>
      </c>
      <c r="B197" s="97"/>
      <c r="C197" s="8"/>
      <c r="D197" s="89" t="str">
        <f t="shared" si="1"/>
        <v/>
      </c>
      <c r="E197" s="89" t="str">
        <f t="shared" si="2"/>
        <v>OT Hours</v>
      </c>
      <c r="F197" s="89" t="str">
        <f>IFERROR(VLOOKUP(C197,'Employees List'!$B$1:$G$999,2,0),"")</f>
        <v/>
      </c>
      <c r="G197" s="89" t="str">
        <f t="shared" si="23"/>
        <v>#DIV/0!</v>
      </c>
      <c r="H197" s="98"/>
      <c r="I197" s="89" t="str">
        <f>IFERROR(VLOOKUP(F197,'Employees List'!$C:$F,2,0),"")</f>
        <v/>
      </c>
      <c r="J197" s="93" t="str">
        <f>IFERROR(VLOOKUP(C197,'Employees List'!$B$2:$G$991,5,0),"")</f>
        <v/>
      </c>
      <c r="K197" s="95" t="str">
        <f>IFERROR(VLOOKUP(F197,'Employees List'!$C$1:$AB$991,5,0),"")</f>
        <v/>
      </c>
      <c r="L197" s="91">
        <f t="shared" si="3"/>
        <v>0</v>
      </c>
      <c r="M197" s="91">
        <f t="shared" si="4"/>
        <v>0</v>
      </c>
      <c r="N197" s="89" t="str">
        <f>IFERROR(VLOOKUP(B197,'Employees List'!$A$2:$H$991,8,0),"")</f>
        <v/>
      </c>
      <c r="O197" s="89" t="str">
        <f>IFERROR(VLOOKUP(D197,'Daily Attendance Report 24-25'!A212:BP999,5,0),"")</f>
        <v/>
      </c>
      <c r="P197" s="89" t="str">
        <f>IFERROR(VLOOKUP(E197,'Daily Attendance Report 24-25'!$A$1:$BO$617,5,0),"")</f>
        <v/>
      </c>
      <c r="Q197" s="89"/>
      <c r="R197" s="89"/>
      <c r="S197" s="89" t="str">
        <f t="shared" si="17"/>
        <v>#DIV/0!</v>
      </c>
      <c r="T197" s="89" t="str">
        <f t="shared" si="6"/>
        <v>#DIV/0!</v>
      </c>
      <c r="U197" s="89" t="str">
        <f t="shared" si="7"/>
        <v>#DIV/0!</v>
      </c>
      <c r="V197" s="89" t="str">
        <f t="shared" si="24"/>
        <v>#DIV/0!</v>
      </c>
      <c r="W197" s="89" t="str">
        <f t="shared" si="9"/>
        <v>#DIV/0!</v>
      </c>
      <c r="X197" s="89"/>
      <c r="Y197" s="89"/>
      <c r="Z197" s="89"/>
      <c r="AA197" s="89"/>
      <c r="AB197" s="89"/>
      <c r="AC197" s="89"/>
      <c r="AD197" s="89"/>
      <c r="AE197" s="89"/>
      <c r="AF197" s="89"/>
      <c r="AG197" s="89"/>
      <c r="AH197" s="89"/>
    </row>
    <row r="198">
      <c r="A198" s="8" t="s">
        <v>336</v>
      </c>
      <c r="B198" s="97"/>
      <c r="C198" s="8"/>
      <c r="D198" s="89" t="str">
        <f t="shared" si="1"/>
        <v/>
      </c>
      <c r="E198" s="89" t="str">
        <f t="shared" si="2"/>
        <v>OT Hours</v>
      </c>
      <c r="F198" s="89" t="str">
        <f>IFERROR(VLOOKUP(C198,'Employees List'!$B$1:$G$999,2,0),"")</f>
        <v/>
      </c>
      <c r="G198" s="89" t="str">
        <f t="shared" si="23"/>
        <v>#DIV/0!</v>
      </c>
      <c r="H198" s="98"/>
      <c r="I198" s="89" t="str">
        <f>IFERROR(VLOOKUP(F198,'Employees List'!$C:$F,2,0),"")</f>
        <v/>
      </c>
      <c r="J198" s="93" t="str">
        <f>IFERROR(VLOOKUP(C198,'Employees List'!$B$2:$G$991,5,0),"")</f>
        <v/>
      </c>
      <c r="K198" s="95" t="str">
        <f>IFERROR(VLOOKUP(F198,'Employees List'!$C$1:$AB$991,5,0),"")</f>
        <v/>
      </c>
      <c r="L198" s="91">
        <f t="shared" si="3"/>
        <v>0</v>
      </c>
      <c r="M198" s="91">
        <f t="shared" si="4"/>
        <v>0</v>
      </c>
      <c r="N198" s="89" t="str">
        <f>IFERROR(VLOOKUP(B198,'Employees List'!$A$2:$H$991,8,0),"")</f>
        <v/>
      </c>
      <c r="O198" s="89" t="str">
        <f>IFERROR(VLOOKUP(D198,'Daily Attendance Report 24-25'!A213:BP999,5,0),"")</f>
        <v/>
      </c>
      <c r="P198" s="89" t="str">
        <f>IFERROR(VLOOKUP(E198,'Daily Attendance Report 24-25'!$A$1:$BO$617,5,0),"")</f>
        <v/>
      </c>
      <c r="Q198" s="89"/>
      <c r="R198" s="89"/>
      <c r="S198" s="89" t="str">
        <f t="shared" si="17"/>
        <v>#DIV/0!</v>
      </c>
      <c r="T198" s="89" t="str">
        <f t="shared" si="6"/>
        <v>#DIV/0!</v>
      </c>
      <c r="U198" s="89" t="str">
        <f t="shared" si="7"/>
        <v>#DIV/0!</v>
      </c>
      <c r="V198" s="89" t="str">
        <f t="shared" si="24"/>
        <v>#DIV/0!</v>
      </c>
      <c r="W198" s="89" t="str">
        <f t="shared" si="9"/>
        <v>#DIV/0!</v>
      </c>
      <c r="X198" s="89"/>
      <c r="Y198" s="89"/>
      <c r="Z198" s="89"/>
      <c r="AA198" s="89"/>
      <c r="AB198" s="89"/>
      <c r="AC198" s="89"/>
      <c r="AD198" s="89"/>
      <c r="AE198" s="89"/>
      <c r="AF198" s="89"/>
      <c r="AG198" s="89"/>
      <c r="AH198" s="89"/>
    </row>
    <row r="199">
      <c r="A199" s="8" t="s">
        <v>337</v>
      </c>
      <c r="B199" s="97"/>
      <c r="C199" s="8"/>
      <c r="D199" s="89" t="str">
        <f t="shared" si="1"/>
        <v/>
      </c>
      <c r="E199" s="89" t="str">
        <f t="shared" si="2"/>
        <v>OT Hours</v>
      </c>
      <c r="F199" s="89" t="str">
        <f>IFERROR(VLOOKUP(C199,'Employees List'!$B$1:$G$999,2,0),"")</f>
        <v/>
      </c>
      <c r="G199" s="89" t="str">
        <f t="shared" si="23"/>
        <v>#DIV/0!</v>
      </c>
      <c r="H199" s="98"/>
      <c r="I199" s="89" t="str">
        <f>IFERROR(VLOOKUP(F199,'Employees List'!$C:$F,2,0),"")</f>
        <v/>
      </c>
      <c r="J199" s="93" t="str">
        <f>IFERROR(VLOOKUP(C199,'Employees List'!$B$2:$G$991,5,0),"")</f>
        <v/>
      </c>
      <c r="K199" s="95" t="str">
        <f>IFERROR(VLOOKUP(F199,'Employees List'!$C$1:$AB$991,5,0),"")</f>
        <v/>
      </c>
      <c r="L199" s="91">
        <f t="shared" si="3"/>
        <v>0</v>
      </c>
      <c r="M199" s="91">
        <f t="shared" si="4"/>
        <v>0</v>
      </c>
      <c r="N199" s="89" t="str">
        <f>IFERROR(VLOOKUP(B199,'Employees List'!$A$2:$H$991,8,0),"")</f>
        <v/>
      </c>
      <c r="O199" s="89" t="str">
        <f>IFERROR(VLOOKUP(D199,'Daily Attendance Report 24-25'!A214:BP999,5,0),"")</f>
        <v/>
      </c>
      <c r="P199" s="89" t="str">
        <f>IFERROR(VLOOKUP(E199,'Daily Attendance Report 24-25'!$A$1:$BO$617,5,0),"")</f>
        <v/>
      </c>
      <c r="Q199" s="89"/>
      <c r="R199" s="89"/>
      <c r="S199" s="89" t="str">
        <f t="shared" si="17"/>
        <v>#DIV/0!</v>
      </c>
      <c r="T199" s="89" t="str">
        <f t="shared" si="6"/>
        <v>#DIV/0!</v>
      </c>
      <c r="U199" s="89" t="str">
        <f t="shared" si="7"/>
        <v>#DIV/0!</v>
      </c>
      <c r="V199" s="89" t="str">
        <f t="shared" si="24"/>
        <v>#DIV/0!</v>
      </c>
      <c r="W199" s="89" t="str">
        <f t="shared" si="9"/>
        <v>#DIV/0!</v>
      </c>
      <c r="X199" s="89"/>
      <c r="Y199" s="89"/>
      <c r="Z199" s="89"/>
      <c r="AA199" s="89"/>
      <c r="AB199" s="89"/>
      <c r="AC199" s="89"/>
      <c r="AD199" s="89"/>
      <c r="AE199" s="89"/>
      <c r="AF199" s="89"/>
      <c r="AG199" s="89"/>
      <c r="AH199" s="89"/>
    </row>
    <row r="200">
      <c r="A200" s="8" t="s">
        <v>338</v>
      </c>
      <c r="B200" s="97"/>
      <c r="C200" s="8"/>
      <c r="D200" s="89" t="str">
        <f t="shared" si="1"/>
        <v/>
      </c>
      <c r="E200" s="89" t="str">
        <f t="shared" si="2"/>
        <v>OT Hours</v>
      </c>
      <c r="F200" s="89" t="str">
        <f>IFERROR(VLOOKUP(C200,'Employees List'!$B$1:$G$999,2,0),"")</f>
        <v/>
      </c>
      <c r="G200" s="89" t="str">
        <f t="shared" si="23"/>
        <v>#DIV/0!</v>
      </c>
      <c r="H200" s="98"/>
      <c r="I200" s="89" t="str">
        <f>IFERROR(VLOOKUP(F200,'Employees List'!$C:$F,2,0),"")</f>
        <v/>
      </c>
      <c r="J200" s="93" t="str">
        <f>IFERROR(VLOOKUP(C200,'Employees List'!$B$2:$G$991,5,0),"")</f>
        <v/>
      </c>
      <c r="K200" s="95" t="str">
        <f>IFERROR(VLOOKUP(F200,'Employees List'!$C$1:$AB$991,5,0),"")</f>
        <v/>
      </c>
      <c r="L200" s="91">
        <f t="shared" si="3"/>
        <v>0</v>
      </c>
      <c r="M200" s="91">
        <f t="shared" si="4"/>
        <v>0</v>
      </c>
      <c r="N200" s="89" t="str">
        <f>IFERROR(VLOOKUP(B200,'Employees List'!$A$2:$H$991,8,0),"")</f>
        <v/>
      </c>
      <c r="O200" s="89" t="str">
        <f>IFERROR(VLOOKUP(D200,'Daily Attendance Report 24-25'!A215:BP999,5,0),"")</f>
        <v/>
      </c>
      <c r="P200" s="89" t="str">
        <f>IFERROR(VLOOKUP(E200,'Daily Attendance Report 24-25'!$A$1:$BO$617,5,0),"")</f>
        <v/>
      </c>
      <c r="Q200" s="89"/>
      <c r="R200" s="89"/>
      <c r="S200" s="89" t="str">
        <f t="shared" si="17"/>
        <v>#DIV/0!</v>
      </c>
      <c r="T200" s="89" t="str">
        <f t="shared" si="6"/>
        <v>#DIV/0!</v>
      </c>
      <c r="U200" s="89" t="str">
        <f t="shared" si="7"/>
        <v>#DIV/0!</v>
      </c>
      <c r="V200" s="89" t="str">
        <f t="shared" si="24"/>
        <v>#DIV/0!</v>
      </c>
      <c r="W200" s="89" t="str">
        <f t="shared" si="9"/>
        <v>#DIV/0!</v>
      </c>
      <c r="X200" s="89"/>
      <c r="Y200" s="89"/>
      <c r="Z200" s="89"/>
      <c r="AA200" s="89"/>
      <c r="AB200" s="89"/>
      <c r="AC200" s="89"/>
      <c r="AD200" s="89"/>
      <c r="AE200" s="89"/>
      <c r="AF200" s="89"/>
      <c r="AG200" s="89"/>
      <c r="AH200" s="89"/>
    </row>
    <row r="201">
      <c r="A201" s="8" t="s">
        <v>339</v>
      </c>
      <c r="B201" s="97"/>
      <c r="C201" s="8"/>
      <c r="D201" s="89" t="str">
        <f t="shared" si="1"/>
        <v/>
      </c>
      <c r="E201" s="89" t="str">
        <f t="shared" si="2"/>
        <v>OT Hours</v>
      </c>
      <c r="F201" s="89" t="str">
        <f>IFERROR(VLOOKUP(C201,'Employees List'!$B$1:$G$999,2,0),"")</f>
        <v/>
      </c>
      <c r="G201" s="89" t="str">
        <f t="shared" si="23"/>
        <v>#DIV/0!</v>
      </c>
      <c r="H201" s="98"/>
      <c r="I201" s="89" t="str">
        <f>IFERROR(VLOOKUP(F201,'Employees List'!$C:$F,2,0),"")</f>
        <v/>
      </c>
      <c r="J201" s="93" t="str">
        <f>IFERROR(VLOOKUP(C201,'Employees List'!$B$2:$G$991,5,0),"")</f>
        <v/>
      </c>
      <c r="K201" s="95" t="str">
        <f>IFERROR(VLOOKUP(F201,'Employees List'!$C$1:$AB$991,5,0),"")</f>
        <v/>
      </c>
      <c r="L201" s="91">
        <f t="shared" si="3"/>
        <v>0</v>
      </c>
      <c r="M201" s="91">
        <f t="shared" si="4"/>
        <v>0</v>
      </c>
      <c r="N201" s="89" t="str">
        <f>IFERROR(VLOOKUP(B201,'Employees List'!$A$2:$H$991,8,0),"")</f>
        <v/>
      </c>
      <c r="O201" s="89" t="str">
        <f>IFERROR(VLOOKUP(D201,'Daily Attendance Report 24-25'!A216:BP999,5,0),"")</f>
        <v/>
      </c>
      <c r="P201" s="89" t="str">
        <f>IFERROR(VLOOKUP(E201,'Daily Attendance Report 24-25'!$A$1:$BO$617,5,0),"")</f>
        <v/>
      </c>
      <c r="Q201" s="89"/>
      <c r="R201" s="89"/>
      <c r="S201" s="89" t="str">
        <f t="shared" si="17"/>
        <v>#DIV/0!</v>
      </c>
      <c r="T201" s="89" t="str">
        <f t="shared" si="6"/>
        <v>#DIV/0!</v>
      </c>
      <c r="U201" s="89" t="str">
        <f t="shared" si="7"/>
        <v>#DIV/0!</v>
      </c>
      <c r="V201" s="89" t="str">
        <f t="shared" si="24"/>
        <v>#DIV/0!</v>
      </c>
      <c r="W201" s="89" t="str">
        <f t="shared" si="9"/>
        <v>#DIV/0!</v>
      </c>
      <c r="X201" s="89"/>
      <c r="Y201" s="89"/>
      <c r="Z201" s="89"/>
      <c r="AA201" s="89"/>
      <c r="AB201" s="89"/>
      <c r="AC201" s="89"/>
      <c r="AD201" s="89"/>
      <c r="AE201" s="89"/>
      <c r="AF201" s="89"/>
      <c r="AG201" s="89"/>
      <c r="AH201" s="89"/>
    </row>
    <row r="202">
      <c r="A202" s="8" t="s">
        <v>340</v>
      </c>
      <c r="B202" s="97"/>
      <c r="C202" s="8"/>
      <c r="D202" s="89" t="str">
        <f t="shared" si="1"/>
        <v/>
      </c>
      <c r="E202" s="89" t="str">
        <f t="shared" si="2"/>
        <v>OT Hours</v>
      </c>
      <c r="F202" s="89" t="str">
        <f>IFERROR(VLOOKUP(C202,'Employees List'!$B$1:$G$999,2,0),"")</f>
        <v/>
      </c>
      <c r="G202" s="89" t="str">
        <f t="shared" si="23"/>
        <v>#DIV/0!</v>
      </c>
      <c r="H202" s="98"/>
      <c r="I202" s="89" t="str">
        <f>IFERROR(VLOOKUP(F202,'Employees List'!$C:$F,2,0),"")</f>
        <v/>
      </c>
      <c r="J202" s="93" t="str">
        <f>IFERROR(VLOOKUP(C202,'Employees List'!$B$2:$G$991,5,0),"")</f>
        <v/>
      </c>
      <c r="K202" s="95" t="str">
        <f>IFERROR(VLOOKUP(F202,'Employees List'!$C$1:$AB$991,5,0),"")</f>
        <v/>
      </c>
      <c r="L202" s="91">
        <f t="shared" si="3"/>
        <v>0</v>
      </c>
      <c r="M202" s="91">
        <f t="shared" si="4"/>
        <v>0</v>
      </c>
      <c r="N202" s="89" t="str">
        <f>IFERROR(VLOOKUP(B202,'Employees List'!$A$2:$H$991,8,0),"")</f>
        <v/>
      </c>
      <c r="O202" s="89" t="str">
        <f>IFERROR(VLOOKUP(D202,'Daily Attendance Report 24-25'!A217:BP999,5,0),"")</f>
        <v/>
      </c>
      <c r="P202" s="89" t="str">
        <f>IFERROR(VLOOKUP(E202,'Daily Attendance Report 24-25'!$A$1:$BO$617,5,0),"")</f>
        <v/>
      </c>
      <c r="Q202" s="89"/>
      <c r="R202" s="89"/>
      <c r="S202" s="89" t="str">
        <f t="shared" si="17"/>
        <v>#DIV/0!</v>
      </c>
      <c r="T202" s="89" t="str">
        <f t="shared" si="6"/>
        <v>#DIV/0!</v>
      </c>
      <c r="U202" s="89" t="str">
        <f t="shared" ref="U202:U999" si="25">S202+T202-R202</f>
        <v>#DIV/0!</v>
      </c>
      <c r="V202" s="89" t="str">
        <f t="shared" si="24"/>
        <v>#DIV/0!</v>
      </c>
      <c r="W202" s="89" t="str">
        <f t="shared" si="9"/>
        <v>#DIV/0!</v>
      </c>
      <c r="X202" s="89"/>
      <c r="Y202" s="89"/>
      <c r="Z202" s="89"/>
      <c r="AA202" s="89"/>
      <c r="AB202" s="89"/>
      <c r="AC202" s="89"/>
      <c r="AD202" s="89"/>
      <c r="AE202" s="89"/>
      <c r="AF202" s="89"/>
      <c r="AG202" s="89"/>
      <c r="AH202" s="89"/>
    </row>
    <row r="203">
      <c r="A203" s="8" t="s">
        <v>341</v>
      </c>
      <c r="B203" s="97"/>
      <c r="C203" s="8"/>
      <c r="D203" s="89" t="str">
        <f t="shared" si="1"/>
        <v/>
      </c>
      <c r="E203" s="89" t="str">
        <f t="shared" si="2"/>
        <v>OT Hours</v>
      </c>
      <c r="F203" s="89" t="str">
        <f>IFERROR(VLOOKUP(C203,'Employees List'!$B$1:$G$999,2,0),"")</f>
        <v/>
      </c>
      <c r="G203" s="89" t="str">
        <f t="shared" si="23"/>
        <v>#DIV/0!</v>
      </c>
      <c r="H203" s="98"/>
      <c r="I203" s="89" t="str">
        <f>IFERROR(VLOOKUP(F203,'Employees List'!$C:$F,2,0),"")</f>
        <v/>
      </c>
      <c r="J203" s="93" t="str">
        <f>IFERROR(VLOOKUP(C203,'Employees List'!$B$2:$G$991,5,0),"")</f>
        <v/>
      </c>
      <c r="K203" s="95" t="str">
        <f>IFERROR(VLOOKUP(F203,'Employees List'!$C$1:$AB$991,5,0),"")</f>
        <v/>
      </c>
      <c r="L203" s="91">
        <f t="shared" si="3"/>
        <v>0</v>
      </c>
      <c r="M203" s="91">
        <f t="shared" si="4"/>
        <v>0</v>
      </c>
      <c r="N203" s="89" t="str">
        <f>IFERROR(VLOOKUP(B203,'Employees List'!$A$2:$H$991,8,0),"")</f>
        <v/>
      </c>
      <c r="O203" s="89" t="str">
        <f>IFERROR(VLOOKUP(D203,'Daily Attendance Report 24-25'!A218:BP999,5,0),"")</f>
        <v/>
      </c>
      <c r="P203" s="89" t="str">
        <f>IFERROR(VLOOKUP(E203,'Daily Attendance Report 24-25'!$A$1:$BO$617,5,0),"")</f>
        <v/>
      </c>
      <c r="Q203" s="89"/>
      <c r="R203" s="89"/>
      <c r="S203" s="89" t="str">
        <f t="shared" si="17"/>
        <v>#DIV/0!</v>
      </c>
      <c r="T203" s="89" t="str">
        <f t="shared" si="6"/>
        <v>#DIV/0!</v>
      </c>
      <c r="U203" s="89" t="str">
        <f t="shared" si="25"/>
        <v>#DIV/0!</v>
      </c>
      <c r="V203" s="89" t="str">
        <f t="shared" si="24"/>
        <v>#DIV/0!</v>
      </c>
      <c r="W203" s="89" t="str">
        <f t="shared" si="9"/>
        <v>#DIV/0!</v>
      </c>
      <c r="X203" s="89"/>
      <c r="Y203" s="89"/>
      <c r="Z203" s="89"/>
      <c r="AA203" s="89"/>
      <c r="AB203" s="89"/>
      <c r="AC203" s="89"/>
      <c r="AD203" s="89"/>
      <c r="AE203" s="89"/>
      <c r="AF203" s="89"/>
      <c r="AG203" s="89"/>
      <c r="AH203" s="89"/>
    </row>
    <row r="204">
      <c r="A204" s="8" t="s">
        <v>342</v>
      </c>
      <c r="B204" s="97"/>
      <c r="C204" s="8"/>
      <c r="D204" s="89" t="str">
        <f t="shared" si="1"/>
        <v/>
      </c>
      <c r="E204" s="89" t="str">
        <f t="shared" si="2"/>
        <v>OT Hours</v>
      </c>
      <c r="F204" s="89" t="str">
        <f>IFERROR(VLOOKUP(C204,'Employees List'!$B$1:$G$999,2,0),"")</f>
        <v/>
      </c>
      <c r="G204" s="89" t="str">
        <f t="shared" si="23"/>
        <v>#DIV/0!</v>
      </c>
      <c r="H204" s="98"/>
      <c r="I204" s="89" t="str">
        <f>IFERROR(VLOOKUP(F204,'Employees List'!$C:$F,2,0),"")</f>
        <v/>
      </c>
      <c r="J204" s="93" t="str">
        <f>IFERROR(VLOOKUP(C204,'Employees List'!$B$2:$G$991,5,0),"")</f>
        <v/>
      </c>
      <c r="K204" s="95" t="str">
        <f>IFERROR(VLOOKUP(F204,'Employees List'!$C$1:$AB$991,5,0),"")</f>
        <v/>
      </c>
      <c r="L204" s="91">
        <f t="shared" si="3"/>
        <v>0</v>
      </c>
      <c r="M204" s="91">
        <f t="shared" si="4"/>
        <v>0</v>
      </c>
      <c r="N204" s="89" t="str">
        <f>IFERROR(VLOOKUP(B204,'Employees List'!$A$2:$H$991,8,0),"")</f>
        <v/>
      </c>
      <c r="O204" s="89" t="str">
        <f>IFERROR(VLOOKUP(D204,'Daily Attendance Report 24-25'!A219:BP999,5,0),"")</f>
        <v/>
      </c>
      <c r="P204" s="89" t="str">
        <f>IFERROR(VLOOKUP(E204,'Daily Attendance Report 24-25'!$A$1:$BO$617,5,0),"")</f>
        <v/>
      </c>
      <c r="Q204" s="89"/>
      <c r="R204" s="89"/>
      <c r="S204" s="89" t="str">
        <f t="shared" si="17"/>
        <v>#DIV/0!</v>
      </c>
      <c r="T204" s="89" t="str">
        <f t="shared" si="6"/>
        <v>#DIV/0!</v>
      </c>
      <c r="U204" s="89" t="str">
        <f t="shared" si="25"/>
        <v>#DIV/0!</v>
      </c>
      <c r="V204" s="89" t="str">
        <f t="shared" si="24"/>
        <v>#DIV/0!</v>
      </c>
      <c r="W204" s="89" t="str">
        <f t="shared" si="9"/>
        <v>#DIV/0!</v>
      </c>
      <c r="X204" s="89"/>
      <c r="Y204" s="89"/>
      <c r="Z204" s="89"/>
      <c r="AA204" s="89"/>
      <c r="AB204" s="89"/>
      <c r="AC204" s="89"/>
      <c r="AD204" s="89"/>
      <c r="AE204" s="89"/>
      <c r="AF204" s="89"/>
      <c r="AG204" s="89"/>
      <c r="AH204" s="89"/>
    </row>
    <row r="205">
      <c r="A205" s="8" t="s">
        <v>343</v>
      </c>
      <c r="B205" s="97"/>
      <c r="C205" s="8"/>
      <c r="D205" s="89" t="str">
        <f t="shared" si="1"/>
        <v/>
      </c>
      <c r="E205" s="89" t="str">
        <f t="shared" si="2"/>
        <v>OT Hours</v>
      </c>
      <c r="F205" s="89" t="str">
        <f>IFERROR(VLOOKUP(C205,'Employees List'!$B$1:$G$999,2,0),"")</f>
        <v/>
      </c>
      <c r="G205" s="89" t="str">
        <f t="shared" si="23"/>
        <v>#DIV/0!</v>
      </c>
      <c r="H205" s="98"/>
      <c r="I205" s="89" t="str">
        <f>IFERROR(VLOOKUP(F205,'Employees List'!$C:$F,2,0),"")</f>
        <v/>
      </c>
      <c r="J205" s="93" t="str">
        <f>IFERROR(VLOOKUP(C205,'Employees List'!$B$2:$G$991,5,0),"")</f>
        <v/>
      </c>
      <c r="K205" s="95" t="str">
        <f>IFERROR(VLOOKUP(F205,'Employees List'!$C$1:$AB$991,5,0),"")</f>
        <v/>
      </c>
      <c r="L205" s="91">
        <f t="shared" si="3"/>
        <v>0</v>
      </c>
      <c r="M205" s="91">
        <f t="shared" si="4"/>
        <v>0</v>
      </c>
      <c r="N205" s="89" t="str">
        <f>IFERROR(VLOOKUP(B205,'Employees List'!$A$2:$H$991,8,0),"")</f>
        <v/>
      </c>
      <c r="O205" s="89" t="str">
        <f>IFERROR(VLOOKUP(D205,'Daily Attendance Report 24-25'!A220:BP999,5,0),"")</f>
        <v/>
      </c>
      <c r="P205" s="89" t="str">
        <f>IFERROR(VLOOKUP(E205,'Daily Attendance Report 24-25'!$A$1:$BO$617,5,0),"")</f>
        <v/>
      </c>
      <c r="Q205" s="89"/>
      <c r="R205" s="89"/>
      <c r="S205" s="89" t="str">
        <f t="shared" si="17"/>
        <v>#DIV/0!</v>
      </c>
      <c r="T205" s="89" t="str">
        <f t="shared" si="6"/>
        <v>#DIV/0!</v>
      </c>
      <c r="U205" s="89" t="str">
        <f t="shared" si="25"/>
        <v>#DIV/0!</v>
      </c>
      <c r="V205" s="89" t="str">
        <f t="shared" si="24"/>
        <v>#DIV/0!</v>
      </c>
      <c r="W205" s="89" t="str">
        <f t="shared" si="9"/>
        <v>#DIV/0!</v>
      </c>
      <c r="X205" s="89"/>
      <c r="Y205" s="89"/>
      <c r="Z205" s="89"/>
      <c r="AA205" s="89"/>
      <c r="AB205" s="89"/>
      <c r="AC205" s="89"/>
      <c r="AD205" s="89"/>
      <c r="AE205" s="89"/>
      <c r="AF205" s="89"/>
      <c r="AG205" s="89"/>
      <c r="AH205" s="89"/>
    </row>
    <row r="206">
      <c r="A206" s="8" t="s">
        <v>344</v>
      </c>
      <c r="B206" s="97"/>
      <c r="C206" s="8"/>
      <c r="D206" s="89" t="str">
        <f t="shared" si="1"/>
        <v/>
      </c>
      <c r="E206" s="89" t="str">
        <f t="shared" si="2"/>
        <v>OT Hours</v>
      </c>
      <c r="F206" s="89" t="str">
        <f>IFERROR(VLOOKUP(C206,'Employees List'!$B$1:$G$999,2,0),"")</f>
        <v/>
      </c>
      <c r="G206" s="89" t="str">
        <f t="shared" si="23"/>
        <v>#DIV/0!</v>
      </c>
      <c r="H206" s="98"/>
      <c r="I206" s="89" t="str">
        <f>IFERROR(VLOOKUP(F206,'Employees List'!$C:$F,2,0),"")</f>
        <v/>
      </c>
      <c r="J206" s="93" t="str">
        <f>IFERROR(VLOOKUP(C206,'Employees List'!$B$2:$G$991,5,0),"")</f>
        <v/>
      </c>
      <c r="K206" s="95" t="str">
        <f>IFERROR(VLOOKUP(F206,'Employees List'!$C$1:$AB$991,5,0),"")</f>
        <v/>
      </c>
      <c r="L206" s="91">
        <f t="shared" si="3"/>
        <v>0</v>
      </c>
      <c r="M206" s="91">
        <f t="shared" si="4"/>
        <v>0</v>
      </c>
      <c r="N206" s="89" t="str">
        <f>IFERROR(VLOOKUP(B206,'Employees List'!$A$2:$H$991,8,0),"")</f>
        <v/>
      </c>
      <c r="O206" s="89" t="str">
        <f>IFERROR(VLOOKUP(D206,'Daily Attendance Report 24-25'!A221:BP999,5,0),"")</f>
        <v/>
      </c>
      <c r="P206" s="89" t="str">
        <f>IFERROR(VLOOKUP(E206,'Daily Attendance Report 24-25'!$A$1:$BO$617,5,0),"")</f>
        <v/>
      </c>
      <c r="Q206" s="89"/>
      <c r="R206" s="89"/>
      <c r="S206" s="89" t="str">
        <f t="shared" si="17"/>
        <v>#DIV/0!</v>
      </c>
      <c r="T206" s="89" t="str">
        <f t="shared" si="6"/>
        <v>#DIV/0!</v>
      </c>
      <c r="U206" s="89" t="str">
        <f t="shared" si="25"/>
        <v>#DIV/0!</v>
      </c>
      <c r="V206" s="89" t="str">
        <f t="shared" si="24"/>
        <v>#DIV/0!</v>
      </c>
      <c r="W206" s="89" t="str">
        <f t="shared" si="9"/>
        <v>#DIV/0!</v>
      </c>
      <c r="X206" s="89"/>
      <c r="Y206" s="89"/>
      <c r="Z206" s="89"/>
      <c r="AA206" s="89"/>
      <c r="AB206" s="89"/>
      <c r="AC206" s="89"/>
      <c r="AD206" s="89"/>
      <c r="AE206" s="89"/>
      <c r="AF206" s="89"/>
      <c r="AG206" s="89"/>
      <c r="AH206" s="89"/>
    </row>
    <row r="207">
      <c r="A207" s="8" t="s">
        <v>345</v>
      </c>
      <c r="B207" s="97"/>
      <c r="C207" s="8"/>
      <c r="D207" s="89" t="str">
        <f t="shared" si="1"/>
        <v/>
      </c>
      <c r="E207" s="89" t="str">
        <f t="shared" si="2"/>
        <v>OT Hours</v>
      </c>
      <c r="F207" s="89" t="str">
        <f>IFERROR(VLOOKUP(C207,'Employees List'!$B$1:$G$999,2,0),"")</f>
        <v/>
      </c>
      <c r="G207" s="89" t="str">
        <f t="shared" si="23"/>
        <v>#DIV/0!</v>
      </c>
      <c r="H207" s="98"/>
      <c r="I207" s="89" t="str">
        <f>IFERROR(VLOOKUP(F207,'Employees List'!$C:$F,2,0),"")</f>
        <v/>
      </c>
      <c r="J207" s="93" t="str">
        <f>IFERROR(VLOOKUP(C207,'Employees List'!$B$2:$G$991,5,0),"")</f>
        <v/>
      </c>
      <c r="K207" s="95" t="str">
        <f>IFERROR(VLOOKUP(F207,'Employees List'!$C$1:$AB$991,5,0),"")</f>
        <v/>
      </c>
      <c r="L207" s="91">
        <f t="shared" si="3"/>
        <v>0</v>
      </c>
      <c r="M207" s="91">
        <f t="shared" si="4"/>
        <v>0</v>
      </c>
      <c r="N207" s="89" t="str">
        <f>IFERROR(VLOOKUP(B207,'Employees List'!$A$2:$H$991,8,0),"")</f>
        <v/>
      </c>
      <c r="O207" s="89" t="str">
        <f>IFERROR(VLOOKUP(D207,'Daily Attendance Report 24-25'!A222:BP999,5,0),"")</f>
        <v/>
      </c>
      <c r="P207" s="89" t="str">
        <f>IFERROR(VLOOKUP(E207,'Daily Attendance Report 24-25'!$A$1:$BO$617,5,0),"")</f>
        <v/>
      </c>
      <c r="Q207" s="89"/>
      <c r="R207" s="89"/>
      <c r="S207" s="89" t="str">
        <f t="shared" si="17"/>
        <v>#DIV/0!</v>
      </c>
      <c r="T207" s="89" t="str">
        <f t="shared" si="6"/>
        <v>#DIV/0!</v>
      </c>
      <c r="U207" s="89" t="str">
        <f t="shared" si="25"/>
        <v>#DIV/0!</v>
      </c>
      <c r="V207" s="89" t="str">
        <f t="shared" si="24"/>
        <v>#DIV/0!</v>
      </c>
      <c r="W207" s="89" t="str">
        <f t="shared" si="9"/>
        <v>#DIV/0!</v>
      </c>
      <c r="X207" s="89"/>
      <c r="Y207" s="89"/>
      <c r="Z207" s="89"/>
      <c r="AA207" s="89"/>
      <c r="AB207" s="89"/>
      <c r="AC207" s="89"/>
      <c r="AD207" s="89"/>
      <c r="AE207" s="89"/>
      <c r="AF207" s="89"/>
      <c r="AG207" s="89"/>
      <c r="AH207" s="89"/>
    </row>
    <row r="208">
      <c r="A208" s="8" t="s">
        <v>346</v>
      </c>
      <c r="B208" s="97"/>
      <c r="C208" s="8"/>
      <c r="D208" s="89" t="str">
        <f t="shared" si="1"/>
        <v/>
      </c>
      <c r="E208" s="89" t="str">
        <f t="shared" si="2"/>
        <v>OT Hours</v>
      </c>
      <c r="F208" s="89" t="str">
        <f>IFERROR(VLOOKUP(C208,'Employees List'!$B$1:$G$999,2,0),"")</f>
        <v/>
      </c>
      <c r="G208" s="89" t="str">
        <f t="shared" si="23"/>
        <v>#DIV/0!</v>
      </c>
      <c r="H208" s="98"/>
      <c r="I208" s="89" t="str">
        <f>IFERROR(VLOOKUP(F208,'Employees List'!$C:$F,2,0),"")</f>
        <v/>
      </c>
      <c r="J208" s="93" t="str">
        <f>IFERROR(VLOOKUP(C208,'Employees List'!$B$2:$G$991,5,0),"")</f>
        <v/>
      </c>
      <c r="K208" s="95" t="str">
        <f>IFERROR(VLOOKUP(F208,'Employees List'!$C$1:$AB$991,5,0),"")</f>
        <v/>
      </c>
      <c r="L208" s="91">
        <f t="shared" si="3"/>
        <v>0</v>
      </c>
      <c r="M208" s="91">
        <f t="shared" si="4"/>
        <v>0</v>
      </c>
      <c r="N208" s="89" t="str">
        <f>IFERROR(VLOOKUP(B208,'Employees List'!$A$2:$H$991,8,0),"")</f>
        <v/>
      </c>
      <c r="O208" s="89" t="str">
        <f>IFERROR(VLOOKUP(D208,'Daily Attendance Report 24-25'!A223:BP999,5,0),"")</f>
        <v/>
      </c>
      <c r="P208" s="89" t="str">
        <f>IFERROR(VLOOKUP(E208,'Daily Attendance Report 24-25'!$A$1:$BO$617,5,0),"")</f>
        <v/>
      </c>
      <c r="Q208" s="89"/>
      <c r="R208" s="89"/>
      <c r="S208" s="89" t="str">
        <f t="shared" si="17"/>
        <v>#DIV/0!</v>
      </c>
      <c r="T208" s="89" t="str">
        <f t="shared" si="6"/>
        <v>#DIV/0!</v>
      </c>
      <c r="U208" s="89" t="str">
        <f t="shared" si="25"/>
        <v>#DIV/0!</v>
      </c>
      <c r="V208" s="89" t="str">
        <f t="shared" si="24"/>
        <v>#DIV/0!</v>
      </c>
      <c r="W208" s="89" t="str">
        <f t="shared" si="9"/>
        <v>#DIV/0!</v>
      </c>
      <c r="X208" s="89"/>
      <c r="Y208" s="89"/>
      <c r="Z208" s="89"/>
      <c r="AA208" s="89"/>
      <c r="AB208" s="89"/>
      <c r="AC208" s="89"/>
      <c r="AD208" s="89"/>
      <c r="AE208" s="89"/>
      <c r="AF208" s="89"/>
      <c r="AG208" s="89"/>
      <c r="AH208" s="89"/>
    </row>
    <row r="209">
      <c r="A209" s="8" t="s">
        <v>347</v>
      </c>
      <c r="B209" s="97"/>
      <c r="C209" s="8"/>
      <c r="D209" s="89" t="str">
        <f t="shared" si="1"/>
        <v/>
      </c>
      <c r="E209" s="89" t="str">
        <f t="shared" si="2"/>
        <v>OT Hours</v>
      </c>
      <c r="F209" s="89" t="str">
        <f>IFERROR(VLOOKUP(C209,'Employees List'!$B$1:$G$999,2,0),"")</f>
        <v/>
      </c>
      <c r="G209" s="89" t="str">
        <f t="shared" si="23"/>
        <v>#DIV/0!</v>
      </c>
      <c r="H209" s="98"/>
      <c r="I209" s="89" t="str">
        <f>IFERROR(VLOOKUP(F209,'Employees List'!$C:$F,2,0),"")</f>
        <v/>
      </c>
      <c r="J209" s="93" t="str">
        <f>IFERROR(VLOOKUP(C209,'Employees List'!$B$2:$G$991,5,0),"")</f>
        <v/>
      </c>
      <c r="K209" s="95" t="str">
        <f>IFERROR(VLOOKUP(F209,'Employees List'!$C$1:$AB$991,5,0),"")</f>
        <v/>
      </c>
      <c r="L209" s="91">
        <f t="shared" si="3"/>
        <v>0</v>
      </c>
      <c r="M209" s="91">
        <f t="shared" si="4"/>
        <v>0</v>
      </c>
      <c r="N209" s="89" t="str">
        <f>IFERROR(VLOOKUP(B209,'Employees List'!$A$2:$H$991,8,0),"")</f>
        <v/>
      </c>
      <c r="O209" s="89" t="str">
        <f>IFERROR(VLOOKUP(D209,'Daily Attendance Report 24-25'!A224:BP999,5,0),"")</f>
        <v/>
      </c>
      <c r="P209" s="89" t="str">
        <f>IFERROR(VLOOKUP(E209,'Daily Attendance Report 24-25'!$A$1:$BO$617,5,0),"")</f>
        <v/>
      </c>
      <c r="Q209" s="89"/>
      <c r="R209" s="89"/>
      <c r="S209" s="89" t="str">
        <f t="shared" si="17"/>
        <v>#DIV/0!</v>
      </c>
      <c r="T209" s="89" t="str">
        <f t="shared" si="6"/>
        <v>#DIV/0!</v>
      </c>
      <c r="U209" s="89" t="str">
        <f t="shared" si="25"/>
        <v>#DIV/0!</v>
      </c>
      <c r="V209" s="89" t="str">
        <f t="shared" si="24"/>
        <v>#DIV/0!</v>
      </c>
      <c r="W209" s="89" t="str">
        <f t="shared" si="9"/>
        <v>#DIV/0!</v>
      </c>
      <c r="X209" s="89"/>
      <c r="Y209" s="89"/>
      <c r="Z209" s="89"/>
      <c r="AA209" s="89"/>
      <c r="AB209" s="89"/>
      <c r="AC209" s="89"/>
      <c r="AD209" s="89"/>
      <c r="AE209" s="89"/>
      <c r="AF209" s="89"/>
      <c r="AG209" s="89"/>
      <c r="AH209" s="89"/>
    </row>
    <row r="210">
      <c r="A210" s="8" t="s">
        <v>348</v>
      </c>
      <c r="B210" s="97"/>
      <c r="C210" s="8"/>
      <c r="D210" s="89" t="str">
        <f t="shared" si="1"/>
        <v/>
      </c>
      <c r="E210" s="89" t="str">
        <f t="shared" si="2"/>
        <v>OT Hours</v>
      </c>
      <c r="F210" s="89" t="str">
        <f>IFERROR(VLOOKUP(C210,'Employees List'!$B$1:$G$999,2,0),"")</f>
        <v/>
      </c>
      <c r="G210" s="89" t="str">
        <f t="shared" si="23"/>
        <v>#DIV/0!</v>
      </c>
      <c r="H210" s="98"/>
      <c r="I210" s="89" t="str">
        <f>IFERROR(VLOOKUP(F210,'Employees List'!$C:$F,2,0),"")</f>
        <v/>
      </c>
      <c r="J210" s="93" t="str">
        <f>IFERROR(VLOOKUP(C210,'Employees List'!$B$2:$G$991,5,0),"")</f>
        <v/>
      </c>
      <c r="K210" s="95" t="str">
        <f>IFERROR(VLOOKUP(F210,'Employees List'!$C$1:$AB$991,5,0),"")</f>
        <v/>
      </c>
      <c r="L210" s="91">
        <f t="shared" si="3"/>
        <v>0</v>
      </c>
      <c r="M210" s="91">
        <f t="shared" si="4"/>
        <v>0</v>
      </c>
      <c r="N210" s="89" t="str">
        <f>IFERROR(VLOOKUP(B210,'Employees List'!$A$2:$H$991,8,0),"")</f>
        <v/>
      </c>
      <c r="O210" s="89" t="str">
        <f>IFERROR(VLOOKUP(D210,'Daily Attendance Report 24-25'!A225:BP999,5,0),"")</f>
        <v/>
      </c>
      <c r="P210" s="89" t="str">
        <f>IFERROR(VLOOKUP(E210,'Daily Attendance Report 24-25'!$A$1:$BO$617,5,0),"")</f>
        <v/>
      </c>
      <c r="Q210" s="89"/>
      <c r="R210" s="89"/>
      <c r="S210" s="89" t="str">
        <f t="shared" si="17"/>
        <v>#DIV/0!</v>
      </c>
      <c r="T210" s="89" t="str">
        <f t="shared" si="6"/>
        <v>#DIV/0!</v>
      </c>
      <c r="U210" s="89" t="str">
        <f t="shared" si="25"/>
        <v>#DIV/0!</v>
      </c>
      <c r="V210" s="89" t="str">
        <f t="shared" si="24"/>
        <v>#DIV/0!</v>
      </c>
      <c r="W210" s="89" t="str">
        <f t="shared" si="9"/>
        <v>#DIV/0!</v>
      </c>
      <c r="X210" s="89"/>
      <c r="Y210" s="89"/>
      <c r="Z210" s="89"/>
      <c r="AA210" s="89"/>
      <c r="AB210" s="89"/>
      <c r="AC210" s="89"/>
      <c r="AD210" s="89"/>
      <c r="AE210" s="89"/>
      <c r="AF210" s="89"/>
      <c r="AG210" s="89"/>
      <c r="AH210" s="89"/>
    </row>
    <row r="211">
      <c r="A211" s="8" t="s">
        <v>349</v>
      </c>
      <c r="B211" s="97"/>
      <c r="C211" s="8"/>
      <c r="D211" s="89" t="str">
        <f t="shared" si="1"/>
        <v/>
      </c>
      <c r="E211" s="89" t="str">
        <f t="shared" si="2"/>
        <v>OT Hours</v>
      </c>
      <c r="F211" s="89" t="str">
        <f>IFERROR(VLOOKUP(C211,'Employees List'!$B$1:$G$999,2,0),"")</f>
        <v/>
      </c>
      <c r="G211" s="89" t="str">
        <f t="shared" si="23"/>
        <v>#DIV/0!</v>
      </c>
      <c r="H211" s="98"/>
      <c r="I211" s="89" t="str">
        <f>IFERROR(VLOOKUP(F211,'Employees List'!$C:$F,2,0),"")</f>
        <v/>
      </c>
      <c r="J211" s="93" t="str">
        <f>IFERROR(VLOOKUP(C211,'Employees List'!$B$2:$G$991,5,0),"")</f>
        <v/>
      </c>
      <c r="K211" s="95" t="str">
        <f>IFERROR(VLOOKUP(F211,'Employees List'!$C$1:$AB$991,5,0),"")</f>
        <v/>
      </c>
      <c r="L211" s="91">
        <f t="shared" si="3"/>
        <v>0</v>
      </c>
      <c r="M211" s="91">
        <f t="shared" si="4"/>
        <v>0</v>
      </c>
      <c r="N211" s="89" t="str">
        <f>IFERROR(VLOOKUP(B211,'Employees List'!$A$2:$H$991,8,0),"")</f>
        <v/>
      </c>
      <c r="O211" s="89" t="str">
        <f>IFERROR(VLOOKUP(D211,'Daily Attendance Report 24-25'!A226:BP999,5,0),"")</f>
        <v/>
      </c>
      <c r="P211" s="89" t="str">
        <f>IFERROR(VLOOKUP(E211,'Daily Attendance Report 24-25'!$A$1:$BO$617,5,0),"")</f>
        <v/>
      </c>
      <c r="Q211" s="89"/>
      <c r="R211" s="89"/>
      <c r="S211" s="89" t="str">
        <f t="shared" si="17"/>
        <v>#DIV/0!</v>
      </c>
      <c r="T211" s="89" t="str">
        <f t="shared" si="6"/>
        <v>#DIV/0!</v>
      </c>
      <c r="U211" s="89" t="str">
        <f t="shared" si="25"/>
        <v>#DIV/0!</v>
      </c>
      <c r="V211" s="89" t="str">
        <f t="shared" si="24"/>
        <v>#DIV/0!</v>
      </c>
      <c r="W211" s="89" t="str">
        <f t="shared" si="9"/>
        <v>#DIV/0!</v>
      </c>
      <c r="X211" s="89"/>
      <c r="Y211" s="89"/>
      <c r="Z211" s="89"/>
      <c r="AA211" s="89"/>
      <c r="AB211" s="89"/>
      <c r="AC211" s="89"/>
      <c r="AD211" s="89"/>
      <c r="AE211" s="89"/>
      <c r="AF211" s="89"/>
      <c r="AG211" s="89"/>
      <c r="AH211" s="89"/>
    </row>
    <row r="212">
      <c r="A212" s="8" t="s">
        <v>350</v>
      </c>
      <c r="B212" s="97"/>
      <c r="C212" s="8"/>
      <c r="D212" s="89" t="str">
        <f t="shared" si="1"/>
        <v/>
      </c>
      <c r="E212" s="89" t="str">
        <f t="shared" si="2"/>
        <v>OT Hours</v>
      </c>
      <c r="F212" s="89" t="str">
        <f>IFERROR(VLOOKUP(C212,'Employees List'!$B$1:$G$999,2,0),"")</f>
        <v/>
      </c>
      <c r="G212" s="89" t="str">
        <f t="shared" si="23"/>
        <v>#DIV/0!</v>
      </c>
      <c r="H212" s="98"/>
      <c r="I212" s="89" t="str">
        <f>IFERROR(VLOOKUP(F212,'Employees List'!$C:$F,2,0),"")</f>
        <v/>
      </c>
      <c r="J212" s="93" t="str">
        <f>IFERROR(VLOOKUP(C212,'Employees List'!$B$2:$G$991,5,0),"")</f>
        <v/>
      </c>
      <c r="K212" s="95" t="str">
        <f>IFERROR(VLOOKUP(F212,'Employees List'!$C$1:$AB$991,5,0),"")</f>
        <v/>
      </c>
      <c r="L212" s="91">
        <f t="shared" si="3"/>
        <v>0</v>
      </c>
      <c r="M212" s="91">
        <f t="shared" si="4"/>
        <v>0</v>
      </c>
      <c r="N212" s="89" t="str">
        <f>IFERROR(VLOOKUP(B212,'Employees List'!$A$2:$H$991,8,0),"")</f>
        <v/>
      </c>
      <c r="O212" s="89" t="str">
        <f>IFERROR(VLOOKUP(D212,'Daily Attendance Report 24-25'!A227:BP999,5,0),"")</f>
        <v/>
      </c>
      <c r="P212" s="89" t="str">
        <f>IFERROR(VLOOKUP(E212,'Daily Attendance Report 24-25'!$A$1:$BO$617,5,0),"")</f>
        <v/>
      </c>
      <c r="Q212" s="89"/>
      <c r="R212" s="89"/>
      <c r="S212" s="89" t="str">
        <f t="shared" si="17"/>
        <v>#DIV/0!</v>
      </c>
      <c r="T212" s="89" t="str">
        <f t="shared" si="6"/>
        <v>#DIV/0!</v>
      </c>
      <c r="U212" s="89" t="str">
        <f t="shared" si="25"/>
        <v>#DIV/0!</v>
      </c>
      <c r="V212" s="89" t="str">
        <f t="shared" si="24"/>
        <v>#DIV/0!</v>
      </c>
      <c r="W212" s="89" t="str">
        <f t="shared" si="9"/>
        <v>#DIV/0!</v>
      </c>
      <c r="X212" s="89"/>
      <c r="Y212" s="89"/>
      <c r="Z212" s="89"/>
      <c r="AA212" s="89"/>
      <c r="AB212" s="89"/>
      <c r="AC212" s="89"/>
      <c r="AD212" s="89"/>
      <c r="AE212" s="89"/>
      <c r="AF212" s="89"/>
      <c r="AG212" s="89"/>
      <c r="AH212" s="89"/>
    </row>
    <row r="213">
      <c r="A213" s="8" t="s">
        <v>351</v>
      </c>
      <c r="B213" s="97"/>
      <c r="C213" s="8"/>
      <c r="D213" s="89" t="str">
        <f t="shared" si="1"/>
        <v/>
      </c>
      <c r="E213" s="89" t="str">
        <f t="shared" si="2"/>
        <v>OT Hours</v>
      </c>
      <c r="F213" s="89" t="str">
        <f>IFERROR(VLOOKUP(C213,'Employees List'!$B$1:$G$999,2,0),"")</f>
        <v/>
      </c>
      <c r="G213" s="89" t="str">
        <f t="shared" si="23"/>
        <v>#DIV/0!</v>
      </c>
      <c r="H213" s="98"/>
      <c r="I213" s="89" t="str">
        <f>IFERROR(VLOOKUP(F213,'Employees List'!$C:$F,2,0),"")</f>
        <v/>
      </c>
      <c r="J213" s="93" t="str">
        <f>IFERROR(VLOOKUP(C213,'Employees List'!$B$2:$G$991,5,0),"")</f>
        <v/>
      </c>
      <c r="K213" s="95" t="str">
        <f>IFERROR(VLOOKUP(F213,'Employees List'!$C$1:$AB$991,5,0),"")</f>
        <v/>
      </c>
      <c r="L213" s="91">
        <f t="shared" si="3"/>
        <v>0</v>
      </c>
      <c r="M213" s="91">
        <f t="shared" si="4"/>
        <v>0</v>
      </c>
      <c r="N213" s="89" t="str">
        <f>IFERROR(VLOOKUP(B213,'Employees List'!$A$2:$H$991,8,0),"")</f>
        <v/>
      </c>
      <c r="O213" s="89" t="str">
        <f>IFERROR(VLOOKUP(D213,'Daily Attendance Report 24-25'!A228:BP999,5,0),"")</f>
        <v/>
      </c>
      <c r="P213" s="89" t="str">
        <f>IFERROR(VLOOKUP(E213,'Daily Attendance Report 24-25'!$A$1:$BO$617,5,0),"")</f>
        <v/>
      </c>
      <c r="Q213" s="89"/>
      <c r="R213" s="89"/>
      <c r="S213" s="89" t="str">
        <f t="shared" si="17"/>
        <v>#DIV/0!</v>
      </c>
      <c r="T213" s="89" t="str">
        <f t="shared" si="6"/>
        <v>#DIV/0!</v>
      </c>
      <c r="U213" s="89" t="str">
        <f t="shared" si="25"/>
        <v>#DIV/0!</v>
      </c>
      <c r="V213" s="89" t="str">
        <f t="shared" si="24"/>
        <v>#DIV/0!</v>
      </c>
      <c r="W213" s="89" t="str">
        <f t="shared" si="9"/>
        <v>#DIV/0!</v>
      </c>
      <c r="X213" s="89"/>
      <c r="Y213" s="89"/>
      <c r="Z213" s="89"/>
      <c r="AA213" s="89"/>
      <c r="AB213" s="89"/>
      <c r="AC213" s="89"/>
      <c r="AD213" s="89"/>
      <c r="AE213" s="89"/>
      <c r="AF213" s="89"/>
      <c r="AG213" s="89"/>
      <c r="AH213" s="89"/>
    </row>
    <row r="214">
      <c r="A214" s="8" t="s">
        <v>352</v>
      </c>
      <c r="B214" s="97"/>
      <c r="C214" s="8"/>
      <c r="D214" s="89" t="str">
        <f t="shared" si="1"/>
        <v/>
      </c>
      <c r="E214" s="89" t="str">
        <f t="shared" si="2"/>
        <v>OT Hours</v>
      </c>
      <c r="F214" s="89" t="str">
        <f>IFERROR(VLOOKUP(C214,'Employees List'!$B$1:$G$999,2,0),"")</f>
        <v/>
      </c>
      <c r="G214" s="89" t="str">
        <f t="shared" si="23"/>
        <v>#DIV/0!</v>
      </c>
      <c r="H214" s="98"/>
      <c r="I214" s="89" t="str">
        <f>IFERROR(VLOOKUP(F214,'Employees List'!$C:$F,2,0),"")</f>
        <v/>
      </c>
      <c r="J214" s="93" t="str">
        <f>IFERROR(VLOOKUP(C214,'Employees List'!$B$2:$G$991,5,0),"")</f>
        <v/>
      </c>
      <c r="K214" s="95" t="str">
        <f>IFERROR(VLOOKUP(F214,'Employees List'!$C$1:$AB$991,5,0),"")</f>
        <v/>
      </c>
      <c r="L214" s="91">
        <f t="shared" si="3"/>
        <v>0</v>
      </c>
      <c r="M214" s="91">
        <f t="shared" si="4"/>
        <v>0</v>
      </c>
      <c r="N214" s="89" t="str">
        <f>IFERROR(VLOOKUP(B214,'Employees List'!$A$2:$H$991,8,0),"")</f>
        <v/>
      </c>
      <c r="O214" s="89" t="str">
        <f>IFERROR(VLOOKUP(D214,'Daily Attendance Report 24-25'!A229:BP999,5,0),"")</f>
        <v/>
      </c>
      <c r="P214" s="89" t="str">
        <f>IFERROR(VLOOKUP(E214,'Daily Attendance Report 24-25'!$A$1:$BO$617,5,0),"")</f>
        <v/>
      </c>
      <c r="Q214" s="89"/>
      <c r="R214" s="89"/>
      <c r="S214" s="89" t="str">
        <f t="shared" si="17"/>
        <v>#DIV/0!</v>
      </c>
      <c r="T214" s="89" t="str">
        <f t="shared" si="6"/>
        <v>#DIV/0!</v>
      </c>
      <c r="U214" s="89" t="str">
        <f t="shared" si="25"/>
        <v>#DIV/0!</v>
      </c>
      <c r="V214" s="89" t="str">
        <f t="shared" si="24"/>
        <v>#DIV/0!</v>
      </c>
      <c r="W214" s="89" t="str">
        <f t="shared" si="9"/>
        <v>#DIV/0!</v>
      </c>
      <c r="X214" s="89"/>
      <c r="Y214" s="89"/>
      <c r="Z214" s="89"/>
      <c r="AA214" s="89"/>
      <c r="AB214" s="89"/>
      <c r="AC214" s="89"/>
      <c r="AD214" s="89"/>
      <c r="AE214" s="89"/>
      <c r="AF214" s="89"/>
      <c r="AG214" s="89"/>
      <c r="AH214" s="89"/>
    </row>
    <row r="215">
      <c r="A215" s="8" t="s">
        <v>353</v>
      </c>
      <c r="B215" s="97"/>
      <c r="C215" s="8"/>
      <c r="D215" s="89" t="str">
        <f t="shared" si="1"/>
        <v/>
      </c>
      <c r="E215" s="89" t="str">
        <f t="shared" si="2"/>
        <v>OT Hours</v>
      </c>
      <c r="F215" s="89" t="str">
        <f>IFERROR(VLOOKUP(C215,'Employees List'!$B$1:$G$999,2,0),"")</f>
        <v/>
      </c>
      <c r="G215" s="89" t="str">
        <f t="shared" si="23"/>
        <v>#DIV/0!</v>
      </c>
      <c r="H215" s="98"/>
      <c r="I215" s="89" t="str">
        <f>IFERROR(VLOOKUP(F215,'Employees List'!$C:$F,2,0),"")</f>
        <v/>
      </c>
      <c r="J215" s="93" t="str">
        <f>IFERROR(VLOOKUP(C215,'Employees List'!$B$2:$G$991,5,0),"")</f>
        <v/>
      </c>
      <c r="K215" s="95" t="str">
        <f>IFERROR(VLOOKUP(F215,'Employees List'!$C$1:$AB$991,5,0),"")</f>
        <v/>
      </c>
      <c r="L215" s="91">
        <f t="shared" si="3"/>
        <v>0</v>
      </c>
      <c r="M215" s="91">
        <f t="shared" si="4"/>
        <v>0</v>
      </c>
      <c r="N215" s="89" t="str">
        <f>IFERROR(VLOOKUP(B215,'Employees List'!$A$2:$H$991,8,0),"")</f>
        <v/>
      </c>
      <c r="O215" s="89" t="str">
        <f>IFERROR(VLOOKUP(D215,'Daily Attendance Report 24-25'!A230:BP999,5,0),"")</f>
        <v/>
      </c>
      <c r="P215" s="89" t="str">
        <f>IFERROR(VLOOKUP(E215,'Daily Attendance Report 24-25'!$A$1:$BO$617,5,0),"")</f>
        <v/>
      </c>
      <c r="Q215" s="89"/>
      <c r="R215" s="89"/>
      <c r="S215" s="89" t="str">
        <f t="shared" si="17"/>
        <v>#DIV/0!</v>
      </c>
      <c r="T215" s="89" t="str">
        <f t="shared" si="6"/>
        <v>#DIV/0!</v>
      </c>
      <c r="U215" s="89" t="str">
        <f t="shared" si="25"/>
        <v>#DIV/0!</v>
      </c>
      <c r="V215" s="89" t="str">
        <f t="shared" si="24"/>
        <v>#DIV/0!</v>
      </c>
      <c r="W215" s="89" t="str">
        <f t="shared" si="9"/>
        <v>#DIV/0!</v>
      </c>
      <c r="X215" s="89"/>
      <c r="Y215" s="89"/>
      <c r="Z215" s="89"/>
      <c r="AA215" s="89"/>
      <c r="AB215" s="89"/>
      <c r="AC215" s="89"/>
      <c r="AD215" s="89"/>
      <c r="AE215" s="89"/>
      <c r="AF215" s="89"/>
      <c r="AG215" s="89"/>
      <c r="AH215" s="89"/>
    </row>
    <row r="216">
      <c r="A216" s="8" t="s">
        <v>354</v>
      </c>
      <c r="B216" s="97"/>
      <c r="C216" s="8"/>
      <c r="D216" s="89" t="str">
        <f t="shared" si="1"/>
        <v/>
      </c>
      <c r="E216" s="89" t="str">
        <f t="shared" si="2"/>
        <v>OT Hours</v>
      </c>
      <c r="F216" s="89" t="str">
        <f>IFERROR(VLOOKUP(C216,'Employees List'!$B$1:$G$999,2,0),"")</f>
        <v/>
      </c>
      <c r="G216" s="89" t="str">
        <f t="shared" si="23"/>
        <v>#DIV/0!</v>
      </c>
      <c r="H216" s="98"/>
      <c r="I216" s="89" t="str">
        <f>IFERROR(VLOOKUP(F216,'Employees List'!$C:$F,2,0),"")</f>
        <v/>
      </c>
      <c r="J216" s="93" t="str">
        <f>IFERROR(VLOOKUP(C216,'Employees List'!$B$2:$G$991,5,0),"")</f>
        <v/>
      </c>
      <c r="K216" s="95" t="str">
        <f>IFERROR(VLOOKUP(F216,'Employees List'!$C$1:$AB$991,5,0),"")</f>
        <v/>
      </c>
      <c r="L216" s="91">
        <f t="shared" si="3"/>
        <v>0</v>
      </c>
      <c r="M216" s="91">
        <f t="shared" si="4"/>
        <v>0</v>
      </c>
      <c r="N216" s="89" t="str">
        <f>IFERROR(VLOOKUP(B216,'Employees List'!$A$2:$H$991,8,0),"")</f>
        <v/>
      </c>
      <c r="O216" s="89" t="str">
        <f>IFERROR(VLOOKUP(D216,'Daily Attendance Report 24-25'!A231:BP999,5,0),"")</f>
        <v/>
      </c>
      <c r="P216" s="89" t="str">
        <f>IFERROR(VLOOKUP(E216,'Daily Attendance Report 24-25'!$A$1:$BO$617,5,0),"")</f>
        <v/>
      </c>
      <c r="Q216" s="89"/>
      <c r="R216" s="89"/>
      <c r="S216" s="89" t="str">
        <f t="shared" si="17"/>
        <v>#DIV/0!</v>
      </c>
      <c r="T216" s="89" t="str">
        <f t="shared" si="6"/>
        <v>#DIV/0!</v>
      </c>
      <c r="U216" s="89" t="str">
        <f t="shared" si="25"/>
        <v>#DIV/0!</v>
      </c>
      <c r="V216" s="89" t="str">
        <f t="shared" si="24"/>
        <v>#DIV/0!</v>
      </c>
      <c r="W216" s="89" t="str">
        <f t="shared" si="9"/>
        <v>#DIV/0!</v>
      </c>
      <c r="X216" s="89"/>
      <c r="Y216" s="89"/>
      <c r="Z216" s="89"/>
      <c r="AA216" s="89"/>
      <c r="AB216" s="89"/>
      <c r="AC216" s="89"/>
      <c r="AD216" s="89"/>
      <c r="AE216" s="89"/>
      <c r="AF216" s="89"/>
      <c r="AG216" s="89"/>
      <c r="AH216" s="89"/>
    </row>
    <row r="217">
      <c r="A217" s="8" t="s">
        <v>355</v>
      </c>
      <c r="B217" s="97"/>
      <c r="C217" s="8"/>
      <c r="D217" s="89" t="str">
        <f t="shared" si="1"/>
        <v/>
      </c>
      <c r="E217" s="89" t="str">
        <f t="shared" si="2"/>
        <v>OT Hours</v>
      </c>
      <c r="F217" s="89" t="str">
        <f>IFERROR(VLOOKUP(C217,'Employees List'!$B$1:$G$999,2,0),"")</f>
        <v/>
      </c>
      <c r="G217" s="89" t="str">
        <f t="shared" si="23"/>
        <v>#DIV/0!</v>
      </c>
      <c r="H217" s="98"/>
      <c r="I217" s="89" t="str">
        <f>IFERROR(VLOOKUP(F217,'Employees List'!$C:$F,2,0),"")</f>
        <v/>
      </c>
      <c r="J217" s="93" t="str">
        <f>IFERROR(VLOOKUP(C217,'Employees List'!$B$2:$G$991,5,0),"")</f>
        <v/>
      </c>
      <c r="K217" s="95" t="str">
        <f>IFERROR(VLOOKUP(F217,'Employees List'!$C$1:$AB$991,5,0),"")</f>
        <v/>
      </c>
      <c r="L217" s="91">
        <f t="shared" si="3"/>
        <v>0</v>
      </c>
      <c r="M217" s="91">
        <f t="shared" si="4"/>
        <v>0</v>
      </c>
      <c r="N217" s="89" t="str">
        <f>IFERROR(VLOOKUP(B217,'Employees List'!$A$2:$H$991,8,0),"")</f>
        <v/>
      </c>
      <c r="O217" s="89" t="str">
        <f>IFERROR(VLOOKUP(D217,'Daily Attendance Report 24-25'!A232:BP999,5,0),"")</f>
        <v/>
      </c>
      <c r="P217" s="89" t="str">
        <f>IFERROR(VLOOKUP(E217,'Daily Attendance Report 24-25'!$A$1:$BO$617,5,0),"")</f>
        <v/>
      </c>
      <c r="Q217" s="89"/>
      <c r="R217" s="89"/>
      <c r="S217" s="89" t="str">
        <f t="shared" si="17"/>
        <v>#DIV/0!</v>
      </c>
      <c r="T217" s="89" t="str">
        <f t="shared" si="6"/>
        <v>#DIV/0!</v>
      </c>
      <c r="U217" s="89" t="str">
        <f t="shared" si="25"/>
        <v>#DIV/0!</v>
      </c>
      <c r="V217" s="89" t="str">
        <f t="shared" si="24"/>
        <v>#DIV/0!</v>
      </c>
      <c r="W217" s="89" t="str">
        <f t="shared" si="9"/>
        <v>#DIV/0!</v>
      </c>
      <c r="X217" s="89"/>
      <c r="Y217" s="89"/>
      <c r="Z217" s="89"/>
      <c r="AA217" s="89"/>
      <c r="AB217" s="89"/>
      <c r="AC217" s="89"/>
      <c r="AD217" s="89"/>
      <c r="AE217" s="89"/>
      <c r="AF217" s="89"/>
      <c r="AG217" s="89"/>
      <c r="AH217" s="89"/>
    </row>
    <row r="218">
      <c r="A218" s="8" t="s">
        <v>356</v>
      </c>
      <c r="B218" s="97"/>
      <c r="C218" s="8"/>
      <c r="D218" s="89" t="str">
        <f t="shared" si="1"/>
        <v/>
      </c>
      <c r="E218" s="89" t="str">
        <f t="shared" si="2"/>
        <v>OT Hours</v>
      </c>
      <c r="F218" s="89" t="str">
        <f>IFERROR(VLOOKUP(C218,'Employees List'!$B$1:$G$999,2,0),"")</f>
        <v/>
      </c>
      <c r="G218" s="89" t="str">
        <f t="shared" si="23"/>
        <v>#DIV/0!</v>
      </c>
      <c r="H218" s="98"/>
      <c r="I218" s="89" t="str">
        <f>IFERROR(VLOOKUP(F218,'Employees List'!$C:$F,2,0),"")</f>
        <v/>
      </c>
      <c r="J218" s="93" t="str">
        <f>IFERROR(VLOOKUP(C218,'Employees List'!$B$2:$G$991,5,0),"")</f>
        <v/>
      </c>
      <c r="K218" s="95" t="str">
        <f>IFERROR(VLOOKUP(F218,'Employees List'!$C$1:$AB$991,5,0),"")</f>
        <v/>
      </c>
      <c r="L218" s="91">
        <f t="shared" si="3"/>
        <v>0</v>
      </c>
      <c r="M218" s="91">
        <f t="shared" si="4"/>
        <v>0</v>
      </c>
      <c r="N218" s="89" t="str">
        <f>IFERROR(VLOOKUP(B218,'Employees List'!$A$2:$H$991,8,0),"")</f>
        <v/>
      </c>
      <c r="O218" s="89" t="str">
        <f>IFERROR(VLOOKUP(D218,'Daily Attendance Report 24-25'!A233:BP999,5,0),"")</f>
        <v/>
      </c>
      <c r="P218" s="89" t="str">
        <f>IFERROR(VLOOKUP(E218,'Daily Attendance Report 24-25'!$A$1:$BO$617,5,0),"")</f>
        <v/>
      </c>
      <c r="Q218" s="89"/>
      <c r="R218" s="89"/>
      <c r="S218" s="89" t="str">
        <f t="shared" si="17"/>
        <v>#DIV/0!</v>
      </c>
      <c r="T218" s="89" t="str">
        <f t="shared" si="6"/>
        <v>#DIV/0!</v>
      </c>
      <c r="U218" s="89" t="str">
        <f t="shared" si="25"/>
        <v>#DIV/0!</v>
      </c>
      <c r="V218" s="89" t="str">
        <f t="shared" si="24"/>
        <v>#DIV/0!</v>
      </c>
      <c r="W218" s="89" t="str">
        <f t="shared" si="9"/>
        <v>#DIV/0!</v>
      </c>
      <c r="X218" s="89"/>
      <c r="Y218" s="89"/>
      <c r="Z218" s="89"/>
      <c r="AA218" s="89"/>
      <c r="AB218" s="89"/>
      <c r="AC218" s="89"/>
      <c r="AD218" s="89"/>
      <c r="AE218" s="89"/>
      <c r="AF218" s="89"/>
      <c r="AG218" s="89"/>
      <c r="AH218" s="89"/>
    </row>
    <row r="219">
      <c r="A219" s="8" t="s">
        <v>357</v>
      </c>
      <c r="B219" s="97"/>
      <c r="C219" s="8"/>
      <c r="D219" s="89" t="str">
        <f t="shared" si="1"/>
        <v/>
      </c>
      <c r="E219" s="89" t="str">
        <f t="shared" si="2"/>
        <v>OT Hours</v>
      </c>
      <c r="F219" s="89" t="str">
        <f>IFERROR(VLOOKUP(C219,'Employees List'!$B$1:$G$999,2,0),"")</f>
        <v/>
      </c>
      <c r="G219" s="89" t="str">
        <f t="shared" si="23"/>
        <v>#DIV/0!</v>
      </c>
      <c r="H219" s="98"/>
      <c r="I219" s="89" t="str">
        <f>IFERROR(VLOOKUP(F219,'Employees List'!$C:$F,2,0),"")</f>
        <v/>
      </c>
      <c r="J219" s="93" t="str">
        <f>IFERROR(VLOOKUP(C219,'Employees List'!$B$2:$G$991,5,0),"")</f>
        <v/>
      </c>
      <c r="K219" s="95" t="str">
        <f>IFERROR(VLOOKUP(F219,'Employees List'!$C$1:$AB$991,5,0),"")</f>
        <v/>
      </c>
      <c r="L219" s="91">
        <f t="shared" si="3"/>
        <v>0</v>
      </c>
      <c r="M219" s="91">
        <f t="shared" si="4"/>
        <v>0</v>
      </c>
      <c r="N219" s="89" t="str">
        <f>IFERROR(VLOOKUP(B219,'Employees List'!$A$2:$H$991,8,0),"")</f>
        <v/>
      </c>
      <c r="O219" s="89" t="str">
        <f>IFERROR(VLOOKUP(D219,'Daily Attendance Report 24-25'!A234:BP999,5,0),"")</f>
        <v/>
      </c>
      <c r="P219" s="89" t="str">
        <f>IFERROR(VLOOKUP(E219,'Daily Attendance Report 24-25'!$A$1:$BO$617,5,0),"")</f>
        <v/>
      </c>
      <c r="Q219" s="89"/>
      <c r="R219" s="89"/>
      <c r="S219" s="89" t="str">
        <f t="shared" si="17"/>
        <v>#DIV/0!</v>
      </c>
      <c r="T219" s="89" t="str">
        <f t="shared" si="6"/>
        <v>#DIV/0!</v>
      </c>
      <c r="U219" s="89" t="str">
        <f t="shared" si="25"/>
        <v>#DIV/0!</v>
      </c>
      <c r="V219" s="89" t="str">
        <f t="shared" si="24"/>
        <v>#DIV/0!</v>
      </c>
      <c r="W219" s="89" t="str">
        <f t="shared" si="9"/>
        <v>#DIV/0!</v>
      </c>
      <c r="X219" s="89"/>
      <c r="Y219" s="89"/>
      <c r="Z219" s="89"/>
      <c r="AA219" s="89"/>
      <c r="AB219" s="89"/>
      <c r="AC219" s="89"/>
      <c r="AD219" s="89"/>
      <c r="AE219" s="89"/>
      <c r="AF219" s="89"/>
      <c r="AG219" s="89"/>
      <c r="AH219" s="89"/>
    </row>
    <row r="220">
      <c r="A220" s="8" t="s">
        <v>358</v>
      </c>
      <c r="B220" s="97"/>
      <c r="C220" s="8"/>
      <c r="D220" s="89" t="str">
        <f t="shared" si="1"/>
        <v/>
      </c>
      <c r="E220" s="89" t="str">
        <f t="shared" si="2"/>
        <v>OT Hours</v>
      </c>
      <c r="F220" s="89" t="str">
        <f>IFERROR(VLOOKUP(C220,'Employees List'!$B$1:$G$999,2,0),"")</f>
        <v/>
      </c>
      <c r="G220" s="89" t="str">
        <f t="shared" si="23"/>
        <v>#DIV/0!</v>
      </c>
      <c r="H220" s="98"/>
      <c r="I220" s="89" t="str">
        <f>IFERROR(VLOOKUP(F220,'Employees List'!$C:$F,2,0),"")</f>
        <v/>
      </c>
      <c r="J220" s="93" t="str">
        <f>IFERROR(VLOOKUP(C220,'Employees List'!$B$2:$G$991,5,0),"")</f>
        <v/>
      </c>
      <c r="K220" s="95" t="str">
        <f>IFERROR(VLOOKUP(F220,'Employees List'!$C$1:$AB$991,5,0),"")</f>
        <v/>
      </c>
      <c r="L220" s="91">
        <f t="shared" si="3"/>
        <v>0</v>
      </c>
      <c r="M220" s="91">
        <f t="shared" si="4"/>
        <v>0</v>
      </c>
      <c r="N220" s="89" t="str">
        <f>IFERROR(VLOOKUP(B220,'Employees List'!$A$2:$H$991,8,0),"")</f>
        <v/>
      </c>
      <c r="O220" s="89" t="str">
        <f>IFERROR(VLOOKUP(D220,'Daily Attendance Report 24-25'!A235:BP999,5,0),"")</f>
        <v/>
      </c>
      <c r="P220" s="89" t="str">
        <f>IFERROR(VLOOKUP(E220,'Daily Attendance Report 24-25'!$A$1:$BO$617,5,0),"")</f>
        <v/>
      </c>
      <c r="Q220" s="89"/>
      <c r="R220" s="89"/>
      <c r="S220" s="89" t="str">
        <f t="shared" si="17"/>
        <v>#DIV/0!</v>
      </c>
      <c r="T220" s="89" t="str">
        <f t="shared" si="6"/>
        <v>#DIV/0!</v>
      </c>
      <c r="U220" s="89" t="str">
        <f t="shared" si="25"/>
        <v>#DIV/0!</v>
      </c>
      <c r="V220" s="89" t="str">
        <f t="shared" si="24"/>
        <v>#DIV/0!</v>
      </c>
      <c r="W220" s="89" t="str">
        <f t="shared" si="9"/>
        <v>#DIV/0!</v>
      </c>
      <c r="X220" s="89"/>
      <c r="Y220" s="89"/>
      <c r="Z220" s="89"/>
      <c r="AA220" s="89"/>
      <c r="AB220" s="89"/>
      <c r="AC220" s="89"/>
      <c r="AD220" s="89"/>
      <c r="AE220" s="89"/>
      <c r="AF220" s="89"/>
      <c r="AG220" s="89"/>
      <c r="AH220" s="89"/>
    </row>
    <row r="221">
      <c r="A221" s="8" t="s">
        <v>359</v>
      </c>
      <c r="B221" s="97"/>
      <c r="C221" s="8"/>
      <c r="D221" s="89" t="str">
        <f t="shared" si="1"/>
        <v/>
      </c>
      <c r="E221" s="89" t="str">
        <f t="shared" si="2"/>
        <v>OT Hours</v>
      </c>
      <c r="F221" s="89" t="str">
        <f>IFERROR(VLOOKUP(C221,'Employees List'!$B$1:$G$999,2,0),"")</f>
        <v/>
      </c>
      <c r="G221" s="89" t="str">
        <f t="shared" si="23"/>
        <v>#DIV/0!</v>
      </c>
      <c r="H221" s="98"/>
      <c r="I221" s="89" t="str">
        <f>IFERROR(VLOOKUP(F221,'Employees List'!$C:$F,2,0),"")</f>
        <v/>
      </c>
      <c r="J221" s="93" t="str">
        <f>IFERROR(VLOOKUP(C221,'Employees List'!$B$2:$G$991,5,0),"")</f>
        <v/>
      </c>
      <c r="K221" s="95" t="str">
        <f>IFERROR(VLOOKUP(F221,'Employees List'!$C$1:$AB$991,5,0),"")</f>
        <v/>
      </c>
      <c r="L221" s="91">
        <f t="shared" si="3"/>
        <v>0</v>
      </c>
      <c r="M221" s="91">
        <f t="shared" si="4"/>
        <v>0</v>
      </c>
      <c r="N221" s="89" t="str">
        <f>IFERROR(VLOOKUP(B221,'Employees List'!$A$2:$H$991,8,0),"")</f>
        <v/>
      </c>
      <c r="O221" s="89" t="str">
        <f>IFERROR(VLOOKUP(D221,'Daily Attendance Report 24-25'!A236:BP999,5,0),"")</f>
        <v/>
      </c>
      <c r="P221" s="89" t="str">
        <f>IFERROR(VLOOKUP(E221,'Daily Attendance Report 24-25'!$A$1:$BO$617,5,0),"")</f>
        <v/>
      </c>
      <c r="Q221" s="89"/>
      <c r="R221" s="89"/>
      <c r="S221" s="89" t="str">
        <f t="shared" si="17"/>
        <v>#DIV/0!</v>
      </c>
      <c r="T221" s="89" t="str">
        <f t="shared" si="6"/>
        <v>#DIV/0!</v>
      </c>
      <c r="U221" s="89" t="str">
        <f t="shared" si="25"/>
        <v>#DIV/0!</v>
      </c>
      <c r="V221" s="89" t="str">
        <f t="shared" si="24"/>
        <v>#DIV/0!</v>
      </c>
      <c r="W221" s="89" t="str">
        <f t="shared" si="9"/>
        <v>#DIV/0!</v>
      </c>
      <c r="X221" s="89"/>
      <c r="Y221" s="89"/>
      <c r="Z221" s="89"/>
      <c r="AA221" s="89"/>
      <c r="AB221" s="89"/>
      <c r="AC221" s="89"/>
      <c r="AD221" s="89"/>
      <c r="AE221" s="89"/>
      <c r="AF221" s="89"/>
      <c r="AG221" s="89"/>
      <c r="AH221" s="89"/>
    </row>
    <row r="222">
      <c r="A222" s="8" t="s">
        <v>360</v>
      </c>
      <c r="B222" s="97"/>
      <c r="C222" s="8"/>
      <c r="D222" s="89" t="str">
        <f t="shared" si="1"/>
        <v/>
      </c>
      <c r="E222" s="89" t="str">
        <f t="shared" si="2"/>
        <v>OT Hours</v>
      </c>
      <c r="F222" s="89" t="str">
        <f>IFERROR(VLOOKUP(C222,'Employees List'!$B$1:$G$999,2,0),"")</f>
        <v/>
      </c>
      <c r="G222" s="89" t="str">
        <f t="shared" si="23"/>
        <v>#DIV/0!</v>
      </c>
      <c r="H222" s="98"/>
      <c r="I222" s="89" t="str">
        <f>IFERROR(VLOOKUP(F222,'Employees List'!$C:$F,2,0),"")</f>
        <v/>
      </c>
      <c r="J222" s="93" t="str">
        <f>IFERROR(VLOOKUP(C222,'Employees List'!$B$2:$G$991,5,0),"")</f>
        <v/>
      </c>
      <c r="K222" s="95" t="str">
        <f>IFERROR(VLOOKUP(F222,'Employees List'!$C$1:$AB$991,5,0),"")</f>
        <v/>
      </c>
      <c r="L222" s="91">
        <f t="shared" si="3"/>
        <v>0</v>
      </c>
      <c r="M222" s="91">
        <f t="shared" si="4"/>
        <v>0</v>
      </c>
      <c r="N222" s="89" t="str">
        <f>IFERROR(VLOOKUP(B222,'Employees List'!$A$2:$H$991,8,0),"")</f>
        <v/>
      </c>
      <c r="O222" s="89" t="str">
        <f>IFERROR(VLOOKUP(D222,'Daily Attendance Report 24-25'!A237:BP999,5,0),"")</f>
        <v/>
      </c>
      <c r="P222" s="89" t="str">
        <f>IFERROR(VLOOKUP(E222,'Daily Attendance Report 24-25'!$A$1:$BO$617,5,0),"")</f>
        <v/>
      </c>
      <c r="Q222" s="89"/>
      <c r="R222" s="89"/>
      <c r="S222" s="89" t="str">
        <f t="shared" si="17"/>
        <v>#DIV/0!</v>
      </c>
      <c r="T222" s="89" t="str">
        <f t="shared" si="6"/>
        <v>#DIV/0!</v>
      </c>
      <c r="U222" s="89" t="str">
        <f t="shared" si="25"/>
        <v>#DIV/0!</v>
      </c>
      <c r="V222" s="89" t="str">
        <f t="shared" si="24"/>
        <v>#DIV/0!</v>
      </c>
      <c r="W222" s="89" t="str">
        <f t="shared" si="9"/>
        <v>#DIV/0!</v>
      </c>
      <c r="X222" s="89"/>
      <c r="Y222" s="89"/>
      <c r="Z222" s="89"/>
      <c r="AA222" s="89"/>
      <c r="AB222" s="89"/>
      <c r="AC222" s="89"/>
      <c r="AD222" s="89"/>
      <c r="AE222" s="89"/>
      <c r="AF222" s="89"/>
      <c r="AG222" s="89"/>
      <c r="AH222" s="89"/>
    </row>
    <row r="223">
      <c r="A223" s="8" t="s">
        <v>361</v>
      </c>
      <c r="B223" s="97"/>
      <c r="C223" s="8"/>
      <c r="D223" s="89" t="str">
        <f t="shared" si="1"/>
        <v/>
      </c>
      <c r="E223" s="89" t="str">
        <f t="shared" si="2"/>
        <v>OT Hours</v>
      </c>
      <c r="F223" s="89" t="str">
        <f>IFERROR(VLOOKUP(C223,'Employees List'!$B$1:$G$999,2,0),"")</f>
        <v/>
      </c>
      <c r="G223" s="89" t="str">
        <f t="shared" si="23"/>
        <v>#DIV/0!</v>
      </c>
      <c r="H223" s="98"/>
      <c r="I223" s="89" t="str">
        <f>IFERROR(VLOOKUP(F223,'Employees List'!$C:$F,2,0),"")</f>
        <v/>
      </c>
      <c r="J223" s="93" t="str">
        <f>IFERROR(VLOOKUP(C223,'Employees List'!$B$2:$G$991,5,0),"")</f>
        <v/>
      </c>
      <c r="K223" s="95" t="str">
        <f>IFERROR(VLOOKUP(F223,'Employees List'!$C$1:$AB$991,5,0),"")</f>
        <v/>
      </c>
      <c r="L223" s="91">
        <f t="shared" si="3"/>
        <v>0</v>
      </c>
      <c r="M223" s="91">
        <f t="shared" si="4"/>
        <v>0</v>
      </c>
      <c r="N223" s="89" t="str">
        <f>IFERROR(VLOOKUP(B223,'Employees List'!$A$2:$H$991,8,0),"")</f>
        <v/>
      </c>
      <c r="O223" s="89" t="str">
        <f>IFERROR(VLOOKUP(D223,'Daily Attendance Report 24-25'!A238:BP999,5,0),"")</f>
        <v/>
      </c>
      <c r="P223" s="89" t="str">
        <f>IFERROR(VLOOKUP(E223,'Daily Attendance Report 24-25'!$A$1:$BO$617,5,0),"")</f>
        <v/>
      </c>
      <c r="Q223" s="89"/>
      <c r="R223" s="89"/>
      <c r="S223" s="89" t="str">
        <f t="shared" si="17"/>
        <v>#DIV/0!</v>
      </c>
      <c r="T223" s="89" t="str">
        <f t="shared" si="6"/>
        <v>#DIV/0!</v>
      </c>
      <c r="U223" s="89" t="str">
        <f t="shared" si="25"/>
        <v>#DIV/0!</v>
      </c>
      <c r="V223" s="89" t="str">
        <f t="shared" si="24"/>
        <v>#DIV/0!</v>
      </c>
      <c r="W223" s="89" t="str">
        <f t="shared" si="9"/>
        <v>#DIV/0!</v>
      </c>
      <c r="X223" s="89"/>
      <c r="Y223" s="89"/>
      <c r="Z223" s="89"/>
      <c r="AA223" s="89"/>
      <c r="AB223" s="89"/>
      <c r="AC223" s="89"/>
      <c r="AD223" s="89"/>
      <c r="AE223" s="89"/>
      <c r="AF223" s="89"/>
      <c r="AG223" s="89"/>
      <c r="AH223" s="89"/>
    </row>
    <row r="224">
      <c r="A224" s="8" t="s">
        <v>362</v>
      </c>
      <c r="B224" s="97"/>
      <c r="C224" s="8"/>
      <c r="D224" s="89" t="str">
        <f t="shared" si="1"/>
        <v/>
      </c>
      <c r="E224" s="89" t="str">
        <f t="shared" si="2"/>
        <v>OT Hours</v>
      </c>
      <c r="F224" s="89" t="str">
        <f>IFERROR(VLOOKUP(C224,'Employees List'!$B$1:$G$999,2,0),"")</f>
        <v/>
      </c>
      <c r="G224" s="89" t="str">
        <f t="shared" si="23"/>
        <v>#DIV/0!</v>
      </c>
      <c r="H224" s="98"/>
      <c r="I224" s="89" t="str">
        <f>IFERROR(VLOOKUP(F224,'Employees List'!$C:$F,2,0),"")</f>
        <v/>
      </c>
      <c r="J224" s="93" t="str">
        <f>IFERROR(VLOOKUP(C224,'Employees List'!$B$2:$G$991,5,0),"")</f>
        <v/>
      </c>
      <c r="K224" s="95" t="str">
        <f>IFERROR(VLOOKUP(F224,'Employees List'!$C$1:$AB$991,5,0),"")</f>
        <v/>
      </c>
      <c r="L224" s="91">
        <f t="shared" si="3"/>
        <v>0</v>
      </c>
      <c r="M224" s="91">
        <f t="shared" si="4"/>
        <v>0</v>
      </c>
      <c r="N224" s="89" t="str">
        <f>IFERROR(VLOOKUP(B224,'Employees List'!$A$2:$H$991,8,0),"")</f>
        <v/>
      </c>
      <c r="O224" s="89" t="str">
        <f>IFERROR(VLOOKUP(D224,'Daily Attendance Report 24-25'!A239:BP999,5,0),"")</f>
        <v/>
      </c>
      <c r="P224" s="89" t="str">
        <f>IFERROR(VLOOKUP(E224,'Daily Attendance Report 24-25'!$A$1:$BO$617,5,0),"")</f>
        <v/>
      </c>
      <c r="Q224" s="89"/>
      <c r="R224" s="89"/>
      <c r="S224" s="89" t="str">
        <f t="shared" si="17"/>
        <v>#DIV/0!</v>
      </c>
      <c r="T224" s="89" t="str">
        <f t="shared" si="6"/>
        <v>#DIV/0!</v>
      </c>
      <c r="U224" s="89" t="str">
        <f t="shared" si="25"/>
        <v>#DIV/0!</v>
      </c>
      <c r="V224" s="89" t="str">
        <f t="shared" si="24"/>
        <v>#DIV/0!</v>
      </c>
      <c r="W224" s="89" t="str">
        <f t="shared" si="9"/>
        <v>#DIV/0!</v>
      </c>
      <c r="X224" s="89"/>
      <c r="Y224" s="89"/>
      <c r="Z224" s="89"/>
      <c r="AA224" s="89"/>
      <c r="AB224" s="89"/>
      <c r="AC224" s="89"/>
      <c r="AD224" s="89"/>
      <c r="AE224" s="89"/>
      <c r="AF224" s="89"/>
      <c r="AG224" s="89"/>
      <c r="AH224" s="89"/>
    </row>
    <row r="225">
      <c r="A225" s="8" t="s">
        <v>363</v>
      </c>
      <c r="B225" s="97"/>
      <c r="C225" s="8"/>
      <c r="D225" s="89" t="str">
        <f t="shared" si="1"/>
        <v/>
      </c>
      <c r="E225" s="89" t="str">
        <f t="shared" si="2"/>
        <v>OT Hours</v>
      </c>
      <c r="F225" s="89" t="str">
        <f>IFERROR(VLOOKUP(C225,'Employees List'!$B$1:$G$999,2,0),"")</f>
        <v/>
      </c>
      <c r="G225" s="89" t="str">
        <f t="shared" si="23"/>
        <v>#DIV/0!</v>
      </c>
      <c r="H225" s="98"/>
      <c r="I225" s="89" t="str">
        <f>IFERROR(VLOOKUP(F225,'Employees List'!$C:$F,2,0),"")</f>
        <v/>
      </c>
      <c r="J225" s="93" t="str">
        <f>IFERROR(VLOOKUP(C225,'Employees List'!$B$2:$G$991,5,0),"")</f>
        <v/>
      </c>
      <c r="K225" s="95" t="str">
        <f>IFERROR(VLOOKUP(F225,'Employees List'!$C$1:$AB$991,5,0),"")</f>
        <v/>
      </c>
      <c r="L225" s="91">
        <f t="shared" si="3"/>
        <v>0</v>
      </c>
      <c r="M225" s="91">
        <f t="shared" si="4"/>
        <v>0</v>
      </c>
      <c r="N225" s="89" t="str">
        <f>IFERROR(VLOOKUP(B225,'Employees List'!$A$2:$H$991,8,0),"")</f>
        <v/>
      </c>
      <c r="O225" s="89" t="str">
        <f>IFERROR(VLOOKUP(D225,'Daily Attendance Report 24-25'!A240:BP999,5,0),"")</f>
        <v/>
      </c>
      <c r="P225" s="89" t="str">
        <f>IFERROR(VLOOKUP(E225,'Daily Attendance Report 24-25'!$A$1:$BO$617,5,0),"")</f>
        <v/>
      </c>
      <c r="Q225" s="89"/>
      <c r="R225" s="89"/>
      <c r="S225" s="89" t="str">
        <f t="shared" si="17"/>
        <v>#DIV/0!</v>
      </c>
      <c r="T225" s="89" t="str">
        <f t="shared" si="6"/>
        <v>#DIV/0!</v>
      </c>
      <c r="U225" s="89" t="str">
        <f t="shared" si="25"/>
        <v>#DIV/0!</v>
      </c>
      <c r="V225" s="89" t="str">
        <f t="shared" si="24"/>
        <v>#DIV/0!</v>
      </c>
      <c r="W225" s="89" t="str">
        <f t="shared" si="9"/>
        <v>#DIV/0!</v>
      </c>
      <c r="X225" s="89"/>
      <c r="Y225" s="89"/>
      <c r="Z225" s="89"/>
      <c r="AA225" s="89"/>
      <c r="AB225" s="89"/>
      <c r="AC225" s="89"/>
      <c r="AD225" s="89"/>
      <c r="AE225" s="89"/>
      <c r="AF225" s="89"/>
      <c r="AG225" s="89"/>
      <c r="AH225" s="89"/>
    </row>
    <row r="226">
      <c r="A226" s="8" t="s">
        <v>364</v>
      </c>
      <c r="B226" s="97"/>
      <c r="C226" s="8"/>
      <c r="D226" s="89" t="str">
        <f t="shared" si="1"/>
        <v/>
      </c>
      <c r="E226" s="89" t="str">
        <f t="shared" si="2"/>
        <v>OT Hours</v>
      </c>
      <c r="F226" s="89" t="str">
        <f>IFERROR(VLOOKUP(C226,'Employees List'!$B$1:$G$999,2,0),"")</f>
        <v/>
      </c>
      <c r="G226" s="89" t="str">
        <f t="shared" si="23"/>
        <v>#DIV/0!</v>
      </c>
      <c r="H226" s="98"/>
      <c r="I226" s="89" t="str">
        <f>IFERROR(VLOOKUP(F226,'Employees List'!$C:$F,2,0),"")</f>
        <v/>
      </c>
      <c r="J226" s="93" t="str">
        <f>IFERROR(VLOOKUP(C226,'Employees List'!$B$2:$G$991,5,0),"")</f>
        <v/>
      </c>
      <c r="K226" s="95" t="str">
        <f>IFERROR(VLOOKUP(F226,'Employees List'!$C$1:$AB$991,5,0),"")</f>
        <v/>
      </c>
      <c r="L226" s="91">
        <f t="shared" si="3"/>
        <v>0</v>
      </c>
      <c r="M226" s="91">
        <f t="shared" si="4"/>
        <v>0</v>
      </c>
      <c r="N226" s="89" t="str">
        <f>IFERROR(VLOOKUP(B226,'Employees List'!$A$2:$H$991,8,0),"")</f>
        <v/>
      </c>
      <c r="O226" s="89" t="str">
        <f>IFERROR(VLOOKUP(D226,'Daily Attendance Report 24-25'!A241:BP999,5,0),"")</f>
        <v/>
      </c>
      <c r="P226" s="89" t="str">
        <f>IFERROR(VLOOKUP(E226,'Daily Attendance Report 24-25'!$A$1:$BO$617,5,0),"")</f>
        <v/>
      </c>
      <c r="Q226" s="89"/>
      <c r="R226" s="89"/>
      <c r="S226" s="89" t="str">
        <f t="shared" si="17"/>
        <v>#DIV/0!</v>
      </c>
      <c r="T226" s="89" t="str">
        <f t="shared" si="6"/>
        <v>#DIV/0!</v>
      </c>
      <c r="U226" s="89" t="str">
        <f t="shared" si="25"/>
        <v>#DIV/0!</v>
      </c>
      <c r="V226" s="89" t="str">
        <f t="shared" si="24"/>
        <v>#DIV/0!</v>
      </c>
      <c r="W226" s="89" t="str">
        <f t="shared" si="9"/>
        <v>#DIV/0!</v>
      </c>
      <c r="X226" s="89"/>
      <c r="Y226" s="89"/>
      <c r="Z226" s="89"/>
      <c r="AA226" s="89"/>
      <c r="AB226" s="89"/>
      <c r="AC226" s="89"/>
      <c r="AD226" s="89"/>
      <c r="AE226" s="89"/>
      <c r="AF226" s="89"/>
      <c r="AG226" s="89"/>
      <c r="AH226" s="89"/>
    </row>
    <row r="227">
      <c r="A227" s="8" t="s">
        <v>365</v>
      </c>
      <c r="B227" s="97"/>
      <c r="C227" s="8"/>
      <c r="D227" s="89" t="str">
        <f t="shared" si="1"/>
        <v/>
      </c>
      <c r="E227" s="89" t="str">
        <f t="shared" si="2"/>
        <v>OT Hours</v>
      </c>
      <c r="F227" s="89" t="str">
        <f>IFERROR(VLOOKUP(C227,'Employees List'!$B$1:$G$999,2,0),"")</f>
        <v/>
      </c>
      <c r="G227" s="89" t="str">
        <f t="shared" si="23"/>
        <v>#DIV/0!</v>
      </c>
      <c r="H227" s="98"/>
      <c r="I227" s="89" t="str">
        <f>IFERROR(VLOOKUP(F227,'Employees List'!$C:$F,2,0),"")</f>
        <v/>
      </c>
      <c r="J227" s="93" t="str">
        <f>IFERROR(VLOOKUP(C227,'Employees List'!$B$2:$G$991,5,0),"")</f>
        <v/>
      </c>
      <c r="K227" s="95" t="str">
        <f>IFERROR(VLOOKUP(F227,'Employees List'!$C$1:$AB$991,5,0),"")</f>
        <v/>
      </c>
      <c r="L227" s="91">
        <f t="shared" si="3"/>
        <v>0</v>
      </c>
      <c r="M227" s="91">
        <f t="shared" si="4"/>
        <v>0</v>
      </c>
      <c r="N227" s="89" t="str">
        <f>IFERROR(VLOOKUP(B227,'Employees List'!$A$2:$H$991,8,0),"")</f>
        <v/>
      </c>
      <c r="O227" s="89" t="str">
        <f>IFERROR(VLOOKUP(D227,'Daily Attendance Report 24-25'!A242:BP999,5,0),"")</f>
        <v/>
      </c>
      <c r="P227" s="89" t="str">
        <f>IFERROR(VLOOKUP(E227,'Daily Attendance Report 24-25'!$A$1:$BO$617,5,0),"")</f>
        <v/>
      </c>
      <c r="Q227" s="89"/>
      <c r="R227" s="89"/>
      <c r="S227" s="89" t="str">
        <f t="shared" si="17"/>
        <v>#DIV/0!</v>
      </c>
      <c r="T227" s="89" t="str">
        <f t="shared" si="6"/>
        <v>#DIV/0!</v>
      </c>
      <c r="U227" s="89" t="str">
        <f t="shared" si="25"/>
        <v>#DIV/0!</v>
      </c>
      <c r="V227" s="89" t="str">
        <f t="shared" si="24"/>
        <v>#DIV/0!</v>
      </c>
      <c r="W227" s="89" t="str">
        <f t="shared" si="9"/>
        <v>#DIV/0!</v>
      </c>
      <c r="X227" s="89"/>
      <c r="Y227" s="89"/>
      <c r="Z227" s="89"/>
      <c r="AA227" s="89"/>
      <c r="AB227" s="89"/>
      <c r="AC227" s="89"/>
      <c r="AD227" s="89"/>
      <c r="AE227" s="89"/>
      <c r="AF227" s="89"/>
      <c r="AG227" s="89"/>
      <c r="AH227" s="89"/>
    </row>
    <row r="228">
      <c r="A228" s="8" t="s">
        <v>366</v>
      </c>
      <c r="B228" s="97"/>
      <c r="C228" s="8"/>
      <c r="D228" s="89" t="str">
        <f t="shared" si="1"/>
        <v/>
      </c>
      <c r="E228" s="89" t="str">
        <f t="shared" si="2"/>
        <v>OT Hours</v>
      </c>
      <c r="F228" s="89" t="str">
        <f>IFERROR(VLOOKUP(C228,'Employees List'!$B$1:$G$999,2,0),"")</f>
        <v/>
      </c>
      <c r="G228" s="89" t="str">
        <f t="shared" si="23"/>
        <v>#DIV/0!</v>
      </c>
      <c r="H228" s="98"/>
      <c r="I228" s="89" t="str">
        <f>IFERROR(VLOOKUP(F228,'Employees List'!$C:$F,2,0),"")</f>
        <v/>
      </c>
      <c r="J228" s="93" t="str">
        <f>IFERROR(VLOOKUP(C228,'Employees List'!$B$2:$G$991,5,0),"")</f>
        <v/>
      </c>
      <c r="K228" s="95" t="str">
        <f>IFERROR(VLOOKUP(F228,'Employees List'!$C$1:$AB$991,5,0),"")</f>
        <v/>
      </c>
      <c r="L228" s="91">
        <f t="shared" si="3"/>
        <v>0</v>
      </c>
      <c r="M228" s="91">
        <f t="shared" si="4"/>
        <v>0</v>
      </c>
      <c r="N228" s="89" t="str">
        <f>IFERROR(VLOOKUP(B228,'Employees List'!$A$2:$H$991,8,0),"")</f>
        <v/>
      </c>
      <c r="O228" s="89" t="str">
        <f>IFERROR(VLOOKUP(D228,'Daily Attendance Report 24-25'!A243:BP999,5,0),"")</f>
        <v/>
      </c>
      <c r="P228" s="89" t="str">
        <f>IFERROR(VLOOKUP(E228,'Daily Attendance Report 24-25'!$A$1:$BO$617,5,0),"")</f>
        <v/>
      </c>
      <c r="Q228" s="89"/>
      <c r="R228" s="89"/>
      <c r="S228" s="89" t="str">
        <f t="shared" si="17"/>
        <v>#DIV/0!</v>
      </c>
      <c r="T228" s="89" t="str">
        <f t="shared" si="6"/>
        <v>#DIV/0!</v>
      </c>
      <c r="U228" s="89" t="str">
        <f t="shared" si="25"/>
        <v>#DIV/0!</v>
      </c>
      <c r="V228" s="89" t="str">
        <f t="shared" si="24"/>
        <v>#DIV/0!</v>
      </c>
      <c r="W228" s="89" t="str">
        <f t="shared" si="9"/>
        <v>#DIV/0!</v>
      </c>
      <c r="X228" s="89"/>
      <c r="Y228" s="89"/>
      <c r="Z228" s="89"/>
      <c r="AA228" s="89"/>
      <c r="AB228" s="89"/>
      <c r="AC228" s="89"/>
      <c r="AD228" s="89"/>
      <c r="AE228" s="89"/>
      <c r="AF228" s="89"/>
      <c r="AG228" s="89"/>
      <c r="AH228" s="89"/>
    </row>
    <row r="229">
      <c r="A229" s="8" t="s">
        <v>367</v>
      </c>
      <c r="B229" s="97"/>
      <c r="C229" s="8"/>
      <c r="D229" s="89" t="str">
        <f t="shared" si="1"/>
        <v/>
      </c>
      <c r="E229" s="89" t="str">
        <f t="shared" si="2"/>
        <v>OT Hours</v>
      </c>
      <c r="F229" s="89" t="str">
        <f>IFERROR(VLOOKUP(C229,'Employees List'!$B$1:$G$999,2,0),"")</f>
        <v/>
      </c>
      <c r="G229" s="89" t="str">
        <f t="shared" si="23"/>
        <v>#DIV/0!</v>
      </c>
      <c r="H229" s="98"/>
      <c r="I229" s="89" t="str">
        <f>IFERROR(VLOOKUP(F229,'Employees List'!$C:$F,2,0),"")</f>
        <v/>
      </c>
      <c r="J229" s="93" t="str">
        <f>IFERROR(VLOOKUP(C229,'Employees List'!$B$2:$G$991,5,0),"")</f>
        <v/>
      </c>
      <c r="K229" s="95" t="str">
        <f>IFERROR(VLOOKUP(F229,'Employees List'!$C$1:$AB$991,5,0),"")</f>
        <v/>
      </c>
      <c r="L229" s="91">
        <f t="shared" si="3"/>
        <v>0</v>
      </c>
      <c r="M229" s="91">
        <f t="shared" si="4"/>
        <v>0</v>
      </c>
      <c r="N229" s="89" t="str">
        <f>IFERROR(VLOOKUP(B229,'Employees List'!$A$2:$H$991,8,0),"")</f>
        <v/>
      </c>
      <c r="O229" s="89" t="str">
        <f>IFERROR(VLOOKUP(D229,'Daily Attendance Report 24-25'!A244:BP999,5,0),"")</f>
        <v/>
      </c>
      <c r="P229" s="89" t="str">
        <f>IFERROR(VLOOKUP(E229,'Daily Attendance Report 24-25'!$A$1:$BO$617,5,0),"")</f>
        <v/>
      </c>
      <c r="Q229" s="89"/>
      <c r="R229" s="89"/>
      <c r="S229" s="89" t="str">
        <f t="shared" si="17"/>
        <v>#DIV/0!</v>
      </c>
      <c r="T229" s="89" t="str">
        <f t="shared" si="6"/>
        <v>#DIV/0!</v>
      </c>
      <c r="U229" s="89" t="str">
        <f t="shared" si="25"/>
        <v>#DIV/0!</v>
      </c>
      <c r="V229" s="89" t="str">
        <f t="shared" si="24"/>
        <v>#DIV/0!</v>
      </c>
      <c r="W229" s="89" t="str">
        <f t="shared" si="9"/>
        <v>#DIV/0!</v>
      </c>
      <c r="X229" s="89"/>
      <c r="Y229" s="89"/>
      <c r="Z229" s="89"/>
      <c r="AA229" s="89"/>
      <c r="AB229" s="89"/>
      <c r="AC229" s="89"/>
      <c r="AD229" s="89"/>
      <c r="AE229" s="89"/>
      <c r="AF229" s="89"/>
      <c r="AG229" s="89"/>
      <c r="AH229" s="89"/>
    </row>
    <row r="230">
      <c r="A230" s="8" t="s">
        <v>368</v>
      </c>
      <c r="B230" s="97"/>
      <c r="C230" s="8"/>
      <c r="D230" s="89" t="str">
        <f t="shared" si="1"/>
        <v/>
      </c>
      <c r="E230" s="89" t="str">
        <f t="shared" si="2"/>
        <v>OT Hours</v>
      </c>
      <c r="F230" s="89" t="str">
        <f>IFERROR(VLOOKUP(C230,'Employees List'!$B$1:$G$999,2,0),"")</f>
        <v/>
      </c>
      <c r="G230" s="89" t="str">
        <f t="shared" si="23"/>
        <v>#DIV/0!</v>
      </c>
      <c r="H230" s="98"/>
      <c r="I230" s="89" t="str">
        <f>IFERROR(VLOOKUP(F230,'Employees List'!$C:$F,2,0),"")</f>
        <v/>
      </c>
      <c r="J230" s="93" t="str">
        <f>IFERROR(VLOOKUP(C230,'Employees List'!$B$2:$G$991,5,0),"")</f>
        <v/>
      </c>
      <c r="K230" s="95" t="str">
        <f>IFERROR(VLOOKUP(F230,'Employees List'!$C$1:$AB$991,5,0),"")</f>
        <v/>
      </c>
      <c r="L230" s="91">
        <f t="shared" si="3"/>
        <v>0</v>
      </c>
      <c r="M230" s="91">
        <f t="shared" si="4"/>
        <v>0</v>
      </c>
      <c r="N230" s="89" t="str">
        <f>IFERROR(VLOOKUP(B230,'Employees List'!$A$2:$H$991,8,0),"")</f>
        <v/>
      </c>
      <c r="O230" s="89" t="str">
        <f>IFERROR(VLOOKUP(D230,'Daily Attendance Report 24-25'!A245:BP999,5,0),"")</f>
        <v/>
      </c>
      <c r="P230" s="89" t="str">
        <f>IFERROR(VLOOKUP(E230,'Daily Attendance Report 24-25'!$A$1:$BO$617,5,0),"")</f>
        <v/>
      </c>
      <c r="Q230" s="89"/>
      <c r="R230" s="89"/>
      <c r="S230" s="89" t="str">
        <f t="shared" si="17"/>
        <v>#DIV/0!</v>
      </c>
      <c r="T230" s="89" t="str">
        <f t="shared" si="6"/>
        <v>#DIV/0!</v>
      </c>
      <c r="U230" s="89" t="str">
        <f t="shared" si="25"/>
        <v>#DIV/0!</v>
      </c>
      <c r="V230" s="89" t="str">
        <f t="shared" si="24"/>
        <v>#DIV/0!</v>
      </c>
      <c r="W230" s="89" t="str">
        <f t="shared" si="9"/>
        <v>#DIV/0!</v>
      </c>
      <c r="X230" s="89"/>
      <c r="Y230" s="89"/>
      <c r="Z230" s="89"/>
      <c r="AA230" s="89"/>
      <c r="AB230" s="89"/>
      <c r="AC230" s="89"/>
      <c r="AD230" s="89"/>
      <c r="AE230" s="89"/>
      <c r="AF230" s="89"/>
      <c r="AG230" s="89"/>
      <c r="AH230" s="89"/>
    </row>
    <row r="231">
      <c r="A231" s="8" t="s">
        <v>369</v>
      </c>
      <c r="B231" s="97"/>
      <c r="C231" s="8"/>
      <c r="D231" s="89" t="str">
        <f t="shared" si="1"/>
        <v/>
      </c>
      <c r="E231" s="89" t="str">
        <f t="shared" si="2"/>
        <v>OT Hours</v>
      </c>
      <c r="F231" s="89" t="str">
        <f>IFERROR(VLOOKUP(C231,'Employees List'!$B$1:$G$999,2,0),"")</f>
        <v/>
      </c>
      <c r="G231" s="89" t="str">
        <f t="shared" si="23"/>
        <v>#DIV/0!</v>
      </c>
      <c r="H231" s="98"/>
      <c r="I231" s="89" t="str">
        <f>IFERROR(VLOOKUP(F231,'Employees List'!$C:$F,2,0),"")</f>
        <v/>
      </c>
      <c r="J231" s="93" t="str">
        <f>IFERROR(VLOOKUP(C231,'Employees List'!$B$2:$G$991,5,0),"")</f>
        <v/>
      </c>
      <c r="K231" s="95" t="str">
        <f>IFERROR(VLOOKUP(F231,'Employees List'!$C$1:$AB$991,5,0),"")</f>
        <v/>
      </c>
      <c r="L231" s="91">
        <f t="shared" si="3"/>
        <v>0</v>
      </c>
      <c r="M231" s="91">
        <f t="shared" si="4"/>
        <v>0</v>
      </c>
      <c r="N231" s="89" t="str">
        <f>IFERROR(VLOOKUP(B231,'Employees List'!$A$2:$H$991,8,0),"")</f>
        <v/>
      </c>
      <c r="O231" s="89" t="str">
        <f>IFERROR(VLOOKUP(D231,'Daily Attendance Report 24-25'!A246:BP999,5,0),"")</f>
        <v/>
      </c>
      <c r="P231" s="89" t="str">
        <f>IFERROR(VLOOKUP(E231,'Daily Attendance Report 24-25'!$A$1:$BO$617,5,0),"")</f>
        <v/>
      </c>
      <c r="Q231" s="89"/>
      <c r="R231" s="89"/>
      <c r="S231" s="89" t="str">
        <f t="shared" si="17"/>
        <v>#DIV/0!</v>
      </c>
      <c r="T231" s="89" t="str">
        <f t="shared" si="6"/>
        <v>#DIV/0!</v>
      </c>
      <c r="U231" s="89" t="str">
        <f t="shared" si="25"/>
        <v>#DIV/0!</v>
      </c>
      <c r="V231" s="89" t="str">
        <f t="shared" si="24"/>
        <v>#DIV/0!</v>
      </c>
      <c r="W231" s="89" t="str">
        <f t="shared" si="9"/>
        <v>#DIV/0!</v>
      </c>
      <c r="X231" s="89"/>
      <c r="Y231" s="89"/>
      <c r="Z231" s="89"/>
      <c r="AA231" s="89"/>
      <c r="AB231" s="89"/>
      <c r="AC231" s="89"/>
      <c r="AD231" s="89"/>
      <c r="AE231" s="89"/>
      <c r="AF231" s="89"/>
      <c r="AG231" s="89"/>
      <c r="AH231" s="89"/>
    </row>
    <row r="232">
      <c r="A232" s="8" t="s">
        <v>370</v>
      </c>
      <c r="B232" s="97"/>
      <c r="C232" s="8"/>
      <c r="D232" s="89" t="str">
        <f t="shared" si="1"/>
        <v/>
      </c>
      <c r="E232" s="89" t="str">
        <f t="shared" si="2"/>
        <v>OT Hours</v>
      </c>
      <c r="F232" s="89" t="str">
        <f>IFERROR(VLOOKUP(C232,'Employees List'!$B$1:$G$999,2,0),"")</f>
        <v/>
      </c>
      <c r="G232" s="89" t="str">
        <f t="shared" si="23"/>
        <v>#DIV/0!</v>
      </c>
      <c r="H232" s="98"/>
      <c r="I232" s="89" t="str">
        <f>IFERROR(VLOOKUP(F232,'Employees List'!$C:$F,2,0),"")</f>
        <v/>
      </c>
      <c r="J232" s="93" t="str">
        <f>IFERROR(VLOOKUP(C232,'Employees List'!$B$2:$G$991,5,0),"")</f>
        <v/>
      </c>
      <c r="K232" s="95" t="str">
        <f>IFERROR(VLOOKUP(F232,'Employees List'!$C$1:$AB$991,5,0),"")</f>
        <v/>
      </c>
      <c r="L232" s="91">
        <f t="shared" si="3"/>
        <v>0</v>
      </c>
      <c r="M232" s="91">
        <f t="shared" si="4"/>
        <v>0</v>
      </c>
      <c r="N232" s="89" t="str">
        <f>IFERROR(VLOOKUP(B232,'Employees List'!$A$2:$H$991,8,0),"")</f>
        <v/>
      </c>
      <c r="O232" s="89" t="str">
        <f>IFERROR(VLOOKUP(D232,'Daily Attendance Report 24-25'!A247:BP999,5,0),"")</f>
        <v/>
      </c>
      <c r="P232" s="89" t="str">
        <f>IFERROR(VLOOKUP(E232,'Daily Attendance Report 24-25'!$A$1:$BO$617,5,0),"")</f>
        <v/>
      </c>
      <c r="Q232" s="89"/>
      <c r="R232" s="89"/>
      <c r="S232" s="89" t="str">
        <f t="shared" si="17"/>
        <v>#DIV/0!</v>
      </c>
      <c r="T232" s="89" t="str">
        <f t="shared" si="6"/>
        <v>#DIV/0!</v>
      </c>
      <c r="U232" s="89" t="str">
        <f t="shared" si="25"/>
        <v>#DIV/0!</v>
      </c>
      <c r="V232" s="89" t="str">
        <f t="shared" si="24"/>
        <v>#DIV/0!</v>
      </c>
      <c r="W232" s="89" t="str">
        <f t="shared" si="9"/>
        <v>#DIV/0!</v>
      </c>
      <c r="X232" s="89"/>
      <c r="Y232" s="89"/>
      <c r="Z232" s="89"/>
      <c r="AA232" s="89"/>
      <c r="AB232" s="89"/>
      <c r="AC232" s="89"/>
      <c r="AD232" s="89"/>
      <c r="AE232" s="89"/>
      <c r="AF232" s="89"/>
      <c r="AG232" s="89"/>
      <c r="AH232" s="89"/>
    </row>
    <row r="233">
      <c r="A233" s="8" t="s">
        <v>371</v>
      </c>
      <c r="B233" s="97"/>
      <c r="C233" s="8"/>
      <c r="D233" s="89" t="str">
        <f t="shared" si="1"/>
        <v/>
      </c>
      <c r="E233" s="89" t="str">
        <f t="shared" si="2"/>
        <v>OT Hours</v>
      </c>
      <c r="F233" s="89" t="str">
        <f>IFERROR(VLOOKUP(C233,'Employees List'!$B$1:$G$999,2,0),"")</f>
        <v/>
      </c>
      <c r="G233" s="89" t="str">
        <f t="shared" si="23"/>
        <v>#DIV/0!</v>
      </c>
      <c r="H233" s="98"/>
      <c r="I233" s="89" t="str">
        <f>IFERROR(VLOOKUP(F233,'Employees List'!$C:$F,2,0),"")</f>
        <v/>
      </c>
      <c r="J233" s="93" t="str">
        <f>IFERROR(VLOOKUP(C233,'Employees List'!$B$2:$G$991,5,0),"")</f>
        <v/>
      </c>
      <c r="K233" s="95" t="str">
        <f>IFERROR(VLOOKUP(F233,'Employees List'!$C$1:$AB$991,5,0),"")</f>
        <v/>
      </c>
      <c r="L233" s="91">
        <f t="shared" si="3"/>
        <v>0</v>
      </c>
      <c r="M233" s="91">
        <f t="shared" si="4"/>
        <v>0</v>
      </c>
      <c r="N233" s="89" t="str">
        <f>IFERROR(VLOOKUP(B233,'Employees List'!$A$2:$H$991,8,0),"")</f>
        <v/>
      </c>
      <c r="O233" s="89" t="str">
        <f>IFERROR(VLOOKUP(D233,'Daily Attendance Report 24-25'!A248:BP999,5,0),"")</f>
        <v/>
      </c>
      <c r="P233" s="89" t="str">
        <f>IFERROR(VLOOKUP(E233,'Daily Attendance Report 24-25'!$A$1:$BO$617,5,0),"")</f>
        <v/>
      </c>
      <c r="Q233" s="89"/>
      <c r="R233" s="89"/>
      <c r="S233" s="89" t="str">
        <f t="shared" si="17"/>
        <v>#DIV/0!</v>
      </c>
      <c r="T233" s="89" t="str">
        <f t="shared" si="6"/>
        <v>#DIV/0!</v>
      </c>
      <c r="U233" s="89" t="str">
        <f t="shared" si="25"/>
        <v>#DIV/0!</v>
      </c>
      <c r="V233" s="89" t="str">
        <f t="shared" si="24"/>
        <v>#DIV/0!</v>
      </c>
      <c r="W233" s="89" t="str">
        <f t="shared" si="9"/>
        <v>#DIV/0!</v>
      </c>
      <c r="X233" s="89"/>
      <c r="Y233" s="89"/>
      <c r="Z233" s="89"/>
      <c r="AA233" s="89"/>
      <c r="AB233" s="89"/>
      <c r="AC233" s="89"/>
      <c r="AD233" s="89"/>
      <c r="AE233" s="89"/>
      <c r="AF233" s="89"/>
      <c r="AG233" s="89"/>
      <c r="AH233" s="89"/>
    </row>
    <row r="234">
      <c r="A234" s="8" t="s">
        <v>372</v>
      </c>
      <c r="B234" s="97"/>
      <c r="C234" s="8"/>
      <c r="D234" s="89" t="str">
        <f t="shared" si="1"/>
        <v/>
      </c>
      <c r="E234" s="89" t="str">
        <f t="shared" si="2"/>
        <v>OT Hours</v>
      </c>
      <c r="F234" s="89" t="str">
        <f>IFERROR(VLOOKUP(C234,'Employees List'!$B$1:$G$999,2,0),"")</f>
        <v/>
      </c>
      <c r="G234" s="89" t="str">
        <f t="shared" si="23"/>
        <v>#DIV/0!</v>
      </c>
      <c r="H234" s="98"/>
      <c r="I234" s="89" t="str">
        <f>IFERROR(VLOOKUP(F234,'Employees List'!$C:$F,2,0),"")</f>
        <v/>
      </c>
      <c r="J234" s="93" t="str">
        <f>IFERROR(VLOOKUP(C234,'Employees List'!$B$2:$G$991,5,0),"")</f>
        <v/>
      </c>
      <c r="K234" s="95" t="str">
        <f>IFERROR(VLOOKUP(F234,'Employees List'!$C$1:$AB$991,5,0),"")</f>
        <v/>
      </c>
      <c r="L234" s="91">
        <f t="shared" si="3"/>
        <v>0</v>
      </c>
      <c r="M234" s="91">
        <f t="shared" si="4"/>
        <v>0</v>
      </c>
      <c r="N234" s="89" t="str">
        <f>IFERROR(VLOOKUP(B234,'Employees List'!$A$2:$H$991,8,0),"")</f>
        <v/>
      </c>
      <c r="O234" s="89" t="str">
        <f>IFERROR(VLOOKUP(D234,'Daily Attendance Report 24-25'!A249:BP999,5,0),"")</f>
        <v/>
      </c>
      <c r="P234" s="89" t="str">
        <f>IFERROR(VLOOKUP(E234,'Daily Attendance Report 24-25'!$A$1:$BO$617,5,0),"")</f>
        <v/>
      </c>
      <c r="Q234" s="89"/>
      <c r="R234" s="89"/>
      <c r="S234" s="89" t="str">
        <f t="shared" si="17"/>
        <v>#DIV/0!</v>
      </c>
      <c r="T234" s="89" t="str">
        <f t="shared" si="6"/>
        <v>#DIV/0!</v>
      </c>
      <c r="U234" s="89" t="str">
        <f t="shared" si="25"/>
        <v>#DIV/0!</v>
      </c>
      <c r="V234" s="89" t="str">
        <f t="shared" si="24"/>
        <v>#DIV/0!</v>
      </c>
      <c r="W234" s="89" t="str">
        <f t="shared" si="9"/>
        <v>#DIV/0!</v>
      </c>
      <c r="X234" s="89"/>
      <c r="Y234" s="89"/>
      <c r="Z234" s="89"/>
      <c r="AA234" s="89"/>
      <c r="AB234" s="89"/>
      <c r="AC234" s="89"/>
      <c r="AD234" s="89"/>
      <c r="AE234" s="89"/>
      <c r="AF234" s="89"/>
      <c r="AG234" s="89"/>
      <c r="AH234" s="89"/>
    </row>
    <row r="235">
      <c r="A235" s="8" t="s">
        <v>373</v>
      </c>
      <c r="B235" s="97"/>
      <c r="C235" s="8"/>
      <c r="D235" s="89" t="str">
        <f t="shared" si="1"/>
        <v/>
      </c>
      <c r="E235" s="89" t="str">
        <f t="shared" si="2"/>
        <v>OT Hours</v>
      </c>
      <c r="F235" s="89" t="str">
        <f>IFERROR(VLOOKUP(C235,'Employees List'!$B$1:$G$999,2,0),"")</f>
        <v/>
      </c>
      <c r="G235" s="89" t="str">
        <f t="shared" si="23"/>
        <v>#DIV/0!</v>
      </c>
      <c r="H235" s="98"/>
      <c r="I235" s="89" t="str">
        <f>IFERROR(VLOOKUP(F235,'Employees List'!$C:$F,2,0),"")</f>
        <v/>
      </c>
      <c r="J235" s="93" t="str">
        <f>IFERROR(VLOOKUP(C235,'Employees List'!$B$2:$G$991,5,0),"")</f>
        <v/>
      </c>
      <c r="K235" s="95" t="str">
        <f>IFERROR(VLOOKUP(F235,'Employees List'!$C$1:$AB$991,5,0),"")</f>
        <v/>
      </c>
      <c r="L235" s="91">
        <f t="shared" si="3"/>
        <v>0</v>
      </c>
      <c r="M235" s="91">
        <f t="shared" si="4"/>
        <v>0</v>
      </c>
      <c r="N235" s="89" t="str">
        <f>IFERROR(VLOOKUP(B235,'Employees List'!$A$2:$H$991,8,0),"")</f>
        <v/>
      </c>
      <c r="O235" s="89" t="str">
        <f>IFERROR(VLOOKUP(D235,'Daily Attendance Report 24-25'!A250:BP999,5,0),"")</f>
        <v/>
      </c>
      <c r="P235" s="89" t="str">
        <f>IFERROR(VLOOKUP(E235,'Daily Attendance Report 24-25'!$A$1:$BO$617,5,0),"")</f>
        <v/>
      </c>
      <c r="Q235" s="89"/>
      <c r="R235" s="89"/>
      <c r="S235" s="89" t="str">
        <f t="shared" si="17"/>
        <v>#DIV/0!</v>
      </c>
      <c r="T235" s="89" t="str">
        <f t="shared" si="6"/>
        <v>#DIV/0!</v>
      </c>
      <c r="U235" s="89" t="str">
        <f t="shared" si="25"/>
        <v>#DIV/0!</v>
      </c>
      <c r="V235" s="89" t="str">
        <f t="shared" si="24"/>
        <v>#DIV/0!</v>
      </c>
      <c r="W235" s="89" t="str">
        <f t="shared" si="9"/>
        <v>#DIV/0!</v>
      </c>
      <c r="X235" s="89"/>
      <c r="Y235" s="89"/>
      <c r="Z235" s="89"/>
      <c r="AA235" s="89"/>
      <c r="AB235" s="89"/>
      <c r="AC235" s="89"/>
      <c r="AD235" s="89"/>
      <c r="AE235" s="89"/>
      <c r="AF235" s="89"/>
      <c r="AG235" s="89"/>
      <c r="AH235" s="89"/>
    </row>
    <row r="236">
      <c r="A236" s="8" t="s">
        <v>374</v>
      </c>
      <c r="B236" s="97"/>
      <c r="C236" s="8"/>
      <c r="D236" s="89" t="str">
        <f t="shared" si="1"/>
        <v/>
      </c>
      <c r="E236" s="89" t="str">
        <f t="shared" si="2"/>
        <v>OT Hours</v>
      </c>
      <c r="F236" s="89" t="str">
        <f>IFERROR(VLOOKUP(C236,'Employees List'!$B$1:$G$999,2,0),"")</f>
        <v/>
      </c>
      <c r="G236" s="89" t="str">
        <f t="shared" si="23"/>
        <v>#DIV/0!</v>
      </c>
      <c r="H236" s="98"/>
      <c r="I236" s="89" t="str">
        <f>IFERROR(VLOOKUP(F236,'Employees List'!$C:$F,2,0),"")</f>
        <v/>
      </c>
      <c r="J236" s="93" t="str">
        <f>IFERROR(VLOOKUP(C236,'Employees List'!$B$2:$G$991,5,0),"")</f>
        <v/>
      </c>
      <c r="K236" s="95" t="str">
        <f>IFERROR(VLOOKUP(F236,'Employees List'!$C$1:$AB$991,5,0),"")</f>
        <v/>
      </c>
      <c r="L236" s="91">
        <f t="shared" si="3"/>
        <v>0</v>
      </c>
      <c r="M236" s="91">
        <f t="shared" si="4"/>
        <v>0</v>
      </c>
      <c r="N236" s="89" t="str">
        <f>IFERROR(VLOOKUP(B236,'Employees List'!$A$2:$H$991,8,0),"")</f>
        <v/>
      </c>
      <c r="O236" s="89" t="str">
        <f>IFERROR(VLOOKUP(D236,'Daily Attendance Report 24-25'!A250:BP999,5,0),"")</f>
        <v/>
      </c>
      <c r="P236" s="89" t="str">
        <f>IFERROR(VLOOKUP(E236,'Daily Attendance Report 24-25'!$A$1:$BO$617,5,0),"")</f>
        <v/>
      </c>
      <c r="Q236" s="89"/>
      <c r="R236" s="89"/>
      <c r="S236" s="89" t="str">
        <f t="shared" si="17"/>
        <v>#DIV/0!</v>
      </c>
      <c r="T236" s="89" t="str">
        <f t="shared" si="6"/>
        <v>#DIV/0!</v>
      </c>
      <c r="U236" s="89" t="str">
        <f t="shared" si="25"/>
        <v>#DIV/0!</v>
      </c>
      <c r="V236" s="89" t="str">
        <f t="shared" si="24"/>
        <v>#DIV/0!</v>
      </c>
      <c r="W236" s="89" t="str">
        <f t="shared" si="9"/>
        <v>#DIV/0!</v>
      </c>
      <c r="X236" s="89"/>
      <c r="Y236" s="89"/>
      <c r="Z236" s="89"/>
      <c r="AA236" s="89"/>
      <c r="AB236" s="89"/>
      <c r="AC236" s="89"/>
      <c r="AD236" s="89"/>
      <c r="AE236" s="89"/>
      <c r="AF236" s="89"/>
      <c r="AG236" s="89"/>
      <c r="AH236" s="89"/>
    </row>
    <row r="237">
      <c r="A237" s="8" t="s">
        <v>375</v>
      </c>
      <c r="B237" s="97"/>
      <c r="C237" s="8"/>
      <c r="D237" s="89" t="str">
        <f t="shared" si="1"/>
        <v/>
      </c>
      <c r="E237" s="89" t="str">
        <f t="shared" si="2"/>
        <v>OT Hours</v>
      </c>
      <c r="F237" s="89" t="str">
        <f>IFERROR(VLOOKUP(C237,'Employees List'!$B$1:$G$999,2,0),"")</f>
        <v/>
      </c>
      <c r="G237" s="89" t="str">
        <f t="shared" si="23"/>
        <v>#DIV/0!</v>
      </c>
      <c r="H237" s="98"/>
      <c r="I237" s="89" t="str">
        <f>IFERROR(VLOOKUP(F237,'Employees List'!$C:$F,2,0),"")</f>
        <v/>
      </c>
      <c r="J237" s="93" t="str">
        <f>IFERROR(VLOOKUP(C237,'Employees List'!$B$2:$G$991,5,0),"")</f>
        <v/>
      </c>
      <c r="K237" s="95" t="str">
        <f>IFERROR(VLOOKUP(F237,'Employees List'!$C$1:$AB$991,5,0),"")</f>
        <v/>
      </c>
      <c r="L237" s="91">
        <f t="shared" si="3"/>
        <v>0</v>
      </c>
      <c r="M237" s="91">
        <f t="shared" si="4"/>
        <v>0</v>
      </c>
      <c r="N237" s="89" t="str">
        <f>IFERROR(VLOOKUP(B237,'Employees List'!$A$2:$H$991,8,0),"")</f>
        <v/>
      </c>
      <c r="O237" s="89" t="str">
        <f>IFERROR(VLOOKUP(D237,'Daily Attendance Report 24-25'!A250:BP999,5,0),"")</f>
        <v/>
      </c>
      <c r="P237" s="89" t="str">
        <f>IFERROR(VLOOKUP(E237,'Daily Attendance Report 24-25'!$A$1:$BO$617,5,0),"")</f>
        <v/>
      </c>
      <c r="Q237" s="89"/>
      <c r="R237" s="89"/>
      <c r="S237" s="89" t="str">
        <f t="shared" si="17"/>
        <v>#DIV/0!</v>
      </c>
      <c r="T237" s="89" t="str">
        <f t="shared" si="6"/>
        <v>#DIV/0!</v>
      </c>
      <c r="U237" s="89" t="str">
        <f t="shared" si="25"/>
        <v>#DIV/0!</v>
      </c>
      <c r="V237" s="89" t="str">
        <f t="shared" si="24"/>
        <v>#DIV/0!</v>
      </c>
      <c r="W237" s="89" t="str">
        <f t="shared" si="9"/>
        <v>#DIV/0!</v>
      </c>
      <c r="X237" s="89"/>
      <c r="Y237" s="89"/>
      <c r="Z237" s="89"/>
      <c r="AA237" s="89"/>
      <c r="AB237" s="89"/>
      <c r="AC237" s="89"/>
      <c r="AD237" s="89"/>
      <c r="AE237" s="89"/>
      <c r="AF237" s="89"/>
      <c r="AG237" s="89"/>
      <c r="AH237" s="89"/>
    </row>
    <row r="238">
      <c r="A238" s="8" t="s">
        <v>376</v>
      </c>
      <c r="B238" s="97"/>
      <c r="C238" s="8"/>
      <c r="D238" s="89" t="str">
        <f t="shared" si="1"/>
        <v/>
      </c>
      <c r="E238" s="89" t="str">
        <f t="shared" si="2"/>
        <v>OT Hours</v>
      </c>
      <c r="F238" s="89" t="str">
        <f>IFERROR(VLOOKUP(C238,'Employees List'!$B$1:$G$999,2,0),"")</f>
        <v/>
      </c>
      <c r="G238" s="89" t="str">
        <f t="shared" si="23"/>
        <v>#DIV/0!</v>
      </c>
      <c r="H238" s="98"/>
      <c r="I238" s="89" t="str">
        <f>IFERROR(VLOOKUP(F238,'Employees List'!$C:$F,2,0),"")</f>
        <v/>
      </c>
      <c r="J238" s="93" t="str">
        <f>IFERROR(VLOOKUP(C238,'Employees List'!$B$2:$G$991,5,0),"")</f>
        <v/>
      </c>
      <c r="K238" s="95" t="str">
        <f>IFERROR(VLOOKUP(F238,'Employees List'!$C$1:$AB$991,5,0),"")</f>
        <v/>
      </c>
      <c r="L238" s="91">
        <f t="shared" si="3"/>
        <v>0</v>
      </c>
      <c r="M238" s="91">
        <f t="shared" si="4"/>
        <v>0</v>
      </c>
      <c r="N238" s="89" t="str">
        <f>IFERROR(VLOOKUP(B238,'Employees List'!$A$2:$H$991,8,0),"")</f>
        <v/>
      </c>
      <c r="O238" s="89" t="str">
        <f>IFERROR(VLOOKUP(D238,'Daily Attendance Report 24-25'!A251:BP999,5,0),"")</f>
        <v/>
      </c>
      <c r="P238" s="89" t="str">
        <f>IFERROR(VLOOKUP(E238,'Daily Attendance Report 24-25'!$A$1:$BO$617,5,0),"")</f>
        <v/>
      </c>
      <c r="Q238" s="89"/>
      <c r="R238" s="89"/>
      <c r="S238" s="89" t="str">
        <f t="shared" si="17"/>
        <v>#DIV/0!</v>
      </c>
      <c r="T238" s="89" t="str">
        <f t="shared" si="6"/>
        <v>#DIV/0!</v>
      </c>
      <c r="U238" s="89" t="str">
        <f t="shared" si="25"/>
        <v>#DIV/0!</v>
      </c>
      <c r="V238" s="89" t="str">
        <f t="shared" si="24"/>
        <v>#DIV/0!</v>
      </c>
      <c r="W238" s="89" t="str">
        <f t="shared" si="9"/>
        <v>#DIV/0!</v>
      </c>
      <c r="X238" s="89"/>
      <c r="Y238" s="89"/>
      <c r="Z238" s="89"/>
      <c r="AA238" s="89"/>
      <c r="AB238" s="89"/>
      <c r="AC238" s="89"/>
      <c r="AD238" s="89"/>
      <c r="AE238" s="89"/>
      <c r="AF238" s="89"/>
      <c r="AG238" s="89"/>
      <c r="AH238" s="89"/>
    </row>
    <row r="239">
      <c r="A239" s="8" t="s">
        <v>377</v>
      </c>
      <c r="B239" s="97"/>
      <c r="C239" s="8"/>
      <c r="D239" s="89" t="str">
        <f t="shared" si="1"/>
        <v/>
      </c>
      <c r="E239" s="89" t="str">
        <f t="shared" si="2"/>
        <v>OT Hours</v>
      </c>
      <c r="F239" s="89" t="str">
        <f>IFERROR(VLOOKUP(C239,'Employees List'!$B$1:$G$999,2,0),"")</f>
        <v/>
      </c>
      <c r="G239" s="89" t="str">
        <f t="shared" si="23"/>
        <v>#DIV/0!</v>
      </c>
      <c r="H239" s="98"/>
      <c r="I239" s="89" t="str">
        <f>IFERROR(VLOOKUP(F239,'Employees List'!$C:$F,2,0),"")</f>
        <v/>
      </c>
      <c r="J239" s="93" t="str">
        <f>IFERROR(VLOOKUP(C239,'Employees List'!$B$2:$G$991,5,0),"")</f>
        <v/>
      </c>
      <c r="K239" s="95" t="str">
        <f>IFERROR(VLOOKUP(F239,'Employees List'!$C$1:$AB$991,5,0),"")</f>
        <v/>
      </c>
      <c r="L239" s="91">
        <f t="shared" si="3"/>
        <v>0</v>
      </c>
      <c r="M239" s="91">
        <f t="shared" si="4"/>
        <v>0</v>
      </c>
      <c r="N239" s="89" t="str">
        <f>IFERROR(VLOOKUP(B239,'Employees List'!$A$2:$H$991,8,0),"")</f>
        <v/>
      </c>
      <c r="O239" s="89" t="str">
        <f>IFERROR(VLOOKUP(D239,'Daily Attendance Report 24-25'!A252:BP999,5,0),"")</f>
        <v/>
      </c>
      <c r="P239" s="89" t="str">
        <f>IFERROR(VLOOKUP(E239,'Daily Attendance Report 24-25'!$A$1:$BO$617,5,0),"")</f>
        <v/>
      </c>
      <c r="Q239" s="89"/>
      <c r="R239" s="89"/>
      <c r="S239" s="89" t="str">
        <f t="shared" si="17"/>
        <v>#DIV/0!</v>
      </c>
      <c r="T239" s="89" t="str">
        <f t="shared" si="6"/>
        <v>#DIV/0!</v>
      </c>
      <c r="U239" s="89" t="str">
        <f t="shared" si="25"/>
        <v>#DIV/0!</v>
      </c>
      <c r="V239" s="89" t="str">
        <f t="shared" si="24"/>
        <v>#DIV/0!</v>
      </c>
      <c r="W239" s="89" t="str">
        <f t="shared" si="9"/>
        <v>#DIV/0!</v>
      </c>
      <c r="X239" s="89"/>
      <c r="Y239" s="89"/>
      <c r="Z239" s="89"/>
      <c r="AA239" s="89"/>
      <c r="AB239" s="89"/>
      <c r="AC239" s="89"/>
      <c r="AD239" s="89"/>
      <c r="AE239" s="89"/>
      <c r="AF239" s="89"/>
      <c r="AG239" s="89"/>
      <c r="AH239" s="89"/>
    </row>
    <row r="240">
      <c r="A240" s="8" t="s">
        <v>378</v>
      </c>
      <c r="B240" s="97"/>
      <c r="C240" s="8"/>
      <c r="D240" s="89" t="str">
        <f t="shared" si="1"/>
        <v/>
      </c>
      <c r="E240" s="89" t="str">
        <f t="shared" si="2"/>
        <v>OT Hours</v>
      </c>
      <c r="F240" s="89" t="str">
        <f>IFERROR(VLOOKUP(C240,'Employees List'!$B$1:$G$999,2,0),"")</f>
        <v/>
      </c>
      <c r="G240" s="89" t="str">
        <f t="shared" si="23"/>
        <v>#DIV/0!</v>
      </c>
      <c r="H240" s="98"/>
      <c r="I240" s="89" t="str">
        <f>IFERROR(VLOOKUP(F240,'Employees List'!$C:$F,2,0),"")</f>
        <v/>
      </c>
      <c r="J240" s="93" t="str">
        <f>IFERROR(VLOOKUP(C240,'Employees List'!$B$2:$G$991,5,0),"")</f>
        <v/>
      </c>
      <c r="K240" s="95" t="str">
        <f>IFERROR(VLOOKUP(F240,'Employees List'!$C$1:$AB$991,5,0),"")</f>
        <v/>
      </c>
      <c r="L240" s="91">
        <f t="shared" si="3"/>
        <v>0</v>
      </c>
      <c r="M240" s="91">
        <f t="shared" si="4"/>
        <v>0</v>
      </c>
      <c r="N240" s="89" t="str">
        <f>IFERROR(VLOOKUP(B240,'Employees List'!$A$2:$H$991,8,0),"")</f>
        <v/>
      </c>
      <c r="O240" s="89" t="str">
        <f>IFERROR(VLOOKUP(D240,'Daily Attendance Report 24-25'!A253:BP999,5,0),"")</f>
        <v/>
      </c>
      <c r="P240" s="89" t="str">
        <f>IFERROR(VLOOKUP(E240,'Daily Attendance Report 24-25'!$A$1:$BO$617,5,0),"")</f>
        <v/>
      </c>
      <c r="Q240" s="89"/>
      <c r="R240" s="89"/>
      <c r="S240" s="89" t="str">
        <f t="shared" si="17"/>
        <v>#DIV/0!</v>
      </c>
      <c r="T240" s="89" t="str">
        <f t="shared" si="6"/>
        <v>#DIV/0!</v>
      </c>
      <c r="U240" s="89" t="str">
        <f t="shared" si="25"/>
        <v>#DIV/0!</v>
      </c>
      <c r="V240" s="89" t="str">
        <f t="shared" si="24"/>
        <v>#DIV/0!</v>
      </c>
      <c r="W240" s="89" t="str">
        <f t="shared" si="9"/>
        <v>#DIV/0!</v>
      </c>
      <c r="X240" s="89"/>
      <c r="Y240" s="89"/>
      <c r="Z240" s="89"/>
      <c r="AA240" s="89"/>
      <c r="AB240" s="89"/>
      <c r="AC240" s="89"/>
      <c r="AD240" s="89"/>
      <c r="AE240" s="89"/>
      <c r="AF240" s="89"/>
      <c r="AG240" s="89"/>
      <c r="AH240" s="89"/>
    </row>
    <row r="241">
      <c r="A241" s="8" t="s">
        <v>379</v>
      </c>
      <c r="B241" s="97"/>
      <c r="C241" s="8"/>
      <c r="D241" s="89" t="str">
        <f t="shared" si="1"/>
        <v/>
      </c>
      <c r="E241" s="89" t="str">
        <f t="shared" si="2"/>
        <v>OT Hours</v>
      </c>
      <c r="F241" s="89" t="str">
        <f>IFERROR(VLOOKUP(C241,'Employees List'!$B$1:$G$999,2,0),"")</f>
        <v/>
      </c>
      <c r="G241" s="89" t="str">
        <f t="shared" si="23"/>
        <v>#DIV/0!</v>
      </c>
      <c r="H241" s="98"/>
      <c r="I241" s="89" t="str">
        <f>IFERROR(VLOOKUP(F241,'Employees List'!$C:$F,2,0),"")</f>
        <v/>
      </c>
      <c r="J241" s="93" t="str">
        <f>IFERROR(VLOOKUP(C241,'Employees List'!$B$2:$G$991,5,0),"")</f>
        <v/>
      </c>
      <c r="K241" s="95" t="str">
        <f>IFERROR(VLOOKUP(F241,'Employees List'!$C$1:$AB$991,5,0),"")</f>
        <v/>
      </c>
      <c r="L241" s="91">
        <f t="shared" si="3"/>
        <v>0</v>
      </c>
      <c r="M241" s="91">
        <f t="shared" si="4"/>
        <v>0</v>
      </c>
      <c r="N241" s="89" t="str">
        <f>IFERROR(VLOOKUP(B241,'Employees List'!$A$2:$H$991,8,0),"")</f>
        <v/>
      </c>
      <c r="O241" s="89" t="str">
        <f>IFERROR(VLOOKUP(D241,'Daily Attendance Report 24-25'!A254:BP999,5,0),"")</f>
        <v/>
      </c>
      <c r="P241" s="89" t="str">
        <f>IFERROR(VLOOKUP(E241,'Daily Attendance Report 24-25'!$A$1:$BO$617,5,0),"")</f>
        <v/>
      </c>
      <c r="Q241" s="89"/>
      <c r="R241" s="89"/>
      <c r="S241" s="89" t="str">
        <f t="shared" si="17"/>
        <v>#DIV/0!</v>
      </c>
      <c r="T241" s="89" t="str">
        <f t="shared" si="6"/>
        <v>#DIV/0!</v>
      </c>
      <c r="U241" s="89" t="str">
        <f t="shared" si="25"/>
        <v>#DIV/0!</v>
      </c>
      <c r="V241" s="89" t="str">
        <f t="shared" si="24"/>
        <v>#DIV/0!</v>
      </c>
      <c r="W241" s="89" t="str">
        <f t="shared" si="9"/>
        <v>#DIV/0!</v>
      </c>
      <c r="X241" s="89"/>
      <c r="Y241" s="89"/>
      <c r="Z241" s="89"/>
      <c r="AA241" s="89"/>
      <c r="AB241" s="89"/>
      <c r="AC241" s="89"/>
      <c r="AD241" s="89"/>
      <c r="AE241" s="89"/>
      <c r="AF241" s="89"/>
      <c r="AG241" s="89"/>
      <c r="AH241" s="89"/>
    </row>
    <row r="242">
      <c r="A242" s="8" t="s">
        <v>380</v>
      </c>
      <c r="B242" s="97"/>
      <c r="C242" s="8"/>
      <c r="D242" s="89" t="str">
        <f t="shared" si="1"/>
        <v/>
      </c>
      <c r="E242" s="89" t="str">
        <f t="shared" si="2"/>
        <v>OT Hours</v>
      </c>
      <c r="F242" s="89" t="str">
        <f>IFERROR(VLOOKUP(C242,'Employees List'!$B$1:$G$999,2,0),"")</f>
        <v/>
      </c>
      <c r="G242" s="89" t="str">
        <f t="shared" si="23"/>
        <v>#DIV/0!</v>
      </c>
      <c r="H242" s="98"/>
      <c r="I242" s="89" t="str">
        <f>IFERROR(VLOOKUP(F242,'Employees List'!$C:$F,2,0),"")</f>
        <v/>
      </c>
      <c r="J242" s="93" t="str">
        <f>IFERROR(VLOOKUP(C242,'Employees List'!$B$2:$G$991,5,0),"")</f>
        <v/>
      </c>
      <c r="K242" s="95" t="str">
        <f>IFERROR(VLOOKUP(F242,'Employees List'!$C$1:$AB$991,5,0),"")</f>
        <v/>
      </c>
      <c r="L242" s="91">
        <f t="shared" si="3"/>
        <v>0</v>
      </c>
      <c r="M242" s="91">
        <f t="shared" si="4"/>
        <v>0</v>
      </c>
      <c r="N242" s="89" t="str">
        <f>IFERROR(VLOOKUP(B242,'Employees List'!$A$2:$H$991,8,0),"")</f>
        <v/>
      </c>
      <c r="O242" s="89" t="str">
        <f>IFERROR(VLOOKUP(D242,'Daily Attendance Report 24-25'!A255:BP999,5,0),"")</f>
        <v/>
      </c>
      <c r="P242" s="89" t="str">
        <f>IFERROR(VLOOKUP(E242,'Daily Attendance Report 24-25'!$A$1:$BO$617,5,0),"")</f>
        <v/>
      </c>
      <c r="Q242" s="89"/>
      <c r="R242" s="89"/>
      <c r="S242" s="89" t="str">
        <f t="shared" si="17"/>
        <v>#DIV/0!</v>
      </c>
      <c r="T242" s="89" t="str">
        <f t="shared" si="6"/>
        <v>#DIV/0!</v>
      </c>
      <c r="U242" s="89" t="str">
        <f t="shared" si="25"/>
        <v>#DIV/0!</v>
      </c>
      <c r="V242" s="89" t="str">
        <f t="shared" si="24"/>
        <v>#DIV/0!</v>
      </c>
      <c r="W242" s="89" t="str">
        <f t="shared" si="9"/>
        <v>#DIV/0!</v>
      </c>
      <c r="X242" s="89"/>
      <c r="Y242" s="89"/>
      <c r="Z242" s="89"/>
      <c r="AA242" s="89"/>
      <c r="AB242" s="89"/>
      <c r="AC242" s="89"/>
      <c r="AD242" s="89"/>
      <c r="AE242" s="89"/>
      <c r="AF242" s="89"/>
      <c r="AG242" s="89"/>
      <c r="AH242" s="89"/>
    </row>
    <row r="243">
      <c r="A243" s="8" t="s">
        <v>381</v>
      </c>
      <c r="B243" s="97"/>
      <c r="C243" s="8"/>
      <c r="D243" s="89" t="str">
        <f t="shared" si="1"/>
        <v/>
      </c>
      <c r="E243" s="89" t="str">
        <f t="shared" si="2"/>
        <v>OT Hours</v>
      </c>
      <c r="F243" s="89" t="str">
        <f>IFERROR(VLOOKUP(C243,'Employees List'!$B$1:$G$999,2,0),"")</f>
        <v/>
      </c>
      <c r="G243" s="89" t="str">
        <f t="shared" si="23"/>
        <v>#DIV/0!</v>
      </c>
      <c r="H243" s="98"/>
      <c r="I243" s="89" t="str">
        <f>IFERROR(VLOOKUP(F243,'Employees List'!$C:$F,2,0),"")</f>
        <v/>
      </c>
      <c r="J243" s="93" t="str">
        <f>IFERROR(VLOOKUP(C243,'Employees List'!$B$2:$G$991,5,0),"")</f>
        <v/>
      </c>
      <c r="K243" s="95" t="str">
        <f>IFERROR(VLOOKUP(F243,'Employees List'!$C$1:$AB$991,5,0),"")</f>
        <v/>
      </c>
      <c r="L243" s="91">
        <f t="shared" si="3"/>
        <v>0</v>
      </c>
      <c r="M243" s="91">
        <f t="shared" si="4"/>
        <v>0</v>
      </c>
      <c r="N243" s="89" t="str">
        <f>IFERROR(VLOOKUP(B243,'Employees List'!$A$2:$H$991,8,0),"")</f>
        <v/>
      </c>
      <c r="O243" s="89" t="str">
        <f>IFERROR(VLOOKUP(D243,'Daily Attendance Report 24-25'!A256:BP999,5,0),"")</f>
        <v/>
      </c>
      <c r="P243" s="89" t="str">
        <f>IFERROR(VLOOKUP(E243,'Daily Attendance Report 24-25'!$A$1:$BO$617,5,0),"")</f>
        <v/>
      </c>
      <c r="Q243" s="89"/>
      <c r="R243" s="89"/>
      <c r="S243" s="89" t="str">
        <f t="shared" si="17"/>
        <v>#DIV/0!</v>
      </c>
      <c r="T243" s="89" t="str">
        <f t="shared" si="6"/>
        <v>#DIV/0!</v>
      </c>
      <c r="U243" s="89" t="str">
        <f t="shared" si="25"/>
        <v>#DIV/0!</v>
      </c>
      <c r="V243" s="89" t="str">
        <f t="shared" si="24"/>
        <v>#DIV/0!</v>
      </c>
      <c r="W243" s="89" t="str">
        <f t="shared" si="9"/>
        <v>#DIV/0!</v>
      </c>
      <c r="X243" s="89"/>
      <c r="Y243" s="89"/>
      <c r="Z243" s="89"/>
      <c r="AA243" s="89"/>
      <c r="AB243" s="89"/>
      <c r="AC243" s="89"/>
      <c r="AD243" s="89"/>
      <c r="AE243" s="89"/>
      <c r="AF243" s="89"/>
      <c r="AG243" s="89"/>
      <c r="AH243" s="89"/>
    </row>
    <row r="244">
      <c r="A244" s="8" t="s">
        <v>382</v>
      </c>
      <c r="B244" s="97"/>
      <c r="C244" s="8"/>
      <c r="D244" s="89" t="str">
        <f t="shared" si="1"/>
        <v/>
      </c>
      <c r="E244" s="89" t="str">
        <f t="shared" si="2"/>
        <v>OT Hours</v>
      </c>
      <c r="F244" s="89" t="str">
        <f>IFERROR(VLOOKUP(C244,'Employees List'!$B$1:$G$999,2,0),"")</f>
        <v/>
      </c>
      <c r="G244" s="89" t="str">
        <f t="shared" si="23"/>
        <v>#DIV/0!</v>
      </c>
      <c r="H244" s="98"/>
      <c r="I244" s="89" t="str">
        <f>IFERROR(VLOOKUP(F244,'Employees List'!$C:$F,2,0),"")</f>
        <v/>
      </c>
      <c r="J244" s="93" t="str">
        <f>IFERROR(VLOOKUP(C244,'Employees List'!$B$2:$G$991,5,0),"")</f>
        <v/>
      </c>
      <c r="K244" s="95" t="str">
        <f>IFERROR(VLOOKUP(F244,'Employees List'!$C$1:$AB$991,5,0),"")</f>
        <v/>
      </c>
      <c r="L244" s="91">
        <f t="shared" si="3"/>
        <v>0</v>
      </c>
      <c r="M244" s="91">
        <f t="shared" si="4"/>
        <v>0</v>
      </c>
      <c r="N244" s="89" t="str">
        <f>IFERROR(VLOOKUP(B244,'Employees List'!$A$2:$H$991,8,0),"")</f>
        <v/>
      </c>
      <c r="O244" s="89" t="str">
        <f>IFERROR(VLOOKUP(D244,'Daily Attendance Report 24-25'!A257:BP999,5,0),"")</f>
        <v/>
      </c>
      <c r="P244" s="89" t="str">
        <f>IFERROR(VLOOKUP(E244,'Daily Attendance Report 24-25'!$A$1:$BO$617,5,0),"")</f>
        <v/>
      </c>
      <c r="Q244" s="89"/>
      <c r="R244" s="89"/>
      <c r="S244" s="89" t="str">
        <f t="shared" si="17"/>
        <v>#DIV/0!</v>
      </c>
      <c r="T244" s="89" t="str">
        <f t="shared" si="6"/>
        <v>#DIV/0!</v>
      </c>
      <c r="U244" s="89" t="str">
        <f t="shared" si="25"/>
        <v>#DIV/0!</v>
      </c>
      <c r="V244" s="89" t="str">
        <f t="shared" si="24"/>
        <v>#DIV/0!</v>
      </c>
      <c r="W244" s="89" t="str">
        <f t="shared" si="9"/>
        <v>#DIV/0!</v>
      </c>
      <c r="X244" s="89"/>
      <c r="Y244" s="89"/>
      <c r="Z244" s="89"/>
      <c r="AA244" s="89"/>
      <c r="AB244" s="89"/>
      <c r="AC244" s="89"/>
      <c r="AD244" s="89"/>
      <c r="AE244" s="89"/>
      <c r="AF244" s="89"/>
      <c r="AG244" s="89"/>
      <c r="AH244" s="89"/>
    </row>
    <row r="245">
      <c r="A245" s="8" t="s">
        <v>383</v>
      </c>
      <c r="B245" s="97"/>
      <c r="C245" s="8"/>
      <c r="D245" s="89" t="str">
        <f t="shared" si="1"/>
        <v/>
      </c>
      <c r="E245" s="89" t="str">
        <f t="shared" si="2"/>
        <v>OT Hours</v>
      </c>
      <c r="F245" s="89" t="str">
        <f>IFERROR(VLOOKUP(C245,'Employees List'!$B$1:$G$999,2,0),"")</f>
        <v/>
      </c>
      <c r="G245" s="89" t="str">
        <f t="shared" si="23"/>
        <v>#DIV/0!</v>
      </c>
      <c r="H245" s="98"/>
      <c r="I245" s="89" t="str">
        <f>IFERROR(VLOOKUP(F245,'Employees List'!$C:$F,2,0),"")</f>
        <v/>
      </c>
      <c r="J245" s="93" t="str">
        <f>IFERROR(VLOOKUP(C245,'Employees List'!$B$2:$G$991,5,0),"")</f>
        <v/>
      </c>
      <c r="K245" s="95" t="str">
        <f>IFERROR(VLOOKUP(F245,'Employees List'!$C$1:$AB$991,5,0),"")</f>
        <v/>
      </c>
      <c r="L245" s="91">
        <f t="shared" si="3"/>
        <v>0</v>
      </c>
      <c r="M245" s="91">
        <f t="shared" si="4"/>
        <v>0</v>
      </c>
      <c r="N245" s="89" t="str">
        <f>IFERROR(VLOOKUP(B245,'Employees List'!$A$2:$H$991,8,0),"")</f>
        <v/>
      </c>
      <c r="O245" s="89" t="str">
        <f>IFERROR(VLOOKUP(D245,'Daily Attendance Report 24-25'!A257:BP999,5,0),"")</f>
        <v/>
      </c>
      <c r="P245" s="89" t="str">
        <f>IFERROR(VLOOKUP(E245,'Daily Attendance Report 24-25'!$A$1:$BO$617,5,0),"")</f>
        <v/>
      </c>
      <c r="Q245" s="89"/>
      <c r="R245" s="89"/>
      <c r="S245" s="89" t="str">
        <f t="shared" si="17"/>
        <v>#DIV/0!</v>
      </c>
      <c r="T245" s="89" t="str">
        <f t="shared" si="6"/>
        <v>#DIV/0!</v>
      </c>
      <c r="U245" s="89" t="str">
        <f t="shared" si="25"/>
        <v>#DIV/0!</v>
      </c>
      <c r="V245" s="89" t="str">
        <f t="shared" si="24"/>
        <v>#DIV/0!</v>
      </c>
      <c r="W245" s="89" t="str">
        <f t="shared" si="9"/>
        <v>#DIV/0!</v>
      </c>
      <c r="X245" s="89"/>
      <c r="Y245" s="89"/>
      <c r="Z245" s="89"/>
      <c r="AA245" s="89"/>
      <c r="AB245" s="89"/>
      <c r="AC245" s="89"/>
      <c r="AD245" s="89"/>
      <c r="AE245" s="89"/>
      <c r="AF245" s="89"/>
      <c r="AG245" s="89"/>
      <c r="AH245" s="89"/>
    </row>
    <row r="246">
      <c r="A246" s="8" t="s">
        <v>384</v>
      </c>
      <c r="B246" s="97"/>
      <c r="C246" s="8"/>
      <c r="D246" s="89" t="str">
        <f t="shared" si="1"/>
        <v/>
      </c>
      <c r="E246" s="89" t="str">
        <f t="shared" si="2"/>
        <v>OT Hours</v>
      </c>
      <c r="F246" s="89" t="str">
        <f>IFERROR(VLOOKUP(C246,'Employees List'!$B$1:$G$999,2,0),"")</f>
        <v/>
      </c>
      <c r="G246" s="89" t="str">
        <f t="shared" si="23"/>
        <v>#DIV/0!</v>
      </c>
      <c r="H246" s="98"/>
      <c r="I246" s="89" t="str">
        <f>IFERROR(VLOOKUP(F246,'Employees List'!$C:$F,2,0),"")</f>
        <v/>
      </c>
      <c r="J246" s="93" t="str">
        <f>IFERROR(VLOOKUP(C246,'Employees List'!$B$2:$G$991,5,0),"")</f>
        <v/>
      </c>
      <c r="K246" s="95" t="str">
        <f>IFERROR(VLOOKUP(F246,'Employees List'!$C$1:$AB$991,5,0),"")</f>
        <v/>
      </c>
      <c r="L246" s="91">
        <f t="shared" si="3"/>
        <v>0</v>
      </c>
      <c r="M246" s="91">
        <f t="shared" si="4"/>
        <v>0</v>
      </c>
      <c r="N246" s="89" t="str">
        <f>IFERROR(VLOOKUP(B246,'Employees List'!$A$2:$H$991,8,0),"")</f>
        <v/>
      </c>
      <c r="O246" s="89" t="str">
        <f>IFERROR(VLOOKUP(D246,'Daily Attendance Report 24-25'!A257:BP999,5,0),"")</f>
        <v/>
      </c>
      <c r="P246" s="89" t="str">
        <f>IFERROR(VLOOKUP(E246,'Daily Attendance Report 24-25'!$A$1:$BO$617,5,0),"")</f>
        <v/>
      </c>
      <c r="Q246" s="89"/>
      <c r="R246" s="89"/>
      <c r="S246" s="89" t="str">
        <f t="shared" si="17"/>
        <v>#DIV/0!</v>
      </c>
      <c r="T246" s="89" t="str">
        <f t="shared" si="6"/>
        <v>#DIV/0!</v>
      </c>
      <c r="U246" s="89" t="str">
        <f t="shared" si="25"/>
        <v>#DIV/0!</v>
      </c>
      <c r="V246" s="89" t="str">
        <f t="shared" si="24"/>
        <v>#DIV/0!</v>
      </c>
      <c r="W246" s="89" t="str">
        <f t="shared" si="9"/>
        <v>#DIV/0!</v>
      </c>
      <c r="X246" s="89"/>
      <c r="Y246" s="89"/>
      <c r="Z246" s="89"/>
      <c r="AA246" s="89"/>
      <c r="AB246" s="89"/>
      <c r="AC246" s="89"/>
      <c r="AD246" s="89"/>
      <c r="AE246" s="89"/>
      <c r="AF246" s="89"/>
      <c r="AG246" s="89"/>
      <c r="AH246" s="89"/>
    </row>
    <row r="247">
      <c r="A247" s="8" t="s">
        <v>385</v>
      </c>
      <c r="B247" s="97"/>
      <c r="C247" s="8"/>
      <c r="D247" s="89" t="str">
        <f t="shared" si="1"/>
        <v/>
      </c>
      <c r="E247" s="89" t="str">
        <f t="shared" si="2"/>
        <v>OT Hours</v>
      </c>
      <c r="F247" s="89" t="str">
        <f>IFERROR(VLOOKUP(C247,'Employees List'!$B$1:$G$999,2,0),"")</f>
        <v/>
      </c>
      <c r="G247" s="89" t="str">
        <f t="shared" si="23"/>
        <v>#DIV/0!</v>
      </c>
      <c r="H247" s="98"/>
      <c r="I247" s="89" t="str">
        <f>IFERROR(VLOOKUP(F247,'Employees List'!$C:$F,2,0),"")</f>
        <v/>
      </c>
      <c r="J247" s="93" t="str">
        <f>IFERROR(VLOOKUP(C247,'Employees List'!$B$2:$G$991,5,0),"")</f>
        <v/>
      </c>
      <c r="K247" s="95" t="str">
        <f>IFERROR(VLOOKUP(F247,'Employees List'!$C$1:$AB$991,5,0),"")</f>
        <v/>
      </c>
      <c r="L247" s="91">
        <f t="shared" si="3"/>
        <v>0</v>
      </c>
      <c r="M247" s="91">
        <f t="shared" si="4"/>
        <v>0</v>
      </c>
      <c r="N247" s="89" t="str">
        <f>IFERROR(VLOOKUP(B247,'Employees List'!$A$2:$H$991,8,0),"")</f>
        <v/>
      </c>
      <c r="O247" s="89" t="str">
        <f>IFERROR(VLOOKUP(D247,'Daily Attendance Report 24-25'!A258:BP999,5,0),"")</f>
        <v/>
      </c>
      <c r="P247" s="89" t="str">
        <f>IFERROR(VLOOKUP(E247,'Daily Attendance Report 24-25'!$A$1:$BO$617,5,0),"")</f>
        <v/>
      </c>
      <c r="Q247" s="89"/>
      <c r="R247" s="89"/>
      <c r="S247" s="89" t="str">
        <f t="shared" si="17"/>
        <v>#DIV/0!</v>
      </c>
      <c r="T247" s="89" t="str">
        <f t="shared" si="6"/>
        <v>#DIV/0!</v>
      </c>
      <c r="U247" s="89" t="str">
        <f t="shared" si="25"/>
        <v>#DIV/0!</v>
      </c>
      <c r="V247" s="89" t="str">
        <f t="shared" si="24"/>
        <v>#DIV/0!</v>
      </c>
      <c r="W247" s="89" t="str">
        <f t="shared" si="9"/>
        <v>#DIV/0!</v>
      </c>
      <c r="X247" s="89"/>
      <c r="Y247" s="89"/>
      <c r="Z247" s="89"/>
      <c r="AA247" s="89"/>
      <c r="AB247" s="89"/>
      <c r="AC247" s="89"/>
      <c r="AD247" s="89"/>
      <c r="AE247" s="89"/>
      <c r="AF247" s="89"/>
      <c r="AG247" s="89"/>
      <c r="AH247" s="89"/>
    </row>
    <row r="248">
      <c r="A248" s="8" t="s">
        <v>386</v>
      </c>
      <c r="B248" s="97"/>
      <c r="C248" s="8"/>
      <c r="D248" s="89" t="str">
        <f t="shared" si="1"/>
        <v/>
      </c>
      <c r="E248" s="89" t="str">
        <f t="shared" si="2"/>
        <v>OT Hours</v>
      </c>
      <c r="F248" s="89" t="str">
        <f>IFERROR(VLOOKUP(C248,'Employees List'!$B$1:$G$999,2,0),"")</f>
        <v/>
      </c>
      <c r="G248" s="89" t="str">
        <f t="shared" si="23"/>
        <v>#DIV/0!</v>
      </c>
      <c r="H248" s="98"/>
      <c r="I248" s="89" t="str">
        <f>IFERROR(VLOOKUP(F248,'Employees List'!$C:$F,2,0),"")</f>
        <v/>
      </c>
      <c r="J248" s="93" t="str">
        <f>IFERROR(VLOOKUP(C248,'Employees List'!$B$2:$G$991,5,0),"")</f>
        <v/>
      </c>
      <c r="K248" s="95" t="str">
        <f>IFERROR(VLOOKUP(F248,'Employees List'!$C$1:$AB$991,5,0),"")</f>
        <v/>
      </c>
      <c r="L248" s="91">
        <f t="shared" si="3"/>
        <v>0</v>
      </c>
      <c r="M248" s="91">
        <f t="shared" si="4"/>
        <v>0</v>
      </c>
      <c r="N248" s="89" t="str">
        <f>IFERROR(VLOOKUP(B248,'Employees List'!$A$2:$H$991,8,0),"")</f>
        <v/>
      </c>
      <c r="O248" s="89" t="str">
        <f>IFERROR(VLOOKUP(D248,'Daily Attendance Report 24-25'!A258:BP999,5,0),"")</f>
        <v/>
      </c>
      <c r="P248" s="89" t="str">
        <f>IFERROR(VLOOKUP(E248,'Daily Attendance Report 24-25'!$A$1:$BO$617,5,0),"")</f>
        <v/>
      </c>
      <c r="Q248" s="89"/>
      <c r="R248" s="89"/>
      <c r="S248" s="89" t="str">
        <f t="shared" si="17"/>
        <v>#DIV/0!</v>
      </c>
      <c r="T248" s="89" t="str">
        <f t="shared" si="6"/>
        <v>#DIV/0!</v>
      </c>
      <c r="U248" s="89" t="str">
        <f t="shared" si="25"/>
        <v>#DIV/0!</v>
      </c>
      <c r="V248" s="89" t="str">
        <f t="shared" si="24"/>
        <v>#DIV/0!</v>
      </c>
      <c r="W248" s="89" t="str">
        <f t="shared" si="9"/>
        <v>#DIV/0!</v>
      </c>
      <c r="X248" s="89"/>
      <c r="Y248" s="89"/>
      <c r="Z248" s="89"/>
      <c r="AA248" s="89"/>
      <c r="AB248" s="89"/>
      <c r="AC248" s="89"/>
      <c r="AD248" s="89"/>
      <c r="AE248" s="89"/>
      <c r="AF248" s="89"/>
      <c r="AG248" s="89"/>
      <c r="AH248" s="89"/>
    </row>
    <row r="249">
      <c r="A249" s="8" t="s">
        <v>387</v>
      </c>
      <c r="B249" s="97"/>
      <c r="C249" s="8"/>
      <c r="D249" s="89" t="str">
        <f t="shared" si="1"/>
        <v/>
      </c>
      <c r="E249" s="89" t="str">
        <f t="shared" si="2"/>
        <v>OT Hours</v>
      </c>
      <c r="F249" s="89" t="str">
        <f>IFERROR(VLOOKUP(C249,'Employees List'!$B$1:$G$999,2,0),"")</f>
        <v/>
      </c>
      <c r="G249" s="89" t="str">
        <f t="shared" si="23"/>
        <v>#DIV/0!</v>
      </c>
      <c r="H249" s="98"/>
      <c r="I249" s="89" t="str">
        <f>IFERROR(VLOOKUP(F249,'Employees List'!$C:$F,2,0),"")</f>
        <v/>
      </c>
      <c r="J249" s="93" t="str">
        <f>IFERROR(VLOOKUP(C249,'Employees List'!$B$2:$G$991,5,0),"")</f>
        <v/>
      </c>
      <c r="K249" s="95" t="str">
        <f>IFERROR(VLOOKUP(F249,'Employees List'!$C$1:$AB$991,5,0),"")</f>
        <v/>
      </c>
      <c r="L249" s="91">
        <f t="shared" si="3"/>
        <v>0</v>
      </c>
      <c r="M249" s="91">
        <f t="shared" si="4"/>
        <v>0</v>
      </c>
      <c r="N249" s="89" t="str">
        <f>IFERROR(VLOOKUP(B249,'Employees List'!$A$2:$H$991,8,0),"")</f>
        <v/>
      </c>
      <c r="O249" s="89" t="str">
        <f>IFERROR(VLOOKUP(D249,'Daily Attendance Report 24-25'!A258:BP999,5,0),"")</f>
        <v/>
      </c>
      <c r="P249" s="89" t="str">
        <f>IFERROR(VLOOKUP(E249,'Daily Attendance Report 24-25'!$A$1:$BO$617,5,0),"")</f>
        <v/>
      </c>
      <c r="Q249" s="89"/>
      <c r="R249" s="89"/>
      <c r="S249" s="89" t="str">
        <f t="shared" si="17"/>
        <v>#DIV/0!</v>
      </c>
      <c r="T249" s="89" t="str">
        <f t="shared" si="6"/>
        <v>#DIV/0!</v>
      </c>
      <c r="U249" s="89" t="str">
        <f t="shared" si="25"/>
        <v>#DIV/0!</v>
      </c>
      <c r="V249" s="89" t="str">
        <f t="shared" si="24"/>
        <v>#DIV/0!</v>
      </c>
      <c r="W249" s="89" t="str">
        <f t="shared" si="9"/>
        <v>#DIV/0!</v>
      </c>
      <c r="X249" s="89"/>
      <c r="Y249" s="89"/>
      <c r="Z249" s="89"/>
      <c r="AA249" s="89"/>
      <c r="AB249" s="89"/>
      <c r="AC249" s="89"/>
      <c r="AD249" s="89"/>
      <c r="AE249" s="89"/>
      <c r="AF249" s="89"/>
      <c r="AG249" s="89"/>
      <c r="AH249" s="89"/>
    </row>
    <row r="250">
      <c r="A250" s="8" t="s">
        <v>388</v>
      </c>
      <c r="B250" s="97"/>
      <c r="C250" s="8"/>
      <c r="D250" s="89" t="str">
        <f t="shared" si="1"/>
        <v/>
      </c>
      <c r="E250" s="89" t="str">
        <f t="shared" si="2"/>
        <v>OT Hours</v>
      </c>
      <c r="F250" s="89" t="str">
        <f>IFERROR(VLOOKUP(C250,'Employees List'!$B$1:$G$999,2,0),"")</f>
        <v/>
      </c>
      <c r="G250" s="89" t="str">
        <f t="shared" si="23"/>
        <v>#DIV/0!</v>
      </c>
      <c r="H250" s="98"/>
      <c r="I250" s="89" t="str">
        <f>IFERROR(VLOOKUP(F250,'Employees List'!$C:$F,2,0),"")</f>
        <v/>
      </c>
      <c r="J250" s="93" t="str">
        <f>IFERROR(VLOOKUP(C250,'Employees List'!$B$2:$G$991,5,0),"")</f>
        <v/>
      </c>
      <c r="K250" s="95" t="str">
        <f>IFERROR(VLOOKUP(F250,'Employees List'!$C$1:$AB$991,5,0),"")</f>
        <v/>
      </c>
      <c r="L250" s="91">
        <f t="shared" si="3"/>
        <v>0</v>
      </c>
      <c r="M250" s="91">
        <f t="shared" si="4"/>
        <v>0</v>
      </c>
      <c r="N250" s="89" t="str">
        <f>IFERROR(VLOOKUP(B250,'Employees List'!$A$2:$H$991,8,0),"")</f>
        <v/>
      </c>
      <c r="O250" s="89" t="str">
        <f>IFERROR(VLOOKUP(D250,'Daily Attendance Report 24-25'!A259:BP999,5,0),"")</f>
        <v/>
      </c>
      <c r="P250" s="89" t="str">
        <f>IFERROR(VLOOKUP(E250,'Daily Attendance Report 24-25'!$A$1:$BO$617,5,0),"")</f>
        <v/>
      </c>
      <c r="Q250" s="89"/>
      <c r="R250" s="89"/>
      <c r="S250" s="89" t="str">
        <f t="shared" si="17"/>
        <v>#DIV/0!</v>
      </c>
      <c r="T250" s="89" t="str">
        <f t="shared" si="6"/>
        <v>#DIV/0!</v>
      </c>
      <c r="U250" s="89" t="str">
        <f t="shared" si="25"/>
        <v>#DIV/0!</v>
      </c>
      <c r="V250" s="89" t="str">
        <f t="shared" si="24"/>
        <v>#DIV/0!</v>
      </c>
      <c r="W250" s="89" t="str">
        <f t="shared" si="9"/>
        <v>#DIV/0!</v>
      </c>
      <c r="X250" s="89"/>
      <c r="Y250" s="89"/>
      <c r="Z250" s="89"/>
      <c r="AA250" s="89"/>
      <c r="AB250" s="89"/>
      <c r="AC250" s="89"/>
      <c r="AD250" s="89"/>
      <c r="AE250" s="89"/>
      <c r="AF250" s="89"/>
      <c r="AG250" s="89"/>
      <c r="AH250" s="89"/>
    </row>
    <row r="251">
      <c r="A251" s="8" t="s">
        <v>389</v>
      </c>
      <c r="B251" s="97"/>
      <c r="C251" s="8"/>
      <c r="D251" s="89" t="str">
        <f t="shared" si="1"/>
        <v/>
      </c>
      <c r="E251" s="89" t="str">
        <f t="shared" si="2"/>
        <v>OT Hours</v>
      </c>
      <c r="F251" s="89" t="str">
        <f>IFERROR(VLOOKUP(C251,'Employees List'!$B$1:$G$999,2,0),"")</f>
        <v/>
      </c>
      <c r="G251" s="89" t="str">
        <f t="shared" si="23"/>
        <v>#DIV/0!</v>
      </c>
      <c r="H251" s="98"/>
      <c r="I251" s="89" t="str">
        <f>IFERROR(VLOOKUP(F251,'Employees List'!$C:$F,2,0),"")</f>
        <v/>
      </c>
      <c r="J251" s="93" t="str">
        <f>IFERROR(VLOOKUP(C251,'Employees List'!$B$2:$G$991,5,0),"")</f>
        <v/>
      </c>
      <c r="K251" s="95" t="str">
        <f>IFERROR(VLOOKUP(F251,'Employees List'!$C$1:$AB$991,5,0),"")</f>
        <v/>
      </c>
      <c r="L251" s="91">
        <f t="shared" si="3"/>
        <v>0</v>
      </c>
      <c r="M251" s="91">
        <f t="shared" si="4"/>
        <v>0</v>
      </c>
      <c r="N251" s="89" t="str">
        <f>IFERROR(VLOOKUP(B251,'Employees List'!$A$2:$H$991,8,0),"")</f>
        <v/>
      </c>
      <c r="O251" s="89" t="str">
        <f>IFERROR(VLOOKUP(D251,'Daily Attendance Report 24-25'!A260:BP999,5,0),"")</f>
        <v/>
      </c>
      <c r="P251" s="89" t="str">
        <f>IFERROR(VLOOKUP(E251,'Daily Attendance Report 24-25'!$A$1:$BO$617,5,0),"")</f>
        <v/>
      </c>
      <c r="Q251" s="89"/>
      <c r="R251" s="89"/>
      <c r="S251" s="89" t="str">
        <f t="shared" si="17"/>
        <v>#DIV/0!</v>
      </c>
      <c r="T251" s="89" t="str">
        <f t="shared" si="6"/>
        <v>#DIV/0!</v>
      </c>
      <c r="U251" s="89" t="str">
        <f t="shared" si="25"/>
        <v>#DIV/0!</v>
      </c>
      <c r="V251" s="89" t="str">
        <f t="shared" si="24"/>
        <v>#DIV/0!</v>
      </c>
      <c r="W251" s="89" t="str">
        <f t="shared" si="9"/>
        <v>#DIV/0!</v>
      </c>
      <c r="X251" s="89"/>
      <c r="Y251" s="89"/>
      <c r="Z251" s="89"/>
      <c r="AA251" s="89"/>
      <c r="AB251" s="89"/>
      <c r="AC251" s="89"/>
      <c r="AD251" s="89"/>
      <c r="AE251" s="89"/>
      <c r="AF251" s="89"/>
      <c r="AG251" s="89"/>
      <c r="AH251" s="89"/>
    </row>
    <row r="252">
      <c r="A252" s="8" t="s">
        <v>390</v>
      </c>
      <c r="B252" s="97"/>
      <c r="C252" s="8"/>
      <c r="D252" s="89" t="str">
        <f t="shared" si="1"/>
        <v/>
      </c>
      <c r="E252" s="89" t="str">
        <f t="shared" si="2"/>
        <v>OT Hours</v>
      </c>
      <c r="F252" s="89" t="str">
        <f>IFERROR(VLOOKUP(C252,'Employees List'!$B$1:$G$999,2,0),"")</f>
        <v/>
      </c>
      <c r="G252" s="89" t="str">
        <f t="shared" si="23"/>
        <v>#DIV/0!</v>
      </c>
      <c r="H252" s="98"/>
      <c r="I252" s="89" t="str">
        <f>IFERROR(VLOOKUP(F252,'Employees List'!$C:$F,2,0),"")</f>
        <v/>
      </c>
      <c r="J252" s="93" t="str">
        <f>IFERROR(VLOOKUP(C252,'Employees List'!$B$2:$G$991,5,0),"")</f>
        <v/>
      </c>
      <c r="K252" s="95" t="str">
        <f>IFERROR(VLOOKUP(F252,'Employees List'!$C$1:$AB$991,5,0),"")</f>
        <v/>
      </c>
      <c r="L252" s="91">
        <f t="shared" si="3"/>
        <v>0</v>
      </c>
      <c r="M252" s="91">
        <f t="shared" si="4"/>
        <v>0</v>
      </c>
      <c r="N252" s="89" t="str">
        <f>IFERROR(VLOOKUP(B252,'Employees List'!$A$2:$H$991,8,0),"")</f>
        <v/>
      </c>
      <c r="O252" s="89" t="str">
        <f>IFERROR(VLOOKUP(D252,'Daily Attendance Report 24-25'!A261:BP999,5,0),"")</f>
        <v/>
      </c>
      <c r="P252" s="89" t="str">
        <f>IFERROR(VLOOKUP(E252,'Daily Attendance Report 24-25'!$A$1:$BO$617,5,0),"")</f>
        <v/>
      </c>
      <c r="Q252" s="89"/>
      <c r="R252" s="89"/>
      <c r="S252" s="89" t="str">
        <f t="shared" si="17"/>
        <v>#DIV/0!</v>
      </c>
      <c r="T252" s="89" t="str">
        <f t="shared" si="6"/>
        <v>#DIV/0!</v>
      </c>
      <c r="U252" s="89" t="str">
        <f t="shared" si="25"/>
        <v>#DIV/0!</v>
      </c>
      <c r="V252" s="89" t="str">
        <f t="shared" si="24"/>
        <v>#DIV/0!</v>
      </c>
      <c r="W252" s="89" t="str">
        <f t="shared" si="9"/>
        <v>#DIV/0!</v>
      </c>
      <c r="X252" s="89"/>
      <c r="Y252" s="89"/>
      <c r="Z252" s="89"/>
      <c r="AA252" s="89"/>
      <c r="AB252" s="89"/>
      <c r="AC252" s="89"/>
      <c r="AD252" s="89"/>
      <c r="AE252" s="89"/>
      <c r="AF252" s="89"/>
      <c r="AG252" s="89"/>
      <c r="AH252" s="89"/>
    </row>
    <row r="253">
      <c r="A253" s="8" t="s">
        <v>391</v>
      </c>
      <c r="B253" s="97"/>
      <c r="C253" s="8"/>
      <c r="D253" s="89" t="str">
        <f t="shared" si="1"/>
        <v/>
      </c>
      <c r="E253" s="89" t="str">
        <f t="shared" si="2"/>
        <v>OT Hours</v>
      </c>
      <c r="F253" s="89" t="str">
        <f>IFERROR(VLOOKUP(C253,'Employees List'!$B$1:$G$999,2,0),"")</f>
        <v/>
      </c>
      <c r="G253" s="89" t="str">
        <f t="shared" si="23"/>
        <v>#DIV/0!</v>
      </c>
      <c r="H253" s="98"/>
      <c r="I253" s="89" t="str">
        <f>IFERROR(VLOOKUP(F253,'Employees List'!$C:$F,2,0),"")</f>
        <v/>
      </c>
      <c r="J253" s="93" t="str">
        <f>IFERROR(VLOOKUP(C253,'Employees List'!$B$2:$G$991,5,0),"")</f>
        <v/>
      </c>
      <c r="K253" s="95" t="str">
        <f>IFERROR(VLOOKUP(F253,'Employees List'!$C$1:$AB$991,5,0),"")</f>
        <v/>
      </c>
      <c r="L253" s="91">
        <f t="shared" si="3"/>
        <v>0</v>
      </c>
      <c r="M253" s="91">
        <f t="shared" si="4"/>
        <v>0</v>
      </c>
      <c r="N253" s="89" t="str">
        <f>IFERROR(VLOOKUP(B253,'Employees List'!$A$2:$H$991,8,0),"")</f>
        <v/>
      </c>
      <c r="O253" s="89" t="str">
        <f>IFERROR(VLOOKUP(D253,'Daily Attendance Report 24-25'!A262:BP999,5,0),"")</f>
        <v/>
      </c>
      <c r="P253" s="89" t="str">
        <f>IFERROR(VLOOKUP(E253,'Daily Attendance Report 24-25'!$A$1:$BO$617,5,0),"")</f>
        <v/>
      </c>
      <c r="Q253" s="89"/>
      <c r="R253" s="89"/>
      <c r="S253" s="89" t="str">
        <f t="shared" si="17"/>
        <v>#DIV/0!</v>
      </c>
      <c r="T253" s="89" t="str">
        <f t="shared" si="6"/>
        <v>#DIV/0!</v>
      </c>
      <c r="U253" s="89" t="str">
        <f t="shared" si="25"/>
        <v>#DIV/0!</v>
      </c>
      <c r="V253" s="89" t="str">
        <f t="shared" si="24"/>
        <v>#DIV/0!</v>
      </c>
      <c r="W253" s="89" t="str">
        <f t="shared" si="9"/>
        <v>#DIV/0!</v>
      </c>
      <c r="X253" s="89"/>
      <c r="Y253" s="89"/>
      <c r="Z253" s="89"/>
      <c r="AA253" s="89"/>
      <c r="AB253" s="89"/>
      <c r="AC253" s="89"/>
      <c r="AD253" s="89"/>
      <c r="AE253" s="89"/>
      <c r="AF253" s="89"/>
      <c r="AG253" s="89"/>
      <c r="AH253" s="89"/>
    </row>
    <row r="254">
      <c r="A254" s="8" t="s">
        <v>392</v>
      </c>
      <c r="B254" s="97"/>
      <c r="C254" s="8"/>
      <c r="D254" s="89" t="str">
        <f t="shared" si="1"/>
        <v/>
      </c>
      <c r="E254" s="89" t="str">
        <f t="shared" si="2"/>
        <v>OT Hours</v>
      </c>
      <c r="F254" s="89" t="str">
        <f>IFERROR(VLOOKUP(C254,'Employees List'!$B$1:$G$999,2,0),"")</f>
        <v/>
      </c>
      <c r="G254" s="89" t="str">
        <f t="shared" si="23"/>
        <v>#DIV/0!</v>
      </c>
      <c r="H254" s="98"/>
      <c r="I254" s="89" t="str">
        <f>IFERROR(VLOOKUP(F254,'Employees List'!$C:$F,2,0),"")</f>
        <v/>
      </c>
      <c r="J254" s="93" t="str">
        <f>IFERROR(VLOOKUP(C254,'Employees List'!$B$2:$G$991,5,0),"")</f>
        <v/>
      </c>
      <c r="K254" s="95" t="str">
        <f>IFERROR(VLOOKUP(F254,'Employees List'!$C$1:$AB$991,5,0),"")</f>
        <v/>
      </c>
      <c r="L254" s="91">
        <f t="shared" si="3"/>
        <v>0</v>
      </c>
      <c r="M254" s="91">
        <f t="shared" si="4"/>
        <v>0</v>
      </c>
      <c r="N254" s="89" t="str">
        <f>IFERROR(VLOOKUP(B254,'Employees List'!$A$2:$H$991,8,0),"")</f>
        <v/>
      </c>
      <c r="O254" s="89" t="str">
        <f>IFERROR(VLOOKUP(D254,'Daily Attendance Report 24-25'!A263:BP999,5,0),"")</f>
        <v/>
      </c>
      <c r="P254" s="89" t="str">
        <f>IFERROR(VLOOKUP(E254,'Daily Attendance Report 24-25'!$A$1:$BO$617,5,0),"")</f>
        <v/>
      </c>
      <c r="Q254" s="89"/>
      <c r="R254" s="89"/>
      <c r="S254" s="89" t="str">
        <f t="shared" si="17"/>
        <v>#DIV/0!</v>
      </c>
      <c r="T254" s="89" t="str">
        <f t="shared" si="6"/>
        <v>#DIV/0!</v>
      </c>
      <c r="U254" s="89" t="str">
        <f t="shared" si="25"/>
        <v>#DIV/0!</v>
      </c>
      <c r="V254" s="89" t="str">
        <f t="shared" si="24"/>
        <v>#DIV/0!</v>
      </c>
      <c r="W254" s="89" t="str">
        <f t="shared" si="9"/>
        <v>#DIV/0!</v>
      </c>
      <c r="X254" s="89"/>
      <c r="Y254" s="89"/>
      <c r="Z254" s="89"/>
      <c r="AA254" s="89"/>
      <c r="AB254" s="89"/>
      <c r="AC254" s="89"/>
      <c r="AD254" s="89"/>
      <c r="AE254" s="89"/>
      <c r="AF254" s="89"/>
      <c r="AG254" s="89"/>
      <c r="AH254" s="89"/>
    </row>
    <row r="255">
      <c r="A255" s="8" t="s">
        <v>393</v>
      </c>
      <c r="B255" s="97"/>
      <c r="C255" s="8"/>
      <c r="D255" s="89" t="str">
        <f t="shared" si="1"/>
        <v/>
      </c>
      <c r="E255" s="89" t="str">
        <f t="shared" si="2"/>
        <v>OT Hours</v>
      </c>
      <c r="F255" s="89" t="str">
        <f>IFERROR(VLOOKUP(C255,'Employees List'!$B$1:$G$999,2,0),"")</f>
        <v/>
      </c>
      <c r="G255" s="89" t="str">
        <f t="shared" si="23"/>
        <v>#DIV/0!</v>
      </c>
      <c r="H255" s="98"/>
      <c r="I255" s="89" t="str">
        <f>IFERROR(VLOOKUP(F255,'Employees List'!$C:$F,2,0),"")</f>
        <v/>
      </c>
      <c r="J255" s="93" t="str">
        <f>IFERROR(VLOOKUP(C255,'Employees List'!$B$2:$G$991,5,0),"")</f>
        <v/>
      </c>
      <c r="K255" s="95" t="str">
        <f>IFERROR(VLOOKUP(F255,'Employees List'!$C$1:$AB$991,5,0),"")</f>
        <v/>
      </c>
      <c r="L255" s="91">
        <f t="shared" si="3"/>
        <v>0</v>
      </c>
      <c r="M255" s="91">
        <f t="shared" si="4"/>
        <v>0</v>
      </c>
      <c r="N255" s="89" t="str">
        <f>IFERROR(VLOOKUP(B255,'Employees List'!$A$2:$H$991,8,0),"")</f>
        <v/>
      </c>
      <c r="O255" s="89" t="str">
        <f>IFERROR(VLOOKUP(D255,'Daily Attendance Report 24-25'!A264:BP999,5,0),"")</f>
        <v/>
      </c>
      <c r="P255" s="89" t="str">
        <f>IFERROR(VLOOKUP(E255,'Daily Attendance Report 24-25'!$A$1:$BO$617,5,0),"")</f>
        <v/>
      </c>
      <c r="Q255" s="89"/>
      <c r="R255" s="89"/>
      <c r="S255" s="89" t="str">
        <f t="shared" si="17"/>
        <v>#DIV/0!</v>
      </c>
      <c r="T255" s="89" t="str">
        <f t="shared" si="6"/>
        <v>#DIV/0!</v>
      </c>
      <c r="U255" s="89" t="str">
        <f t="shared" si="25"/>
        <v>#DIV/0!</v>
      </c>
      <c r="V255" s="89" t="str">
        <f t="shared" si="24"/>
        <v>#DIV/0!</v>
      </c>
      <c r="W255" s="89" t="str">
        <f t="shared" si="9"/>
        <v>#DIV/0!</v>
      </c>
      <c r="X255" s="89"/>
      <c r="Y255" s="89"/>
      <c r="Z255" s="89"/>
      <c r="AA255" s="89"/>
      <c r="AB255" s="89"/>
      <c r="AC255" s="89"/>
      <c r="AD255" s="89"/>
      <c r="AE255" s="89"/>
      <c r="AF255" s="89"/>
      <c r="AG255" s="89"/>
      <c r="AH255" s="89"/>
    </row>
    <row r="256">
      <c r="A256" s="8" t="s">
        <v>394</v>
      </c>
      <c r="B256" s="97"/>
      <c r="C256" s="8"/>
      <c r="D256" s="89" t="str">
        <f t="shared" si="1"/>
        <v/>
      </c>
      <c r="E256" s="89" t="str">
        <f t="shared" si="2"/>
        <v>OT Hours</v>
      </c>
      <c r="F256" s="89" t="str">
        <f>IFERROR(VLOOKUP(C256,'Employees List'!$B$1:$G$999,2,0),"")</f>
        <v/>
      </c>
      <c r="G256" s="89" t="str">
        <f t="shared" si="23"/>
        <v>#DIV/0!</v>
      </c>
      <c r="H256" s="98"/>
      <c r="I256" s="89" t="str">
        <f>IFERROR(VLOOKUP(F256,'Employees List'!$C:$F,2,0),"")</f>
        <v/>
      </c>
      <c r="J256" s="93" t="str">
        <f>IFERROR(VLOOKUP(C256,'Employees List'!$B$2:$G$991,5,0),"")</f>
        <v/>
      </c>
      <c r="K256" s="95" t="str">
        <f>IFERROR(VLOOKUP(F256,'Employees List'!$C$1:$AB$991,5,0),"")</f>
        <v/>
      </c>
      <c r="L256" s="91">
        <f t="shared" si="3"/>
        <v>0</v>
      </c>
      <c r="M256" s="91">
        <f t="shared" si="4"/>
        <v>0</v>
      </c>
      <c r="N256" s="89" t="str">
        <f>IFERROR(VLOOKUP(B256,'Employees List'!$A$2:$H$991,8,0),"")</f>
        <v/>
      </c>
      <c r="O256" s="89" t="str">
        <f>IFERROR(VLOOKUP(D256,'Daily Attendance Report 24-25'!A265:BP999,5,0),"")</f>
        <v/>
      </c>
      <c r="P256" s="89" t="str">
        <f>IFERROR(VLOOKUP(E256,'Daily Attendance Report 24-25'!$A$1:$BO$617,5,0),"")</f>
        <v/>
      </c>
      <c r="Q256" s="89"/>
      <c r="R256" s="89"/>
      <c r="S256" s="89" t="str">
        <f t="shared" si="17"/>
        <v>#DIV/0!</v>
      </c>
      <c r="T256" s="89" t="str">
        <f t="shared" si="6"/>
        <v>#DIV/0!</v>
      </c>
      <c r="U256" s="89" t="str">
        <f t="shared" si="25"/>
        <v>#DIV/0!</v>
      </c>
      <c r="V256" s="89" t="str">
        <f t="shared" si="24"/>
        <v>#DIV/0!</v>
      </c>
      <c r="W256" s="89" t="str">
        <f t="shared" si="9"/>
        <v>#DIV/0!</v>
      </c>
      <c r="X256" s="89"/>
      <c r="Y256" s="89"/>
      <c r="Z256" s="89"/>
      <c r="AA256" s="89"/>
      <c r="AB256" s="89"/>
      <c r="AC256" s="89"/>
      <c r="AD256" s="89"/>
      <c r="AE256" s="89"/>
      <c r="AF256" s="89"/>
      <c r="AG256" s="89"/>
      <c r="AH256" s="89"/>
    </row>
    <row r="257">
      <c r="A257" s="8" t="s">
        <v>395</v>
      </c>
      <c r="B257" s="97"/>
      <c r="C257" s="8"/>
      <c r="D257" s="89" t="str">
        <f t="shared" si="1"/>
        <v/>
      </c>
      <c r="E257" s="89" t="str">
        <f t="shared" si="2"/>
        <v>OT Hours</v>
      </c>
      <c r="F257" s="89" t="str">
        <f>IFERROR(VLOOKUP(C257,'Employees List'!$B$1:$G$999,2,0),"")</f>
        <v/>
      </c>
      <c r="G257" s="89" t="str">
        <f t="shared" si="23"/>
        <v>#DIV/0!</v>
      </c>
      <c r="H257" s="98"/>
      <c r="I257" s="89" t="str">
        <f>IFERROR(VLOOKUP(F257,'Employees List'!$C:$F,2,0),"")</f>
        <v/>
      </c>
      <c r="J257" s="93" t="str">
        <f>IFERROR(VLOOKUP(C257,'Employees List'!$B$2:$G$991,5,0),"")</f>
        <v/>
      </c>
      <c r="K257" s="95" t="str">
        <f>IFERROR(VLOOKUP(F257,'Employees List'!$C$1:$AB$991,5,0),"")</f>
        <v/>
      </c>
      <c r="L257" s="91">
        <f t="shared" si="3"/>
        <v>0</v>
      </c>
      <c r="M257" s="91">
        <f t="shared" si="4"/>
        <v>0</v>
      </c>
      <c r="N257" s="89" t="str">
        <f>IFERROR(VLOOKUP(B257,'Employees List'!$A$2:$H$991,8,0),"")</f>
        <v/>
      </c>
      <c r="O257" s="89" t="str">
        <f>IFERROR(VLOOKUP(D257,'Daily Attendance Report 24-25'!A266:BP999,5,0),"")</f>
        <v/>
      </c>
      <c r="P257" s="89" t="str">
        <f>IFERROR(VLOOKUP(E257,'Daily Attendance Report 24-25'!$A$1:$BO$617,5,0),"")</f>
        <v/>
      </c>
      <c r="Q257" s="89"/>
      <c r="R257" s="89"/>
      <c r="S257" s="89" t="str">
        <f t="shared" si="17"/>
        <v>#DIV/0!</v>
      </c>
      <c r="T257" s="89" t="str">
        <f t="shared" si="6"/>
        <v>#DIV/0!</v>
      </c>
      <c r="U257" s="89" t="str">
        <f t="shared" si="25"/>
        <v>#DIV/0!</v>
      </c>
      <c r="V257" s="89" t="str">
        <f t="shared" si="24"/>
        <v>#DIV/0!</v>
      </c>
      <c r="W257" s="89" t="str">
        <f t="shared" si="9"/>
        <v>#DIV/0!</v>
      </c>
      <c r="X257" s="89"/>
      <c r="Y257" s="89"/>
      <c r="Z257" s="89"/>
      <c r="AA257" s="89"/>
      <c r="AB257" s="89"/>
      <c r="AC257" s="89"/>
      <c r="AD257" s="89"/>
      <c r="AE257" s="89"/>
      <c r="AF257" s="89"/>
      <c r="AG257" s="89"/>
      <c r="AH257" s="89"/>
    </row>
    <row r="258">
      <c r="A258" s="8" t="s">
        <v>396</v>
      </c>
      <c r="B258" s="97"/>
      <c r="C258" s="8"/>
      <c r="D258" s="89" t="str">
        <f t="shared" si="1"/>
        <v/>
      </c>
      <c r="E258" s="89" t="str">
        <f t="shared" si="2"/>
        <v>OT Hours</v>
      </c>
      <c r="F258" s="89" t="str">
        <f>IFERROR(VLOOKUP(C258,'Employees List'!$B$1:$G$999,2,0),"")</f>
        <v/>
      </c>
      <c r="G258" s="89" t="str">
        <f t="shared" si="23"/>
        <v>#DIV/0!</v>
      </c>
      <c r="H258" s="98"/>
      <c r="I258" s="89" t="str">
        <f>IFERROR(VLOOKUP(F258,'Employees List'!$C:$F,2,0),"")</f>
        <v/>
      </c>
      <c r="J258" s="93" t="str">
        <f>IFERROR(VLOOKUP(C258,'Employees List'!$B$2:$G$991,5,0),"")</f>
        <v/>
      </c>
      <c r="K258" s="95" t="str">
        <f>IFERROR(VLOOKUP(F258,'Employees List'!$C$1:$AB$991,5,0),"")</f>
        <v/>
      </c>
      <c r="L258" s="91">
        <f t="shared" si="3"/>
        <v>0</v>
      </c>
      <c r="M258" s="91">
        <f t="shared" si="4"/>
        <v>0</v>
      </c>
      <c r="N258" s="89" t="str">
        <f>IFERROR(VLOOKUP(B258,'Employees List'!$A$2:$H$991,8,0),"")</f>
        <v/>
      </c>
      <c r="O258" s="89" t="str">
        <f>IFERROR(VLOOKUP(D258,'Daily Attendance Report 24-25'!A267:BP999,5,0),"")</f>
        <v/>
      </c>
      <c r="P258" s="89" t="str">
        <f>IFERROR(VLOOKUP(E258,'Daily Attendance Report 24-25'!$A$1:$BO$617,5,0),"")</f>
        <v/>
      </c>
      <c r="Q258" s="89"/>
      <c r="R258" s="89"/>
      <c r="S258" s="89" t="str">
        <f t="shared" si="17"/>
        <v>#DIV/0!</v>
      </c>
      <c r="T258" s="89" t="str">
        <f t="shared" si="6"/>
        <v>#DIV/0!</v>
      </c>
      <c r="U258" s="89" t="str">
        <f t="shared" si="25"/>
        <v>#DIV/0!</v>
      </c>
      <c r="V258" s="89" t="str">
        <f t="shared" si="24"/>
        <v>#DIV/0!</v>
      </c>
      <c r="W258" s="89" t="str">
        <f t="shared" si="9"/>
        <v>#DIV/0!</v>
      </c>
      <c r="X258" s="89"/>
      <c r="Y258" s="89"/>
      <c r="Z258" s="89"/>
      <c r="AA258" s="89"/>
      <c r="AB258" s="89"/>
      <c r="AC258" s="89"/>
      <c r="AD258" s="89"/>
      <c r="AE258" s="89"/>
      <c r="AF258" s="89"/>
      <c r="AG258" s="89"/>
      <c r="AH258" s="89"/>
    </row>
    <row r="259">
      <c r="A259" s="8" t="s">
        <v>397</v>
      </c>
      <c r="B259" s="97"/>
      <c r="C259" s="8"/>
      <c r="D259" s="89" t="str">
        <f t="shared" si="1"/>
        <v/>
      </c>
      <c r="E259" s="89" t="str">
        <f t="shared" si="2"/>
        <v>OT Hours</v>
      </c>
      <c r="F259" s="89" t="str">
        <f>IFERROR(VLOOKUP(C259,'Employees List'!$B$1:$G$999,2,0),"")</f>
        <v/>
      </c>
      <c r="G259" s="89" t="str">
        <f t="shared" si="23"/>
        <v>#DIV/0!</v>
      </c>
      <c r="H259" s="98"/>
      <c r="I259" s="89" t="str">
        <f>IFERROR(VLOOKUP(F259,'Employees List'!$C:$F,2,0),"")</f>
        <v/>
      </c>
      <c r="J259" s="93" t="str">
        <f>IFERROR(VLOOKUP(C259,'Employees List'!$B$2:$G$991,5,0),"")</f>
        <v/>
      </c>
      <c r="K259" s="95" t="str">
        <f>IFERROR(VLOOKUP(F259,'Employees List'!$C$1:$AB$991,5,0),"")</f>
        <v/>
      </c>
      <c r="L259" s="91">
        <f t="shared" si="3"/>
        <v>0</v>
      </c>
      <c r="M259" s="91">
        <f t="shared" si="4"/>
        <v>0</v>
      </c>
      <c r="N259" s="89" t="str">
        <f>IFERROR(VLOOKUP(B259,'Employees List'!$A$2:$H$991,8,0),"")</f>
        <v/>
      </c>
      <c r="O259" s="89" t="str">
        <f>IFERROR(VLOOKUP(D259,'Daily Attendance Report 24-25'!A268:BP999,5,0),"")</f>
        <v/>
      </c>
      <c r="P259" s="89" t="str">
        <f>IFERROR(VLOOKUP(E259,'Daily Attendance Report 24-25'!$A$1:$BO$617,5,0),"")</f>
        <v/>
      </c>
      <c r="Q259" s="89"/>
      <c r="R259" s="89"/>
      <c r="S259" s="89" t="str">
        <f t="shared" si="17"/>
        <v>#DIV/0!</v>
      </c>
      <c r="T259" s="89" t="str">
        <f t="shared" si="6"/>
        <v>#DIV/0!</v>
      </c>
      <c r="U259" s="89" t="str">
        <f t="shared" si="25"/>
        <v>#DIV/0!</v>
      </c>
      <c r="V259" s="89" t="str">
        <f t="shared" si="24"/>
        <v>#DIV/0!</v>
      </c>
      <c r="W259" s="89" t="str">
        <f t="shared" si="9"/>
        <v>#DIV/0!</v>
      </c>
      <c r="X259" s="89"/>
      <c r="Y259" s="89"/>
      <c r="Z259" s="89"/>
      <c r="AA259" s="89"/>
      <c r="AB259" s="89"/>
      <c r="AC259" s="89"/>
      <c r="AD259" s="89"/>
      <c r="AE259" s="89"/>
      <c r="AF259" s="89"/>
      <c r="AG259" s="89"/>
      <c r="AH259" s="89"/>
    </row>
    <row r="260">
      <c r="A260" s="8" t="s">
        <v>398</v>
      </c>
      <c r="B260" s="97"/>
      <c r="C260" s="8"/>
      <c r="D260" s="89" t="str">
        <f t="shared" si="1"/>
        <v/>
      </c>
      <c r="E260" s="89" t="str">
        <f t="shared" si="2"/>
        <v>OT Hours</v>
      </c>
      <c r="F260" s="89" t="str">
        <f>IFERROR(VLOOKUP(C260,'Employees List'!$B$1:$G$999,2,0),"")</f>
        <v/>
      </c>
      <c r="G260" s="89" t="str">
        <f t="shared" si="23"/>
        <v>#DIV/0!</v>
      </c>
      <c r="H260" s="98"/>
      <c r="I260" s="89" t="str">
        <f>IFERROR(VLOOKUP(F260,'Employees List'!$C:$F,2,0),"")</f>
        <v/>
      </c>
      <c r="J260" s="93" t="str">
        <f>IFERROR(VLOOKUP(C260,'Employees List'!$B$2:$G$991,5,0),"")</f>
        <v/>
      </c>
      <c r="K260" s="95" t="str">
        <f>IFERROR(VLOOKUP(F260,'Employees List'!$C$1:$AB$991,5,0),"")</f>
        <v/>
      </c>
      <c r="L260" s="91">
        <f t="shared" si="3"/>
        <v>0</v>
      </c>
      <c r="M260" s="91">
        <f t="shared" si="4"/>
        <v>0</v>
      </c>
      <c r="N260" s="89" t="str">
        <f>IFERROR(VLOOKUP(B260,'Employees List'!$A$2:$H$991,8,0),"")</f>
        <v/>
      </c>
      <c r="O260" s="89" t="str">
        <f>IFERROR(VLOOKUP(D260,'Daily Attendance Report 24-25'!A269:BP999,5,0),"")</f>
        <v/>
      </c>
      <c r="P260" s="89" t="str">
        <f>IFERROR(VLOOKUP(E260,'Daily Attendance Report 24-25'!$A$1:$BO$617,5,0),"")</f>
        <v/>
      </c>
      <c r="Q260" s="89"/>
      <c r="R260" s="89"/>
      <c r="S260" s="89" t="str">
        <f t="shared" si="17"/>
        <v>#DIV/0!</v>
      </c>
      <c r="T260" s="89" t="str">
        <f t="shared" si="6"/>
        <v>#DIV/0!</v>
      </c>
      <c r="U260" s="89" t="str">
        <f t="shared" si="25"/>
        <v>#DIV/0!</v>
      </c>
      <c r="V260" s="89" t="str">
        <f t="shared" si="24"/>
        <v>#DIV/0!</v>
      </c>
      <c r="W260" s="89" t="str">
        <f t="shared" si="9"/>
        <v>#DIV/0!</v>
      </c>
      <c r="X260" s="89"/>
      <c r="Y260" s="89"/>
      <c r="Z260" s="89"/>
      <c r="AA260" s="89"/>
      <c r="AB260" s="89"/>
      <c r="AC260" s="89"/>
      <c r="AD260" s="89"/>
      <c r="AE260" s="89"/>
      <c r="AF260" s="89"/>
      <c r="AG260" s="89"/>
      <c r="AH260" s="89"/>
    </row>
    <row r="261">
      <c r="A261" s="8" t="s">
        <v>399</v>
      </c>
      <c r="B261" s="97"/>
      <c r="C261" s="8"/>
      <c r="D261" s="89" t="str">
        <f t="shared" si="1"/>
        <v/>
      </c>
      <c r="E261" s="89" t="str">
        <f t="shared" si="2"/>
        <v>OT Hours</v>
      </c>
      <c r="F261" s="89" t="str">
        <f>IFERROR(VLOOKUP(C261,'Employees List'!$B$1:$G$999,2,0),"")</f>
        <v/>
      </c>
      <c r="G261" s="89" t="str">
        <f t="shared" si="23"/>
        <v>#DIV/0!</v>
      </c>
      <c r="H261" s="98"/>
      <c r="I261" s="89" t="str">
        <f>IFERROR(VLOOKUP(F261,'Employees List'!$C:$F,2,0),"")</f>
        <v/>
      </c>
      <c r="J261" s="93" t="str">
        <f>IFERROR(VLOOKUP(C261,'Employees List'!$B$2:$G$991,5,0),"")</f>
        <v/>
      </c>
      <c r="K261" s="95" t="str">
        <f>IFERROR(VLOOKUP(F261,'Employees List'!$C$1:$AB$991,5,0),"")</f>
        <v/>
      </c>
      <c r="L261" s="91">
        <f t="shared" si="3"/>
        <v>0</v>
      </c>
      <c r="M261" s="91">
        <f t="shared" si="4"/>
        <v>0</v>
      </c>
      <c r="N261" s="89" t="str">
        <f>IFERROR(VLOOKUP(B261,'Employees List'!$A$2:$H$991,8,0),"")</f>
        <v/>
      </c>
      <c r="O261" s="89" t="str">
        <f>IFERROR(VLOOKUP(D261,'Daily Attendance Report 24-25'!A270:BP999,5,0),"")</f>
        <v/>
      </c>
      <c r="P261" s="89" t="str">
        <f>IFERROR(VLOOKUP(E261,'Daily Attendance Report 24-25'!$A$1:$BO$617,5,0),"")</f>
        <v/>
      </c>
      <c r="Q261" s="89"/>
      <c r="R261" s="89"/>
      <c r="S261" s="89" t="str">
        <f t="shared" si="17"/>
        <v>#DIV/0!</v>
      </c>
      <c r="T261" s="89" t="str">
        <f t="shared" si="6"/>
        <v>#DIV/0!</v>
      </c>
      <c r="U261" s="89" t="str">
        <f t="shared" si="25"/>
        <v>#DIV/0!</v>
      </c>
      <c r="V261" s="89" t="str">
        <f t="shared" si="24"/>
        <v>#DIV/0!</v>
      </c>
      <c r="W261" s="89" t="str">
        <f t="shared" si="9"/>
        <v>#DIV/0!</v>
      </c>
      <c r="X261" s="89"/>
      <c r="Y261" s="89"/>
      <c r="Z261" s="89"/>
      <c r="AA261" s="89"/>
      <c r="AB261" s="89"/>
      <c r="AC261" s="89"/>
      <c r="AD261" s="89"/>
      <c r="AE261" s="89"/>
      <c r="AF261" s="89"/>
      <c r="AG261" s="89"/>
      <c r="AH261" s="89"/>
    </row>
    <row r="262">
      <c r="A262" s="8" t="s">
        <v>400</v>
      </c>
      <c r="B262" s="97"/>
      <c r="C262" s="8"/>
      <c r="D262" s="89" t="str">
        <f t="shared" si="1"/>
        <v/>
      </c>
      <c r="E262" s="89" t="str">
        <f t="shared" si="2"/>
        <v>OT Hours</v>
      </c>
      <c r="F262" s="89" t="str">
        <f>IFERROR(VLOOKUP(C262,'Employees List'!$B$1:$G$999,2,0),"")</f>
        <v/>
      </c>
      <c r="G262" s="89" t="str">
        <f t="shared" si="23"/>
        <v>#DIV/0!</v>
      </c>
      <c r="H262" s="98"/>
      <c r="I262" s="89" t="str">
        <f>IFERROR(VLOOKUP(F262,'Employees List'!$C:$F,2,0),"")</f>
        <v/>
      </c>
      <c r="J262" s="93" t="str">
        <f>IFERROR(VLOOKUP(C262,'Employees List'!$B$2:$G$991,5,0),"")</f>
        <v/>
      </c>
      <c r="K262" s="95" t="str">
        <f>IFERROR(VLOOKUP(F262,'Employees List'!$C$1:$AB$991,5,0),"")</f>
        <v/>
      </c>
      <c r="L262" s="91">
        <f t="shared" si="3"/>
        <v>0</v>
      </c>
      <c r="M262" s="91">
        <f t="shared" si="4"/>
        <v>0</v>
      </c>
      <c r="N262" s="89" t="str">
        <f>IFERROR(VLOOKUP(B262,'Employees List'!$A$2:$H$991,8,0),"")</f>
        <v/>
      </c>
      <c r="O262" s="89" t="str">
        <f>IFERROR(VLOOKUP(D262,'Daily Attendance Report 24-25'!A271:BP999,5,0),"")</f>
        <v/>
      </c>
      <c r="P262" s="89" t="str">
        <f>IFERROR(VLOOKUP(E262,'Daily Attendance Report 24-25'!$A$1:$BO$617,5,0),"")</f>
        <v/>
      </c>
      <c r="Q262" s="89"/>
      <c r="R262" s="89"/>
      <c r="S262" s="89" t="str">
        <f t="shared" si="17"/>
        <v>#DIV/0!</v>
      </c>
      <c r="T262" s="89" t="str">
        <f t="shared" si="6"/>
        <v>#DIV/0!</v>
      </c>
      <c r="U262" s="89" t="str">
        <f t="shared" si="25"/>
        <v>#DIV/0!</v>
      </c>
      <c r="V262" s="89" t="str">
        <f t="shared" si="24"/>
        <v>#DIV/0!</v>
      </c>
      <c r="W262" s="89" t="str">
        <f t="shared" si="9"/>
        <v>#DIV/0!</v>
      </c>
      <c r="X262" s="89"/>
      <c r="Y262" s="89"/>
      <c r="Z262" s="89"/>
      <c r="AA262" s="89"/>
      <c r="AB262" s="89"/>
      <c r="AC262" s="89"/>
      <c r="AD262" s="89"/>
      <c r="AE262" s="89"/>
      <c r="AF262" s="89"/>
      <c r="AG262" s="89"/>
      <c r="AH262" s="89"/>
    </row>
    <row r="263">
      <c r="A263" s="8" t="s">
        <v>401</v>
      </c>
      <c r="B263" s="97"/>
      <c r="C263" s="8"/>
      <c r="D263" s="89" t="str">
        <f t="shared" si="1"/>
        <v/>
      </c>
      <c r="E263" s="89" t="str">
        <f t="shared" si="2"/>
        <v>OT Hours</v>
      </c>
      <c r="F263" s="89" t="str">
        <f>IFERROR(VLOOKUP(C263,'Employees List'!$B$1:$G$999,2,0),"")</f>
        <v/>
      </c>
      <c r="G263" s="89" t="str">
        <f t="shared" si="23"/>
        <v>#DIV/0!</v>
      </c>
      <c r="H263" s="98"/>
      <c r="I263" s="89" t="str">
        <f>IFERROR(VLOOKUP(F263,'Employees List'!$C:$F,2,0),"")</f>
        <v/>
      </c>
      <c r="J263" s="93" t="str">
        <f>IFERROR(VLOOKUP(C263,'Employees List'!$B$2:$G$991,5,0),"")</f>
        <v/>
      </c>
      <c r="K263" s="95" t="str">
        <f>IFERROR(VLOOKUP(F263,'Employees List'!$C$1:$AB$991,5,0),"")</f>
        <v/>
      </c>
      <c r="L263" s="91">
        <f t="shared" si="3"/>
        <v>0</v>
      </c>
      <c r="M263" s="91">
        <f t="shared" si="4"/>
        <v>0</v>
      </c>
      <c r="N263" s="89" t="str">
        <f>IFERROR(VLOOKUP(B263,'Employees List'!$A$2:$H$991,8,0),"")</f>
        <v/>
      </c>
      <c r="O263" s="89" t="str">
        <f>IFERROR(VLOOKUP(D263,'Daily Attendance Report 24-25'!A272:BP999,5,0),"")</f>
        <v/>
      </c>
      <c r="P263" s="89" t="str">
        <f>IFERROR(VLOOKUP(E263,'Daily Attendance Report 24-25'!$A$1:$BO$617,5,0),"")</f>
        <v/>
      </c>
      <c r="Q263" s="89"/>
      <c r="R263" s="89"/>
      <c r="S263" s="89" t="str">
        <f t="shared" si="17"/>
        <v>#DIV/0!</v>
      </c>
      <c r="T263" s="89" t="str">
        <f t="shared" si="6"/>
        <v>#DIV/0!</v>
      </c>
      <c r="U263" s="89" t="str">
        <f t="shared" si="25"/>
        <v>#DIV/0!</v>
      </c>
      <c r="V263" s="89" t="str">
        <f t="shared" si="24"/>
        <v>#DIV/0!</v>
      </c>
      <c r="W263" s="89" t="str">
        <f t="shared" si="9"/>
        <v>#DIV/0!</v>
      </c>
      <c r="X263" s="89"/>
      <c r="Y263" s="89"/>
      <c r="Z263" s="89"/>
      <c r="AA263" s="89"/>
      <c r="AB263" s="89"/>
      <c r="AC263" s="89"/>
      <c r="AD263" s="89"/>
      <c r="AE263" s="89"/>
      <c r="AF263" s="89"/>
      <c r="AG263" s="89"/>
      <c r="AH263" s="89"/>
    </row>
    <row r="264">
      <c r="A264" s="8" t="s">
        <v>402</v>
      </c>
      <c r="B264" s="97"/>
      <c r="C264" s="8"/>
      <c r="D264" s="89" t="str">
        <f t="shared" si="1"/>
        <v/>
      </c>
      <c r="E264" s="89" t="str">
        <f t="shared" si="2"/>
        <v>OT Hours</v>
      </c>
      <c r="F264" s="89" t="str">
        <f>IFERROR(VLOOKUP(C264,'Employees List'!$B$1:$G$999,2,0),"")</f>
        <v/>
      </c>
      <c r="G264" s="89" t="str">
        <f t="shared" si="23"/>
        <v>#DIV/0!</v>
      </c>
      <c r="H264" s="98"/>
      <c r="I264" s="89" t="str">
        <f>IFERROR(VLOOKUP(F264,'Employees List'!$C:$F,2,0),"")</f>
        <v/>
      </c>
      <c r="J264" s="93" t="str">
        <f>IFERROR(VLOOKUP(C264,'Employees List'!$B$2:$G$991,5,0),"")</f>
        <v/>
      </c>
      <c r="K264" s="95" t="str">
        <f>IFERROR(VLOOKUP(F264,'Employees List'!$C$1:$AB$991,5,0),"")</f>
        <v/>
      </c>
      <c r="L264" s="91">
        <f t="shared" si="3"/>
        <v>0</v>
      </c>
      <c r="M264" s="91">
        <f t="shared" si="4"/>
        <v>0</v>
      </c>
      <c r="N264" s="89" t="str">
        <f>IFERROR(VLOOKUP(B264,'Employees List'!$A$2:$H$991,8,0),"")</f>
        <v/>
      </c>
      <c r="O264" s="89" t="str">
        <f>IFERROR(VLOOKUP(D264,'Daily Attendance Report 24-25'!A273:BP999,5,0),"")</f>
        <v/>
      </c>
      <c r="P264" s="89" t="str">
        <f>IFERROR(VLOOKUP(E264,'Daily Attendance Report 24-25'!$A$1:$BO$617,5,0),"")</f>
        <v/>
      </c>
      <c r="Q264" s="89"/>
      <c r="R264" s="89"/>
      <c r="S264" s="89" t="str">
        <f t="shared" si="17"/>
        <v>#DIV/0!</v>
      </c>
      <c r="T264" s="89" t="str">
        <f t="shared" si="6"/>
        <v>#DIV/0!</v>
      </c>
      <c r="U264" s="89" t="str">
        <f t="shared" si="25"/>
        <v>#DIV/0!</v>
      </c>
      <c r="V264" s="89" t="str">
        <f t="shared" si="24"/>
        <v>#DIV/0!</v>
      </c>
      <c r="W264" s="89" t="str">
        <f t="shared" si="9"/>
        <v>#DIV/0!</v>
      </c>
      <c r="X264" s="89"/>
      <c r="Y264" s="89"/>
      <c r="Z264" s="89"/>
      <c r="AA264" s="89"/>
      <c r="AB264" s="89"/>
      <c r="AC264" s="89"/>
      <c r="AD264" s="89"/>
      <c r="AE264" s="89"/>
      <c r="AF264" s="89"/>
      <c r="AG264" s="89"/>
      <c r="AH264" s="89"/>
    </row>
    <row r="265">
      <c r="A265" s="8" t="s">
        <v>403</v>
      </c>
      <c r="B265" s="97"/>
      <c r="C265" s="8"/>
      <c r="D265" s="89" t="str">
        <f t="shared" si="1"/>
        <v/>
      </c>
      <c r="E265" s="89" t="str">
        <f t="shared" si="2"/>
        <v>OT Hours</v>
      </c>
      <c r="F265" s="89" t="str">
        <f>IFERROR(VLOOKUP(C265,'Employees List'!$B$1:$G$999,2,0),"")</f>
        <v/>
      </c>
      <c r="G265" s="89" t="str">
        <f t="shared" si="23"/>
        <v>#DIV/0!</v>
      </c>
      <c r="H265" s="98"/>
      <c r="I265" s="89" t="str">
        <f>IFERROR(VLOOKUP(F265,'Employees List'!$C:$F,2,0),"")</f>
        <v/>
      </c>
      <c r="J265" s="93" t="str">
        <f>IFERROR(VLOOKUP(C265,'Employees List'!$B$2:$G$991,5,0),"")</f>
        <v/>
      </c>
      <c r="K265" s="95" t="str">
        <f>IFERROR(VLOOKUP(F265,'Employees List'!$C$1:$AB$991,5,0),"")</f>
        <v/>
      </c>
      <c r="L265" s="91">
        <f t="shared" si="3"/>
        <v>0</v>
      </c>
      <c r="M265" s="91">
        <f t="shared" si="4"/>
        <v>0</v>
      </c>
      <c r="N265" s="89" t="str">
        <f>IFERROR(VLOOKUP(B265,'Employees List'!$A$2:$H$991,8,0),"")</f>
        <v/>
      </c>
      <c r="O265" s="89" t="str">
        <f>IFERROR(VLOOKUP(D265,'Daily Attendance Report 24-25'!A273:BP999,5,0),"")</f>
        <v/>
      </c>
      <c r="P265" s="89" t="str">
        <f>IFERROR(VLOOKUP(E265,'Daily Attendance Report 24-25'!$A$1:$BO$617,5,0),"")</f>
        <v/>
      </c>
      <c r="Q265" s="89"/>
      <c r="R265" s="89"/>
      <c r="S265" s="89" t="str">
        <f t="shared" si="17"/>
        <v>#DIV/0!</v>
      </c>
      <c r="T265" s="89" t="str">
        <f t="shared" si="6"/>
        <v>#DIV/0!</v>
      </c>
      <c r="U265" s="89" t="str">
        <f t="shared" si="25"/>
        <v>#DIV/0!</v>
      </c>
      <c r="V265" s="89" t="str">
        <f t="shared" si="24"/>
        <v>#DIV/0!</v>
      </c>
      <c r="W265" s="89" t="str">
        <f t="shared" si="9"/>
        <v>#DIV/0!</v>
      </c>
      <c r="X265" s="89"/>
      <c r="Y265" s="89"/>
      <c r="Z265" s="89"/>
      <c r="AA265" s="89"/>
      <c r="AB265" s="89"/>
      <c r="AC265" s="89"/>
      <c r="AD265" s="89"/>
      <c r="AE265" s="89"/>
      <c r="AF265" s="89"/>
      <c r="AG265" s="89"/>
      <c r="AH265" s="89"/>
    </row>
    <row r="266">
      <c r="A266" s="8" t="s">
        <v>404</v>
      </c>
      <c r="B266" s="97"/>
      <c r="C266" s="8"/>
      <c r="D266" s="89" t="str">
        <f t="shared" si="1"/>
        <v/>
      </c>
      <c r="E266" s="89" t="str">
        <f t="shared" si="2"/>
        <v>OT Hours</v>
      </c>
      <c r="F266" s="89" t="str">
        <f>IFERROR(VLOOKUP(C266,'Employees List'!$B$1:$G$999,2,0),"")</f>
        <v/>
      </c>
      <c r="G266" s="89" t="str">
        <f t="shared" si="23"/>
        <v>#DIV/0!</v>
      </c>
      <c r="H266" s="98"/>
      <c r="I266" s="89" t="str">
        <f>IFERROR(VLOOKUP(F266,'Employees List'!$C:$F,2,0),"")</f>
        <v/>
      </c>
      <c r="J266" s="93" t="str">
        <f>IFERROR(VLOOKUP(C266,'Employees List'!$B$2:$G$991,5,0),"")</f>
        <v/>
      </c>
      <c r="K266" s="95" t="str">
        <f>IFERROR(VLOOKUP(F266,'Employees List'!$C$1:$AB$991,5,0),"")</f>
        <v/>
      </c>
      <c r="L266" s="91">
        <f t="shared" si="3"/>
        <v>0</v>
      </c>
      <c r="M266" s="91">
        <f t="shared" si="4"/>
        <v>0</v>
      </c>
      <c r="N266" s="89" t="str">
        <f>IFERROR(VLOOKUP(B266,'Employees List'!$A$2:$H$991,8,0),"")</f>
        <v/>
      </c>
      <c r="O266" s="89" t="str">
        <f>IFERROR(VLOOKUP(D266,'Daily Attendance Report 24-25'!A273:BP999,5,0),"")</f>
        <v/>
      </c>
      <c r="P266" s="89" t="str">
        <f>IFERROR(VLOOKUP(E266,'Daily Attendance Report 24-25'!$A$1:$BO$617,5,0),"")</f>
        <v/>
      </c>
      <c r="Q266" s="89"/>
      <c r="R266" s="89"/>
      <c r="S266" s="89" t="str">
        <f t="shared" si="17"/>
        <v>#DIV/0!</v>
      </c>
      <c r="T266" s="89" t="str">
        <f t="shared" si="6"/>
        <v>#DIV/0!</v>
      </c>
      <c r="U266" s="89" t="str">
        <f t="shared" si="25"/>
        <v>#DIV/0!</v>
      </c>
      <c r="V266" s="89" t="str">
        <f t="shared" si="24"/>
        <v>#DIV/0!</v>
      </c>
      <c r="W266" s="89" t="str">
        <f t="shared" si="9"/>
        <v>#DIV/0!</v>
      </c>
      <c r="X266" s="89"/>
      <c r="Y266" s="89"/>
      <c r="Z266" s="89"/>
      <c r="AA266" s="89"/>
      <c r="AB266" s="89"/>
      <c r="AC266" s="89"/>
      <c r="AD266" s="89"/>
      <c r="AE266" s="89"/>
      <c r="AF266" s="89"/>
      <c r="AG266" s="89"/>
      <c r="AH266" s="89"/>
    </row>
    <row r="267">
      <c r="A267" s="8" t="s">
        <v>405</v>
      </c>
      <c r="B267" s="97"/>
      <c r="C267" s="8"/>
      <c r="D267" s="89" t="str">
        <f t="shared" si="1"/>
        <v/>
      </c>
      <c r="E267" s="89" t="str">
        <f t="shared" si="2"/>
        <v>OT Hours</v>
      </c>
      <c r="F267" s="89" t="str">
        <f>IFERROR(VLOOKUP(C267,'Employees List'!$B$1:$G$999,2,0),"")</f>
        <v/>
      </c>
      <c r="G267" s="89" t="str">
        <f t="shared" si="23"/>
        <v>#DIV/0!</v>
      </c>
      <c r="H267" s="98"/>
      <c r="I267" s="89" t="str">
        <f>IFERROR(VLOOKUP(F267,'Employees List'!$C:$F,2,0),"")</f>
        <v/>
      </c>
      <c r="J267" s="93" t="str">
        <f>IFERROR(VLOOKUP(C267,'Employees List'!$B$2:$G$991,5,0),"")</f>
        <v/>
      </c>
      <c r="K267" s="95" t="str">
        <f>IFERROR(VLOOKUP(F267,'Employees List'!$C$1:$AB$991,5,0),"")</f>
        <v/>
      </c>
      <c r="L267" s="91">
        <f t="shared" si="3"/>
        <v>0</v>
      </c>
      <c r="M267" s="91">
        <f t="shared" si="4"/>
        <v>0</v>
      </c>
      <c r="N267" s="89" t="str">
        <f>IFERROR(VLOOKUP(B267,'Employees List'!$A$2:$H$991,8,0),"")</f>
        <v/>
      </c>
      <c r="O267" s="89" t="str">
        <f>IFERROR(VLOOKUP(D267,'Daily Attendance Report 24-25'!A273:BP999,5,0),"")</f>
        <v/>
      </c>
      <c r="P267" s="89" t="str">
        <f>IFERROR(VLOOKUP(E267,'Daily Attendance Report 24-25'!$A$1:$BO$617,5,0),"")</f>
        <v/>
      </c>
      <c r="Q267" s="89"/>
      <c r="R267" s="89"/>
      <c r="S267" s="89" t="str">
        <f t="shared" si="17"/>
        <v>#DIV/0!</v>
      </c>
      <c r="T267" s="89" t="str">
        <f t="shared" si="6"/>
        <v>#DIV/0!</v>
      </c>
      <c r="U267" s="89" t="str">
        <f t="shared" si="25"/>
        <v>#DIV/0!</v>
      </c>
      <c r="V267" s="89" t="str">
        <f t="shared" si="24"/>
        <v>#DIV/0!</v>
      </c>
      <c r="W267" s="89" t="str">
        <f t="shared" si="9"/>
        <v>#DIV/0!</v>
      </c>
      <c r="X267" s="89"/>
      <c r="Y267" s="89"/>
      <c r="Z267" s="89"/>
      <c r="AA267" s="89"/>
      <c r="AB267" s="89"/>
      <c r="AC267" s="89"/>
      <c r="AD267" s="89"/>
      <c r="AE267" s="89"/>
      <c r="AF267" s="89"/>
      <c r="AG267" s="89"/>
      <c r="AH267" s="89"/>
    </row>
    <row r="268">
      <c r="A268" s="8" t="s">
        <v>406</v>
      </c>
      <c r="B268" s="97"/>
      <c r="C268" s="8"/>
      <c r="D268" s="89" t="str">
        <f t="shared" si="1"/>
        <v/>
      </c>
      <c r="E268" s="89" t="str">
        <f t="shared" si="2"/>
        <v>OT Hours</v>
      </c>
      <c r="F268" s="89" t="str">
        <f>IFERROR(VLOOKUP(C268,'Employees List'!$B$1:$G$999,2,0),"")</f>
        <v/>
      </c>
      <c r="G268" s="89" t="str">
        <f t="shared" si="23"/>
        <v>#DIV/0!</v>
      </c>
      <c r="H268" s="98"/>
      <c r="I268" s="89" t="str">
        <f>IFERROR(VLOOKUP(F268,'Employees List'!$C:$F,2,0),"")</f>
        <v/>
      </c>
      <c r="J268" s="93" t="str">
        <f>IFERROR(VLOOKUP(C268,'Employees List'!$B$2:$G$991,5,0),"")</f>
        <v/>
      </c>
      <c r="K268" s="95" t="str">
        <f>IFERROR(VLOOKUP(F268,'Employees List'!$C$1:$AB$991,5,0),"")</f>
        <v/>
      </c>
      <c r="L268" s="91">
        <f t="shared" si="3"/>
        <v>0</v>
      </c>
      <c r="M268" s="91">
        <f t="shared" si="4"/>
        <v>0</v>
      </c>
      <c r="N268" s="89" t="str">
        <f>IFERROR(VLOOKUP(B268,'Employees List'!$A$2:$H$991,8,0),"")</f>
        <v/>
      </c>
      <c r="O268" s="89" t="str">
        <f>IFERROR(VLOOKUP(D268,'Daily Attendance Report 24-25'!A273:BP999,5,0),"")</f>
        <v/>
      </c>
      <c r="P268" s="89" t="str">
        <f>IFERROR(VLOOKUP(E268,'Daily Attendance Report 24-25'!$A$1:$BO$617,5,0),"")</f>
        <v/>
      </c>
      <c r="Q268" s="89"/>
      <c r="R268" s="89"/>
      <c r="S268" s="89" t="str">
        <f t="shared" si="17"/>
        <v>#DIV/0!</v>
      </c>
      <c r="T268" s="89" t="str">
        <f t="shared" si="6"/>
        <v>#DIV/0!</v>
      </c>
      <c r="U268" s="89" t="str">
        <f t="shared" si="25"/>
        <v>#DIV/0!</v>
      </c>
      <c r="V268" s="89" t="str">
        <f t="shared" si="24"/>
        <v>#DIV/0!</v>
      </c>
      <c r="W268" s="89" t="str">
        <f t="shared" si="9"/>
        <v>#DIV/0!</v>
      </c>
      <c r="X268" s="89"/>
      <c r="Y268" s="89"/>
      <c r="Z268" s="89"/>
      <c r="AA268" s="89"/>
      <c r="AB268" s="89"/>
      <c r="AC268" s="89"/>
      <c r="AD268" s="89"/>
      <c r="AE268" s="89"/>
      <c r="AF268" s="89"/>
      <c r="AG268" s="89"/>
      <c r="AH268" s="89"/>
    </row>
    <row r="269">
      <c r="A269" s="8" t="s">
        <v>407</v>
      </c>
      <c r="B269" s="97"/>
      <c r="C269" s="8"/>
      <c r="D269" s="89" t="str">
        <f t="shared" si="1"/>
        <v/>
      </c>
      <c r="E269" s="89" t="str">
        <f t="shared" si="2"/>
        <v>OT Hours</v>
      </c>
      <c r="F269" s="89" t="str">
        <f>IFERROR(VLOOKUP(C269,'Employees List'!$B$1:$G$999,2,0),"")</f>
        <v/>
      </c>
      <c r="G269" s="89" t="str">
        <f t="shared" si="23"/>
        <v>#DIV/0!</v>
      </c>
      <c r="H269" s="98"/>
      <c r="I269" s="89" t="str">
        <f>IFERROR(VLOOKUP(F269,'Employees List'!$C:$F,2,0),"")</f>
        <v/>
      </c>
      <c r="J269" s="93" t="str">
        <f>IFERROR(VLOOKUP(C269,'Employees List'!$B$2:$G$991,5,0),"")</f>
        <v/>
      </c>
      <c r="K269" s="95" t="str">
        <f>IFERROR(VLOOKUP(F269,'Employees List'!$C$1:$AB$991,5,0),"")</f>
        <v/>
      </c>
      <c r="L269" s="91">
        <f t="shared" si="3"/>
        <v>0</v>
      </c>
      <c r="M269" s="91">
        <f t="shared" si="4"/>
        <v>0</v>
      </c>
      <c r="N269" s="89" t="str">
        <f>IFERROR(VLOOKUP(B269,'Employees List'!$A$2:$H$991,8,0),"")</f>
        <v/>
      </c>
      <c r="O269" s="89" t="str">
        <f>IFERROR(VLOOKUP(D269,'Daily Attendance Report 24-25'!A273:BP999,5,0),"")</f>
        <v/>
      </c>
      <c r="P269" s="89" t="str">
        <f>IFERROR(VLOOKUP(E269,'Daily Attendance Report 24-25'!$A$1:$BO$617,5,0),"")</f>
        <v/>
      </c>
      <c r="Q269" s="89"/>
      <c r="R269" s="89"/>
      <c r="S269" s="89" t="str">
        <f t="shared" si="17"/>
        <v>#DIV/0!</v>
      </c>
      <c r="T269" s="89" t="str">
        <f t="shared" si="6"/>
        <v>#DIV/0!</v>
      </c>
      <c r="U269" s="89" t="str">
        <f t="shared" si="25"/>
        <v>#DIV/0!</v>
      </c>
      <c r="V269" s="89" t="str">
        <f t="shared" si="24"/>
        <v>#DIV/0!</v>
      </c>
      <c r="W269" s="89" t="str">
        <f t="shared" si="9"/>
        <v>#DIV/0!</v>
      </c>
      <c r="X269" s="89"/>
      <c r="Y269" s="89"/>
      <c r="Z269" s="89"/>
      <c r="AA269" s="89"/>
      <c r="AB269" s="89"/>
      <c r="AC269" s="89"/>
      <c r="AD269" s="89"/>
      <c r="AE269" s="89"/>
      <c r="AF269" s="89"/>
      <c r="AG269" s="89"/>
      <c r="AH269" s="89"/>
    </row>
    <row r="270">
      <c r="A270" s="8" t="s">
        <v>408</v>
      </c>
      <c r="B270" s="97"/>
      <c r="C270" s="8"/>
      <c r="D270" s="89" t="str">
        <f t="shared" si="1"/>
        <v/>
      </c>
      <c r="E270" s="89" t="str">
        <f t="shared" si="2"/>
        <v>OT Hours</v>
      </c>
      <c r="F270" s="89" t="str">
        <f>IFERROR(VLOOKUP(C270,'Employees List'!$B$1:$G$999,2,0),"")</f>
        <v/>
      </c>
      <c r="G270" s="89" t="str">
        <f t="shared" si="23"/>
        <v>#DIV/0!</v>
      </c>
      <c r="H270" s="98"/>
      <c r="I270" s="89" t="str">
        <f>IFERROR(VLOOKUP(F270,'Employees List'!$C:$F,2,0),"")</f>
        <v/>
      </c>
      <c r="J270" s="93" t="str">
        <f>IFERROR(VLOOKUP(C270,'Employees List'!$B$2:$G$991,5,0),"")</f>
        <v/>
      </c>
      <c r="K270" s="95" t="str">
        <f>IFERROR(VLOOKUP(F270,'Employees List'!$C$1:$AB$991,5,0),"")</f>
        <v/>
      </c>
      <c r="L270" s="91">
        <f t="shared" si="3"/>
        <v>0</v>
      </c>
      <c r="M270" s="91">
        <f t="shared" si="4"/>
        <v>0</v>
      </c>
      <c r="N270" s="89" t="str">
        <f>IFERROR(VLOOKUP(B270,'Employees List'!$A$2:$H$991,8,0),"")</f>
        <v/>
      </c>
      <c r="O270" s="89" t="str">
        <f>IFERROR(VLOOKUP(D270,'Daily Attendance Report 24-25'!A273:BP999,5,0),"")</f>
        <v/>
      </c>
      <c r="P270" s="89" t="str">
        <f>IFERROR(VLOOKUP(E270,'Daily Attendance Report 24-25'!$A$1:$BO$617,5,0),"")</f>
        <v/>
      </c>
      <c r="Q270" s="89"/>
      <c r="R270" s="89"/>
      <c r="S270" s="89" t="str">
        <f t="shared" si="17"/>
        <v>#DIV/0!</v>
      </c>
      <c r="T270" s="89" t="str">
        <f t="shared" si="6"/>
        <v>#DIV/0!</v>
      </c>
      <c r="U270" s="89" t="str">
        <f t="shared" si="25"/>
        <v>#DIV/0!</v>
      </c>
      <c r="V270" s="89" t="str">
        <f t="shared" si="24"/>
        <v>#DIV/0!</v>
      </c>
      <c r="W270" s="89" t="str">
        <f t="shared" si="9"/>
        <v>#DIV/0!</v>
      </c>
      <c r="X270" s="89"/>
      <c r="Y270" s="89"/>
      <c r="Z270" s="89"/>
      <c r="AA270" s="89"/>
      <c r="AB270" s="89"/>
      <c r="AC270" s="89"/>
      <c r="AD270" s="89"/>
      <c r="AE270" s="89"/>
      <c r="AF270" s="89"/>
      <c r="AG270" s="89"/>
      <c r="AH270" s="89"/>
    </row>
    <row r="271">
      <c r="A271" s="8" t="s">
        <v>409</v>
      </c>
      <c r="B271" s="97"/>
      <c r="C271" s="8"/>
      <c r="D271" s="89" t="str">
        <f t="shared" si="1"/>
        <v/>
      </c>
      <c r="E271" s="89" t="str">
        <f t="shared" si="2"/>
        <v>OT Hours</v>
      </c>
      <c r="F271" s="89" t="str">
        <f>IFERROR(VLOOKUP(C271,'Employees List'!$B$1:$G$999,2,0),"")</f>
        <v/>
      </c>
      <c r="G271" s="89" t="str">
        <f t="shared" si="23"/>
        <v>#DIV/0!</v>
      </c>
      <c r="H271" s="98"/>
      <c r="I271" s="89" t="str">
        <f>IFERROR(VLOOKUP(F271,'Employees List'!$C:$F,2,0),"")</f>
        <v/>
      </c>
      <c r="J271" s="93" t="str">
        <f>IFERROR(VLOOKUP(C271,'Employees List'!$B$2:$G$991,5,0),"")</f>
        <v/>
      </c>
      <c r="K271" s="95" t="str">
        <f>IFERROR(VLOOKUP(F271,'Employees List'!$C$1:$AB$991,5,0),"")</f>
        <v/>
      </c>
      <c r="L271" s="91">
        <f t="shared" si="3"/>
        <v>0</v>
      </c>
      <c r="M271" s="91">
        <f t="shared" si="4"/>
        <v>0</v>
      </c>
      <c r="N271" s="89" t="str">
        <f>IFERROR(VLOOKUP(B271,'Employees List'!$A$2:$H$991,8,0),"")</f>
        <v/>
      </c>
      <c r="O271" s="89" t="str">
        <f>IFERROR(VLOOKUP(D271,'Daily Attendance Report 24-25'!A273:BP999,5,0),"")</f>
        <v/>
      </c>
      <c r="P271" s="89" t="str">
        <f>IFERROR(VLOOKUP(E271,'Daily Attendance Report 24-25'!$A$1:$BO$617,5,0),"")</f>
        <v/>
      </c>
      <c r="Q271" s="89"/>
      <c r="R271" s="89"/>
      <c r="S271" s="89" t="str">
        <f t="shared" si="17"/>
        <v>#DIV/0!</v>
      </c>
      <c r="T271" s="89" t="str">
        <f t="shared" si="6"/>
        <v>#DIV/0!</v>
      </c>
      <c r="U271" s="89" t="str">
        <f t="shared" si="25"/>
        <v>#DIV/0!</v>
      </c>
      <c r="V271" s="89" t="str">
        <f t="shared" si="24"/>
        <v>#DIV/0!</v>
      </c>
      <c r="W271" s="89" t="str">
        <f t="shared" si="9"/>
        <v>#DIV/0!</v>
      </c>
      <c r="X271" s="89"/>
      <c r="Y271" s="89"/>
      <c r="Z271" s="89"/>
      <c r="AA271" s="89"/>
      <c r="AB271" s="89"/>
      <c r="AC271" s="89"/>
      <c r="AD271" s="89"/>
      <c r="AE271" s="89"/>
      <c r="AF271" s="89"/>
      <c r="AG271" s="89"/>
      <c r="AH271" s="89"/>
    </row>
    <row r="272">
      <c r="A272" s="8" t="s">
        <v>410</v>
      </c>
      <c r="B272" s="97"/>
      <c r="C272" s="8"/>
      <c r="D272" s="89" t="str">
        <f t="shared" si="1"/>
        <v/>
      </c>
      <c r="E272" s="89" t="str">
        <f t="shared" si="2"/>
        <v>OT Hours</v>
      </c>
      <c r="F272" s="89" t="str">
        <f>IFERROR(VLOOKUP(C272,'Employees List'!$B$1:$G$999,2,0),"")</f>
        <v/>
      </c>
      <c r="G272" s="89" t="str">
        <f t="shared" si="23"/>
        <v>#DIV/0!</v>
      </c>
      <c r="H272" s="98"/>
      <c r="I272" s="89" t="str">
        <f>IFERROR(VLOOKUP(F272,'Employees List'!$C:$F,2,0),"")</f>
        <v/>
      </c>
      <c r="J272" s="93" t="str">
        <f>IFERROR(VLOOKUP(C272,'Employees List'!$B$2:$G$991,5,0),"")</f>
        <v/>
      </c>
      <c r="K272" s="95" t="str">
        <f>IFERROR(VLOOKUP(F272,'Employees List'!$C$1:$AB$991,5,0),"")</f>
        <v/>
      </c>
      <c r="L272" s="91">
        <f t="shared" si="3"/>
        <v>0</v>
      </c>
      <c r="M272" s="91">
        <f t="shared" si="4"/>
        <v>0</v>
      </c>
      <c r="N272" s="89" t="str">
        <f>IFERROR(VLOOKUP(B272,'Employees List'!$A$2:$H$991,8,0),"")</f>
        <v/>
      </c>
      <c r="O272" s="89" t="str">
        <f>IFERROR(VLOOKUP(D272,'Daily Attendance Report 24-25'!A273:BP999,5,0),"")</f>
        <v/>
      </c>
      <c r="P272" s="89" t="str">
        <f>IFERROR(VLOOKUP(E272,'Daily Attendance Report 24-25'!$A$1:$BO$617,5,0),"")</f>
        <v/>
      </c>
      <c r="Q272" s="89"/>
      <c r="R272" s="89"/>
      <c r="S272" s="89" t="str">
        <f t="shared" si="17"/>
        <v>#DIV/0!</v>
      </c>
      <c r="T272" s="89" t="str">
        <f t="shared" si="6"/>
        <v>#DIV/0!</v>
      </c>
      <c r="U272" s="89" t="str">
        <f t="shared" si="25"/>
        <v>#DIV/0!</v>
      </c>
      <c r="V272" s="89" t="str">
        <f t="shared" si="24"/>
        <v>#DIV/0!</v>
      </c>
      <c r="W272" s="89" t="str">
        <f t="shared" si="9"/>
        <v>#DIV/0!</v>
      </c>
      <c r="X272" s="89"/>
      <c r="Y272" s="89"/>
      <c r="Z272" s="89"/>
      <c r="AA272" s="89"/>
      <c r="AB272" s="89"/>
      <c r="AC272" s="89"/>
      <c r="AD272" s="89"/>
      <c r="AE272" s="89"/>
      <c r="AF272" s="89"/>
      <c r="AG272" s="89"/>
      <c r="AH272" s="89"/>
    </row>
    <row r="273">
      <c r="A273" s="8" t="s">
        <v>411</v>
      </c>
      <c r="B273" s="97"/>
      <c r="C273" s="8"/>
      <c r="D273" s="89" t="str">
        <f t="shared" si="1"/>
        <v/>
      </c>
      <c r="E273" s="89" t="str">
        <f t="shared" si="2"/>
        <v>OT Hours</v>
      </c>
      <c r="F273" s="89" t="str">
        <f>IFERROR(VLOOKUP(C273,'Employees List'!$B$1:$G$999,2,0),"")</f>
        <v/>
      </c>
      <c r="G273" s="89" t="str">
        <f t="shared" si="23"/>
        <v>#DIV/0!</v>
      </c>
      <c r="H273" s="98"/>
      <c r="I273" s="89" t="str">
        <f>IFERROR(VLOOKUP(F273,'Employees List'!$C:$F,2,0),"")</f>
        <v/>
      </c>
      <c r="J273" s="93" t="str">
        <f>IFERROR(VLOOKUP(C273,'Employees List'!$B$2:$G$991,5,0),"")</f>
        <v/>
      </c>
      <c r="K273" s="95" t="str">
        <f>IFERROR(VLOOKUP(F273,'Employees List'!$C$1:$AB$991,5,0),"")</f>
        <v/>
      </c>
      <c r="L273" s="91">
        <f t="shared" si="3"/>
        <v>0</v>
      </c>
      <c r="M273" s="91">
        <f t="shared" si="4"/>
        <v>0</v>
      </c>
      <c r="N273" s="89" t="str">
        <f>IFERROR(VLOOKUP(B273,'Employees List'!$A$2:$H$991,8,0),"")</f>
        <v/>
      </c>
      <c r="O273" s="89" t="str">
        <f>IFERROR(VLOOKUP(D273,'Daily Attendance Report 24-25'!A273:BP999,5,0),"")</f>
        <v/>
      </c>
      <c r="P273" s="89" t="str">
        <f>IFERROR(VLOOKUP(E273,'Daily Attendance Report 24-25'!$A$1:$BO$617,5,0),"")</f>
        <v/>
      </c>
      <c r="Q273" s="89"/>
      <c r="R273" s="89"/>
      <c r="S273" s="89" t="str">
        <f t="shared" si="17"/>
        <v>#DIV/0!</v>
      </c>
      <c r="T273" s="89" t="str">
        <f t="shared" si="6"/>
        <v>#DIV/0!</v>
      </c>
      <c r="U273" s="89" t="str">
        <f t="shared" si="25"/>
        <v>#DIV/0!</v>
      </c>
      <c r="V273" s="89" t="str">
        <f t="shared" si="24"/>
        <v>#DIV/0!</v>
      </c>
      <c r="W273" s="89" t="str">
        <f t="shared" si="9"/>
        <v>#DIV/0!</v>
      </c>
      <c r="X273" s="89"/>
      <c r="Y273" s="89"/>
      <c r="Z273" s="89"/>
      <c r="AA273" s="89"/>
      <c r="AB273" s="89"/>
      <c r="AC273" s="89"/>
      <c r="AD273" s="89"/>
      <c r="AE273" s="89"/>
      <c r="AF273" s="89"/>
      <c r="AG273" s="89"/>
      <c r="AH273" s="89"/>
    </row>
    <row r="274">
      <c r="A274" s="8" t="s">
        <v>412</v>
      </c>
      <c r="B274" s="97"/>
      <c r="C274" s="8"/>
      <c r="D274" s="89" t="str">
        <f t="shared" si="1"/>
        <v/>
      </c>
      <c r="E274" s="89" t="str">
        <f t="shared" si="2"/>
        <v>OT Hours</v>
      </c>
      <c r="F274" s="89" t="str">
        <f>IFERROR(VLOOKUP(C274,'Employees List'!$B$1:$G$999,2,0),"")</f>
        <v/>
      </c>
      <c r="G274" s="89" t="str">
        <f t="shared" si="23"/>
        <v>#DIV/0!</v>
      </c>
      <c r="H274" s="98"/>
      <c r="I274" s="89" t="str">
        <f>IFERROR(VLOOKUP(F274,'Employees List'!$C:$F,2,0),"")</f>
        <v/>
      </c>
      <c r="J274" s="93" t="str">
        <f>IFERROR(VLOOKUP(C274,'Employees List'!$B$2:$G$991,5,0),"")</f>
        <v/>
      </c>
      <c r="K274" s="95" t="str">
        <f>IFERROR(VLOOKUP(F274,'Employees List'!$C$1:$AB$991,5,0),"")</f>
        <v/>
      </c>
      <c r="L274" s="91">
        <f t="shared" si="3"/>
        <v>0</v>
      </c>
      <c r="M274" s="91">
        <f t="shared" si="4"/>
        <v>0</v>
      </c>
      <c r="N274" s="89" t="str">
        <f>IFERROR(VLOOKUP(B274,'Employees List'!$A$2:$H$991,8,0),"")</f>
        <v/>
      </c>
      <c r="O274" s="89" t="str">
        <f>IFERROR(VLOOKUP(D274,'Daily Attendance Report 24-25'!A273:BP999,5,0),"")</f>
        <v/>
      </c>
      <c r="P274" s="89" t="str">
        <f>IFERROR(VLOOKUP(E274,'Daily Attendance Report 24-25'!$A$1:$BO$617,5,0),"")</f>
        <v/>
      </c>
      <c r="Q274" s="89"/>
      <c r="R274" s="89"/>
      <c r="S274" s="89" t="str">
        <f t="shared" si="17"/>
        <v>#DIV/0!</v>
      </c>
      <c r="T274" s="89" t="str">
        <f t="shared" si="6"/>
        <v>#DIV/0!</v>
      </c>
      <c r="U274" s="89" t="str">
        <f t="shared" si="25"/>
        <v>#DIV/0!</v>
      </c>
      <c r="V274" s="89" t="str">
        <f t="shared" si="24"/>
        <v>#DIV/0!</v>
      </c>
      <c r="W274" s="89" t="str">
        <f t="shared" si="9"/>
        <v>#DIV/0!</v>
      </c>
      <c r="X274" s="89"/>
      <c r="Y274" s="89"/>
      <c r="Z274" s="89"/>
      <c r="AA274" s="89"/>
      <c r="AB274" s="89"/>
      <c r="AC274" s="89"/>
      <c r="AD274" s="89"/>
      <c r="AE274" s="89"/>
      <c r="AF274" s="89"/>
      <c r="AG274" s="89"/>
      <c r="AH274" s="89"/>
    </row>
    <row r="275">
      <c r="A275" s="8" t="s">
        <v>413</v>
      </c>
      <c r="B275" s="97"/>
      <c r="C275" s="8"/>
      <c r="D275" s="89" t="str">
        <f t="shared" si="1"/>
        <v/>
      </c>
      <c r="E275" s="89" t="str">
        <f t="shared" si="2"/>
        <v>OT Hours</v>
      </c>
      <c r="F275" s="89" t="str">
        <f>IFERROR(VLOOKUP(C275,'Employees List'!$B$1:$G$999,2,0),"")</f>
        <v/>
      </c>
      <c r="G275" s="89" t="str">
        <f t="shared" si="23"/>
        <v>#DIV/0!</v>
      </c>
      <c r="H275" s="98"/>
      <c r="I275" s="89" t="str">
        <f>IFERROR(VLOOKUP(F275,'Employees List'!$C:$F,2,0),"")</f>
        <v/>
      </c>
      <c r="J275" s="93" t="str">
        <f>IFERROR(VLOOKUP(C275,'Employees List'!$B$2:$G$991,5,0),"")</f>
        <v/>
      </c>
      <c r="K275" s="95" t="str">
        <f>IFERROR(VLOOKUP(F275,'Employees List'!$C$1:$AB$991,5,0),"")</f>
        <v/>
      </c>
      <c r="L275" s="91">
        <f t="shared" si="3"/>
        <v>0</v>
      </c>
      <c r="M275" s="91">
        <f t="shared" si="4"/>
        <v>0</v>
      </c>
      <c r="N275" s="89" t="str">
        <f>IFERROR(VLOOKUP(B275,'Employees List'!$A$2:$H$991,8,0),"")</f>
        <v/>
      </c>
      <c r="O275" s="89" t="str">
        <f>IFERROR(VLOOKUP(D275,'Daily Attendance Report 24-25'!A273:BP999,5,0),"")</f>
        <v/>
      </c>
      <c r="P275" s="89" t="str">
        <f>IFERROR(VLOOKUP(E275,'Daily Attendance Report 24-25'!$A$1:$BO$617,5,0),"")</f>
        <v/>
      </c>
      <c r="Q275" s="89"/>
      <c r="R275" s="89"/>
      <c r="S275" s="89" t="str">
        <f t="shared" si="17"/>
        <v>#DIV/0!</v>
      </c>
      <c r="T275" s="89" t="str">
        <f t="shared" si="6"/>
        <v>#DIV/0!</v>
      </c>
      <c r="U275" s="89" t="str">
        <f t="shared" si="25"/>
        <v>#DIV/0!</v>
      </c>
      <c r="V275" s="89" t="str">
        <f t="shared" si="24"/>
        <v>#DIV/0!</v>
      </c>
      <c r="W275" s="89" t="str">
        <f t="shared" si="9"/>
        <v>#DIV/0!</v>
      </c>
      <c r="X275" s="89"/>
      <c r="Y275" s="89"/>
      <c r="Z275" s="89"/>
      <c r="AA275" s="89"/>
      <c r="AB275" s="89"/>
      <c r="AC275" s="89"/>
      <c r="AD275" s="89"/>
      <c r="AE275" s="89"/>
      <c r="AF275" s="89"/>
      <c r="AG275" s="89"/>
      <c r="AH275" s="89"/>
    </row>
    <row r="276">
      <c r="A276" s="8" t="s">
        <v>414</v>
      </c>
      <c r="B276" s="97"/>
      <c r="C276" s="8"/>
      <c r="D276" s="89" t="str">
        <f t="shared" si="1"/>
        <v/>
      </c>
      <c r="E276" s="89" t="str">
        <f t="shared" si="2"/>
        <v>OT Hours</v>
      </c>
      <c r="F276" s="89" t="str">
        <f>IFERROR(VLOOKUP(C276,'Employees List'!$B$1:$G$999,2,0),"")</f>
        <v/>
      </c>
      <c r="G276" s="89" t="str">
        <f t="shared" si="23"/>
        <v>#DIV/0!</v>
      </c>
      <c r="H276" s="98"/>
      <c r="I276" s="89" t="str">
        <f>IFERROR(VLOOKUP(F276,'Employees List'!$C:$F,2,0),"")</f>
        <v/>
      </c>
      <c r="J276" s="93" t="str">
        <f>IFERROR(VLOOKUP(C276,'Employees List'!$B$2:$G$991,5,0),"")</f>
        <v/>
      </c>
      <c r="K276" s="95" t="str">
        <f>IFERROR(VLOOKUP(F276,'Employees List'!$C$1:$AB$991,5,0),"")</f>
        <v/>
      </c>
      <c r="L276" s="91">
        <f t="shared" si="3"/>
        <v>0</v>
      </c>
      <c r="M276" s="91">
        <f t="shared" si="4"/>
        <v>0</v>
      </c>
      <c r="N276" s="89" t="str">
        <f>IFERROR(VLOOKUP(B276,'Employees List'!$A$2:$H$991,8,0),"")</f>
        <v/>
      </c>
      <c r="O276" s="89" t="str">
        <f>IFERROR(VLOOKUP(D276,'Daily Attendance Report 24-25'!A273:BP999,5,0),"")</f>
        <v/>
      </c>
      <c r="P276" s="89" t="str">
        <f>IFERROR(VLOOKUP(E276,'Daily Attendance Report 24-25'!$A$1:$BO$617,5,0),"")</f>
        <v/>
      </c>
      <c r="Q276" s="89"/>
      <c r="R276" s="89"/>
      <c r="S276" s="89" t="str">
        <f t="shared" si="17"/>
        <v>#DIV/0!</v>
      </c>
      <c r="T276" s="89" t="str">
        <f t="shared" si="6"/>
        <v>#DIV/0!</v>
      </c>
      <c r="U276" s="89" t="str">
        <f t="shared" si="25"/>
        <v>#DIV/0!</v>
      </c>
      <c r="V276" s="89" t="str">
        <f t="shared" si="24"/>
        <v>#DIV/0!</v>
      </c>
      <c r="W276" s="89" t="str">
        <f t="shared" si="9"/>
        <v>#DIV/0!</v>
      </c>
      <c r="X276" s="89"/>
      <c r="Y276" s="89"/>
      <c r="Z276" s="89"/>
      <c r="AA276" s="89"/>
      <c r="AB276" s="89"/>
      <c r="AC276" s="89"/>
      <c r="AD276" s="89"/>
      <c r="AE276" s="89"/>
      <c r="AF276" s="89"/>
      <c r="AG276" s="89"/>
      <c r="AH276" s="89"/>
    </row>
    <row r="277">
      <c r="A277" s="8" t="s">
        <v>415</v>
      </c>
      <c r="B277" s="97"/>
      <c r="C277" s="8"/>
      <c r="D277" s="89" t="str">
        <f t="shared" si="1"/>
        <v/>
      </c>
      <c r="E277" s="89" t="str">
        <f t="shared" si="2"/>
        <v>OT Hours</v>
      </c>
      <c r="F277" s="89" t="str">
        <f>IFERROR(VLOOKUP(C277,'Employees List'!$B$1:$G$999,2,0),"")</f>
        <v/>
      </c>
      <c r="G277" s="89" t="str">
        <f t="shared" si="23"/>
        <v>#DIV/0!</v>
      </c>
      <c r="H277" s="98"/>
      <c r="I277" s="89" t="str">
        <f>IFERROR(VLOOKUP(F277,'Employees List'!$C:$F,2,0),"")</f>
        <v/>
      </c>
      <c r="J277" s="93" t="str">
        <f>IFERROR(VLOOKUP(C277,'Employees List'!$B$2:$G$991,5,0),"")</f>
        <v/>
      </c>
      <c r="K277" s="95" t="str">
        <f>IFERROR(VLOOKUP(F277,'Employees List'!$C$1:$AB$991,5,0),"")</f>
        <v/>
      </c>
      <c r="L277" s="91">
        <f t="shared" si="3"/>
        <v>0</v>
      </c>
      <c r="M277" s="91">
        <f t="shared" si="4"/>
        <v>0</v>
      </c>
      <c r="N277" s="89" t="str">
        <f>IFERROR(VLOOKUP(B277,'Employees List'!$A$2:$H$991,8,0),"")</f>
        <v/>
      </c>
      <c r="O277" s="89" t="str">
        <f>IFERROR(VLOOKUP(D277,'Daily Attendance Report 24-25'!A273:BP999,5,0),"")</f>
        <v/>
      </c>
      <c r="P277" s="89" t="str">
        <f>IFERROR(VLOOKUP(E277,'Daily Attendance Report 24-25'!$A$1:$BO$617,5,0),"")</f>
        <v/>
      </c>
      <c r="Q277" s="89"/>
      <c r="R277" s="89"/>
      <c r="S277" s="89" t="str">
        <f t="shared" si="17"/>
        <v>#DIV/0!</v>
      </c>
      <c r="T277" s="89" t="str">
        <f t="shared" si="6"/>
        <v>#DIV/0!</v>
      </c>
      <c r="U277" s="89" t="str">
        <f t="shared" si="25"/>
        <v>#DIV/0!</v>
      </c>
      <c r="V277" s="89" t="str">
        <f t="shared" si="24"/>
        <v>#DIV/0!</v>
      </c>
      <c r="W277" s="89" t="str">
        <f t="shared" si="9"/>
        <v>#DIV/0!</v>
      </c>
      <c r="X277" s="89"/>
      <c r="Y277" s="89"/>
      <c r="Z277" s="89"/>
      <c r="AA277" s="89"/>
      <c r="AB277" s="89"/>
      <c r="AC277" s="89"/>
      <c r="AD277" s="89"/>
      <c r="AE277" s="89"/>
      <c r="AF277" s="89"/>
      <c r="AG277" s="89"/>
      <c r="AH277" s="89"/>
    </row>
    <row r="278">
      <c r="A278" s="8" t="s">
        <v>416</v>
      </c>
      <c r="B278" s="97"/>
      <c r="C278" s="8"/>
      <c r="D278" s="89" t="str">
        <f t="shared" si="1"/>
        <v/>
      </c>
      <c r="E278" s="89" t="str">
        <f t="shared" si="2"/>
        <v>OT Hours</v>
      </c>
      <c r="F278" s="89" t="str">
        <f>IFERROR(VLOOKUP(C278,'Employees List'!$B$1:$G$999,2,0),"")</f>
        <v/>
      </c>
      <c r="G278" s="89" t="str">
        <f t="shared" si="23"/>
        <v>#DIV/0!</v>
      </c>
      <c r="H278" s="98"/>
      <c r="I278" s="89" t="str">
        <f>IFERROR(VLOOKUP(F278,'Employees List'!$C:$F,2,0),"")</f>
        <v/>
      </c>
      <c r="J278" s="93" t="str">
        <f>IFERROR(VLOOKUP(C278,'Employees List'!$B$2:$G$991,5,0),"")</f>
        <v/>
      </c>
      <c r="K278" s="95" t="str">
        <f>IFERROR(VLOOKUP(F278,'Employees List'!$C$1:$AB$991,5,0),"")</f>
        <v/>
      </c>
      <c r="L278" s="91">
        <f t="shared" si="3"/>
        <v>0</v>
      </c>
      <c r="M278" s="91">
        <f t="shared" si="4"/>
        <v>0</v>
      </c>
      <c r="N278" s="89" t="str">
        <f>IFERROR(VLOOKUP(B278,'Employees List'!$A$2:$H$991,8,0),"")</f>
        <v/>
      </c>
      <c r="O278" s="89" t="str">
        <f>IFERROR(VLOOKUP(D278,'Daily Attendance Report 24-25'!A273:BP999,5,0),"")</f>
        <v/>
      </c>
      <c r="P278" s="89" t="str">
        <f>IFERROR(VLOOKUP(E278,'Daily Attendance Report 24-25'!$A$1:$BO$617,5,0),"")</f>
        <v/>
      </c>
      <c r="Q278" s="89"/>
      <c r="R278" s="89"/>
      <c r="S278" s="89" t="str">
        <f t="shared" si="17"/>
        <v>#DIV/0!</v>
      </c>
      <c r="T278" s="89" t="str">
        <f t="shared" si="6"/>
        <v>#DIV/0!</v>
      </c>
      <c r="U278" s="89" t="str">
        <f t="shared" si="25"/>
        <v>#DIV/0!</v>
      </c>
      <c r="V278" s="89" t="str">
        <f t="shared" si="24"/>
        <v>#DIV/0!</v>
      </c>
      <c r="W278" s="89" t="str">
        <f t="shared" si="9"/>
        <v>#DIV/0!</v>
      </c>
      <c r="X278" s="89"/>
      <c r="Y278" s="89"/>
      <c r="Z278" s="89"/>
      <c r="AA278" s="89"/>
      <c r="AB278" s="89"/>
      <c r="AC278" s="89"/>
      <c r="AD278" s="89"/>
      <c r="AE278" s="89"/>
      <c r="AF278" s="89"/>
      <c r="AG278" s="89"/>
      <c r="AH278" s="89"/>
    </row>
    <row r="279">
      <c r="A279" s="8" t="s">
        <v>417</v>
      </c>
      <c r="B279" s="97"/>
      <c r="C279" s="8"/>
      <c r="D279" s="89" t="str">
        <f t="shared" si="1"/>
        <v/>
      </c>
      <c r="E279" s="89" t="str">
        <f t="shared" si="2"/>
        <v>OT Hours</v>
      </c>
      <c r="F279" s="89" t="str">
        <f>IFERROR(VLOOKUP(C279,'Employees List'!$B$1:$G$999,2,0),"")</f>
        <v/>
      </c>
      <c r="G279" s="89" t="str">
        <f t="shared" si="23"/>
        <v>#DIV/0!</v>
      </c>
      <c r="H279" s="98"/>
      <c r="I279" s="89" t="str">
        <f>IFERROR(VLOOKUP(F279,'Employees List'!$C:$F,2,0),"")</f>
        <v/>
      </c>
      <c r="J279" s="93" t="str">
        <f>IFERROR(VLOOKUP(C279,'Employees List'!$B$2:$G$991,5,0),"")</f>
        <v/>
      </c>
      <c r="K279" s="95" t="str">
        <f>IFERROR(VLOOKUP(F279,'Employees List'!$C$1:$AB$991,5,0),"")</f>
        <v/>
      </c>
      <c r="L279" s="91">
        <f t="shared" si="3"/>
        <v>0</v>
      </c>
      <c r="M279" s="91">
        <f t="shared" si="4"/>
        <v>0</v>
      </c>
      <c r="N279" s="89" t="str">
        <f>IFERROR(VLOOKUP(B279,'Employees List'!$A$2:$H$991,8,0),"")</f>
        <v/>
      </c>
      <c r="O279" s="89" t="str">
        <f>IFERROR(VLOOKUP(D279,'Daily Attendance Report 24-25'!A273:BP999,5,0),"")</f>
        <v/>
      </c>
      <c r="P279" s="89" t="str">
        <f>IFERROR(VLOOKUP(E279,'Daily Attendance Report 24-25'!$A$1:$BO$617,5,0),"")</f>
        <v/>
      </c>
      <c r="Q279" s="89"/>
      <c r="R279" s="89"/>
      <c r="S279" s="89" t="str">
        <f t="shared" si="17"/>
        <v>#DIV/0!</v>
      </c>
      <c r="T279" s="89" t="str">
        <f t="shared" si="6"/>
        <v>#DIV/0!</v>
      </c>
      <c r="U279" s="89" t="str">
        <f t="shared" si="25"/>
        <v>#DIV/0!</v>
      </c>
      <c r="V279" s="89" t="str">
        <f t="shared" si="24"/>
        <v>#DIV/0!</v>
      </c>
      <c r="W279" s="89" t="str">
        <f t="shared" si="9"/>
        <v>#DIV/0!</v>
      </c>
      <c r="X279" s="89"/>
      <c r="Y279" s="89"/>
      <c r="Z279" s="89"/>
      <c r="AA279" s="89"/>
      <c r="AB279" s="89"/>
      <c r="AC279" s="89"/>
      <c r="AD279" s="89"/>
      <c r="AE279" s="89"/>
      <c r="AF279" s="89"/>
      <c r="AG279" s="89"/>
      <c r="AH279" s="89"/>
    </row>
    <row r="280">
      <c r="A280" s="8" t="s">
        <v>418</v>
      </c>
      <c r="B280" s="97"/>
      <c r="C280" s="8"/>
      <c r="D280" s="89" t="str">
        <f t="shared" si="1"/>
        <v/>
      </c>
      <c r="E280" s="89" t="str">
        <f t="shared" si="2"/>
        <v>OT Hours</v>
      </c>
      <c r="F280" s="89" t="str">
        <f>IFERROR(VLOOKUP(C280,'Employees List'!$B$1:$G$999,2,0),"")</f>
        <v/>
      </c>
      <c r="G280" s="89" t="str">
        <f t="shared" si="23"/>
        <v>#DIV/0!</v>
      </c>
      <c r="H280" s="98"/>
      <c r="I280" s="89" t="str">
        <f>IFERROR(VLOOKUP(F280,'Employees List'!$C:$F,2,0),"")</f>
        <v/>
      </c>
      <c r="J280" s="93" t="str">
        <f>IFERROR(VLOOKUP(C280,'Employees List'!$B$2:$G$991,5,0),"")</f>
        <v/>
      </c>
      <c r="K280" s="95" t="str">
        <f>IFERROR(VLOOKUP(F280,'Employees List'!$C$1:$AB$991,5,0),"")</f>
        <v/>
      </c>
      <c r="L280" s="91">
        <f t="shared" si="3"/>
        <v>0</v>
      </c>
      <c r="M280" s="91">
        <f t="shared" si="4"/>
        <v>0</v>
      </c>
      <c r="N280" s="89" t="str">
        <f>IFERROR(VLOOKUP(B280,'Employees List'!$A$2:$H$991,8,0),"")</f>
        <v/>
      </c>
      <c r="O280" s="89" t="str">
        <f>IFERROR(VLOOKUP(D280,'Daily Attendance Report 24-25'!A273:BP999,5,0),"")</f>
        <v/>
      </c>
      <c r="P280" s="89" t="str">
        <f>IFERROR(VLOOKUP(E280,'Daily Attendance Report 24-25'!$A$1:$BO$617,5,0),"")</f>
        <v/>
      </c>
      <c r="Q280" s="89"/>
      <c r="R280" s="89"/>
      <c r="S280" s="89" t="str">
        <f t="shared" si="17"/>
        <v>#DIV/0!</v>
      </c>
      <c r="T280" s="89" t="str">
        <f t="shared" si="6"/>
        <v>#DIV/0!</v>
      </c>
      <c r="U280" s="89" t="str">
        <f t="shared" si="25"/>
        <v>#DIV/0!</v>
      </c>
      <c r="V280" s="89" t="str">
        <f t="shared" si="24"/>
        <v>#DIV/0!</v>
      </c>
      <c r="W280" s="89" t="str">
        <f t="shared" si="9"/>
        <v>#DIV/0!</v>
      </c>
      <c r="X280" s="89"/>
      <c r="Y280" s="89"/>
      <c r="Z280" s="89"/>
      <c r="AA280" s="89"/>
      <c r="AB280" s="89"/>
      <c r="AC280" s="89"/>
      <c r="AD280" s="89"/>
      <c r="AE280" s="89"/>
      <c r="AF280" s="89"/>
      <c r="AG280" s="89"/>
      <c r="AH280" s="89"/>
    </row>
    <row r="281">
      <c r="A281" s="8" t="s">
        <v>419</v>
      </c>
      <c r="B281" s="97"/>
      <c r="C281" s="8"/>
      <c r="D281" s="89" t="str">
        <f t="shared" si="1"/>
        <v/>
      </c>
      <c r="E281" s="89" t="str">
        <f t="shared" si="2"/>
        <v>OT Hours</v>
      </c>
      <c r="F281" s="89" t="str">
        <f>IFERROR(VLOOKUP(C281,'Employees List'!$B$1:$G$999,2,0),"")</f>
        <v/>
      </c>
      <c r="G281" s="89" t="str">
        <f t="shared" si="23"/>
        <v>#DIV/0!</v>
      </c>
      <c r="H281" s="98"/>
      <c r="I281" s="89" t="str">
        <f>IFERROR(VLOOKUP(F281,'Employees List'!$C:$F,2,0),"")</f>
        <v/>
      </c>
      <c r="J281" s="93" t="str">
        <f>IFERROR(VLOOKUP(C281,'Employees List'!$B$2:$G$991,5,0),"")</f>
        <v/>
      </c>
      <c r="K281" s="95" t="str">
        <f>IFERROR(VLOOKUP(F281,'Employees List'!$C$1:$AB$991,5,0),"")</f>
        <v/>
      </c>
      <c r="L281" s="91">
        <f t="shared" si="3"/>
        <v>0</v>
      </c>
      <c r="M281" s="91">
        <f t="shared" si="4"/>
        <v>0</v>
      </c>
      <c r="N281" s="89" t="str">
        <f>IFERROR(VLOOKUP(B281,'Employees List'!$A$2:$H$991,8,0),"")</f>
        <v/>
      </c>
      <c r="O281" s="89" t="str">
        <f>IFERROR(VLOOKUP(D281,'Daily Attendance Report 24-25'!A273:BP999,5,0),"")</f>
        <v/>
      </c>
      <c r="P281" s="89" t="str">
        <f>IFERROR(VLOOKUP(E281,'Daily Attendance Report 24-25'!$A$1:$BO$617,5,0),"")</f>
        <v/>
      </c>
      <c r="Q281" s="89"/>
      <c r="R281" s="89"/>
      <c r="S281" s="89" t="str">
        <f t="shared" si="17"/>
        <v>#DIV/0!</v>
      </c>
      <c r="T281" s="89" t="str">
        <f t="shared" si="6"/>
        <v>#DIV/0!</v>
      </c>
      <c r="U281" s="89" t="str">
        <f t="shared" si="25"/>
        <v>#DIV/0!</v>
      </c>
      <c r="V281" s="89" t="str">
        <f t="shared" si="24"/>
        <v>#DIV/0!</v>
      </c>
      <c r="W281" s="89" t="str">
        <f t="shared" si="9"/>
        <v>#DIV/0!</v>
      </c>
      <c r="X281" s="89"/>
      <c r="Y281" s="89"/>
      <c r="Z281" s="89"/>
      <c r="AA281" s="89"/>
      <c r="AB281" s="89"/>
      <c r="AC281" s="89"/>
      <c r="AD281" s="89"/>
      <c r="AE281" s="89"/>
      <c r="AF281" s="89"/>
      <c r="AG281" s="89"/>
      <c r="AH281" s="89"/>
    </row>
    <row r="282">
      <c r="A282" s="8" t="s">
        <v>420</v>
      </c>
      <c r="B282" s="97"/>
      <c r="C282" s="8"/>
      <c r="D282" s="89" t="str">
        <f t="shared" si="1"/>
        <v/>
      </c>
      <c r="E282" s="89" t="str">
        <f t="shared" si="2"/>
        <v>OT Hours</v>
      </c>
      <c r="F282" s="89" t="str">
        <f>IFERROR(VLOOKUP(C282,'Employees List'!$B$1:$G$999,2,0),"")</f>
        <v/>
      </c>
      <c r="G282" s="89" t="str">
        <f t="shared" si="23"/>
        <v>#DIV/0!</v>
      </c>
      <c r="H282" s="98"/>
      <c r="I282" s="89" t="str">
        <f>IFERROR(VLOOKUP(F282,'Employees List'!$C:$F,2,0),"")</f>
        <v/>
      </c>
      <c r="J282" s="93" t="str">
        <f>IFERROR(VLOOKUP(C282,'Employees List'!$B$2:$G$991,5,0),"")</f>
        <v/>
      </c>
      <c r="K282" s="95" t="str">
        <f>IFERROR(VLOOKUP(F282,'Employees List'!$C$1:$AB$991,5,0),"")</f>
        <v/>
      </c>
      <c r="L282" s="91">
        <f t="shared" si="3"/>
        <v>0</v>
      </c>
      <c r="M282" s="91">
        <f t="shared" si="4"/>
        <v>0</v>
      </c>
      <c r="N282" s="89" t="str">
        <f>IFERROR(VLOOKUP(B282,'Employees List'!$A$2:$H$991,8,0),"")</f>
        <v/>
      </c>
      <c r="O282" s="89" t="str">
        <f>IFERROR(VLOOKUP(D282,'Daily Attendance Report 24-25'!A273:BP999,5,0),"")</f>
        <v/>
      </c>
      <c r="P282" s="89" t="str">
        <f>IFERROR(VLOOKUP(E282,'Daily Attendance Report 24-25'!$A$1:$BO$617,5,0),"")</f>
        <v/>
      </c>
      <c r="Q282" s="89"/>
      <c r="R282" s="89"/>
      <c r="S282" s="89" t="str">
        <f t="shared" si="17"/>
        <v>#DIV/0!</v>
      </c>
      <c r="T282" s="89" t="str">
        <f t="shared" si="6"/>
        <v>#DIV/0!</v>
      </c>
      <c r="U282" s="89" t="str">
        <f t="shared" si="25"/>
        <v>#DIV/0!</v>
      </c>
      <c r="V282" s="89" t="str">
        <f t="shared" si="24"/>
        <v>#DIV/0!</v>
      </c>
      <c r="W282" s="89" t="str">
        <f t="shared" si="9"/>
        <v>#DIV/0!</v>
      </c>
      <c r="X282" s="89"/>
      <c r="Y282" s="89"/>
      <c r="Z282" s="89"/>
      <c r="AA282" s="89"/>
      <c r="AB282" s="89"/>
      <c r="AC282" s="89"/>
      <c r="AD282" s="89"/>
      <c r="AE282" s="89"/>
      <c r="AF282" s="89"/>
      <c r="AG282" s="89"/>
      <c r="AH282" s="89"/>
    </row>
    <row r="283">
      <c r="A283" s="8" t="s">
        <v>421</v>
      </c>
      <c r="B283" s="97"/>
      <c r="C283" s="8"/>
      <c r="D283" s="89" t="str">
        <f t="shared" si="1"/>
        <v/>
      </c>
      <c r="E283" s="89" t="str">
        <f t="shared" si="2"/>
        <v>OT Hours</v>
      </c>
      <c r="F283" s="89" t="str">
        <f>IFERROR(VLOOKUP(C283,'Employees List'!$B$1:$G$999,2,0),"")</f>
        <v/>
      </c>
      <c r="G283" s="89" t="str">
        <f t="shared" si="23"/>
        <v>#DIV/0!</v>
      </c>
      <c r="H283" s="98"/>
      <c r="I283" s="89" t="str">
        <f>IFERROR(VLOOKUP(F283,'Employees List'!$C:$F,2,0),"")</f>
        <v/>
      </c>
      <c r="J283" s="93" t="str">
        <f>IFERROR(VLOOKUP(C283,'Employees List'!$B$2:$G$991,5,0),"")</f>
        <v/>
      </c>
      <c r="K283" s="95" t="str">
        <f>IFERROR(VLOOKUP(F283,'Employees List'!$C$1:$AB$991,5,0),"")</f>
        <v/>
      </c>
      <c r="L283" s="91">
        <f t="shared" si="3"/>
        <v>0</v>
      </c>
      <c r="M283" s="91">
        <f t="shared" si="4"/>
        <v>0</v>
      </c>
      <c r="N283" s="89" t="str">
        <f>IFERROR(VLOOKUP(B283,'Employees List'!$A$2:$H$991,8,0),"")</f>
        <v/>
      </c>
      <c r="O283" s="89" t="str">
        <f>IFERROR(VLOOKUP(D283,'Daily Attendance Report 24-25'!A273:BP999,5,0),"")</f>
        <v/>
      </c>
      <c r="P283" s="89" t="str">
        <f>IFERROR(VLOOKUP(E283,'Daily Attendance Report 24-25'!$A$1:$BO$617,5,0),"")</f>
        <v/>
      </c>
      <c r="Q283" s="89"/>
      <c r="R283" s="89"/>
      <c r="S283" s="89" t="str">
        <f t="shared" si="17"/>
        <v>#DIV/0!</v>
      </c>
      <c r="T283" s="89" t="str">
        <f t="shared" si="6"/>
        <v>#DIV/0!</v>
      </c>
      <c r="U283" s="89" t="str">
        <f t="shared" si="25"/>
        <v>#DIV/0!</v>
      </c>
      <c r="V283" s="89" t="str">
        <f t="shared" si="24"/>
        <v>#DIV/0!</v>
      </c>
      <c r="W283" s="89" t="str">
        <f t="shared" si="9"/>
        <v>#DIV/0!</v>
      </c>
      <c r="X283" s="89"/>
      <c r="Y283" s="89"/>
      <c r="Z283" s="89"/>
      <c r="AA283" s="89"/>
      <c r="AB283" s="89"/>
      <c r="AC283" s="89"/>
      <c r="AD283" s="89"/>
      <c r="AE283" s="89"/>
      <c r="AF283" s="89"/>
      <c r="AG283" s="89"/>
      <c r="AH283" s="89"/>
    </row>
    <row r="284">
      <c r="A284" s="8" t="s">
        <v>422</v>
      </c>
      <c r="B284" s="97"/>
      <c r="C284" s="8"/>
      <c r="D284" s="89" t="str">
        <f t="shared" si="1"/>
        <v/>
      </c>
      <c r="E284" s="89" t="str">
        <f t="shared" si="2"/>
        <v>OT Hours</v>
      </c>
      <c r="F284" s="89" t="str">
        <f>IFERROR(VLOOKUP(C284,'Employees List'!$B$1:$G$999,2,0),"")</f>
        <v/>
      </c>
      <c r="G284" s="89" t="str">
        <f t="shared" si="23"/>
        <v>#DIV/0!</v>
      </c>
      <c r="H284" s="98"/>
      <c r="I284" s="89" t="str">
        <f>IFERROR(VLOOKUP(F284,'Employees List'!$C:$F,2,0),"")</f>
        <v/>
      </c>
      <c r="J284" s="93" t="str">
        <f>IFERROR(VLOOKUP(C284,'Employees List'!$B$2:$G$991,5,0),"")</f>
        <v/>
      </c>
      <c r="K284" s="95" t="str">
        <f>IFERROR(VLOOKUP(F284,'Employees List'!$C$1:$AB$991,5,0),"")</f>
        <v/>
      </c>
      <c r="L284" s="91">
        <f t="shared" si="3"/>
        <v>0</v>
      </c>
      <c r="M284" s="91">
        <f t="shared" si="4"/>
        <v>0</v>
      </c>
      <c r="N284" s="89" t="str">
        <f>IFERROR(VLOOKUP(B284,'Employees List'!$A$2:$H$991,8,0),"")</f>
        <v/>
      </c>
      <c r="O284" s="89" t="str">
        <f>IFERROR(VLOOKUP(D284,'Daily Attendance Report 24-25'!A273:BP999,5,0),"")</f>
        <v/>
      </c>
      <c r="P284" s="89" t="str">
        <f>IFERROR(VLOOKUP(E284,'Daily Attendance Report 24-25'!$A$1:$BO$617,5,0),"")</f>
        <v/>
      </c>
      <c r="Q284" s="89"/>
      <c r="R284" s="89"/>
      <c r="S284" s="89" t="str">
        <f t="shared" si="17"/>
        <v>#DIV/0!</v>
      </c>
      <c r="T284" s="89" t="str">
        <f t="shared" si="6"/>
        <v>#DIV/0!</v>
      </c>
      <c r="U284" s="89" t="str">
        <f t="shared" si="25"/>
        <v>#DIV/0!</v>
      </c>
      <c r="V284" s="89" t="str">
        <f t="shared" si="24"/>
        <v>#DIV/0!</v>
      </c>
      <c r="W284" s="89" t="str">
        <f t="shared" si="9"/>
        <v>#DIV/0!</v>
      </c>
      <c r="X284" s="89"/>
      <c r="Y284" s="89"/>
      <c r="Z284" s="89"/>
      <c r="AA284" s="89"/>
      <c r="AB284" s="89"/>
      <c r="AC284" s="89"/>
      <c r="AD284" s="89"/>
      <c r="AE284" s="89"/>
      <c r="AF284" s="89"/>
      <c r="AG284" s="89"/>
      <c r="AH284" s="89"/>
    </row>
    <row r="285">
      <c r="A285" s="8" t="s">
        <v>423</v>
      </c>
      <c r="B285" s="97"/>
      <c r="C285" s="8"/>
      <c r="D285" s="89" t="str">
        <f t="shared" si="1"/>
        <v/>
      </c>
      <c r="E285" s="89" t="str">
        <f t="shared" si="2"/>
        <v>OT Hours</v>
      </c>
      <c r="F285" s="89" t="str">
        <f>IFERROR(VLOOKUP(C285,'Employees List'!$B$1:$G$999,2,0),"")</f>
        <v/>
      </c>
      <c r="G285" s="89" t="str">
        <f t="shared" si="23"/>
        <v>#DIV/0!</v>
      </c>
      <c r="H285" s="98"/>
      <c r="I285" s="89" t="str">
        <f>IFERROR(VLOOKUP(F285,'Employees List'!$C:$F,2,0),"")</f>
        <v/>
      </c>
      <c r="J285" s="93" t="str">
        <f>IFERROR(VLOOKUP(C285,'Employees List'!$B$2:$G$991,5,0),"")</f>
        <v/>
      </c>
      <c r="K285" s="95" t="str">
        <f>IFERROR(VLOOKUP(F285,'Employees List'!$C$1:$AB$991,5,0),"")</f>
        <v/>
      </c>
      <c r="L285" s="91">
        <f t="shared" si="3"/>
        <v>0</v>
      </c>
      <c r="M285" s="91">
        <f t="shared" si="4"/>
        <v>0</v>
      </c>
      <c r="N285" s="89" t="str">
        <f>IFERROR(VLOOKUP(B285,'Employees List'!$A$2:$H$991,8,0),"")</f>
        <v/>
      </c>
      <c r="O285" s="89" t="str">
        <f>IFERROR(VLOOKUP(D285,'Daily Attendance Report 24-25'!A273:BP999,5,0),"")</f>
        <v/>
      </c>
      <c r="P285" s="89" t="str">
        <f>IFERROR(VLOOKUP(E285,'Daily Attendance Report 24-25'!$A$1:$BO$617,5,0),"")</f>
        <v/>
      </c>
      <c r="Q285" s="89"/>
      <c r="R285" s="89"/>
      <c r="S285" s="89" t="str">
        <f t="shared" si="17"/>
        <v>#DIV/0!</v>
      </c>
      <c r="T285" s="89" t="str">
        <f t="shared" si="6"/>
        <v>#DIV/0!</v>
      </c>
      <c r="U285" s="89" t="str">
        <f t="shared" si="25"/>
        <v>#DIV/0!</v>
      </c>
      <c r="V285" s="89" t="str">
        <f t="shared" si="24"/>
        <v>#DIV/0!</v>
      </c>
      <c r="W285" s="89" t="str">
        <f t="shared" si="9"/>
        <v>#DIV/0!</v>
      </c>
      <c r="X285" s="89"/>
      <c r="Y285" s="89"/>
      <c r="Z285" s="89"/>
      <c r="AA285" s="89"/>
      <c r="AB285" s="89"/>
      <c r="AC285" s="89"/>
      <c r="AD285" s="89"/>
      <c r="AE285" s="89"/>
      <c r="AF285" s="89"/>
      <c r="AG285" s="89"/>
      <c r="AH285" s="89"/>
    </row>
    <row r="286">
      <c r="A286" s="8" t="s">
        <v>424</v>
      </c>
      <c r="B286" s="97"/>
      <c r="C286" s="8"/>
      <c r="D286" s="89" t="str">
        <f t="shared" si="1"/>
        <v/>
      </c>
      <c r="E286" s="89" t="str">
        <f t="shared" si="2"/>
        <v>OT Hours</v>
      </c>
      <c r="F286" s="89" t="str">
        <f>IFERROR(VLOOKUP(C286,'Employees List'!$B$1:$G$999,2,0),"")</f>
        <v/>
      </c>
      <c r="G286" s="89" t="str">
        <f t="shared" si="23"/>
        <v>#DIV/0!</v>
      </c>
      <c r="H286" s="98"/>
      <c r="I286" s="89" t="str">
        <f>IFERROR(VLOOKUP(F286,'Employees List'!$C:$F,2,0),"")</f>
        <v/>
      </c>
      <c r="J286" s="93" t="str">
        <f>IFERROR(VLOOKUP(C286,'Employees List'!$B$2:$G$991,5,0),"")</f>
        <v/>
      </c>
      <c r="K286" s="95" t="str">
        <f>IFERROR(VLOOKUP(F286,'Employees List'!$C$1:$AB$991,5,0),"")</f>
        <v/>
      </c>
      <c r="L286" s="91">
        <f t="shared" si="3"/>
        <v>0</v>
      </c>
      <c r="M286" s="91">
        <f t="shared" si="4"/>
        <v>0</v>
      </c>
      <c r="N286" s="89" t="str">
        <f>IFERROR(VLOOKUP(B286,'Employees List'!$A$2:$H$991,8,0),"")</f>
        <v/>
      </c>
      <c r="O286" s="89" t="str">
        <f>IFERROR(VLOOKUP(D286,'Daily Attendance Report 24-25'!A273:BP999,5,0),"")</f>
        <v/>
      </c>
      <c r="P286" s="89" t="str">
        <f>IFERROR(VLOOKUP(E286,'Daily Attendance Report 24-25'!$A$1:$BO$617,5,0),"")</f>
        <v/>
      </c>
      <c r="Q286" s="89"/>
      <c r="R286" s="89"/>
      <c r="S286" s="89" t="str">
        <f t="shared" si="17"/>
        <v>#DIV/0!</v>
      </c>
      <c r="T286" s="89" t="str">
        <f t="shared" si="6"/>
        <v>#DIV/0!</v>
      </c>
      <c r="U286" s="89" t="str">
        <f t="shared" si="25"/>
        <v>#DIV/0!</v>
      </c>
      <c r="V286" s="89" t="str">
        <f t="shared" si="24"/>
        <v>#DIV/0!</v>
      </c>
      <c r="W286" s="89" t="str">
        <f t="shared" si="9"/>
        <v>#DIV/0!</v>
      </c>
      <c r="X286" s="89"/>
      <c r="Y286" s="89"/>
      <c r="Z286" s="89"/>
      <c r="AA286" s="89"/>
      <c r="AB286" s="89"/>
      <c r="AC286" s="89"/>
      <c r="AD286" s="89"/>
      <c r="AE286" s="89"/>
      <c r="AF286" s="89"/>
      <c r="AG286" s="89"/>
      <c r="AH286" s="89"/>
    </row>
    <row r="287">
      <c r="A287" s="8" t="s">
        <v>425</v>
      </c>
      <c r="B287" s="97"/>
      <c r="C287" s="8"/>
      <c r="D287" s="89" t="str">
        <f t="shared" si="1"/>
        <v/>
      </c>
      <c r="E287" s="89" t="str">
        <f t="shared" si="2"/>
        <v>OT Hours</v>
      </c>
      <c r="F287" s="89" t="str">
        <f>IFERROR(VLOOKUP(C287,'Employees List'!$B$1:$G$999,2,0),"")</f>
        <v/>
      </c>
      <c r="G287" s="89" t="str">
        <f t="shared" si="23"/>
        <v>#DIV/0!</v>
      </c>
      <c r="H287" s="98"/>
      <c r="I287" s="89" t="str">
        <f>IFERROR(VLOOKUP(F287,'Employees List'!$C:$F,2,0),"")</f>
        <v/>
      </c>
      <c r="J287" s="93" t="str">
        <f>IFERROR(VLOOKUP(C287,'Employees List'!$B$2:$G$991,5,0),"")</f>
        <v/>
      </c>
      <c r="K287" s="95" t="str">
        <f>IFERROR(VLOOKUP(F287,'Employees List'!$C$1:$AB$991,5,0),"")</f>
        <v/>
      </c>
      <c r="L287" s="91">
        <f t="shared" si="3"/>
        <v>0</v>
      </c>
      <c r="M287" s="91">
        <f t="shared" si="4"/>
        <v>0</v>
      </c>
      <c r="N287" s="89" t="str">
        <f>IFERROR(VLOOKUP(B287,'Employees List'!$A$2:$H$991,8,0),"")</f>
        <v/>
      </c>
      <c r="O287" s="89" t="str">
        <f>IFERROR(VLOOKUP(D287,'Daily Attendance Report 24-25'!A273:BP999,5,0),"")</f>
        <v/>
      </c>
      <c r="P287" s="89" t="str">
        <f>IFERROR(VLOOKUP(E287,'Daily Attendance Report 24-25'!$A$1:$BO$617,5,0),"")</f>
        <v/>
      </c>
      <c r="Q287" s="89"/>
      <c r="R287" s="89"/>
      <c r="S287" s="89" t="str">
        <f t="shared" si="17"/>
        <v>#DIV/0!</v>
      </c>
      <c r="T287" s="89" t="str">
        <f t="shared" si="6"/>
        <v>#DIV/0!</v>
      </c>
      <c r="U287" s="89" t="str">
        <f t="shared" si="25"/>
        <v>#DIV/0!</v>
      </c>
      <c r="V287" s="89" t="str">
        <f t="shared" si="24"/>
        <v>#DIV/0!</v>
      </c>
      <c r="W287" s="89" t="str">
        <f t="shared" si="9"/>
        <v>#DIV/0!</v>
      </c>
      <c r="X287" s="89"/>
      <c r="Y287" s="89"/>
      <c r="Z287" s="89"/>
      <c r="AA287" s="89"/>
      <c r="AB287" s="89"/>
      <c r="AC287" s="89"/>
      <c r="AD287" s="89"/>
      <c r="AE287" s="89"/>
      <c r="AF287" s="89"/>
      <c r="AG287" s="89"/>
      <c r="AH287" s="89"/>
    </row>
    <row r="288">
      <c r="A288" s="8" t="s">
        <v>426</v>
      </c>
      <c r="B288" s="97"/>
      <c r="C288" s="8"/>
      <c r="D288" s="89" t="str">
        <f t="shared" si="1"/>
        <v/>
      </c>
      <c r="E288" s="89" t="str">
        <f t="shared" si="2"/>
        <v>OT Hours</v>
      </c>
      <c r="F288" s="89" t="str">
        <f>IFERROR(VLOOKUP(C288,'Employees List'!$B$1:$G$999,2,0),"")</f>
        <v/>
      </c>
      <c r="G288" s="89" t="str">
        <f t="shared" si="23"/>
        <v>#DIV/0!</v>
      </c>
      <c r="H288" s="98"/>
      <c r="I288" s="89" t="str">
        <f>IFERROR(VLOOKUP(F288,'Employees List'!$C:$F,2,0),"")</f>
        <v/>
      </c>
      <c r="J288" s="93" t="str">
        <f>IFERROR(VLOOKUP(C288,'Employees List'!$B$2:$G$991,5,0),"")</f>
        <v/>
      </c>
      <c r="K288" s="95" t="str">
        <f>IFERROR(VLOOKUP(F288,'Employees List'!$C$1:$AB$991,5,0),"")</f>
        <v/>
      </c>
      <c r="L288" s="91">
        <f t="shared" si="3"/>
        <v>0</v>
      </c>
      <c r="M288" s="91">
        <f t="shared" si="4"/>
        <v>0</v>
      </c>
      <c r="N288" s="89" t="str">
        <f>IFERROR(VLOOKUP(B288,'Employees List'!$A$2:$H$991,8,0),"")</f>
        <v/>
      </c>
      <c r="O288" s="89" t="str">
        <f>IFERROR(VLOOKUP(D288,'Daily Attendance Report 24-25'!A273:BP999,5,0),"")</f>
        <v/>
      </c>
      <c r="P288" s="89" t="str">
        <f>IFERROR(VLOOKUP(E288,'Daily Attendance Report 24-25'!$A$1:$BO$617,5,0),"")</f>
        <v/>
      </c>
      <c r="Q288" s="89"/>
      <c r="R288" s="89"/>
      <c r="S288" s="89" t="str">
        <f t="shared" si="17"/>
        <v>#DIV/0!</v>
      </c>
      <c r="T288" s="89" t="str">
        <f t="shared" si="6"/>
        <v>#DIV/0!</v>
      </c>
      <c r="U288" s="89" t="str">
        <f t="shared" si="25"/>
        <v>#DIV/0!</v>
      </c>
      <c r="V288" s="89" t="str">
        <f t="shared" si="24"/>
        <v>#DIV/0!</v>
      </c>
      <c r="W288" s="89" t="str">
        <f t="shared" si="9"/>
        <v>#DIV/0!</v>
      </c>
      <c r="X288" s="89"/>
      <c r="Y288" s="89"/>
      <c r="Z288" s="89"/>
      <c r="AA288" s="89"/>
      <c r="AB288" s="89"/>
      <c r="AC288" s="89"/>
      <c r="AD288" s="89"/>
      <c r="AE288" s="89"/>
      <c r="AF288" s="89"/>
      <c r="AG288" s="89"/>
      <c r="AH288" s="89"/>
    </row>
    <row r="289">
      <c r="A289" s="8" t="s">
        <v>427</v>
      </c>
      <c r="B289" s="97"/>
      <c r="C289" s="8"/>
      <c r="D289" s="89" t="str">
        <f t="shared" si="1"/>
        <v/>
      </c>
      <c r="E289" s="89" t="str">
        <f t="shared" si="2"/>
        <v>OT Hours</v>
      </c>
      <c r="F289" s="89" t="str">
        <f>IFERROR(VLOOKUP(C289,'Employees List'!$B$1:$G$999,2,0),"")</f>
        <v/>
      </c>
      <c r="G289" s="89" t="str">
        <f t="shared" si="23"/>
        <v>#DIV/0!</v>
      </c>
      <c r="H289" s="98"/>
      <c r="I289" s="89" t="str">
        <f>IFERROR(VLOOKUP(F289,'Employees List'!$C:$F,2,0),"")</f>
        <v/>
      </c>
      <c r="J289" s="93" t="str">
        <f>IFERROR(VLOOKUP(C289,'Employees List'!$B$2:$G$991,5,0),"")</f>
        <v/>
      </c>
      <c r="K289" s="95" t="str">
        <f>IFERROR(VLOOKUP(F289,'Employees List'!$C$1:$AB$991,5,0),"")</f>
        <v/>
      </c>
      <c r="L289" s="91">
        <f t="shared" si="3"/>
        <v>0</v>
      </c>
      <c r="M289" s="91">
        <f t="shared" si="4"/>
        <v>0</v>
      </c>
      <c r="N289" s="89" t="str">
        <f>IFERROR(VLOOKUP(B289,'Employees List'!$A$2:$H$991,8,0),"")</f>
        <v/>
      </c>
      <c r="O289" s="89" t="str">
        <f>IFERROR(VLOOKUP(D289,'Daily Attendance Report 24-25'!A273:BP999,5,0),"")</f>
        <v/>
      </c>
      <c r="P289" s="89" t="str">
        <f>IFERROR(VLOOKUP(E289,'Daily Attendance Report 24-25'!$A$1:$BO$617,5,0),"")</f>
        <v/>
      </c>
      <c r="Q289" s="89"/>
      <c r="R289" s="89"/>
      <c r="S289" s="89" t="str">
        <f t="shared" si="17"/>
        <v>#DIV/0!</v>
      </c>
      <c r="T289" s="89" t="str">
        <f t="shared" si="6"/>
        <v>#DIV/0!</v>
      </c>
      <c r="U289" s="89" t="str">
        <f t="shared" si="25"/>
        <v>#DIV/0!</v>
      </c>
      <c r="V289" s="89" t="str">
        <f t="shared" si="24"/>
        <v>#DIV/0!</v>
      </c>
      <c r="W289" s="89" t="str">
        <f t="shared" si="9"/>
        <v>#DIV/0!</v>
      </c>
      <c r="X289" s="89"/>
      <c r="Y289" s="89"/>
      <c r="Z289" s="89"/>
      <c r="AA289" s="89"/>
      <c r="AB289" s="89"/>
      <c r="AC289" s="89"/>
      <c r="AD289" s="89"/>
      <c r="AE289" s="89"/>
      <c r="AF289" s="89"/>
      <c r="AG289" s="89"/>
      <c r="AH289" s="89"/>
    </row>
    <row r="290">
      <c r="A290" s="8" t="s">
        <v>428</v>
      </c>
      <c r="B290" s="97"/>
      <c r="C290" s="8"/>
      <c r="D290" s="89" t="str">
        <f t="shared" si="1"/>
        <v/>
      </c>
      <c r="E290" s="89" t="str">
        <f t="shared" si="2"/>
        <v>OT Hours</v>
      </c>
      <c r="F290" s="89" t="str">
        <f>IFERROR(VLOOKUP(C290,'Employees List'!$B$1:$G$999,2,0),"")</f>
        <v/>
      </c>
      <c r="G290" s="89" t="str">
        <f t="shared" si="23"/>
        <v>#DIV/0!</v>
      </c>
      <c r="H290" s="98"/>
      <c r="I290" s="89" t="str">
        <f>IFERROR(VLOOKUP(F290,'Employees List'!$C:$F,2,0),"")</f>
        <v/>
      </c>
      <c r="J290" s="93" t="str">
        <f>IFERROR(VLOOKUP(C290,'Employees List'!$B$2:$G$991,5,0),"")</f>
        <v/>
      </c>
      <c r="K290" s="95" t="str">
        <f>IFERROR(VLOOKUP(F290,'Employees List'!$C$1:$AB$991,5,0),"")</f>
        <v/>
      </c>
      <c r="L290" s="91">
        <f t="shared" si="3"/>
        <v>0</v>
      </c>
      <c r="M290" s="91">
        <f t="shared" si="4"/>
        <v>0</v>
      </c>
      <c r="N290" s="89" t="str">
        <f>IFERROR(VLOOKUP(B290,'Employees List'!$A$2:$H$991,8,0),"")</f>
        <v/>
      </c>
      <c r="O290" s="89" t="str">
        <f>IFERROR(VLOOKUP(D290,'Daily Attendance Report 24-25'!A273:BP999,5,0),"")</f>
        <v/>
      </c>
      <c r="P290" s="89" t="str">
        <f>IFERROR(VLOOKUP(E290,'Daily Attendance Report 24-25'!$A$1:$BO$617,5,0),"")</f>
        <v/>
      </c>
      <c r="Q290" s="89"/>
      <c r="R290" s="89"/>
      <c r="S290" s="89" t="str">
        <f t="shared" si="17"/>
        <v>#DIV/0!</v>
      </c>
      <c r="T290" s="89" t="str">
        <f t="shared" si="6"/>
        <v>#DIV/0!</v>
      </c>
      <c r="U290" s="89" t="str">
        <f t="shared" si="25"/>
        <v>#DIV/0!</v>
      </c>
      <c r="V290" s="89" t="str">
        <f t="shared" si="24"/>
        <v>#DIV/0!</v>
      </c>
      <c r="W290" s="89" t="str">
        <f t="shared" si="9"/>
        <v>#DIV/0!</v>
      </c>
      <c r="X290" s="89"/>
      <c r="Y290" s="89"/>
      <c r="Z290" s="89"/>
      <c r="AA290" s="89"/>
      <c r="AB290" s="89"/>
      <c r="AC290" s="89"/>
      <c r="AD290" s="89"/>
      <c r="AE290" s="89"/>
      <c r="AF290" s="89"/>
      <c r="AG290" s="89"/>
      <c r="AH290" s="89"/>
    </row>
    <row r="291">
      <c r="A291" s="8" t="s">
        <v>429</v>
      </c>
      <c r="B291" s="97"/>
      <c r="C291" s="8"/>
      <c r="D291" s="89" t="str">
        <f t="shared" si="1"/>
        <v/>
      </c>
      <c r="E291" s="89" t="str">
        <f t="shared" si="2"/>
        <v>OT Hours</v>
      </c>
      <c r="F291" s="89" t="str">
        <f>IFERROR(VLOOKUP(C291,'Employees List'!$B$1:$G$999,2,0),"")</f>
        <v/>
      </c>
      <c r="G291" s="89" t="str">
        <f t="shared" si="23"/>
        <v>#DIV/0!</v>
      </c>
      <c r="H291" s="98"/>
      <c r="I291" s="89" t="str">
        <f>IFERROR(VLOOKUP(F291,'Employees List'!$C:$F,2,0),"")</f>
        <v/>
      </c>
      <c r="J291" s="93" t="str">
        <f>IFERROR(VLOOKUP(C291,'Employees List'!$B$2:$G$991,5,0),"")</f>
        <v/>
      </c>
      <c r="K291" s="95" t="str">
        <f>IFERROR(VLOOKUP(F291,'Employees List'!$C$1:$AB$991,5,0),"")</f>
        <v/>
      </c>
      <c r="L291" s="91">
        <f t="shared" si="3"/>
        <v>0</v>
      </c>
      <c r="M291" s="91">
        <f t="shared" si="4"/>
        <v>0</v>
      </c>
      <c r="N291" s="89" t="str">
        <f>IFERROR(VLOOKUP(B291,'Employees List'!$A$2:$H$991,8,0),"")</f>
        <v/>
      </c>
      <c r="O291" s="89" t="str">
        <f>IFERROR(VLOOKUP(D291,'Daily Attendance Report 24-25'!A273:BP999,5,0),"")</f>
        <v/>
      </c>
      <c r="P291" s="89" t="str">
        <f>IFERROR(VLOOKUP(E291,'Daily Attendance Report 24-25'!$A$1:$BO$617,5,0),"")</f>
        <v/>
      </c>
      <c r="Q291" s="89"/>
      <c r="R291" s="89"/>
      <c r="S291" s="89" t="str">
        <f t="shared" si="17"/>
        <v>#DIV/0!</v>
      </c>
      <c r="T291" s="89" t="str">
        <f t="shared" si="6"/>
        <v>#DIV/0!</v>
      </c>
      <c r="U291" s="89" t="str">
        <f t="shared" si="25"/>
        <v>#DIV/0!</v>
      </c>
      <c r="V291" s="89" t="str">
        <f t="shared" si="24"/>
        <v>#DIV/0!</v>
      </c>
      <c r="W291" s="89" t="str">
        <f t="shared" si="9"/>
        <v>#DIV/0!</v>
      </c>
      <c r="X291" s="89"/>
      <c r="Y291" s="89"/>
      <c r="Z291" s="89"/>
      <c r="AA291" s="89"/>
      <c r="AB291" s="89"/>
      <c r="AC291" s="89"/>
      <c r="AD291" s="89"/>
      <c r="AE291" s="89"/>
      <c r="AF291" s="89"/>
      <c r="AG291" s="89"/>
      <c r="AH291" s="89"/>
    </row>
    <row r="292">
      <c r="A292" s="8" t="s">
        <v>430</v>
      </c>
      <c r="B292" s="97"/>
      <c r="C292" s="8"/>
      <c r="D292" s="89" t="str">
        <f t="shared" si="1"/>
        <v/>
      </c>
      <c r="E292" s="89" t="str">
        <f t="shared" si="2"/>
        <v>OT Hours</v>
      </c>
      <c r="F292" s="89" t="str">
        <f>IFERROR(VLOOKUP(C292,'Employees List'!$B$1:$G$999,2,0),"")</f>
        <v/>
      </c>
      <c r="G292" s="89" t="str">
        <f t="shared" si="23"/>
        <v>#DIV/0!</v>
      </c>
      <c r="H292" s="98"/>
      <c r="I292" s="89" t="str">
        <f>IFERROR(VLOOKUP(F292,'Employees List'!$C:$F,2,0),"")</f>
        <v/>
      </c>
      <c r="J292" s="93" t="str">
        <f>IFERROR(VLOOKUP(C292,'Employees List'!$B$2:$G$991,5,0),"")</f>
        <v/>
      </c>
      <c r="K292" s="95" t="str">
        <f>IFERROR(VLOOKUP(F292,'Employees List'!$C$1:$AB$991,5,0),"")</f>
        <v/>
      </c>
      <c r="L292" s="91">
        <f t="shared" si="3"/>
        <v>0</v>
      </c>
      <c r="M292" s="91">
        <f t="shared" si="4"/>
        <v>0</v>
      </c>
      <c r="N292" s="89" t="str">
        <f>IFERROR(VLOOKUP(B292,'Employees List'!$A$2:$H$991,8,0),"")</f>
        <v/>
      </c>
      <c r="O292" s="89" t="str">
        <f>IFERROR(VLOOKUP(D292,'Daily Attendance Report 24-25'!A273:BP999,5,0),"")</f>
        <v/>
      </c>
      <c r="P292" s="89" t="str">
        <f>IFERROR(VLOOKUP(E292,'Daily Attendance Report 24-25'!$A$1:$BO$617,5,0),"")</f>
        <v/>
      </c>
      <c r="Q292" s="89"/>
      <c r="R292" s="89"/>
      <c r="S292" s="89" t="str">
        <f t="shared" si="17"/>
        <v>#DIV/0!</v>
      </c>
      <c r="T292" s="89" t="str">
        <f t="shared" si="6"/>
        <v>#DIV/0!</v>
      </c>
      <c r="U292" s="89" t="str">
        <f t="shared" si="25"/>
        <v>#DIV/0!</v>
      </c>
      <c r="V292" s="89" t="str">
        <f t="shared" si="24"/>
        <v>#DIV/0!</v>
      </c>
      <c r="W292" s="89" t="str">
        <f t="shared" si="9"/>
        <v>#DIV/0!</v>
      </c>
      <c r="X292" s="89"/>
      <c r="Y292" s="89"/>
      <c r="Z292" s="89"/>
      <c r="AA292" s="89"/>
      <c r="AB292" s="89"/>
      <c r="AC292" s="89"/>
      <c r="AD292" s="89"/>
      <c r="AE292" s="89"/>
      <c r="AF292" s="89"/>
      <c r="AG292" s="89"/>
      <c r="AH292" s="89"/>
    </row>
    <row r="293">
      <c r="A293" s="8" t="s">
        <v>431</v>
      </c>
      <c r="B293" s="97"/>
      <c r="C293" s="8"/>
      <c r="D293" s="89" t="str">
        <f t="shared" si="1"/>
        <v/>
      </c>
      <c r="E293" s="89" t="str">
        <f t="shared" si="2"/>
        <v>OT Hours</v>
      </c>
      <c r="F293" s="89" t="str">
        <f>IFERROR(VLOOKUP(C293,'Employees List'!$B$1:$G$999,2,0),"")</f>
        <v/>
      </c>
      <c r="G293" s="89" t="str">
        <f t="shared" si="23"/>
        <v>#DIV/0!</v>
      </c>
      <c r="H293" s="98"/>
      <c r="I293" s="89" t="str">
        <f>IFERROR(VLOOKUP(F293,'Employees List'!$C:$F,2,0),"")</f>
        <v/>
      </c>
      <c r="J293" s="93" t="str">
        <f>IFERROR(VLOOKUP(C293,'Employees List'!$B$2:$G$991,5,0),"")</f>
        <v/>
      </c>
      <c r="K293" s="95" t="str">
        <f>IFERROR(VLOOKUP(F293,'Employees List'!$C$1:$AB$991,5,0),"")</f>
        <v/>
      </c>
      <c r="L293" s="91">
        <f t="shared" si="3"/>
        <v>0</v>
      </c>
      <c r="M293" s="91">
        <f t="shared" si="4"/>
        <v>0</v>
      </c>
      <c r="N293" s="89" t="str">
        <f>IFERROR(VLOOKUP(B293,'Employees List'!$A$2:$H$991,8,0),"")</f>
        <v/>
      </c>
      <c r="O293" s="89" t="str">
        <f>IFERROR(VLOOKUP(D293,'Daily Attendance Report 24-25'!A273:BP999,5,0),"")</f>
        <v/>
      </c>
      <c r="P293" s="89" t="str">
        <f>IFERROR(VLOOKUP(E293,'Daily Attendance Report 24-25'!$A$1:$BO$617,5,0),"")</f>
        <v/>
      </c>
      <c r="Q293" s="89"/>
      <c r="R293" s="89"/>
      <c r="S293" s="89" t="str">
        <f t="shared" si="17"/>
        <v>#DIV/0!</v>
      </c>
      <c r="T293" s="89" t="str">
        <f t="shared" si="6"/>
        <v>#DIV/0!</v>
      </c>
      <c r="U293" s="89" t="str">
        <f t="shared" si="25"/>
        <v>#DIV/0!</v>
      </c>
      <c r="V293" s="89" t="str">
        <f t="shared" si="24"/>
        <v>#DIV/0!</v>
      </c>
      <c r="W293" s="89" t="str">
        <f t="shared" si="9"/>
        <v>#DIV/0!</v>
      </c>
      <c r="X293" s="89"/>
      <c r="Y293" s="89"/>
      <c r="Z293" s="89"/>
      <c r="AA293" s="89"/>
      <c r="AB293" s="89"/>
      <c r="AC293" s="89"/>
      <c r="AD293" s="89"/>
      <c r="AE293" s="89"/>
      <c r="AF293" s="89"/>
      <c r="AG293" s="89"/>
      <c r="AH293" s="89"/>
    </row>
    <row r="294">
      <c r="A294" s="8" t="s">
        <v>432</v>
      </c>
      <c r="B294" s="97"/>
      <c r="C294" s="8"/>
      <c r="D294" s="89" t="str">
        <f t="shared" si="1"/>
        <v/>
      </c>
      <c r="E294" s="89" t="str">
        <f t="shared" si="2"/>
        <v>OT Hours</v>
      </c>
      <c r="F294" s="89" t="str">
        <f>IFERROR(VLOOKUP(C294,'Employees List'!$B$1:$G$999,2,0),"")</f>
        <v/>
      </c>
      <c r="G294" s="89" t="str">
        <f t="shared" si="23"/>
        <v>#DIV/0!</v>
      </c>
      <c r="H294" s="98"/>
      <c r="I294" s="89" t="str">
        <f>IFERROR(VLOOKUP(F294,'Employees List'!$C:$F,2,0),"")</f>
        <v/>
      </c>
      <c r="J294" s="93" t="str">
        <f>IFERROR(VLOOKUP(C294,'Employees List'!$B$2:$G$991,5,0),"")</f>
        <v/>
      </c>
      <c r="K294" s="95" t="str">
        <f>IFERROR(VLOOKUP(F294,'Employees List'!$C$1:$AB$991,5,0),"")</f>
        <v/>
      </c>
      <c r="L294" s="91">
        <f t="shared" si="3"/>
        <v>0</v>
      </c>
      <c r="M294" s="91">
        <f t="shared" si="4"/>
        <v>0</v>
      </c>
      <c r="N294" s="89" t="str">
        <f>IFERROR(VLOOKUP(B294,'Employees List'!$A$2:$H$991,8,0),"")</f>
        <v/>
      </c>
      <c r="O294" s="89" t="str">
        <f>IFERROR(VLOOKUP(D294,'Daily Attendance Report 24-25'!A274:BP999,5,0),"")</f>
        <v/>
      </c>
      <c r="P294" s="89" t="str">
        <f>IFERROR(VLOOKUP(E294,'Daily Attendance Report 24-25'!$A$1:$BO$617,5,0),"")</f>
        <v/>
      </c>
      <c r="Q294" s="89"/>
      <c r="R294" s="89"/>
      <c r="S294" s="89" t="str">
        <f t="shared" si="17"/>
        <v>#DIV/0!</v>
      </c>
      <c r="T294" s="89" t="str">
        <f t="shared" si="6"/>
        <v>#DIV/0!</v>
      </c>
      <c r="U294" s="89" t="str">
        <f t="shared" si="25"/>
        <v>#DIV/0!</v>
      </c>
      <c r="V294" s="89" t="str">
        <f t="shared" si="24"/>
        <v>#DIV/0!</v>
      </c>
      <c r="W294" s="89" t="str">
        <f t="shared" si="9"/>
        <v>#DIV/0!</v>
      </c>
      <c r="X294" s="89"/>
      <c r="Y294" s="89"/>
      <c r="Z294" s="89"/>
      <c r="AA294" s="89"/>
      <c r="AB294" s="89"/>
      <c r="AC294" s="89"/>
      <c r="AD294" s="89"/>
      <c r="AE294" s="89"/>
      <c r="AF294" s="89"/>
      <c r="AG294" s="89"/>
      <c r="AH294" s="89"/>
    </row>
    <row r="295">
      <c r="A295" s="8" t="s">
        <v>433</v>
      </c>
      <c r="B295" s="97"/>
      <c r="C295" s="8"/>
      <c r="D295" s="89" t="str">
        <f t="shared" si="1"/>
        <v/>
      </c>
      <c r="E295" s="89" t="str">
        <f t="shared" si="2"/>
        <v>OT Hours</v>
      </c>
      <c r="F295" s="89" t="str">
        <f>IFERROR(VLOOKUP(C295,'Employees List'!$B$1:$G$999,2,0),"")</f>
        <v/>
      </c>
      <c r="G295" s="89" t="str">
        <f t="shared" si="23"/>
        <v>#DIV/0!</v>
      </c>
      <c r="H295" s="98"/>
      <c r="I295" s="89" t="str">
        <f>IFERROR(VLOOKUP(F295,'Employees List'!$C:$F,2,0),"")</f>
        <v/>
      </c>
      <c r="J295" s="93" t="str">
        <f>IFERROR(VLOOKUP(C295,'Employees List'!$B$2:$G$991,5,0),"")</f>
        <v/>
      </c>
      <c r="K295" s="95" t="str">
        <f>IFERROR(VLOOKUP(F295,'Employees List'!$C$1:$AB$991,5,0),"")</f>
        <v/>
      </c>
      <c r="L295" s="91">
        <f t="shared" si="3"/>
        <v>0</v>
      </c>
      <c r="M295" s="91">
        <f t="shared" si="4"/>
        <v>0</v>
      </c>
      <c r="N295" s="89" t="str">
        <f>IFERROR(VLOOKUP(B295,'Employees List'!$A$2:$H$991,8,0),"")</f>
        <v/>
      </c>
      <c r="O295" s="89" t="str">
        <f>IFERROR(VLOOKUP(D295,'Daily Attendance Report 24-25'!A275:BP999,5,0),"")</f>
        <v/>
      </c>
      <c r="P295" s="89" t="str">
        <f>IFERROR(VLOOKUP(E295,'Daily Attendance Report 24-25'!$A$1:$BO$617,5,0),"")</f>
        <v/>
      </c>
      <c r="Q295" s="89"/>
      <c r="R295" s="89"/>
      <c r="S295" s="89" t="str">
        <f t="shared" si="17"/>
        <v>#DIV/0!</v>
      </c>
      <c r="T295" s="89" t="str">
        <f t="shared" si="6"/>
        <v>#DIV/0!</v>
      </c>
      <c r="U295" s="89" t="str">
        <f t="shared" si="25"/>
        <v>#DIV/0!</v>
      </c>
      <c r="V295" s="89" t="str">
        <f t="shared" si="24"/>
        <v>#DIV/0!</v>
      </c>
      <c r="W295" s="89" t="str">
        <f t="shared" si="9"/>
        <v>#DIV/0!</v>
      </c>
      <c r="X295" s="89"/>
      <c r="Y295" s="89"/>
      <c r="Z295" s="89"/>
      <c r="AA295" s="89"/>
      <c r="AB295" s="89"/>
      <c r="AC295" s="89"/>
      <c r="AD295" s="89"/>
      <c r="AE295" s="89"/>
      <c r="AF295" s="89"/>
      <c r="AG295" s="89"/>
      <c r="AH295" s="89"/>
    </row>
    <row r="296">
      <c r="A296" s="8" t="s">
        <v>434</v>
      </c>
      <c r="B296" s="97"/>
      <c r="C296" s="8"/>
      <c r="D296" s="89" t="str">
        <f t="shared" si="1"/>
        <v/>
      </c>
      <c r="E296" s="89" t="str">
        <f t="shared" si="2"/>
        <v>OT Hours</v>
      </c>
      <c r="F296" s="89" t="str">
        <f>IFERROR(VLOOKUP(C296,'Employees List'!$B$1:$G$999,2,0),"")</f>
        <v/>
      </c>
      <c r="G296" s="89" t="str">
        <f t="shared" si="23"/>
        <v>#DIV/0!</v>
      </c>
      <c r="H296" s="98"/>
      <c r="I296" s="89" t="str">
        <f>IFERROR(VLOOKUP(F296,'Employees List'!$C:$F,2,0),"")</f>
        <v/>
      </c>
      <c r="J296" s="93" t="str">
        <f>IFERROR(VLOOKUP(C296,'Employees List'!$B$2:$G$991,5,0),"")</f>
        <v/>
      </c>
      <c r="K296" s="95" t="str">
        <f>IFERROR(VLOOKUP(F296,'Employees List'!$C$1:$AB$991,5,0),"")</f>
        <v/>
      </c>
      <c r="L296" s="91">
        <f t="shared" si="3"/>
        <v>0</v>
      </c>
      <c r="M296" s="91">
        <f t="shared" si="4"/>
        <v>0</v>
      </c>
      <c r="N296" s="89" t="str">
        <f>IFERROR(VLOOKUP(B296,'Employees List'!$A$2:$H$991,8,0),"")</f>
        <v/>
      </c>
      <c r="O296" s="89" t="str">
        <f>IFERROR(VLOOKUP(D296,'Daily Attendance Report 24-25'!A276:BP999,5,0),"")</f>
        <v/>
      </c>
      <c r="P296" s="89" t="str">
        <f>IFERROR(VLOOKUP(E296,'Daily Attendance Report 24-25'!$A$1:$BO$617,5,0),"")</f>
        <v/>
      </c>
      <c r="Q296" s="89"/>
      <c r="R296" s="89"/>
      <c r="S296" s="89" t="str">
        <f t="shared" si="17"/>
        <v>#DIV/0!</v>
      </c>
      <c r="T296" s="89" t="str">
        <f t="shared" si="6"/>
        <v>#DIV/0!</v>
      </c>
      <c r="U296" s="89" t="str">
        <f t="shared" si="25"/>
        <v>#DIV/0!</v>
      </c>
      <c r="V296" s="89" t="str">
        <f t="shared" si="24"/>
        <v>#DIV/0!</v>
      </c>
      <c r="W296" s="89" t="str">
        <f t="shared" si="9"/>
        <v>#DIV/0!</v>
      </c>
      <c r="X296" s="89"/>
      <c r="Y296" s="89"/>
      <c r="Z296" s="89"/>
      <c r="AA296" s="89"/>
      <c r="AB296" s="89"/>
      <c r="AC296" s="89"/>
      <c r="AD296" s="89"/>
      <c r="AE296" s="89"/>
      <c r="AF296" s="89"/>
      <c r="AG296" s="89"/>
      <c r="AH296" s="89"/>
    </row>
    <row r="297">
      <c r="A297" s="8" t="s">
        <v>435</v>
      </c>
      <c r="B297" s="97"/>
      <c r="C297" s="8"/>
      <c r="D297" s="89" t="str">
        <f t="shared" si="1"/>
        <v/>
      </c>
      <c r="E297" s="89" t="str">
        <f t="shared" si="2"/>
        <v>OT Hours</v>
      </c>
      <c r="F297" s="89" t="str">
        <f>IFERROR(VLOOKUP(C297,'Employees List'!$B$1:$G$999,2,0),"")</f>
        <v/>
      </c>
      <c r="G297" s="89" t="str">
        <f t="shared" si="23"/>
        <v>#DIV/0!</v>
      </c>
      <c r="H297" s="98"/>
      <c r="I297" s="89" t="str">
        <f>IFERROR(VLOOKUP(F297,'Employees List'!$C:$F,2,0),"")</f>
        <v/>
      </c>
      <c r="J297" s="93" t="str">
        <f>IFERROR(VLOOKUP(C297,'Employees List'!$B$2:$G$991,5,0),"")</f>
        <v/>
      </c>
      <c r="K297" s="95" t="str">
        <f>IFERROR(VLOOKUP(F297,'Employees List'!$C$1:$AB$991,5,0),"")</f>
        <v/>
      </c>
      <c r="L297" s="91">
        <f t="shared" si="3"/>
        <v>0</v>
      </c>
      <c r="M297" s="91">
        <f t="shared" si="4"/>
        <v>0</v>
      </c>
      <c r="N297" s="89" t="str">
        <f>IFERROR(VLOOKUP(B297,'Employees List'!$A$2:$H$991,8,0),"")</f>
        <v/>
      </c>
      <c r="O297" s="89" t="str">
        <f>IFERROR(VLOOKUP(D297,'Daily Attendance Report 24-25'!A277:BP999,5,0),"")</f>
        <v/>
      </c>
      <c r="P297" s="89" t="str">
        <f>IFERROR(VLOOKUP(E297,'Daily Attendance Report 24-25'!$A$1:$BO$617,5,0),"")</f>
        <v/>
      </c>
      <c r="Q297" s="89"/>
      <c r="R297" s="89"/>
      <c r="S297" s="89" t="str">
        <f t="shared" si="17"/>
        <v>#DIV/0!</v>
      </c>
      <c r="T297" s="89" t="str">
        <f t="shared" si="6"/>
        <v>#DIV/0!</v>
      </c>
      <c r="U297" s="89" t="str">
        <f t="shared" si="25"/>
        <v>#DIV/0!</v>
      </c>
      <c r="V297" s="89" t="str">
        <f t="shared" si="24"/>
        <v>#DIV/0!</v>
      </c>
      <c r="W297" s="89" t="str">
        <f t="shared" si="9"/>
        <v>#DIV/0!</v>
      </c>
      <c r="X297" s="89"/>
      <c r="Y297" s="89"/>
      <c r="Z297" s="89"/>
      <c r="AA297" s="89"/>
      <c r="AB297" s="89"/>
      <c r="AC297" s="89"/>
      <c r="AD297" s="89"/>
      <c r="AE297" s="89"/>
      <c r="AF297" s="89"/>
      <c r="AG297" s="89"/>
      <c r="AH297" s="89"/>
    </row>
    <row r="298">
      <c r="A298" s="8" t="s">
        <v>436</v>
      </c>
      <c r="B298" s="97"/>
      <c r="C298" s="8"/>
      <c r="D298" s="89" t="str">
        <f t="shared" si="1"/>
        <v/>
      </c>
      <c r="E298" s="89" t="str">
        <f t="shared" si="2"/>
        <v>OT Hours</v>
      </c>
      <c r="F298" s="89" t="str">
        <f>IFERROR(VLOOKUP(C298,'Employees List'!$B$1:$G$999,2,0),"")</f>
        <v/>
      </c>
      <c r="G298" s="89" t="str">
        <f t="shared" si="23"/>
        <v>#DIV/0!</v>
      </c>
      <c r="H298" s="98"/>
      <c r="I298" s="89" t="str">
        <f>IFERROR(VLOOKUP(F298,'Employees List'!$C:$F,2,0),"")</f>
        <v/>
      </c>
      <c r="J298" s="93" t="str">
        <f>IFERROR(VLOOKUP(C298,'Employees List'!$B$2:$G$991,5,0),"")</f>
        <v/>
      </c>
      <c r="K298" s="95" t="str">
        <f>IFERROR(VLOOKUP(F298,'Employees List'!$C$1:$AB$991,5,0),"")</f>
        <v/>
      </c>
      <c r="L298" s="91">
        <f t="shared" si="3"/>
        <v>0</v>
      </c>
      <c r="M298" s="91">
        <f t="shared" si="4"/>
        <v>0</v>
      </c>
      <c r="N298" s="89" t="str">
        <f>IFERROR(VLOOKUP(B298,'Employees List'!$A$2:$H$991,8,0),"")</f>
        <v/>
      </c>
      <c r="O298" s="89" t="str">
        <f>IFERROR(VLOOKUP(D298,'Daily Attendance Report 24-25'!A278:BP999,5,0),"")</f>
        <v/>
      </c>
      <c r="P298" s="89" t="str">
        <f>IFERROR(VLOOKUP(E298,'Daily Attendance Report 24-25'!$A$1:$BO$617,5,0),"")</f>
        <v/>
      </c>
      <c r="Q298" s="89"/>
      <c r="R298" s="89"/>
      <c r="S298" s="89" t="str">
        <f t="shared" si="17"/>
        <v>#DIV/0!</v>
      </c>
      <c r="T298" s="89" t="str">
        <f t="shared" si="6"/>
        <v>#DIV/0!</v>
      </c>
      <c r="U298" s="89" t="str">
        <f t="shared" si="25"/>
        <v>#DIV/0!</v>
      </c>
      <c r="V298" s="89" t="str">
        <f t="shared" si="24"/>
        <v>#DIV/0!</v>
      </c>
      <c r="W298" s="89" t="str">
        <f t="shared" si="9"/>
        <v>#DIV/0!</v>
      </c>
      <c r="X298" s="89"/>
      <c r="Y298" s="89"/>
      <c r="Z298" s="89"/>
      <c r="AA298" s="89"/>
      <c r="AB298" s="89"/>
      <c r="AC298" s="89"/>
      <c r="AD298" s="89"/>
      <c r="AE298" s="89"/>
      <c r="AF298" s="89"/>
      <c r="AG298" s="89"/>
      <c r="AH298" s="89"/>
    </row>
    <row r="299">
      <c r="A299" s="8" t="s">
        <v>437</v>
      </c>
      <c r="B299" s="97"/>
      <c r="C299" s="8"/>
      <c r="D299" s="89" t="str">
        <f t="shared" si="1"/>
        <v/>
      </c>
      <c r="E299" s="89" t="str">
        <f t="shared" si="2"/>
        <v>OT Hours</v>
      </c>
      <c r="F299" s="89" t="str">
        <f>IFERROR(VLOOKUP(C299,'Employees List'!$B$1:$G$999,2,0),"")</f>
        <v/>
      </c>
      <c r="G299" s="89" t="str">
        <f t="shared" si="23"/>
        <v>#DIV/0!</v>
      </c>
      <c r="H299" s="98"/>
      <c r="I299" s="89" t="str">
        <f>IFERROR(VLOOKUP(F299,'Employees List'!$C:$F,2,0),"")</f>
        <v/>
      </c>
      <c r="J299" s="93" t="str">
        <f>IFERROR(VLOOKUP(C299,'Employees List'!$B$2:$G$991,5,0),"")</f>
        <v/>
      </c>
      <c r="K299" s="95" t="str">
        <f>IFERROR(VLOOKUP(F299,'Employees List'!$C$1:$AB$991,5,0),"")</f>
        <v/>
      </c>
      <c r="L299" s="91">
        <f t="shared" si="3"/>
        <v>0</v>
      </c>
      <c r="M299" s="91">
        <f t="shared" si="4"/>
        <v>0</v>
      </c>
      <c r="N299" s="89" t="str">
        <f>IFERROR(VLOOKUP(B299,'Employees List'!$A$2:$H$991,8,0),"")</f>
        <v/>
      </c>
      <c r="O299" s="89" t="str">
        <f>IFERROR(VLOOKUP(D299,'Daily Attendance Report 24-25'!A279:BP999,5,0),"")</f>
        <v/>
      </c>
      <c r="P299" s="89" t="str">
        <f>IFERROR(VLOOKUP(E299,'Daily Attendance Report 24-25'!$A$1:$BO$617,5,0),"")</f>
        <v/>
      </c>
      <c r="Q299" s="89"/>
      <c r="R299" s="89"/>
      <c r="S299" s="89" t="str">
        <f t="shared" si="17"/>
        <v>#DIV/0!</v>
      </c>
      <c r="T299" s="89" t="str">
        <f t="shared" si="6"/>
        <v>#DIV/0!</v>
      </c>
      <c r="U299" s="89" t="str">
        <f t="shared" si="25"/>
        <v>#DIV/0!</v>
      </c>
      <c r="V299" s="89" t="str">
        <f t="shared" si="24"/>
        <v>#DIV/0!</v>
      </c>
      <c r="W299" s="89" t="str">
        <f t="shared" si="9"/>
        <v>#DIV/0!</v>
      </c>
      <c r="X299" s="89"/>
      <c r="Y299" s="89"/>
      <c r="Z299" s="89"/>
      <c r="AA299" s="89"/>
      <c r="AB299" s="89"/>
      <c r="AC299" s="89"/>
      <c r="AD299" s="89"/>
      <c r="AE299" s="89"/>
      <c r="AF299" s="89"/>
      <c r="AG299" s="89"/>
      <c r="AH299" s="89"/>
    </row>
    <row r="300">
      <c r="A300" s="8" t="s">
        <v>438</v>
      </c>
      <c r="B300" s="97"/>
      <c r="C300" s="8"/>
      <c r="D300" s="89" t="str">
        <f t="shared" si="1"/>
        <v/>
      </c>
      <c r="E300" s="89" t="str">
        <f t="shared" si="2"/>
        <v>OT Hours</v>
      </c>
      <c r="F300" s="89" t="str">
        <f>IFERROR(VLOOKUP(C300,'Employees List'!$B$1:$G$999,2,0),"")</f>
        <v/>
      </c>
      <c r="G300" s="89" t="str">
        <f t="shared" si="23"/>
        <v>#DIV/0!</v>
      </c>
      <c r="H300" s="98"/>
      <c r="I300" s="89" t="str">
        <f>IFERROR(VLOOKUP(F300,'Employees List'!$C:$F,2,0),"")</f>
        <v/>
      </c>
      <c r="J300" s="93" t="str">
        <f>IFERROR(VLOOKUP(C300,'Employees List'!$B$2:$G$991,5,0),"")</f>
        <v/>
      </c>
      <c r="K300" s="95" t="str">
        <f>IFERROR(VLOOKUP(F300,'Employees List'!$C$1:$AB$991,5,0),"")</f>
        <v/>
      </c>
      <c r="L300" s="91">
        <f t="shared" si="3"/>
        <v>0</v>
      </c>
      <c r="M300" s="91">
        <f t="shared" si="4"/>
        <v>0</v>
      </c>
      <c r="N300" s="89" t="str">
        <f>IFERROR(VLOOKUP(B300,'Employees List'!$A$2:$H$991,8,0),"")</f>
        <v/>
      </c>
      <c r="O300" s="89" t="str">
        <f>IFERROR(VLOOKUP(D300,'Daily Attendance Report 24-25'!A280:BP999,5,0),"")</f>
        <v/>
      </c>
      <c r="P300" s="89" t="str">
        <f>IFERROR(VLOOKUP(E300,'Daily Attendance Report 24-25'!$A$1:$BO$617,5,0),"")</f>
        <v/>
      </c>
      <c r="Q300" s="89"/>
      <c r="R300" s="89"/>
      <c r="S300" s="89" t="str">
        <f t="shared" si="17"/>
        <v>#DIV/0!</v>
      </c>
      <c r="T300" s="89" t="str">
        <f t="shared" si="6"/>
        <v>#DIV/0!</v>
      </c>
      <c r="U300" s="89" t="str">
        <f t="shared" si="25"/>
        <v>#DIV/0!</v>
      </c>
      <c r="V300" s="89" t="str">
        <f t="shared" si="24"/>
        <v>#DIV/0!</v>
      </c>
      <c r="W300" s="89" t="str">
        <f t="shared" si="9"/>
        <v>#DIV/0!</v>
      </c>
      <c r="X300" s="89"/>
      <c r="Y300" s="89"/>
      <c r="Z300" s="89"/>
      <c r="AA300" s="89"/>
      <c r="AB300" s="89"/>
      <c r="AC300" s="89"/>
      <c r="AD300" s="89"/>
      <c r="AE300" s="89"/>
      <c r="AF300" s="89"/>
      <c r="AG300" s="89"/>
      <c r="AH300" s="89"/>
    </row>
    <row r="301">
      <c r="A301" s="8" t="s">
        <v>439</v>
      </c>
      <c r="B301" s="97"/>
      <c r="C301" s="8"/>
      <c r="D301" s="89" t="str">
        <f t="shared" si="1"/>
        <v/>
      </c>
      <c r="E301" s="89" t="str">
        <f t="shared" si="2"/>
        <v>OT Hours</v>
      </c>
      <c r="F301" s="89" t="str">
        <f>IFERROR(VLOOKUP(C301,'Employees List'!$B$1:$G$999,2,0),"")</f>
        <v/>
      </c>
      <c r="G301" s="89" t="str">
        <f t="shared" si="23"/>
        <v>#DIV/0!</v>
      </c>
      <c r="H301" s="98"/>
      <c r="I301" s="89" t="str">
        <f>IFERROR(VLOOKUP(F301,'Employees List'!$C:$F,2,0),"")</f>
        <v/>
      </c>
      <c r="J301" s="93" t="str">
        <f>IFERROR(VLOOKUP(C301,'Employees List'!$B$2:$G$991,5,0),"")</f>
        <v/>
      </c>
      <c r="K301" s="95" t="str">
        <f>IFERROR(VLOOKUP(F301,'Employees List'!$C$1:$AB$991,5,0),"")</f>
        <v/>
      </c>
      <c r="L301" s="91">
        <f t="shared" si="3"/>
        <v>0</v>
      </c>
      <c r="M301" s="91">
        <f t="shared" si="4"/>
        <v>0</v>
      </c>
      <c r="N301" s="89" t="str">
        <f>IFERROR(VLOOKUP(B301,'Employees List'!$A$2:$H$991,8,0),"")</f>
        <v/>
      </c>
      <c r="O301" s="89" t="str">
        <f>IFERROR(VLOOKUP(D301,'Daily Attendance Report 24-25'!A281:BP999,5,0),"")</f>
        <v/>
      </c>
      <c r="P301" s="89" t="str">
        <f>IFERROR(VLOOKUP(E301,'Daily Attendance Report 24-25'!$A$1:$BO$617,5,0),"")</f>
        <v/>
      </c>
      <c r="Q301" s="89"/>
      <c r="R301" s="89"/>
      <c r="S301" s="89" t="str">
        <f t="shared" si="17"/>
        <v>#DIV/0!</v>
      </c>
      <c r="T301" s="89" t="str">
        <f t="shared" si="6"/>
        <v>#DIV/0!</v>
      </c>
      <c r="U301" s="89" t="str">
        <f t="shared" si="25"/>
        <v>#DIV/0!</v>
      </c>
      <c r="V301" s="89" t="str">
        <f t="shared" si="24"/>
        <v>#DIV/0!</v>
      </c>
      <c r="W301" s="89" t="str">
        <f t="shared" si="9"/>
        <v>#DIV/0!</v>
      </c>
      <c r="X301" s="89"/>
      <c r="Y301" s="89"/>
      <c r="Z301" s="89"/>
      <c r="AA301" s="89"/>
      <c r="AB301" s="89"/>
      <c r="AC301" s="89"/>
      <c r="AD301" s="89"/>
      <c r="AE301" s="89"/>
      <c r="AF301" s="89"/>
      <c r="AG301" s="89"/>
      <c r="AH301" s="89"/>
    </row>
    <row r="302">
      <c r="A302" s="8" t="s">
        <v>440</v>
      </c>
      <c r="B302" s="97"/>
      <c r="C302" s="8"/>
      <c r="D302" s="89" t="str">
        <f t="shared" si="1"/>
        <v/>
      </c>
      <c r="E302" s="89" t="str">
        <f t="shared" si="2"/>
        <v>OT Hours</v>
      </c>
      <c r="F302" s="89" t="str">
        <f>IFERROR(VLOOKUP(C302,'Employees List'!$B$1:$G$999,2,0),"")</f>
        <v/>
      </c>
      <c r="G302" s="89" t="str">
        <f t="shared" si="23"/>
        <v>#DIV/0!</v>
      </c>
      <c r="H302" s="98"/>
      <c r="I302" s="89" t="str">
        <f>IFERROR(VLOOKUP(F302,'Employees List'!$C:$F,2,0),"")</f>
        <v/>
      </c>
      <c r="J302" s="93" t="str">
        <f>IFERROR(VLOOKUP(C302,'Employees List'!$B$2:$G$991,5,0),"")</f>
        <v/>
      </c>
      <c r="K302" s="95" t="str">
        <f>IFERROR(VLOOKUP(F302,'Employees List'!$C$1:$AB$991,5,0),"")</f>
        <v/>
      </c>
      <c r="L302" s="91">
        <f t="shared" si="3"/>
        <v>0</v>
      </c>
      <c r="M302" s="91">
        <f t="shared" si="4"/>
        <v>0</v>
      </c>
      <c r="N302" s="89" t="str">
        <f>IFERROR(VLOOKUP(B302,'Employees List'!$A$2:$H$991,8,0),"")</f>
        <v/>
      </c>
      <c r="O302" s="89" t="str">
        <f>IFERROR(VLOOKUP(D302,'Daily Attendance Report 24-25'!A281:BP999,5,0),"")</f>
        <v/>
      </c>
      <c r="P302" s="89" t="str">
        <f>IFERROR(VLOOKUP(E302,'Daily Attendance Report 24-25'!$A$1:$BO$617,5,0),"")</f>
        <v/>
      </c>
      <c r="Q302" s="89"/>
      <c r="R302" s="89"/>
      <c r="S302" s="89" t="str">
        <f t="shared" si="17"/>
        <v>#DIV/0!</v>
      </c>
      <c r="T302" s="89" t="str">
        <f t="shared" si="6"/>
        <v>#DIV/0!</v>
      </c>
      <c r="U302" s="89" t="str">
        <f t="shared" si="25"/>
        <v>#DIV/0!</v>
      </c>
      <c r="V302" s="89" t="str">
        <f t="shared" si="24"/>
        <v>#DIV/0!</v>
      </c>
      <c r="W302" s="89" t="str">
        <f t="shared" si="9"/>
        <v>#DIV/0!</v>
      </c>
      <c r="X302" s="89"/>
      <c r="Y302" s="89"/>
      <c r="Z302" s="89"/>
      <c r="AA302" s="89"/>
      <c r="AB302" s="89"/>
      <c r="AC302" s="89"/>
      <c r="AD302" s="89"/>
      <c r="AE302" s="89"/>
      <c r="AF302" s="89"/>
      <c r="AG302" s="89"/>
      <c r="AH302" s="89"/>
    </row>
    <row r="303">
      <c r="A303" s="8" t="s">
        <v>441</v>
      </c>
      <c r="B303" s="97"/>
      <c r="C303" s="8"/>
      <c r="D303" s="89" t="str">
        <f t="shared" si="1"/>
        <v/>
      </c>
      <c r="E303" s="89" t="str">
        <f t="shared" si="2"/>
        <v>OT Hours</v>
      </c>
      <c r="F303" s="89" t="str">
        <f>IFERROR(VLOOKUP(C303,'Employees List'!$B$1:$G$999,2,0),"")</f>
        <v/>
      </c>
      <c r="G303" s="89" t="str">
        <f t="shared" si="23"/>
        <v>#DIV/0!</v>
      </c>
      <c r="H303" s="98"/>
      <c r="I303" s="89" t="str">
        <f>IFERROR(VLOOKUP(F303,'Employees List'!$C:$F,2,0),"")</f>
        <v/>
      </c>
      <c r="J303" s="93" t="str">
        <f>IFERROR(VLOOKUP(C303,'Employees List'!$B$2:$G$991,5,0),"")</f>
        <v/>
      </c>
      <c r="K303" s="95" t="str">
        <f>IFERROR(VLOOKUP(F303,'Employees List'!$C$1:$AB$991,5,0),"")</f>
        <v/>
      </c>
      <c r="L303" s="91">
        <f t="shared" si="3"/>
        <v>0</v>
      </c>
      <c r="M303" s="91">
        <f t="shared" si="4"/>
        <v>0</v>
      </c>
      <c r="N303" s="89" t="str">
        <f>IFERROR(VLOOKUP(B303,'Employees List'!$A$2:$H$991,8,0),"")</f>
        <v/>
      </c>
      <c r="O303" s="89" t="str">
        <f>IFERROR(VLOOKUP(D303,'Daily Attendance Report 24-25'!A281:BP999,5,0),"")</f>
        <v/>
      </c>
      <c r="P303" s="89" t="str">
        <f>IFERROR(VLOOKUP(E303,'Daily Attendance Report 24-25'!$A$1:$BO$617,5,0),"")</f>
        <v/>
      </c>
      <c r="Q303" s="89"/>
      <c r="R303" s="89"/>
      <c r="S303" s="89" t="str">
        <f t="shared" si="17"/>
        <v>#DIV/0!</v>
      </c>
      <c r="T303" s="89" t="str">
        <f t="shared" si="6"/>
        <v>#DIV/0!</v>
      </c>
      <c r="U303" s="89" t="str">
        <f t="shared" si="25"/>
        <v>#DIV/0!</v>
      </c>
      <c r="V303" s="89" t="str">
        <f t="shared" si="24"/>
        <v>#DIV/0!</v>
      </c>
      <c r="W303" s="89" t="str">
        <f t="shared" si="9"/>
        <v>#DIV/0!</v>
      </c>
      <c r="X303" s="89"/>
      <c r="Y303" s="89"/>
      <c r="Z303" s="89"/>
      <c r="AA303" s="89"/>
      <c r="AB303" s="89"/>
      <c r="AC303" s="89"/>
      <c r="AD303" s="89"/>
      <c r="AE303" s="89"/>
      <c r="AF303" s="89"/>
      <c r="AG303" s="89"/>
      <c r="AH303" s="89"/>
    </row>
    <row r="304">
      <c r="A304" s="8" t="s">
        <v>442</v>
      </c>
      <c r="B304" s="97"/>
      <c r="C304" s="8"/>
      <c r="D304" s="89" t="str">
        <f t="shared" si="1"/>
        <v/>
      </c>
      <c r="E304" s="89" t="str">
        <f t="shared" si="2"/>
        <v>OT Hours</v>
      </c>
      <c r="F304" s="89" t="str">
        <f>IFERROR(VLOOKUP(C304,'Employees List'!$B$1:$G$999,2,0),"")</f>
        <v/>
      </c>
      <c r="G304" s="89" t="str">
        <f t="shared" si="23"/>
        <v>#DIV/0!</v>
      </c>
      <c r="H304" s="98"/>
      <c r="I304" s="89" t="str">
        <f>IFERROR(VLOOKUP(F304,'Employees List'!$C:$F,2,0),"")</f>
        <v/>
      </c>
      <c r="J304" s="93" t="str">
        <f>IFERROR(VLOOKUP(C304,'Employees List'!$B$2:$G$991,5,0),"")</f>
        <v/>
      </c>
      <c r="K304" s="95" t="str">
        <f>IFERROR(VLOOKUP(F304,'Employees List'!$C$1:$AB$991,5,0),"")</f>
        <v/>
      </c>
      <c r="L304" s="91">
        <f t="shared" si="3"/>
        <v>0</v>
      </c>
      <c r="M304" s="91">
        <f t="shared" si="4"/>
        <v>0</v>
      </c>
      <c r="N304" s="89" t="str">
        <f>IFERROR(VLOOKUP(B304,'Employees List'!$A$2:$H$991,8,0),"")</f>
        <v/>
      </c>
      <c r="O304" s="89" t="str">
        <f>IFERROR(VLOOKUP(D304,'Daily Attendance Report 24-25'!A281:BP999,5,0),"")</f>
        <v/>
      </c>
      <c r="P304" s="89" t="str">
        <f>IFERROR(VLOOKUP(E304,'Daily Attendance Report 24-25'!$A$1:$BO$617,5,0),"")</f>
        <v/>
      </c>
      <c r="Q304" s="89"/>
      <c r="R304" s="89"/>
      <c r="S304" s="89" t="str">
        <f t="shared" si="17"/>
        <v>#DIV/0!</v>
      </c>
      <c r="T304" s="89" t="str">
        <f t="shared" si="6"/>
        <v>#DIV/0!</v>
      </c>
      <c r="U304" s="89" t="str">
        <f t="shared" si="25"/>
        <v>#DIV/0!</v>
      </c>
      <c r="V304" s="89" t="str">
        <f t="shared" si="24"/>
        <v>#DIV/0!</v>
      </c>
      <c r="W304" s="89" t="str">
        <f t="shared" si="9"/>
        <v>#DIV/0!</v>
      </c>
      <c r="X304" s="89"/>
      <c r="Y304" s="89"/>
      <c r="Z304" s="89"/>
      <c r="AA304" s="89"/>
      <c r="AB304" s="89"/>
      <c r="AC304" s="89"/>
      <c r="AD304" s="89"/>
      <c r="AE304" s="89"/>
      <c r="AF304" s="89"/>
      <c r="AG304" s="89"/>
      <c r="AH304" s="89"/>
    </row>
    <row r="305">
      <c r="A305" s="8" t="s">
        <v>443</v>
      </c>
      <c r="B305" s="97"/>
      <c r="C305" s="8"/>
      <c r="D305" s="89" t="str">
        <f t="shared" si="1"/>
        <v/>
      </c>
      <c r="E305" s="89" t="str">
        <f t="shared" si="2"/>
        <v>OT Hours</v>
      </c>
      <c r="F305" s="89" t="str">
        <f>IFERROR(VLOOKUP(C305,'Employees List'!$B$1:$G$999,2,0),"")</f>
        <v/>
      </c>
      <c r="G305" s="89" t="str">
        <f t="shared" si="23"/>
        <v>#DIV/0!</v>
      </c>
      <c r="H305" s="98"/>
      <c r="I305" s="89" t="str">
        <f>IFERROR(VLOOKUP(F305,'Employees List'!$C:$F,2,0),"")</f>
        <v/>
      </c>
      <c r="J305" s="93" t="str">
        <f>IFERROR(VLOOKUP(C305,'Employees List'!$B$2:$G$991,5,0),"")</f>
        <v/>
      </c>
      <c r="K305" s="95" t="str">
        <f>IFERROR(VLOOKUP(F305,'Employees List'!$C$1:$AB$991,5,0),"")</f>
        <v/>
      </c>
      <c r="L305" s="91">
        <f t="shared" si="3"/>
        <v>0</v>
      </c>
      <c r="M305" s="91">
        <f t="shared" si="4"/>
        <v>0</v>
      </c>
      <c r="N305" s="89" t="str">
        <f>IFERROR(VLOOKUP(B305,'Employees List'!$A$2:$H$991,8,0),"")</f>
        <v/>
      </c>
      <c r="O305" s="89" t="str">
        <f>IFERROR(VLOOKUP(D305,'Daily Attendance Report 24-25'!A281:BP999,5,0),"")</f>
        <v/>
      </c>
      <c r="P305" s="89" t="str">
        <f>IFERROR(VLOOKUP(E305,'Daily Attendance Report 24-25'!$A$1:$BO$617,5,0),"")</f>
        <v/>
      </c>
      <c r="Q305" s="89"/>
      <c r="R305" s="89"/>
      <c r="S305" s="89" t="str">
        <f t="shared" si="17"/>
        <v>#DIV/0!</v>
      </c>
      <c r="T305" s="89" t="str">
        <f t="shared" si="6"/>
        <v>#DIV/0!</v>
      </c>
      <c r="U305" s="89" t="str">
        <f t="shared" si="25"/>
        <v>#DIV/0!</v>
      </c>
      <c r="V305" s="89" t="str">
        <f t="shared" si="24"/>
        <v>#DIV/0!</v>
      </c>
      <c r="W305" s="89" t="str">
        <f t="shared" si="9"/>
        <v>#DIV/0!</v>
      </c>
      <c r="X305" s="89"/>
      <c r="Y305" s="89"/>
      <c r="Z305" s="89"/>
      <c r="AA305" s="89"/>
      <c r="AB305" s="89"/>
      <c r="AC305" s="89"/>
      <c r="AD305" s="89"/>
      <c r="AE305" s="89"/>
      <c r="AF305" s="89"/>
      <c r="AG305" s="89"/>
      <c r="AH305" s="89"/>
    </row>
    <row r="306">
      <c r="A306" s="8" t="s">
        <v>444</v>
      </c>
      <c r="B306" s="97"/>
      <c r="C306" s="8"/>
      <c r="D306" s="89" t="str">
        <f t="shared" si="1"/>
        <v/>
      </c>
      <c r="E306" s="89" t="str">
        <f t="shared" si="2"/>
        <v>OT Hours</v>
      </c>
      <c r="F306" s="89" t="str">
        <f>IFERROR(VLOOKUP(C306,'Employees List'!$B$1:$G$999,2,0),"")</f>
        <v/>
      </c>
      <c r="G306" s="89" t="str">
        <f t="shared" si="23"/>
        <v>#DIV/0!</v>
      </c>
      <c r="H306" s="98"/>
      <c r="I306" s="89" t="str">
        <f>IFERROR(VLOOKUP(F306,'Employees List'!$C:$F,2,0),"")</f>
        <v/>
      </c>
      <c r="J306" s="93" t="str">
        <f>IFERROR(VLOOKUP(C306,'Employees List'!$B$2:$G$991,5,0),"")</f>
        <v/>
      </c>
      <c r="K306" s="95" t="str">
        <f>IFERROR(VLOOKUP(F306,'Employees List'!$C$1:$AB$991,5,0),"")</f>
        <v/>
      </c>
      <c r="L306" s="91">
        <f t="shared" si="3"/>
        <v>0</v>
      </c>
      <c r="M306" s="91">
        <f t="shared" si="4"/>
        <v>0</v>
      </c>
      <c r="N306" s="89" t="str">
        <f>IFERROR(VLOOKUP(B306,'Employees List'!$A$2:$H$991,8,0),"")</f>
        <v/>
      </c>
      <c r="O306" s="89" t="str">
        <f>IFERROR(VLOOKUP(D306,'Daily Attendance Report 24-25'!A281:BP999,5,0),"")</f>
        <v/>
      </c>
      <c r="P306" s="89" t="str">
        <f>IFERROR(VLOOKUP(E306,'Daily Attendance Report 24-25'!$A$1:$BO$617,5,0),"")</f>
        <v/>
      </c>
      <c r="Q306" s="89"/>
      <c r="R306" s="89"/>
      <c r="S306" s="89" t="str">
        <f t="shared" si="17"/>
        <v>#DIV/0!</v>
      </c>
      <c r="T306" s="89" t="str">
        <f t="shared" si="6"/>
        <v>#DIV/0!</v>
      </c>
      <c r="U306" s="89" t="str">
        <f t="shared" si="25"/>
        <v>#DIV/0!</v>
      </c>
      <c r="V306" s="89" t="str">
        <f t="shared" si="24"/>
        <v>#DIV/0!</v>
      </c>
      <c r="W306" s="89" t="str">
        <f t="shared" si="9"/>
        <v>#DIV/0!</v>
      </c>
      <c r="X306" s="89"/>
      <c r="Y306" s="89"/>
      <c r="Z306" s="89"/>
      <c r="AA306" s="89"/>
      <c r="AB306" s="89"/>
      <c r="AC306" s="89"/>
      <c r="AD306" s="89"/>
      <c r="AE306" s="89"/>
      <c r="AF306" s="89"/>
      <c r="AG306" s="89"/>
      <c r="AH306" s="89"/>
    </row>
    <row r="307">
      <c r="A307" s="8" t="s">
        <v>445</v>
      </c>
      <c r="B307" s="97"/>
      <c r="C307" s="8"/>
      <c r="D307" s="89" t="str">
        <f t="shared" si="1"/>
        <v/>
      </c>
      <c r="E307" s="89" t="str">
        <f t="shared" si="2"/>
        <v>OT Hours</v>
      </c>
      <c r="F307" s="89" t="str">
        <f>IFERROR(VLOOKUP(C307,'Employees List'!$B$1:$G$999,2,0),"")</f>
        <v/>
      </c>
      <c r="G307" s="89" t="str">
        <f t="shared" si="23"/>
        <v>#DIV/0!</v>
      </c>
      <c r="H307" s="98"/>
      <c r="I307" s="89" t="str">
        <f>IFERROR(VLOOKUP(F307,'Employees List'!$C:$F,2,0),"")</f>
        <v/>
      </c>
      <c r="J307" s="93" t="str">
        <f>IFERROR(VLOOKUP(C307,'Employees List'!$B$2:$G$991,5,0),"")</f>
        <v/>
      </c>
      <c r="K307" s="95" t="str">
        <f>IFERROR(VLOOKUP(F307,'Employees List'!$C$1:$AB$991,5,0),"")</f>
        <v/>
      </c>
      <c r="L307" s="91">
        <f t="shared" si="3"/>
        <v>0</v>
      </c>
      <c r="M307" s="91">
        <f t="shared" si="4"/>
        <v>0</v>
      </c>
      <c r="N307" s="89" t="str">
        <f>IFERROR(VLOOKUP(B307,'Employees List'!$A$2:$H$991,8,0),"")</f>
        <v/>
      </c>
      <c r="O307" s="89" t="str">
        <f>IFERROR(VLOOKUP(D307,'Daily Attendance Report 24-25'!A281:BP999,5,0),"")</f>
        <v/>
      </c>
      <c r="P307" s="89" t="str">
        <f>IFERROR(VLOOKUP(E307,'Daily Attendance Report 24-25'!$A$1:$BO$617,5,0),"")</f>
        <v/>
      </c>
      <c r="Q307" s="89"/>
      <c r="R307" s="89"/>
      <c r="S307" s="89" t="str">
        <f t="shared" si="17"/>
        <v>#DIV/0!</v>
      </c>
      <c r="T307" s="89" t="str">
        <f t="shared" si="6"/>
        <v>#DIV/0!</v>
      </c>
      <c r="U307" s="89" t="str">
        <f t="shared" si="25"/>
        <v>#DIV/0!</v>
      </c>
      <c r="V307" s="89" t="str">
        <f t="shared" si="24"/>
        <v>#DIV/0!</v>
      </c>
      <c r="W307" s="89" t="str">
        <f t="shared" si="9"/>
        <v>#DIV/0!</v>
      </c>
      <c r="X307" s="89"/>
      <c r="Y307" s="89"/>
      <c r="Z307" s="89"/>
      <c r="AA307" s="89"/>
      <c r="AB307" s="89"/>
      <c r="AC307" s="89"/>
      <c r="AD307" s="89"/>
      <c r="AE307" s="89"/>
      <c r="AF307" s="89"/>
      <c r="AG307" s="89"/>
      <c r="AH307" s="89"/>
    </row>
    <row r="308">
      <c r="A308" s="8" t="s">
        <v>446</v>
      </c>
      <c r="B308" s="97"/>
      <c r="C308" s="8"/>
      <c r="D308" s="89" t="str">
        <f t="shared" si="1"/>
        <v/>
      </c>
      <c r="E308" s="89" t="str">
        <f t="shared" si="2"/>
        <v>OT Hours</v>
      </c>
      <c r="F308" s="89" t="str">
        <f>IFERROR(VLOOKUP(C308,'Employees List'!$B$1:$G$999,2,0),"")</f>
        <v/>
      </c>
      <c r="G308" s="89" t="str">
        <f t="shared" si="23"/>
        <v>#DIV/0!</v>
      </c>
      <c r="H308" s="98"/>
      <c r="I308" s="89" t="str">
        <f>IFERROR(VLOOKUP(F308,'Employees List'!$C:$F,2,0),"")</f>
        <v/>
      </c>
      <c r="J308" s="93" t="str">
        <f>IFERROR(VLOOKUP(C308,'Employees List'!$B$2:$G$991,5,0),"")</f>
        <v/>
      </c>
      <c r="K308" s="95" t="str">
        <f>IFERROR(VLOOKUP(F308,'Employees List'!$C$1:$AB$991,5,0),"")</f>
        <v/>
      </c>
      <c r="L308" s="91">
        <f t="shared" si="3"/>
        <v>0</v>
      </c>
      <c r="M308" s="91">
        <f t="shared" si="4"/>
        <v>0</v>
      </c>
      <c r="N308" s="89" t="str">
        <f>IFERROR(VLOOKUP(B308,'Employees List'!$A$2:$H$991,8,0),"")</f>
        <v/>
      </c>
      <c r="O308" s="89" t="str">
        <f>IFERROR(VLOOKUP(D308,'Daily Attendance Report 24-25'!A281:BP999,5,0),"")</f>
        <v/>
      </c>
      <c r="P308" s="89" t="str">
        <f>IFERROR(VLOOKUP(E308,'Daily Attendance Report 24-25'!$A$1:$BO$617,5,0),"")</f>
        <v/>
      </c>
      <c r="Q308" s="89"/>
      <c r="R308" s="89"/>
      <c r="S308" s="89" t="str">
        <f t="shared" si="17"/>
        <v>#DIV/0!</v>
      </c>
      <c r="T308" s="89" t="str">
        <f t="shared" si="6"/>
        <v>#DIV/0!</v>
      </c>
      <c r="U308" s="89" t="str">
        <f t="shared" si="25"/>
        <v>#DIV/0!</v>
      </c>
      <c r="V308" s="89" t="str">
        <f t="shared" si="24"/>
        <v>#DIV/0!</v>
      </c>
      <c r="W308" s="89" t="str">
        <f t="shared" si="9"/>
        <v>#DIV/0!</v>
      </c>
      <c r="X308" s="89"/>
      <c r="Y308" s="89"/>
      <c r="Z308" s="89"/>
      <c r="AA308" s="89"/>
      <c r="AB308" s="89"/>
      <c r="AC308" s="89"/>
      <c r="AD308" s="89"/>
      <c r="AE308" s="89"/>
      <c r="AF308" s="89"/>
      <c r="AG308" s="89"/>
      <c r="AH308" s="89"/>
    </row>
    <row r="309">
      <c r="A309" s="8" t="s">
        <v>447</v>
      </c>
      <c r="B309" s="97"/>
      <c r="C309" s="8"/>
      <c r="D309" s="89" t="str">
        <f t="shared" si="1"/>
        <v/>
      </c>
      <c r="E309" s="89" t="str">
        <f t="shared" si="2"/>
        <v>OT Hours</v>
      </c>
      <c r="F309" s="89" t="str">
        <f>IFERROR(VLOOKUP(C309,'Employees List'!$B$1:$G$999,2,0),"")</f>
        <v/>
      </c>
      <c r="G309" s="89" t="str">
        <f t="shared" si="23"/>
        <v>#DIV/0!</v>
      </c>
      <c r="H309" s="98"/>
      <c r="I309" s="89" t="str">
        <f>IFERROR(VLOOKUP(F309,'Employees List'!$C:$F,2,0),"")</f>
        <v/>
      </c>
      <c r="J309" s="93" t="str">
        <f>IFERROR(VLOOKUP(C309,'Employees List'!$B$2:$G$991,5,0),"")</f>
        <v/>
      </c>
      <c r="K309" s="95" t="str">
        <f>IFERROR(VLOOKUP(F309,'Employees List'!$C$1:$AB$991,5,0),"")</f>
        <v/>
      </c>
      <c r="L309" s="91">
        <f t="shared" si="3"/>
        <v>0</v>
      </c>
      <c r="M309" s="91">
        <f t="shared" si="4"/>
        <v>0</v>
      </c>
      <c r="N309" s="89" t="str">
        <f>IFERROR(VLOOKUP(B309,'Employees List'!$A$2:$H$991,8,0),"")</f>
        <v/>
      </c>
      <c r="O309" s="89" t="str">
        <f>IFERROR(VLOOKUP(D309,'Daily Attendance Report 24-25'!A281:BP999,5,0),"")</f>
        <v/>
      </c>
      <c r="P309" s="89" t="str">
        <f>IFERROR(VLOOKUP(E309,'Daily Attendance Report 24-25'!$A$1:$BO$617,5,0),"")</f>
        <v/>
      </c>
      <c r="Q309" s="89"/>
      <c r="R309" s="89"/>
      <c r="S309" s="89" t="str">
        <f t="shared" si="17"/>
        <v>#DIV/0!</v>
      </c>
      <c r="T309" s="89" t="str">
        <f t="shared" si="6"/>
        <v>#DIV/0!</v>
      </c>
      <c r="U309" s="89" t="str">
        <f t="shared" si="25"/>
        <v>#DIV/0!</v>
      </c>
      <c r="V309" s="89" t="str">
        <f t="shared" si="24"/>
        <v>#DIV/0!</v>
      </c>
      <c r="W309" s="89" t="str">
        <f t="shared" si="9"/>
        <v>#DIV/0!</v>
      </c>
      <c r="X309" s="89"/>
      <c r="Y309" s="89"/>
      <c r="Z309" s="89"/>
      <c r="AA309" s="89"/>
      <c r="AB309" s="89"/>
      <c r="AC309" s="89"/>
      <c r="AD309" s="89"/>
      <c r="AE309" s="89"/>
      <c r="AF309" s="89"/>
      <c r="AG309" s="89"/>
      <c r="AH309" s="89"/>
    </row>
    <row r="310">
      <c r="A310" s="8" t="s">
        <v>448</v>
      </c>
      <c r="B310" s="97"/>
      <c r="C310" s="8"/>
      <c r="D310" s="89" t="str">
        <f t="shared" si="1"/>
        <v/>
      </c>
      <c r="E310" s="89" t="str">
        <f t="shared" si="2"/>
        <v>OT Hours</v>
      </c>
      <c r="F310" s="89" t="str">
        <f>IFERROR(VLOOKUP(C310,'Employees List'!$B$1:$G$999,2,0),"")</f>
        <v/>
      </c>
      <c r="G310" s="89" t="str">
        <f t="shared" si="23"/>
        <v>#DIV/0!</v>
      </c>
      <c r="H310" s="98"/>
      <c r="I310" s="89" t="str">
        <f>IFERROR(VLOOKUP(F310,'Employees List'!$C:$F,2,0),"")</f>
        <v/>
      </c>
      <c r="J310" s="93" t="str">
        <f>IFERROR(VLOOKUP(C310,'Employees List'!$B$2:$G$991,5,0),"")</f>
        <v/>
      </c>
      <c r="K310" s="95" t="str">
        <f>IFERROR(VLOOKUP(F310,'Employees List'!$C$1:$AB$991,5,0),"")</f>
        <v/>
      </c>
      <c r="L310" s="91">
        <f t="shared" si="3"/>
        <v>0</v>
      </c>
      <c r="M310" s="91">
        <f t="shared" si="4"/>
        <v>0</v>
      </c>
      <c r="N310" s="89" t="str">
        <f>IFERROR(VLOOKUP(B310,'Employees List'!$A$2:$H$991,8,0),"")</f>
        <v/>
      </c>
      <c r="O310" s="89" t="str">
        <f>IFERROR(VLOOKUP(D310,'Daily Attendance Report 24-25'!A282:BP999,5,0),"")</f>
        <v/>
      </c>
      <c r="P310" s="89" t="str">
        <f>IFERROR(VLOOKUP(E310,'Daily Attendance Report 24-25'!$A$1:$BO$617,5,0),"")</f>
        <v/>
      </c>
      <c r="Q310" s="89"/>
      <c r="R310" s="89"/>
      <c r="S310" s="89" t="str">
        <f t="shared" si="17"/>
        <v>#DIV/0!</v>
      </c>
      <c r="T310" s="89" t="str">
        <f t="shared" si="6"/>
        <v>#DIV/0!</v>
      </c>
      <c r="U310" s="89" t="str">
        <f t="shared" si="25"/>
        <v>#DIV/0!</v>
      </c>
      <c r="V310" s="89" t="str">
        <f t="shared" si="24"/>
        <v>#DIV/0!</v>
      </c>
      <c r="W310" s="89" t="str">
        <f t="shared" si="9"/>
        <v>#DIV/0!</v>
      </c>
      <c r="X310" s="89"/>
      <c r="Y310" s="89"/>
      <c r="Z310" s="89"/>
      <c r="AA310" s="89"/>
      <c r="AB310" s="89"/>
      <c r="AC310" s="89"/>
      <c r="AD310" s="89"/>
      <c r="AE310" s="89"/>
      <c r="AF310" s="89"/>
      <c r="AG310" s="89"/>
      <c r="AH310" s="89"/>
    </row>
    <row r="311">
      <c r="A311" s="8" t="s">
        <v>449</v>
      </c>
      <c r="B311" s="97"/>
      <c r="C311" s="8"/>
      <c r="D311" s="89" t="str">
        <f t="shared" si="1"/>
        <v/>
      </c>
      <c r="E311" s="89" t="str">
        <f t="shared" si="2"/>
        <v>OT Hours</v>
      </c>
      <c r="F311" s="89" t="str">
        <f>IFERROR(VLOOKUP(C311,'Employees List'!$B$1:$G$999,2,0),"")</f>
        <v/>
      </c>
      <c r="G311" s="89" t="str">
        <f t="shared" si="23"/>
        <v>#DIV/0!</v>
      </c>
      <c r="H311" s="98"/>
      <c r="I311" s="89" t="str">
        <f>IFERROR(VLOOKUP(F311,'Employees List'!$C:$F,2,0),"")</f>
        <v/>
      </c>
      <c r="J311" s="93" t="str">
        <f>IFERROR(VLOOKUP(C311,'Employees List'!$B$2:$G$991,5,0),"")</f>
        <v/>
      </c>
      <c r="K311" s="95" t="str">
        <f>IFERROR(VLOOKUP(F311,'Employees List'!$C$1:$AB$991,5,0),"")</f>
        <v/>
      </c>
      <c r="L311" s="91">
        <f t="shared" si="3"/>
        <v>0</v>
      </c>
      <c r="M311" s="91">
        <f t="shared" si="4"/>
        <v>0</v>
      </c>
      <c r="N311" s="89" t="str">
        <f>IFERROR(VLOOKUP(B311,'Employees List'!$A$2:$H$991,8,0),"")</f>
        <v/>
      </c>
      <c r="O311" s="89" t="str">
        <f>IFERROR(VLOOKUP(D311,'Daily Attendance Report 24-25'!A283:BP999,5,0),"")</f>
        <v/>
      </c>
      <c r="P311" s="89" t="str">
        <f>IFERROR(VLOOKUP(E311,'Daily Attendance Report 24-25'!$A$1:$BO$617,5,0),"")</f>
        <v/>
      </c>
      <c r="Q311" s="89"/>
      <c r="R311" s="89"/>
      <c r="S311" s="89" t="str">
        <f t="shared" si="17"/>
        <v>#DIV/0!</v>
      </c>
      <c r="T311" s="89" t="str">
        <f t="shared" si="6"/>
        <v>#DIV/0!</v>
      </c>
      <c r="U311" s="89" t="str">
        <f t="shared" si="25"/>
        <v>#DIV/0!</v>
      </c>
      <c r="V311" s="89" t="str">
        <f t="shared" si="24"/>
        <v>#DIV/0!</v>
      </c>
      <c r="W311" s="89" t="str">
        <f t="shared" si="9"/>
        <v>#DIV/0!</v>
      </c>
      <c r="X311" s="89"/>
      <c r="Y311" s="89"/>
      <c r="Z311" s="89"/>
      <c r="AA311" s="89"/>
      <c r="AB311" s="89"/>
      <c r="AC311" s="89"/>
      <c r="AD311" s="89"/>
      <c r="AE311" s="89"/>
      <c r="AF311" s="89"/>
      <c r="AG311" s="89"/>
      <c r="AH311" s="89"/>
    </row>
    <row r="312">
      <c r="A312" s="8" t="s">
        <v>450</v>
      </c>
      <c r="B312" s="97"/>
      <c r="C312" s="8"/>
      <c r="D312" s="89" t="str">
        <f t="shared" si="1"/>
        <v/>
      </c>
      <c r="E312" s="89" t="str">
        <f t="shared" si="2"/>
        <v>OT Hours</v>
      </c>
      <c r="F312" s="89" t="str">
        <f>IFERROR(VLOOKUP(C312,'Employees List'!$B$1:$G$999,2,0),"")</f>
        <v/>
      </c>
      <c r="G312" s="89" t="str">
        <f t="shared" si="23"/>
        <v>#DIV/0!</v>
      </c>
      <c r="H312" s="98"/>
      <c r="I312" s="89" t="str">
        <f>IFERROR(VLOOKUP(F312,'Employees List'!$C:$F,2,0),"")</f>
        <v/>
      </c>
      <c r="J312" s="93" t="str">
        <f>IFERROR(VLOOKUP(C312,'Employees List'!$B$2:$G$991,5,0),"")</f>
        <v/>
      </c>
      <c r="K312" s="95" t="str">
        <f>IFERROR(VLOOKUP(F312,'Employees List'!$C$1:$AB$991,5,0),"")</f>
        <v/>
      </c>
      <c r="L312" s="91">
        <f t="shared" si="3"/>
        <v>0</v>
      </c>
      <c r="M312" s="91">
        <f t="shared" si="4"/>
        <v>0</v>
      </c>
      <c r="N312" s="89" t="str">
        <f>IFERROR(VLOOKUP(B312,'Employees List'!$A$2:$H$991,8,0),"")</f>
        <v/>
      </c>
      <c r="O312" s="89" t="str">
        <f>IFERROR(VLOOKUP(D312,'Daily Attendance Report 24-25'!A283:BP999,5,0),"")</f>
        <v/>
      </c>
      <c r="P312" s="89" t="str">
        <f>IFERROR(VLOOKUP(E312,'Daily Attendance Report 24-25'!$A$1:$BO$617,5,0),"")</f>
        <v/>
      </c>
      <c r="Q312" s="89"/>
      <c r="R312" s="89"/>
      <c r="S312" s="89" t="str">
        <f t="shared" si="17"/>
        <v>#DIV/0!</v>
      </c>
      <c r="T312" s="89" t="str">
        <f t="shared" si="6"/>
        <v>#DIV/0!</v>
      </c>
      <c r="U312" s="89" t="str">
        <f t="shared" si="25"/>
        <v>#DIV/0!</v>
      </c>
      <c r="V312" s="89" t="str">
        <f t="shared" si="24"/>
        <v>#DIV/0!</v>
      </c>
      <c r="W312" s="89" t="str">
        <f t="shared" si="9"/>
        <v>#DIV/0!</v>
      </c>
      <c r="X312" s="89"/>
      <c r="Y312" s="89"/>
      <c r="Z312" s="89"/>
      <c r="AA312" s="89"/>
      <c r="AB312" s="89"/>
      <c r="AC312" s="89"/>
      <c r="AD312" s="89"/>
      <c r="AE312" s="89"/>
      <c r="AF312" s="89"/>
      <c r="AG312" s="89"/>
      <c r="AH312" s="89"/>
    </row>
    <row r="313">
      <c r="A313" s="8" t="s">
        <v>451</v>
      </c>
      <c r="B313" s="97"/>
      <c r="C313" s="8"/>
      <c r="D313" s="89" t="str">
        <f t="shared" si="1"/>
        <v/>
      </c>
      <c r="E313" s="89" t="str">
        <f t="shared" si="2"/>
        <v>OT Hours</v>
      </c>
      <c r="F313" s="89" t="str">
        <f>IFERROR(VLOOKUP(C313,'Employees List'!$B$1:$G$999,2,0),"")</f>
        <v/>
      </c>
      <c r="G313" s="89" t="str">
        <f t="shared" si="23"/>
        <v>#DIV/0!</v>
      </c>
      <c r="H313" s="98"/>
      <c r="I313" s="89" t="str">
        <f>IFERROR(VLOOKUP(F313,'Employees List'!$C:$F,2,0),"")</f>
        <v/>
      </c>
      <c r="J313" s="93" t="str">
        <f>IFERROR(VLOOKUP(C313,'Employees List'!$B$2:$G$991,5,0),"")</f>
        <v/>
      </c>
      <c r="K313" s="95" t="str">
        <f>IFERROR(VLOOKUP(F313,'Employees List'!$C$1:$AB$991,5,0),"")</f>
        <v/>
      </c>
      <c r="L313" s="91">
        <f t="shared" si="3"/>
        <v>0</v>
      </c>
      <c r="M313" s="91">
        <f t="shared" si="4"/>
        <v>0</v>
      </c>
      <c r="N313" s="89" t="str">
        <f>IFERROR(VLOOKUP(B313,'Employees List'!$A$2:$H$991,8,0),"")</f>
        <v/>
      </c>
      <c r="O313" s="89" t="str">
        <f>IFERROR(VLOOKUP(D313,'Daily Attendance Report 24-25'!A283:BP999,5,0),"")</f>
        <v/>
      </c>
      <c r="P313" s="89" t="str">
        <f>IFERROR(VLOOKUP(E313,'Daily Attendance Report 24-25'!$A$1:$BO$617,5,0),"")</f>
        <v/>
      </c>
      <c r="Q313" s="89"/>
      <c r="R313" s="89"/>
      <c r="S313" s="89" t="str">
        <f t="shared" si="17"/>
        <v>#DIV/0!</v>
      </c>
      <c r="T313" s="89" t="str">
        <f t="shared" si="6"/>
        <v>#DIV/0!</v>
      </c>
      <c r="U313" s="89" t="str">
        <f t="shared" si="25"/>
        <v>#DIV/0!</v>
      </c>
      <c r="V313" s="89" t="str">
        <f t="shared" si="24"/>
        <v>#DIV/0!</v>
      </c>
      <c r="W313" s="89" t="str">
        <f t="shared" si="9"/>
        <v>#DIV/0!</v>
      </c>
      <c r="X313" s="89"/>
      <c r="Y313" s="89"/>
      <c r="Z313" s="89"/>
      <c r="AA313" s="89"/>
      <c r="AB313" s="89"/>
      <c r="AC313" s="89"/>
      <c r="AD313" s="89"/>
      <c r="AE313" s="89"/>
      <c r="AF313" s="89"/>
      <c r="AG313" s="89"/>
      <c r="AH313" s="89"/>
    </row>
    <row r="314">
      <c r="A314" s="8" t="s">
        <v>452</v>
      </c>
      <c r="B314" s="97"/>
      <c r="C314" s="8"/>
      <c r="D314" s="89" t="str">
        <f t="shared" si="1"/>
        <v/>
      </c>
      <c r="E314" s="89" t="str">
        <f t="shared" si="2"/>
        <v>OT Hours</v>
      </c>
      <c r="F314" s="89" t="str">
        <f>IFERROR(VLOOKUP(C314,'Employees List'!$B$1:$G$999,2,0),"")</f>
        <v/>
      </c>
      <c r="G314" s="89" t="str">
        <f t="shared" si="23"/>
        <v>#DIV/0!</v>
      </c>
      <c r="H314" s="98"/>
      <c r="I314" s="89" t="str">
        <f>IFERROR(VLOOKUP(F314,'Employees List'!$C:$F,2,0),"")</f>
        <v/>
      </c>
      <c r="J314" s="93" t="str">
        <f>IFERROR(VLOOKUP(C314,'Employees List'!$B$2:$G$991,5,0),"")</f>
        <v/>
      </c>
      <c r="K314" s="95" t="str">
        <f>IFERROR(VLOOKUP(F314,'Employees List'!$C$1:$AB$991,5,0),"")</f>
        <v/>
      </c>
      <c r="L314" s="91">
        <f t="shared" si="3"/>
        <v>0</v>
      </c>
      <c r="M314" s="91">
        <f t="shared" si="4"/>
        <v>0</v>
      </c>
      <c r="N314" s="89" t="str">
        <f>IFERROR(VLOOKUP(B314,'Employees List'!$A$2:$H$991,8,0),"")</f>
        <v/>
      </c>
      <c r="O314" s="89" t="str">
        <f>IFERROR(VLOOKUP(D314,'Daily Attendance Report 24-25'!A284:BP999,5,0),"")</f>
        <v/>
      </c>
      <c r="P314" s="89" t="str">
        <f>IFERROR(VLOOKUP(E314,'Daily Attendance Report 24-25'!$A$1:$BO$617,5,0),"")</f>
        <v/>
      </c>
      <c r="Q314" s="89"/>
      <c r="R314" s="89"/>
      <c r="S314" s="89" t="str">
        <f t="shared" si="17"/>
        <v>#DIV/0!</v>
      </c>
      <c r="T314" s="89" t="str">
        <f t="shared" si="6"/>
        <v>#DIV/0!</v>
      </c>
      <c r="U314" s="89" t="str">
        <f t="shared" si="25"/>
        <v>#DIV/0!</v>
      </c>
      <c r="V314" s="89" t="str">
        <f t="shared" si="24"/>
        <v>#DIV/0!</v>
      </c>
      <c r="W314" s="89" t="str">
        <f t="shared" si="9"/>
        <v>#DIV/0!</v>
      </c>
      <c r="X314" s="89"/>
      <c r="Y314" s="89"/>
      <c r="Z314" s="89"/>
      <c r="AA314" s="89"/>
      <c r="AB314" s="89"/>
      <c r="AC314" s="89"/>
      <c r="AD314" s="89"/>
      <c r="AE314" s="89"/>
      <c r="AF314" s="89"/>
      <c r="AG314" s="89"/>
      <c r="AH314" s="89"/>
    </row>
    <row r="315">
      <c r="A315" s="8" t="s">
        <v>453</v>
      </c>
      <c r="B315" s="97"/>
      <c r="C315" s="8"/>
      <c r="D315" s="89" t="str">
        <f t="shared" si="1"/>
        <v/>
      </c>
      <c r="E315" s="89" t="str">
        <f t="shared" si="2"/>
        <v>OT Hours</v>
      </c>
      <c r="F315" s="89" t="str">
        <f>IFERROR(VLOOKUP(C315,'Employees List'!$B$1:$G$999,2,0),"")</f>
        <v/>
      </c>
      <c r="G315" s="89" t="str">
        <f t="shared" si="23"/>
        <v>#DIV/0!</v>
      </c>
      <c r="H315" s="98"/>
      <c r="I315" s="89" t="str">
        <f>IFERROR(VLOOKUP(F315,'Employees List'!$C:$F,2,0),"")</f>
        <v/>
      </c>
      <c r="J315" s="93" t="str">
        <f>IFERROR(VLOOKUP(C315,'Employees List'!$B$2:$G$991,5,0),"")</f>
        <v/>
      </c>
      <c r="K315" s="95" t="str">
        <f>IFERROR(VLOOKUP(F315,'Employees List'!$C$1:$AB$991,5,0),"")</f>
        <v/>
      </c>
      <c r="L315" s="91">
        <f t="shared" si="3"/>
        <v>0</v>
      </c>
      <c r="M315" s="91">
        <f t="shared" si="4"/>
        <v>0</v>
      </c>
      <c r="N315" s="89" t="str">
        <f>IFERROR(VLOOKUP(B315,'Employees List'!$A$2:$H$991,8,0),"")</f>
        <v/>
      </c>
      <c r="O315" s="89" t="str">
        <f>IFERROR(VLOOKUP(D315,'Daily Attendance Report 24-25'!A285:BP999,5,0),"")</f>
        <v/>
      </c>
      <c r="P315" s="89" t="str">
        <f>IFERROR(VLOOKUP(E315,'Daily Attendance Report 24-25'!$A$1:$BO$617,5,0),"")</f>
        <v/>
      </c>
      <c r="Q315" s="89"/>
      <c r="R315" s="89"/>
      <c r="S315" s="89" t="str">
        <f t="shared" si="17"/>
        <v>#DIV/0!</v>
      </c>
      <c r="T315" s="89" t="str">
        <f t="shared" si="6"/>
        <v>#DIV/0!</v>
      </c>
      <c r="U315" s="89" t="str">
        <f t="shared" si="25"/>
        <v>#DIV/0!</v>
      </c>
      <c r="V315" s="89" t="str">
        <f t="shared" si="24"/>
        <v>#DIV/0!</v>
      </c>
      <c r="W315" s="89" t="str">
        <f t="shared" si="9"/>
        <v>#DIV/0!</v>
      </c>
      <c r="X315" s="89"/>
      <c r="Y315" s="89"/>
      <c r="Z315" s="89"/>
      <c r="AA315" s="89"/>
      <c r="AB315" s="89"/>
      <c r="AC315" s="89"/>
      <c r="AD315" s="89"/>
      <c r="AE315" s="89"/>
      <c r="AF315" s="89"/>
      <c r="AG315" s="89"/>
      <c r="AH315" s="89"/>
    </row>
    <row r="316">
      <c r="A316" s="8" t="s">
        <v>454</v>
      </c>
      <c r="B316" s="97"/>
      <c r="C316" s="8"/>
      <c r="D316" s="89" t="str">
        <f t="shared" si="1"/>
        <v/>
      </c>
      <c r="E316" s="89" t="str">
        <f t="shared" si="2"/>
        <v>OT Hours</v>
      </c>
      <c r="F316" s="89" t="str">
        <f>IFERROR(VLOOKUP(C316,'Employees List'!$B$1:$G$999,2,0),"")</f>
        <v/>
      </c>
      <c r="G316" s="89" t="str">
        <f t="shared" si="23"/>
        <v>#DIV/0!</v>
      </c>
      <c r="H316" s="98"/>
      <c r="I316" s="89" t="str">
        <f>IFERROR(VLOOKUP(F316,'Employees List'!$C:$F,2,0),"")</f>
        <v/>
      </c>
      <c r="J316" s="93" t="str">
        <f>IFERROR(VLOOKUP(C316,'Employees List'!$B$2:$G$991,5,0),"")</f>
        <v/>
      </c>
      <c r="K316" s="95" t="str">
        <f>IFERROR(VLOOKUP(F316,'Employees List'!$C$1:$AB$991,5,0),"")</f>
        <v/>
      </c>
      <c r="L316" s="91">
        <f t="shared" si="3"/>
        <v>0</v>
      </c>
      <c r="M316" s="91">
        <f t="shared" si="4"/>
        <v>0</v>
      </c>
      <c r="N316" s="89" t="str">
        <f>IFERROR(VLOOKUP(B316,'Employees List'!$A$2:$H$991,8,0),"")</f>
        <v/>
      </c>
      <c r="O316" s="89" t="str">
        <f>IFERROR(VLOOKUP(D316,'Daily Attendance Report 24-25'!A286:BP999,5,0),"")</f>
        <v/>
      </c>
      <c r="P316" s="89" t="str">
        <f>IFERROR(VLOOKUP(E316,'Daily Attendance Report 24-25'!$A$1:$BO$617,5,0),"")</f>
        <v/>
      </c>
      <c r="Q316" s="89"/>
      <c r="R316" s="89"/>
      <c r="S316" s="89" t="str">
        <f t="shared" si="17"/>
        <v>#DIV/0!</v>
      </c>
      <c r="T316" s="89" t="str">
        <f t="shared" si="6"/>
        <v>#DIV/0!</v>
      </c>
      <c r="U316" s="89" t="str">
        <f t="shared" si="25"/>
        <v>#DIV/0!</v>
      </c>
      <c r="V316" s="89" t="str">
        <f t="shared" si="24"/>
        <v>#DIV/0!</v>
      </c>
      <c r="W316" s="89" t="str">
        <f t="shared" si="9"/>
        <v>#DIV/0!</v>
      </c>
      <c r="X316" s="89"/>
      <c r="Y316" s="89"/>
      <c r="Z316" s="89"/>
      <c r="AA316" s="89"/>
      <c r="AB316" s="89"/>
      <c r="AC316" s="89"/>
      <c r="AD316" s="89"/>
      <c r="AE316" s="89"/>
      <c r="AF316" s="89"/>
      <c r="AG316" s="89"/>
      <c r="AH316" s="89"/>
    </row>
    <row r="317">
      <c r="A317" s="8" t="s">
        <v>455</v>
      </c>
      <c r="B317" s="97"/>
      <c r="C317" s="8"/>
      <c r="D317" s="89" t="str">
        <f t="shared" si="1"/>
        <v/>
      </c>
      <c r="E317" s="89" t="str">
        <f t="shared" si="2"/>
        <v>OT Hours</v>
      </c>
      <c r="F317" s="89" t="str">
        <f>IFERROR(VLOOKUP(C317,'Employees List'!$B$1:$G$999,2,0),"")</f>
        <v/>
      </c>
      <c r="G317" s="89" t="str">
        <f t="shared" si="23"/>
        <v>#DIV/0!</v>
      </c>
      <c r="H317" s="98"/>
      <c r="I317" s="89" t="str">
        <f>IFERROR(VLOOKUP(F317,'Employees List'!$C:$F,2,0),"")</f>
        <v/>
      </c>
      <c r="J317" s="93" t="str">
        <f>IFERROR(VLOOKUP(C317,'Employees List'!$B$2:$G$991,5,0),"")</f>
        <v/>
      </c>
      <c r="K317" s="95" t="str">
        <f>IFERROR(VLOOKUP(F317,'Employees List'!$C$1:$AB$991,5,0),"")</f>
        <v/>
      </c>
      <c r="L317" s="91">
        <f t="shared" si="3"/>
        <v>0</v>
      </c>
      <c r="M317" s="91">
        <f t="shared" si="4"/>
        <v>0</v>
      </c>
      <c r="N317" s="89" t="str">
        <f>IFERROR(VLOOKUP(B317,'Employees List'!$A$2:$H$991,8,0),"")</f>
        <v/>
      </c>
      <c r="O317" s="89" t="str">
        <f>IFERROR(VLOOKUP(D317,'Daily Attendance Report 24-25'!A287:BP999,5,0),"")</f>
        <v/>
      </c>
      <c r="P317" s="89" t="str">
        <f>IFERROR(VLOOKUP(E317,'Daily Attendance Report 24-25'!$A$1:$BO$617,5,0),"")</f>
        <v/>
      </c>
      <c r="Q317" s="89"/>
      <c r="R317" s="89"/>
      <c r="S317" s="89" t="str">
        <f t="shared" si="17"/>
        <v>#DIV/0!</v>
      </c>
      <c r="T317" s="89" t="str">
        <f t="shared" si="6"/>
        <v>#DIV/0!</v>
      </c>
      <c r="U317" s="89" t="str">
        <f t="shared" si="25"/>
        <v>#DIV/0!</v>
      </c>
      <c r="V317" s="89" t="str">
        <f t="shared" si="24"/>
        <v>#DIV/0!</v>
      </c>
      <c r="W317" s="89" t="str">
        <f t="shared" si="9"/>
        <v>#DIV/0!</v>
      </c>
      <c r="X317" s="89"/>
      <c r="Y317" s="89"/>
      <c r="Z317" s="89"/>
      <c r="AA317" s="89"/>
      <c r="AB317" s="89"/>
      <c r="AC317" s="89"/>
      <c r="AD317" s="89"/>
      <c r="AE317" s="89"/>
      <c r="AF317" s="89"/>
      <c r="AG317" s="89"/>
      <c r="AH317" s="89"/>
    </row>
    <row r="318">
      <c r="A318" s="8" t="s">
        <v>456</v>
      </c>
      <c r="B318" s="97"/>
      <c r="C318" s="8"/>
      <c r="D318" s="89" t="str">
        <f t="shared" si="1"/>
        <v/>
      </c>
      <c r="E318" s="89" t="str">
        <f t="shared" si="2"/>
        <v>OT Hours</v>
      </c>
      <c r="F318" s="89" t="str">
        <f>IFERROR(VLOOKUP(C318,'Employees List'!$B$1:$G$999,2,0),"")</f>
        <v/>
      </c>
      <c r="G318" s="89" t="str">
        <f t="shared" si="23"/>
        <v>#DIV/0!</v>
      </c>
      <c r="H318" s="98"/>
      <c r="I318" s="89" t="str">
        <f>IFERROR(VLOOKUP(F318,'Employees List'!$C:$F,2,0),"")</f>
        <v/>
      </c>
      <c r="J318" s="93" t="str">
        <f>IFERROR(VLOOKUP(C318,'Employees List'!$B$2:$G$991,5,0),"")</f>
        <v/>
      </c>
      <c r="K318" s="95" t="str">
        <f>IFERROR(VLOOKUP(F318,'Employees List'!$C$1:$AB$991,5,0),"")</f>
        <v/>
      </c>
      <c r="L318" s="91">
        <f t="shared" si="3"/>
        <v>0</v>
      </c>
      <c r="M318" s="91">
        <f t="shared" si="4"/>
        <v>0</v>
      </c>
      <c r="N318" s="89" t="str">
        <f>IFERROR(VLOOKUP(B318,'Employees List'!$A$2:$H$991,8,0),"")</f>
        <v/>
      </c>
      <c r="O318" s="89" t="str">
        <f>IFERROR(VLOOKUP(D318,'Daily Attendance Report 24-25'!A287:BP999,5,0),"")</f>
        <v/>
      </c>
      <c r="P318" s="89" t="str">
        <f>IFERROR(VLOOKUP(E318,'Daily Attendance Report 24-25'!$A$1:$BO$617,5,0),"")</f>
        <v/>
      </c>
      <c r="Q318" s="89"/>
      <c r="R318" s="89"/>
      <c r="S318" s="89" t="str">
        <f t="shared" si="17"/>
        <v>#DIV/0!</v>
      </c>
      <c r="T318" s="89" t="str">
        <f t="shared" si="6"/>
        <v>#DIV/0!</v>
      </c>
      <c r="U318" s="89" t="str">
        <f t="shared" si="25"/>
        <v>#DIV/0!</v>
      </c>
      <c r="V318" s="89" t="str">
        <f t="shared" si="24"/>
        <v>#DIV/0!</v>
      </c>
      <c r="W318" s="89" t="str">
        <f t="shared" si="9"/>
        <v>#DIV/0!</v>
      </c>
      <c r="X318" s="89"/>
      <c r="Y318" s="89"/>
      <c r="Z318" s="89"/>
      <c r="AA318" s="89"/>
      <c r="AB318" s="89"/>
      <c r="AC318" s="89"/>
      <c r="AD318" s="89"/>
      <c r="AE318" s="89"/>
      <c r="AF318" s="89"/>
      <c r="AG318" s="89"/>
      <c r="AH318" s="89"/>
    </row>
    <row r="319">
      <c r="A319" s="8" t="s">
        <v>457</v>
      </c>
      <c r="B319" s="97"/>
      <c r="C319" s="8"/>
      <c r="D319" s="89" t="str">
        <f t="shared" si="1"/>
        <v/>
      </c>
      <c r="E319" s="89" t="str">
        <f t="shared" si="2"/>
        <v>OT Hours</v>
      </c>
      <c r="F319" s="89" t="str">
        <f>IFERROR(VLOOKUP(C319,'Employees List'!$B$1:$G$999,2,0),"")</f>
        <v/>
      </c>
      <c r="G319" s="89" t="str">
        <f t="shared" si="23"/>
        <v>#DIV/0!</v>
      </c>
      <c r="H319" s="98"/>
      <c r="I319" s="89" t="str">
        <f>IFERROR(VLOOKUP(F319,'Employees List'!$C:$F,2,0),"")</f>
        <v/>
      </c>
      <c r="J319" s="93" t="str">
        <f>IFERROR(VLOOKUP(C319,'Employees List'!$B$2:$G$991,5,0),"")</f>
        <v/>
      </c>
      <c r="K319" s="95" t="str">
        <f>IFERROR(VLOOKUP(F319,'Employees List'!$C$1:$AB$991,5,0),"")</f>
        <v/>
      </c>
      <c r="L319" s="91">
        <f t="shared" si="3"/>
        <v>0</v>
      </c>
      <c r="M319" s="91">
        <f t="shared" si="4"/>
        <v>0</v>
      </c>
      <c r="N319" s="89" t="str">
        <f>IFERROR(VLOOKUP(B319,'Employees List'!$A$2:$H$991,8,0),"")</f>
        <v/>
      </c>
      <c r="O319" s="89" t="str">
        <f>IFERROR(VLOOKUP(D319,'Daily Attendance Report 24-25'!A287:BP999,5,0),"")</f>
        <v/>
      </c>
      <c r="P319" s="89" t="str">
        <f>IFERROR(VLOOKUP(E319,'Daily Attendance Report 24-25'!$A$1:$BO$617,5,0),"")</f>
        <v/>
      </c>
      <c r="Q319" s="89"/>
      <c r="R319" s="89"/>
      <c r="S319" s="89" t="str">
        <f t="shared" si="17"/>
        <v>#DIV/0!</v>
      </c>
      <c r="T319" s="89" t="str">
        <f t="shared" si="6"/>
        <v>#DIV/0!</v>
      </c>
      <c r="U319" s="89" t="str">
        <f t="shared" si="25"/>
        <v>#DIV/0!</v>
      </c>
      <c r="V319" s="89" t="str">
        <f t="shared" si="24"/>
        <v>#DIV/0!</v>
      </c>
      <c r="W319" s="89" t="str">
        <f t="shared" si="9"/>
        <v>#DIV/0!</v>
      </c>
      <c r="X319" s="89"/>
      <c r="Y319" s="89"/>
      <c r="Z319" s="89"/>
      <c r="AA319" s="89"/>
      <c r="AB319" s="89"/>
      <c r="AC319" s="89"/>
      <c r="AD319" s="89"/>
      <c r="AE319" s="89"/>
      <c r="AF319" s="89"/>
      <c r="AG319" s="89"/>
      <c r="AH319" s="89"/>
    </row>
    <row r="320">
      <c r="A320" s="8" t="s">
        <v>458</v>
      </c>
      <c r="B320" s="97"/>
      <c r="C320" s="8"/>
      <c r="D320" s="89" t="str">
        <f t="shared" si="1"/>
        <v/>
      </c>
      <c r="E320" s="89" t="str">
        <f t="shared" si="2"/>
        <v>OT Hours</v>
      </c>
      <c r="F320" s="89" t="str">
        <f>IFERROR(VLOOKUP(C320,'Employees List'!$B$1:$G$999,2,0),"")</f>
        <v/>
      </c>
      <c r="G320" s="89" t="str">
        <f t="shared" si="23"/>
        <v>#DIV/0!</v>
      </c>
      <c r="H320" s="98"/>
      <c r="I320" s="89" t="str">
        <f>IFERROR(VLOOKUP(F320,'Employees List'!$C:$F,2,0),"")</f>
        <v/>
      </c>
      <c r="J320" s="93" t="str">
        <f>IFERROR(VLOOKUP(C320,'Employees List'!$B$2:$G$991,5,0),"")</f>
        <v/>
      </c>
      <c r="K320" s="95" t="str">
        <f>IFERROR(VLOOKUP(F320,'Employees List'!$C$1:$AB$991,5,0),"")</f>
        <v/>
      </c>
      <c r="L320" s="91">
        <f t="shared" si="3"/>
        <v>0</v>
      </c>
      <c r="M320" s="91">
        <f t="shared" si="4"/>
        <v>0</v>
      </c>
      <c r="N320" s="89" t="str">
        <f>IFERROR(VLOOKUP(B320,'Employees List'!$A$2:$H$991,8,0),"")</f>
        <v/>
      </c>
      <c r="O320" s="89" t="str">
        <f>IFERROR(VLOOKUP(D320,'Daily Attendance Report 24-25'!A288:BP999,5,0),"")</f>
        <v/>
      </c>
      <c r="P320" s="89" t="str">
        <f>IFERROR(VLOOKUP(E320,'Daily Attendance Report 24-25'!$A$1:$BO$617,5,0),"")</f>
        <v/>
      </c>
      <c r="Q320" s="89"/>
      <c r="R320" s="89"/>
      <c r="S320" s="89" t="str">
        <f t="shared" si="17"/>
        <v>#DIV/0!</v>
      </c>
      <c r="T320" s="89" t="str">
        <f t="shared" si="6"/>
        <v>#DIV/0!</v>
      </c>
      <c r="U320" s="89" t="str">
        <f t="shared" si="25"/>
        <v>#DIV/0!</v>
      </c>
      <c r="V320" s="89" t="str">
        <f t="shared" si="24"/>
        <v>#DIV/0!</v>
      </c>
      <c r="W320" s="89" t="str">
        <f t="shared" si="9"/>
        <v>#DIV/0!</v>
      </c>
      <c r="X320" s="89"/>
      <c r="Y320" s="89"/>
      <c r="Z320" s="89"/>
      <c r="AA320" s="89"/>
      <c r="AB320" s="89"/>
      <c r="AC320" s="89"/>
      <c r="AD320" s="89"/>
      <c r="AE320" s="89"/>
      <c r="AF320" s="89"/>
      <c r="AG320" s="89"/>
      <c r="AH320" s="89"/>
    </row>
    <row r="321">
      <c r="A321" s="8" t="s">
        <v>459</v>
      </c>
      <c r="B321" s="97"/>
      <c r="C321" s="8"/>
      <c r="D321" s="89" t="str">
        <f t="shared" si="1"/>
        <v/>
      </c>
      <c r="E321" s="89" t="str">
        <f t="shared" si="2"/>
        <v>OT Hours</v>
      </c>
      <c r="F321" s="89" t="str">
        <f>IFERROR(VLOOKUP(C321,'Employees List'!$B$1:$G$999,2,0),"")</f>
        <v/>
      </c>
      <c r="G321" s="89" t="str">
        <f t="shared" si="23"/>
        <v>#DIV/0!</v>
      </c>
      <c r="H321" s="98"/>
      <c r="I321" s="89" t="str">
        <f>IFERROR(VLOOKUP(F321,'Employees List'!$C:$F,2,0),"")</f>
        <v/>
      </c>
      <c r="J321" s="93" t="str">
        <f>IFERROR(VLOOKUP(C321,'Employees List'!$B$2:$G$991,5,0),"")</f>
        <v/>
      </c>
      <c r="K321" s="95" t="str">
        <f>IFERROR(VLOOKUP(F321,'Employees List'!$C$1:$AB$991,5,0),"")</f>
        <v/>
      </c>
      <c r="L321" s="91">
        <f t="shared" si="3"/>
        <v>0</v>
      </c>
      <c r="M321" s="91">
        <f t="shared" si="4"/>
        <v>0</v>
      </c>
      <c r="N321" s="89" t="str">
        <f>IFERROR(VLOOKUP(B321,'Employees List'!$A$2:$H$991,8,0),"")</f>
        <v/>
      </c>
      <c r="O321" s="89" t="str">
        <f>IFERROR(VLOOKUP(D321,'Daily Attendance Report 24-25'!A289:BP999,5,0),"")</f>
        <v/>
      </c>
      <c r="P321" s="89" t="str">
        <f>IFERROR(VLOOKUP(E321,'Daily Attendance Report 24-25'!$A$1:$BO$617,5,0),"")</f>
        <v/>
      </c>
      <c r="Q321" s="89"/>
      <c r="R321" s="89"/>
      <c r="S321" s="89" t="str">
        <f t="shared" si="17"/>
        <v>#DIV/0!</v>
      </c>
      <c r="T321" s="89" t="str">
        <f t="shared" si="6"/>
        <v>#DIV/0!</v>
      </c>
      <c r="U321" s="89" t="str">
        <f t="shared" si="25"/>
        <v>#DIV/0!</v>
      </c>
      <c r="V321" s="89" t="str">
        <f t="shared" si="24"/>
        <v>#DIV/0!</v>
      </c>
      <c r="W321" s="89" t="str">
        <f t="shared" si="9"/>
        <v>#DIV/0!</v>
      </c>
      <c r="X321" s="89"/>
      <c r="Y321" s="89"/>
      <c r="Z321" s="89"/>
      <c r="AA321" s="89"/>
      <c r="AB321" s="89"/>
      <c r="AC321" s="89"/>
      <c r="AD321" s="89"/>
      <c r="AE321" s="89"/>
      <c r="AF321" s="89"/>
      <c r="AG321" s="89"/>
      <c r="AH321" s="89"/>
    </row>
    <row r="322">
      <c r="A322" s="8" t="s">
        <v>460</v>
      </c>
      <c r="B322" s="97"/>
      <c r="C322" s="8"/>
      <c r="D322" s="89" t="str">
        <f t="shared" si="1"/>
        <v/>
      </c>
      <c r="E322" s="89" t="str">
        <f t="shared" si="2"/>
        <v>OT Hours</v>
      </c>
      <c r="F322" s="89" t="str">
        <f>IFERROR(VLOOKUP(C322,'Employees List'!$B$1:$G$999,2,0),"")</f>
        <v/>
      </c>
      <c r="G322" s="89" t="str">
        <f t="shared" si="23"/>
        <v>#DIV/0!</v>
      </c>
      <c r="H322" s="98"/>
      <c r="I322" s="89" t="str">
        <f>IFERROR(VLOOKUP(F322,'Employees List'!$C:$F,2,0),"")</f>
        <v/>
      </c>
      <c r="J322" s="93" t="str">
        <f>IFERROR(VLOOKUP(C322,'Employees List'!$B$2:$G$991,5,0),"")</f>
        <v/>
      </c>
      <c r="K322" s="95" t="str">
        <f>IFERROR(VLOOKUP(F322,'Employees List'!$C$1:$AB$991,5,0),"")</f>
        <v/>
      </c>
      <c r="L322" s="91">
        <f t="shared" si="3"/>
        <v>0</v>
      </c>
      <c r="M322" s="91">
        <f t="shared" si="4"/>
        <v>0</v>
      </c>
      <c r="N322" s="89" t="str">
        <f>IFERROR(VLOOKUP(B322,'Employees List'!$A$2:$H$991,8,0),"")</f>
        <v/>
      </c>
      <c r="O322" s="89" t="str">
        <f>IFERROR(VLOOKUP(D322,'Daily Attendance Report 24-25'!A290:BP999,5,0),"")</f>
        <v/>
      </c>
      <c r="P322" s="89" t="str">
        <f>IFERROR(VLOOKUP(E322,'Daily Attendance Report 24-25'!$A$1:$BO$617,5,0),"")</f>
        <v/>
      </c>
      <c r="Q322" s="89"/>
      <c r="R322" s="89"/>
      <c r="S322" s="89" t="str">
        <f t="shared" si="17"/>
        <v>#DIV/0!</v>
      </c>
      <c r="T322" s="89" t="str">
        <f t="shared" si="6"/>
        <v>#DIV/0!</v>
      </c>
      <c r="U322" s="89" t="str">
        <f t="shared" si="25"/>
        <v>#DIV/0!</v>
      </c>
      <c r="V322" s="89" t="str">
        <f t="shared" si="24"/>
        <v>#DIV/0!</v>
      </c>
      <c r="W322" s="89" t="str">
        <f t="shared" si="9"/>
        <v>#DIV/0!</v>
      </c>
      <c r="X322" s="89"/>
      <c r="Y322" s="89"/>
      <c r="Z322" s="89"/>
      <c r="AA322" s="89"/>
      <c r="AB322" s="89"/>
      <c r="AC322" s="89"/>
      <c r="AD322" s="89"/>
      <c r="AE322" s="89"/>
      <c r="AF322" s="89"/>
      <c r="AG322" s="89"/>
      <c r="AH322" s="89"/>
    </row>
    <row r="323">
      <c r="A323" s="8" t="s">
        <v>461</v>
      </c>
      <c r="B323" s="97"/>
      <c r="C323" s="8"/>
      <c r="D323" s="89" t="str">
        <f t="shared" si="1"/>
        <v/>
      </c>
      <c r="E323" s="89" t="str">
        <f t="shared" si="2"/>
        <v>OT Hours</v>
      </c>
      <c r="F323" s="89" t="str">
        <f>IFERROR(VLOOKUP(C323,'Employees List'!$B$1:$G$999,2,0),"")</f>
        <v/>
      </c>
      <c r="G323" s="89" t="str">
        <f t="shared" si="23"/>
        <v>#DIV/0!</v>
      </c>
      <c r="H323" s="98"/>
      <c r="I323" s="89" t="str">
        <f>IFERROR(VLOOKUP(F323,'Employees List'!$C:$F,2,0),"")</f>
        <v/>
      </c>
      <c r="J323" s="93" t="str">
        <f>IFERROR(VLOOKUP(C323,'Employees List'!$B$2:$G$991,5,0),"")</f>
        <v/>
      </c>
      <c r="K323" s="95" t="str">
        <f>IFERROR(VLOOKUP(F323,'Employees List'!$C$1:$AB$991,5,0),"")</f>
        <v/>
      </c>
      <c r="L323" s="91">
        <f t="shared" si="3"/>
        <v>0</v>
      </c>
      <c r="M323" s="91">
        <f t="shared" si="4"/>
        <v>0</v>
      </c>
      <c r="N323" s="89" t="str">
        <f>IFERROR(VLOOKUP(B323,'Employees List'!$A$2:$H$991,8,0),"")</f>
        <v/>
      </c>
      <c r="O323" s="89" t="str">
        <f>IFERROR(VLOOKUP(D323,'Daily Attendance Report 24-25'!A291:BP999,5,0),"")</f>
        <v/>
      </c>
      <c r="P323" s="89" t="str">
        <f>IFERROR(VLOOKUP(E323,'Daily Attendance Report 24-25'!$A$1:$BO$617,5,0),"")</f>
        <v/>
      </c>
      <c r="Q323" s="89"/>
      <c r="R323" s="89"/>
      <c r="S323" s="89" t="str">
        <f t="shared" si="17"/>
        <v>#DIV/0!</v>
      </c>
      <c r="T323" s="89" t="str">
        <f t="shared" si="6"/>
        <v>#DIV/0!</v>
      </c>
      <c r="U323" s="89" t="str">
        <f t="shared" si="25"/>
        <v>#DIV/0!</v>
      </c>
      <c r="V323" s="89" t="str">
        <f t="shared" si="24"/>
        <v>#DIV/0!</v>
      </c>
      <c r="W323" s="89" t="str">
        <f t="shared" si="9"/>
        <v>#DIV/0!</v>
      </c>
      <c r="X323" s="89"/>
      <c r="Y323" s="89"/>
      <c r="Z323" s="89"/>
      <c r="AA323" s="89"/>
      <c r="AB323" s="89"/>
      <c r="AC323" s="89"/>
      <c r="AD323" s="89"/>
      <c r="AE323" s="89"/>
      <c r="AF323" s="89"/>
      <c r="AG323" s="89"/>
      <c r="AH323" s="89"/>
    </row>
    <row r="324">
      <c r="A324" s="8" t="s">
        <v>462</v>
      </c>
      <c r="B324" s="97"/>
      <c r="C324" s="8"/>
      <c r="D324" s="89" t="str">
        <f t="shared" si="1"/>
        <v/>
      </c>
      <c r="E324" s="89" t="str">
        <f t="shared" si="2"/>
        <v>OT Hours</v>
      </c>
      <c r="F324" s="89" t="str">
        <f>IFERROR(VLOOKUP(C324,'Employees List'!$B$1:$G$999,2,0),"")</f>
        <v/>
      </c>
      <c r="G324" s="89" t="str">
        <f t="shared" si="23"/>
        <v>#DIV/0!</v>
      </c>
      <c r="H324" s="98"/>
      <c r="I324" s="89" t="str">
        <f>IFERROR(VLOOKUP(F324,'Employees List'!$C:$F,2,0),"")</f>
        <v/>
      </c>
      <c r="J324" s="93" t="str">
        <f>IFERROR(VLOOKUP(C324,'Employees List'!$B$2:$G$991,5,0),"")</f>
        <v/>
      </c>
      <c r="K324" s="95" t="str">
        <f>IFERROR(VLOOKUP(F324,'Employees List'!$C$1:$AB$991,5,0),"")</f>
        <v/>
      </c>
      <c r="L324" s="91">
        <f t="shared" si="3"/>
        <v>0</v>
      </c>
      <c r="M324" s="91">
        <f t="shared" si="4"/>
        <v>0</v>
      </c>
      <c r="N324" s="89" t="str">
        <f>IFERROR(VLOOKUP(B324,'Employees List'!$A$2:$H$991,8,0),"")</f>
        <v/>
      </c>
      <c r="O324" s="89" t="str">
        <f>IFERROR(VLOOKUP(D324,'Daily Attendance Report 24-25'!A292:BP999,5,0),"")</f>
        <v/>
      </c>
      <c r="P324" s="89" t="str">
        <f>IFERROR(VLOOKUP(E324,'Daily Attendance Report 24-25'!$A$1:$BO$617,5,0),"")</f>
        <v/>
      </c>
      <c r="Q324" s="89"/>
      <c r="R324" s="89"/>
      <c r="S324" s="89" t="str">
        <f t="shared" si="17"/>
        <v>#DIV/0!</v>
      </c>
      <c r="T324" s="89" t="str">
        <f t="shared" si="6"/>
        <v>#DIV/0!</v>
      </c>
      <c r="U324" s="89" t="str">
        <f t="shared" si="25"/>
        <v>#DIV/0!</v>
      </c>
      <c r="V324" s="89" t="str">
        <f t="shared" si="24"/>
        <v>#DIV/0!</v>
      </c>
      <c r="W324" s="89" t="str">
        <f t="shared" si="9"/>
        <v>#DIV/0!</v>
      </c>
      <c r="X324" s="89"/>
      <c r="Y324" s="89"/>
      <c r="Z324" s="89"/>
      <c r="AA324" s="89"/>
      <c r="AB324" s="89"/>
      <c r="AC324" s="89"/>
      <c r="AD324" s="89"/>
      <c r="AE324" s="89"/>
      <c r="AF324" s="89"/>
      <c r="AG324" s="89"/>
      <c r="AH324" s="89"/>
    </row>
    <row r="325">
      <c r="A325" s="8" t="s">
        <v>463</v>
      </c>
      <c r="B325" s="97"/>
      <c r="C325" s="8"/>
      <c r="D325" s="89" t="str">
        <f t="shared" si="1"/>
        <v/>
      </c>
      <c r="E325" s="89" t="str">
        <f t="shared" si="2"/>
        <v>OT Hours</v>
      </c>
      <c r="F325" s="89" t="str">
        <f>IFERROR(VLOOKUP(C325,'Employees List'!$B$1:$G$999,2,0),"")</f>
        <v/>
      </c>
      <c r="G325" s="89" t="str">
        <f t="shared" si="23"/>
        <v>#DIV/0!</v>
      </c>
      <c r="H325" s="98"/>
      <c r="I325" s="89" t="str">
        <f>IFERROR(VLOOKUP(F325,'Employees List'!$C:$F,2,0),"")</f>
        <v/>
      </c>
      <c r="J325" s="93" t="str">
        <f>IFERROR(VLOOKUP(C325,'Employees List'!$B$2:$G$991,5,0),"")</f>
        <v/>
      </c>
      <c r="K325" s="95" t="str">
        <f>IFERROR(VLOOKUP(F325,'Employees List'!$C$1:$AB$991,5,0),"")</f>
        <v/>
      </c>
      <c r="L325" s="91">
        <f t="shared" si="3"/>
        <v>0</v>
      </c>
      <c r="M325" s="91">
        <f t="shared" si="4"/>
        <v>0</v>
      </c>
      <c r="N325" s="89" t="str">
        <f>IFERROR(VLOOKUP(B325,'Employees List'!$A$2:$H$991,8,0),"")</f>
        <v/>
      </c>
      <c r="O325" s="89" t="str">
        <f>IFERROR(VLOOKUP(D325,'Daily Attendance Report 24-25'!A293:BP999,5,0),"")</f>
        <v/>
      </c>
      <c r="P325" s="89" t="str">
        <f>IFERROR(VLOOKUP(E325,'Daily Attendance Report 24-25'!$A$1:$BO$617,5,0),"")</f>
        <v/>
      </c>
      <c r="Q325" s="89"/>
      <c r="R325" s="89"/>
      <c r="S325" s="89" t="str">
        <f t="shared" si="17"/>
        <v>#DIV/0!</v>
      </c>
      <c r="T325" s="89" t="str">
        <f t="shared" si="6"/>
        <v>#DIV/0!</v>
      </c>
      <c r="U325" s="89" t="str">
        <f t="shared" si="25"/>
        <v>#DIV/0!</v>
      </c>
      <c r="V325" s="89" t="str">
        <f t="shared" si="24"/>
        <v>#DIV/0!</v>
      </c>
      <c r="W325" s="89" t="str">
        <f t="shared" si="9"/>
        <v>#DIV/0!</v>
      </c>
      <c r="X325" s="89"/>
      <c r="Y325" s="89"/>
      <c r="Z325" s="89"/>
      <c r="AA325" s="89"/>
      <c r="AB325" s="89"/>
      <c r="AC325" s="89"/>
      <c r="AD325" s="89"/>
      <c r="AE325" s="89"/>
      <c r="AF325" s="89"/>
      <c r="AG325" s="89"/>
      <c r="AH325" s="89"/>
    </row>
    <row r="326">
      <c r="A326" s="8" t="s">
        <v>464</v>
      </c>
      <c r="B326" s="97"/>
      <c r="C326" s="8"/>
      <c r="D326" s="89" t="str">
        <f t="shared" si="1"/>
        <v/>
      </c>
      <c r="E326" s="89" t="str">
        <f t="shared" si="2"/>
        <v>OT Hours</v>
      </c>
      <c r="F326" s="89" t="str">
        <f>IFERROR(VLOOKUP(C326,'Employees List'!$B$1:$G$999,2,0),"")</f>
        <v/>
      </c>
      <c r="G326" s="89" t="str">
        <f t="shared" si="23"/>
        <v>#DIV/0!</v>
      </c>
      <c r="H326" s="98"/>
      <c r="I326" s="89" t="str">
        <f>IFERROR(VLOOKUP(F326,'Employees List'!$C:$F,2,0),"")</f>
        <v/>
      </c>
      <c r="J326" s="93" t="str">
        <f>IFERROR(VLOOKUP(C326,'Employees List'!$B$2:$G$991,5,0),"")</f>
        <v/>
      </c>
      <c r="K326" s="95" t="str">
        <f>IFERROR(VLOOKUP(F326,'Employees List'!$C$1:$AB$991,5,0),"")</f>
        <v/>
      </c>
      <c r="L326" s="91">
        <f t="shared" si="3"/>
        <v>0</v>
      </c>
      <c r="M326" s="91">
        <f t="shared" si="4"/>
        <v>0</v>
      </c>
      <c r="N326" s="89" t="str">
        <f>IFERROR(VLOOKUP(B326,'Employees List'!$A$2:$H$991,8,0),"")</f>
        <v/>
      </c>
      <c r="O326" s="89" t="str">
        <f>IFERROR(VLOOKUP(D326,'Daily Attendance Report 24-25'!A294:BP999,5,0),"")</f>
        <v/>
      </c>
      <c r="P326" s="89" t="str">
        <f>IFERROR(VLOOKUP(E326,'Daily Attendance Report 24-25'!$A$1:$BO$617,5,0),"")</f>
        <v/>
      </c>
      <c r="Q326" s="89"/>
      <c r="R326" s="89"/>
      <c r="S326" s="89" t="str">
        <f t="shared" si="17"/>
        <v>#DIV/0!</v>
      </c>
      <c r="T326" s="89" t="str">
        <f t="shared" si="6"/>
        <v>#DIV/0!</v>
      </c>
      <c r="U326" s="89" t="str">
        <f t="shared" si="25"/>
        <v>#DIV/0!</v>
      </c>
      <c r="V326" s="89" t="str">
        <f t="shared" si="24"/>
        <v>#DIV/0!</v>
      </c>
      <c r="W326" s="89" t="str">
        <f t="shared" si="9"/>
        <v>#DIV/0!</v>
      </c>
      <c r="X326" s="89"/>
      <c r="Y326" s="89"/>
      <c r="Z326" s="89"/>
      <c r="AA326" s="89"/>
      <c r="AB326" s="89"/>
      <c r="AC326" s="89"/>
      <c r="AD326" s="89"/>
      <c r="AE326" s="89"/>
      <c r="AF326" s="89"/>
      <c r="AG326" s="89"/>
      <c r="AH326" s="89"/>
    </row>
    <row r="327">
      <c r="A327" s="8" t="s">
        <v>465</v>
      </c>
      <c r="B327" s="97"/>
      <c r="C327" s="8"/>
      <c r="D327" s="89" t="str">
        <f t="shared" si="1"/>
        <v/>
      </c>
      <c r="E327" s="89" t="str">
        <f t="shared" si="2"/>
        <v>OT Hours</v>
      </c>
      <c r="F327" s="89" t="str">
        <f>IFERROR(VLOOKUP(C327,'Employees List'!$B$1:$G$999,2,0),"")</f>
        <v/>
      </c>
      <c r="G327" s="89" t="str">
        <f t="shared" si="23"/>
        <v>#DIV/0!</v>
      </c>
      <c r="H327" s="98"/>
      <c r="I327" s="89" t="str">
        <f>IFERROR(VLOOKUP(F327,'Employees List'!$C:$F,2,0),"")</f>
        <v/>
      </c>
      <c r="J327" s="93" t="str">
        <f>IFERROR(VLOOKUP(C327,'Employees List'!$B$2:$G$991,5,0),"")</f>
        <v/>
      </c>
      <c r="K327" s="95" t="str">
        <f>IFERROR(VLOOKUP(F327,'Employees List'!$C$1:$AB$991,5,0),"")</f>
        <v/>
      </c>
      <c r="L327" s="91">
        <f t="shared" si="3"/>
        <v>0</v>
      </c>
      <c r="M327" s="91">
        <f t="shared" si="4"/>
        <v>0</v>
      </c>
      <c r="N327" s="89" t="str">
        <f>IFERROR(VLOOKUP(B327,'Employees List'!$A$2:$H$991,8,0),"")</f>
        <v/>
      </c>
      <c r="O327" s="89" t="str">
        <f>IFERROR(VLOOKUP(D327,'Daily Attendance Report 24-25'!A295:BP999,5,0),"")</f>
        <v/>
      </c>
      <c r="P327" s="89" t="str">
        <f>IFERROR(VLOOKUP(E327,'Daily Attendance Report 24-25'!$A$1:$BO$617,5,0),"")</f>
        <v/>
      </c>
      <c r="Q327" s="89"/>
      <c r="R327" s="89"/>
      <c r="S327" s="89" t="str">
        <f t="shared" si="17"/>
        <v>#DIV/0!</v>
      </c>
      <c r="T327" s="89" t="str">
        <f t="shared" si="6"/>
        <v>#DIV/0!</v>
      </c>
      <c r="U327" s="89" t="str">
        <f t="shared" si="25"/>
        <v>#DIV/0!</v>
      </c>
      <c r="V327" s="89" t="str">
        <f t="shared" si="24"/>
        <v>#DIV/0!</v>
      </c>
      <c r="W327" s="89" t="str">
        <f t="shared" si="9"/>
        <v>#DIV/0!</v>
      </c>
      <c r="X327" s="89"/>
      <c r="Y327" s="89"/>
      <c r="Z327" s="89"/>
      <c r="AA327" s="89"/>
      <c r="AB327" s="89"/>
      <c r="AC327" s="89"/>
      <c r="AD327" s="89"/>
      <c r="AE327" s="89"/>
      <c r="AF327" s="89"/>
      <c r="AG327" s="89"/>
      <c r="AH327" s="89"/>
    </row>
    <row r="328">
      <c r="A328" s="8" t="s">
        <v>466</v>
      </c>
      <c r="B328" s="97"/>
      <c r="C328" s="8"/>
      <c r="D328" s="89" t="str">
        <f t="shared" si="1"/>
        <v/>
      </c>
      <c r="E328" s="89" t="str">
        <f t="shared" si="2"/>
        <v>OT Hours</v>
      </c>
      <c r="F328" s="89" t="str">
        <f>IFERROR(VLOOKUP(C328,'Employees List'!$B$1:$G$999,2,0),"")</f>
        <v/>
      </c>
      <c r="G328" s="89" t="str">
        <f t="shared" si="23"/>
        <v>#DIV/0!</v>
      </c>
      <c r="H328" s="98"/>
      <c r="I328" s="89" t="str">
        <f>IFERROR(VLOOKUP(F328,'Employees List'!$C:$F,2,0),"")</f>
        <v/>
      </c>
      <c r="J328" s="93" t="str">
        <f>IFERROR(VLOOKUP(C328,'Employees List'!$B$2:$G$991,5,0),"")</f>
        <v/>
      </c>
      <c r="K328" s="95" t="str">
        <f>IFERROR(VLOOKUP(F328,'Employees List'!$C$1:$AB$991,5,0),"")</f>
        <v/>
      </c>
      <c r="L328" s="91">
        <f t="shared" si="3"/>
        <v>0</v>
      </c>
      <c r="M328" s="91">
        <f t="shared" si="4"/>
        <v>0</v>
      </c>
      <c r="N328" s="89" t="str">
        <f>IFERROR(VLOOKUP(B328,'Employees List'!$A$2:$H$991,8,0),"")</f>
        <v/>
      </c>
      <c r="O328" s="89" t="str">
        <f>IFERROR(VLOOKUP(D328,'Daily Attendance Report 24-25'!A296:BP999,5,0),"")</f>
        <v/>
      </c>
      <c r="P328" s="89" t="str">
        <f>IFERROR(VLOOKUP(E328,'Daily Attendance Report 24-25'!$A$1:$BO$617,5,0),"")</f>
        <v/>
      </c>
      <c r="Q328" s="89"/>
      <c r="R328" s="89"/>
      <c r="S328" s="89" t="str">
        <f t="shared" si="17"/>
        <v>#DIV/0!</v>
      </c>
      <c r="T328" s="89" t="str">
        <f t="shared" si="6"/>
        <v>#DIV/0!</v>
      </c>
      <c r="U328" s="89" t="str">
        <f t="shared" si="25"/>
        <v>#DIV/0!</v>
      </c>
      <c r="V328" s="89" t="str">
        <f t="shared" si="24"/>
        <v>#DIV/0!</v>
      </c>
      <c r="W328" s="89" t="str">
        <f t="shared" si="9"/>
        <v>#DIV/0!</v>
      </c>
      <c r="X328" s="89"/>
      <c r="Y328" s="89"/>
      <c r="Z328" s="89"/>
      <c r="AA328" s="89"/>
      <c r="AB328" s="89"/>
      <c r="AC328" s="89"/>
      <c r="AD328" s="89"/>
      <c r="AE328" s="89"/>
      <c r="AF328" s="89"/>
      <c r="AG328" s="89"/>
      <c r="AH328" s="89"/>
    </row>
    <row r="329">
      <c r="A329" s="8" t="s">
        <v>467</v>
      </c>
      <c r="B329" s="97"/>
      <c r="C329" s="8"/>
      <c r="D329" s="89" t="str">
        <f t="shared" si="1"/>
        <v/>
      </c>
      <c r="E329" s="89" t="str">
        <f t="shared" si="2"/>
        <v>OT Hours</v>
      </c>
      <c r="F329" s="89" t="str">
        <f>IFERROR(VLOOKUP(C329,'Employees List'!$B$1:$G$999,2,0),"")</f>
        <v/>
      </c>
      <c r="G329" s="89" t="str">
        <f t="shared" si="23"/>
        <v>#DIV/0!</v>
      </c>
      <c r="H329" s="98"/>
      <c r="I329" s="89" t="str">
        <f>IFERROR(VLOOKUP(F329,'Employees List'!$C:$F,2,0),"")</f>
        <v/>
      </c>
      <c r="J329" s="93" t="str">
        <f>IFERROR(VLOOKUP(C329,'Employees List'!$B$2:$G$991,5,0),"")</f>
        <v/>
      </c>
      <c r="K329" s="95" t="str">
        <f>IFERROR(VLOOKUP(F329,'Employees List'!$C$1:$AB$991,5,0),"")</f>
        <v/>
      </c>
      <c r="L329" s="91">
        <f t="shared" si="3"/>
        <v>0</v>
      </c>
      <c r="M329" s="91">
        <f t="shared" si="4"/>
        <v>0</v>
      </c>
      <c r="N329" s="89" t="str">
        <f>IFERROR(VLOOKUP(B329,'Employees List'!$A$2:$H$991,8,0),"")</f>
        <v/>
      </c>
      <c r="O329" s="89" t="str">
        <f>IFERROR(VLOOKUP(D329,'Daily Attendance Report 24-25'!A297:BP999,5,0),"")</f>
        <v/>
      </c>
      <c r="P329" s="89" t="str">
        <f>IFERROR(VLOOKUP(E329,'Daily Attendance Report 24-25'!$A$1:$BO$617,5,0),"")</f>
        <v/>
      </c>
      <c r="Q329" s="89"/>
      <c r="R329" s="89"/>
      <c r="S329" s="89" t="str">
        <f t="shared" si="17"/>
        <v>#DIV/0!</v>
      </c>
      <c r="T329" s="89" t="str">
        <f t="shared" si="6"/>
        <v>#DIV/0!</v>
      </c>
      <c r="U329" s="89" t="str">
        <f t="shared" si="25"/>
        <v>#DIV/0!</v>
      </c>
      <c r="V329" s="89" t="str">
        <f t="shared" si="24"/>
        <v>#DIV/0!</v>
      </c>
      <c r="W329" s="89" t="str">
        <f t="shared" si="9"/>
        <v>#DIV/0!</v>
      </c>
      <c r="X329" s="89"/>
      <c r="Y329" s="89"/>
      <c r="Z329" s="89"/>
      <c r="AA329" s="89"/>
      <c r="AB329" s="89"/>
      <c r="AC329" s="89"/>
      <c r="AD329" s="89"/>
      <c r="AE329" s="89"/>
      <c r="AF329" s="89"/>
      <c r="AG329" s="89"/>
      <c r="AH329" s="89"/>
    </row>
    <row r="330">
      <c r="A330" s="8" t="s">
        <v>468</v>
      </c>
      <c r="B330" s="97"/>
      <c r="C330" s="8"/>
      <c r="D330" s="89" t="str">
        <f t="shared" si="1"/>
        <v/>
      </c>
      <c r="E330" s="89" t="str">
        <f t="shared" si="2"/>
        <v>OT Hours</v>
      </c>
      <c r="F330" s="89" t="str">
        <f>IFERROR(VLOOKUP(C330,'Employees List'!$B$1:$G$999,2,0),"")</f>
        <v/>
      </c>
      <c r="G330" s="89" t="str">
        <f t="shared" si="23"/>
        <v>#DIV/0!</v>
      </c>
      <c r="H330" s="98"/>
      <c r="I330" s="89" t="str">
        <f>IFERROR(VLOOKUP(F330,'Employees List'!$C:$F,2,0),"")</f>
        <v/>
      </c>
      <c r="J330" s="93" t="str">
        <f>IFERROR(VLOOKUP(C330,'Employees List'!$B$2:$G$991,5,0),"")</f>
        <v/>
      </c>
      <c r="K330" s="95" t="str">
        <f>IFERROR(VLOOKUP(F330,'Employees List'!$C$1:$AB$991,5,0),"")</f>
        <v/>
      </c>
      <c r="L330" s="91">
        <f t="shared" si="3"/>
        <v>0</v>
      </c>
      <c r="M330" s="91">
        <f t="shared" si="4"/>
        <v>0</v>
      </c>
      <c r="N330" s="89" t="str">
        <f>IFERROR(VLOOKUP(B330,'Employees List'!$A$2:$H$991,8,0),"")</f>
        <v/>
      </c>
      <c r="O330" s="89" t="str">
        <f>IFERROR(VLOOKUP(D330,'Daily Attendance Report 24-25'!A298:BP999,5,0),"")</f>
        <v/>
      </c>
      <c r="P330" s="89" t="str">
        <f>IFERROR(VLOOKUP(E330,'Daily Attendance Report 24-25'!$A$1:$BO$617,5,0),"")</f>
        <v/>
      </c>
      <c r="Q330" s="89"/>
      <c r="R330" s="89"/>
      <c r="S330" s="89" t="str">
        <f t="shared" si="17"/>
        <v>#DIV/0!</v>
      </c>
      <c r="T330" s="89" t="str">
        <f t="shared" si="6"/>
        <v>#DIV/0!</v>
      </c>
      <c r="U330" s="89" t="str">
        <f t="shared" si="25"/>
        <v>#DIV/0!</v>
      </c>
      <c r="V330" s="89" t="str">
        <f t="shared" si="24"/>
        <v>#DIV/0!</v>
      </c>
      <c r="W330" s="89" t="str">
        <f t="shared" si="9"/>
        <v>#DIV/0!</v>
      </c>
      <c r="X330" s="89"/>
      <c r="Y330" s="89"/>
      <c r="Z330" s="89"/>
      <c r="AA330" s="89"/>
      <c r="AB330" s="89"/>
      <c r="AC330" s="89"/>
      <c r="AD330" s="89"/>
      <c r="AE330" s="89"/>
      <c r="AF330" s="89"/>
      <c r="AG330" s="89"/>
      <c r="AH330" s="89"/>
    </row>
    <row r="331">
      <c r="A331" s="8" t="s">
        <v>469</v>
      </c>
      <c r="B331" s="97"/>
      <c r="C331" s="8"/>
      <c r="D331" s="89" t="str">
        <f t="shared" si="1"/>
        <v/>
      </c>
      <c r="E331" s="89" t="str">
        <f t="shared" si="2"/>
        <v>OT Hours</v>
      </c>
      <c r="F331" s="89" t="str">
        <f>IFERROR(VLOOKUP(C331,'Employees List'!$B$1:$G$999,2,0),"")</f>
        <v/>
      </c>
      <c r="G331" s="89" t="str">
        <f t="shared" si="23"/>
        <v>#DIV/0!</v>
      </c>
      <c r="H331" s="98"/>
      <c r="I331" s="89" t="str">
        <f>IFERROR(VLOOKUP(F331,'Employees List'!$C:$F,2,0),"")</f>
        <v/>
      </c>
      <c r="J331" s="93" t="str">
        <f>IFERROR(VLOOKUP(C331,'Employees List'!$B$2:$G$991,5,0),"")</f>
        <v/>
      </c>
      <c r="K331" s="95" t="str">
        <f>IFERROR(VLOOKUP(F331,'Employees List'!$C$1:$AB$991,5,0),"")</f>
        <v/>
      </c>
      <c r="L331" s="91">
        <f t="shared" si="3"/>
        <v>0</v>
      </c>
      <c r="M331" s="91">
        <f t="shared" si="4"/>
        <v>0</v>
      </c>
      <c r="N331" s="89" t="str">
        <f>IFERROR(VLOOKUP(B331,'Employees List'!$A$2:$H$991,8,0),"")</f>
        <v/>
      </c>
      <c r="O331" s="89" t="str">
        <f>IFERROR(VLOOKUP(D331,'Daily Attendance Report 24-25'!A299:BP999,5,0),"")</f>
        <v/>
      </c>
      <c r="P331" s="89" t="str">
        <f>IFERROR(VLOOKUP(E331,'Daily Attendance Report 24-25'!$A$1:$BO$617,5,0),"")</f>
        <v/>
      </c>
      <c r="Q331" s="89"/>
      <c r="R331" s="89"/>
      <c r="S331" s="89" t="str">
        <f t="shared" si="17"/>
        <v>#DIV/0!</v>
      </c>
      <c r="T331" s="89" t="str">
        <f t="shared" si="6"/>
        <v>#DIV/0!</v>
      </c>
      <c r="U331" s="89" t="str">
        <f t="shared" si="25"/>
        <v>#DIV/0!</v>
      </c>
      <c r="V331" s="89" t="str">
        <f t="shared" si="24"/>
        <v>#DIV/0!</v>
      </c>
      <c r="W331" s="89" t="str">
        <f t="shared" si="9"/>
        <v>#DIV/0!</v>
      </c>
      <c r="X331" s="89"/>
      <c r="Y331" s="89"/>
      <c r="Z331" s="89"/>
      <c r="AA331" s="89"/>
      <c r="AB331" s="89"/>
      <c r="AC331" s="89"/>
      <c r="AD331" s="89"/>
      <c r="AE331" s="89"/>
      <c r="AF331" s="89"/>
      <c r="AG331" s="89"/>
      <c r="AH331" s="89"/>
    </row>
    <row r="332">
      <c r="A332" s="8" t="s">
        <v>470</v>
      </c>
      <c r="B332" s="97"/>
      <c r="C332" s="8"/>
      <c r="D332" s="89" t="str">
        <f t="shared" si="1"/>
        <v/>
      </c>
      <c r="E332" s="89" t="str">
        <f t="shared" si="2"/>
        <v>OT Hours</v>
      </c>
      <c r="F332" s="89" t="str">
        <f>IFERROR(VLOOKUP(C332,'Employees List'!$B$1:$G$999,2,0),"")</f>
        <v/>
      </c>
      <c r="G332" s="89" t="str">
        <f t="shared" si="23"/>
        <v>#DIV/0!</v>
      </c>
      <c r="H332" s="98"/>
      <c r="I332" s="89" t="str">
        <f>IFERROR(VLOOKUP(F332,'Employees List'!$C:$F,2,0),"")</f>
        <v/>
      </c>
      <c r="J332" s="93" t="str">
        <f>IFERROR(VLOOKUP(C332,'Employees List'!$B$2:$G$991,5,0),"")</f>
        <v/>
      </c>
      <c r="K332" s="95" t="str">
        <f>IFERROR(VLOOKUP(F332,'Employees List'!$C$1:$AB$991,5,0),"")</f>
        <v/>
      </c>
      <c r="L332" s="91">
        <f t="shared" si="3"/>
        <v>0</v>
      </c>
      <c r="M332" s="91">
        <f t="shared" si="4"/>
        <v>0</v>
      </c>
      <c r="N332" s="89" t="str">
        <f>IFERROR(VLOOKUP(B332,'Employees List'!$A$2:$H$991,8,0),"")</f>
        <v/>
      </c>
      <c r="O332" s="89" t="str">
        <f>IFERROR(VLOOKUP(D332,'Daily Attendance Report 24-25'!A300:BP999,5,0),"")</f>
        <v/>
      </c>
      <c r="P332" s="89" t="str">
        <f>IFERROR(VLOOKUP(E332,'Daily Attendance Report 24-25'!$A$1:$BO$617,5,0),"")</f>
        <v/>
      </c>
      <c r="Q332" s="89"/>
      <c r="R332" s="89"/>
      <c r="S332" s="89" t="str">
        <f t="shared" si="17"/>
        <v>#DIV/0!</v>
      </c>
      <c r="T332" s="89" t="str">
        <f t="shared" si="6"/>
        <v>#DIV/0!</v>
      </c>
      <c r="U332" s="89" t="str">
        <f t="shared" si="25"/>
        <v>#DIV/0!</v>
      </c>
      <c r="V332" s="89" t="str">
        <f t="shared" si="24"/>
        <v>#DIV/0!</v>
      </c>
      <c r="W332" s="89" t="str">
        <f t="shared" si="9"/>
        <v>#DIV/0!</v>
      </c>
      <c r="X332" s="89"/>
      <c r="Y332" s="89"/>
      <c r="Z332" s="89"/>
      <c r="AA332" s="89"/>
      <c r="AB332" s="89"/>
      <c r="AC332" s="89"/>
      <c r="AD332" s="89"/>
      <c r="AE332" s="89"/>
      <c r="AF332" s="89"/>
      <c r="AG332" s="89"/>
      <c r="AH332" s="89"/>
    </row>
    <row r="333">
      <c r="A333" s="8" t="s">
        <v>471</v>
      </c>
      <c r="B333" s="97"/>
      <c r="C333" s="8"/>
      <c r="D333" s="89" t="str">
        <f t="shared" si="1"/>
        <v/>
      </c>
      <c r="E333" s="89" t="str">
        <f t="shared" si="2"/>
        <v>OT Hours</v>
      </c>
      <c r="F333" s="89" t="str">
        <f>IFERROR(VLOOKUP(C333,'Employees List'!$B$1:$G$999,2,0),"")</f>
        <v/>
      </c>
      <c r="G333" s="89" t="str">
        <f t="shared" si="23"/>
        <v>#DIV/0!</v>
      </c>
      <c r="H333" s="98"/>
      <c r="I333" s="89" t="str">
        <f>IFERROR(VLOOKUP(F333,'Employees List'!$C:$F,2,0),"")</f>
        <v/>
      </c>
      <c r="J333" s="93" t="str">
        <f>IFERROR(VLOOKUP(C333,'Employees List'!$B$2:$G$991,5,0),"")</f>
        <v/>
      </c>
      <c r="K333" s="95" t="str">
        <f>IFERROR(VLOOKUP(F333,'Employees List'!$C$1:$AB$991,5,0),"")</f>
        <v/>
      </c>
      <c r="L333" s="91">
        <f t="shared" si="3"/>
        <v>0</v>
      </c>
      <c r="M333" s="91">
        <f t="shared" si="4"/>
        <v>0</v>
      </c>
      <c r="N333" s="89" t="str">
        <f>IFERROR(VLOOKUP(B333,'Employees List'!$A$2:$H$991,8,0),"")</f>
        <v/>
      </c>
      <c r="O333" s="89" t="str">
        <f>IFERROR(VLOOKUP(D333,'Daily Attendance Report 24-25'!A301:BP999,5,0),"")</f>
        <v/>
      </c>
      <c r="P333" s="89" t="str">
        <f>IFERROR(VLOOKUP(E333,'Daily Attendance Report 24-25'!$A$1:$BO$617,5,0),"")</f>
        <v/>
      </c>
      <c r="Q333" s="89"/>
      <c r="R333" s="89"/>
      <c r="S333" s="89" t="str">
        <f t="shared" si="17"/>
        <v>#DIV/0!</v>
      </c>
      <c r="T333" s="89" t="str">
        <f t="shared" si="6"/>
        <v>#DIV/0!</v>
      </c>
      <c r="U333" s="89" t="str">
        <f t="shared" si="25"/>
        <v>#DIV/0!</v>
      </c>
      <c r="V333" s="89" t="str">
        <f t="shared" si="24"/>
        <v>#DIV/0!</v>
      </c>
      <c r="W333" s="89" t="str">
        <f t="shared" si="9"/>
        <v>#DIV/0!</v>
      </c>
      <c r="X333" s="89"/>
      <c r="Y333" s="89"/>
      <c r="Z333" s="89"/>
      <c r="AA333" s="89"/>
      <c r="AB333" s="89"/>
      <c r="AC333" s="89"/>
      <c r="AD333" s="89"/>
      <c r="AE333" s="89"/>
      <c r="AF333" s="89"/>
      <c r="AG333" s="89"/>
      <c r="AH333" s="89"/>
    </row>
    <row r="334">
      <c r="A334" s="8" t="s">
        <v>472</v>
      </c>
      <c r="B334" s="97"/>
      <c r="C334" s="8"/>
      <c r="D334" s="89" t="str">
        <f t="shared" si="1"/>
        <v/>
      </c>
      <c r="E334" s="89" t="str">
        <f t="shared" si="2"/>
        <v>OT Hours</v>
      </c>
      <c r="F334" s="89" t="str">
        <f>IFERROR(VLOOKUP(C334,'Employees List'!$B$1:$G$999,2,0),"")</f>
        <v/>
      </c>
      <c r="G334" s="89" t="str">
        <f t="shared" si="23"/>
        <v>#DIV/0!</v>
      </c>
      <c r="H334" s="98"/>
      <c r="I334" s="89" t="str">
        <f>IFERROR(VLOOKUP(F334,'Employees List'!$C:$F,2,0),"")</f>
        <v/>
      </c>
      <c r="J334" s="93" t="str">
        <f>IFERROR(VLOOKUP(C334,'Employees List'!$B$2:$G$991,5,0),"")</f>
        <v/>
      </c>
      <c r="K334" s="95" t="str">
        <f>IFERROR(VLOOKUP(F334,'Employees List'!$C$1:$AB$991,5,0),"")</f>
        <v/>
      </c>
      <c r="L334" s="91">
        <f t="shared" si="3"/>
        <v>0</v>
      </c>
      <c r="M334" s="91">
        <f t="shared" si="4"/>
        <v>0</v>
      </c>
      <c r="N334" s="89" t="str">
        <f>IFERROR(VLOOKUP(B334,'Employees List'!$A$2:$H$991,8,0),"")</f>
        <v/>
      </c>
      <c r="O334" s="89" t="str">
        <f>IFERROR(VLOOKUP(D334,'Daily Attendance Report 24-25'!A302:BP999,5,0),"")</f>
        <v/>
      </c>
      <c r="P334" s="89" t="str">
        <f>IFERROR(VLOOKUP(E334,'Daily Attendance Report 24-25'!$A$1:$BO$617,5,0),"")</f>
        <v/>
      </c>
      <c r="Q334" s="89"/>
      <c r="R334" s="89"/>
      <c r="S334" s="89" t="str">
        <f t="shared" si="17"/>
        <v>#DIV/0!</v>
      </c>
      <c r="T334" s="89" t="str">
        <f t="shared" si="6"/>
        <v>#DIV/0!</v>
      </c>
      <c r="U334" s="89" t="str">
        <f t="shared" si="25"/>
        <v>#DIV/0!</v>
      </c>
      <c r="V334" s="89" t="str">
        <f t="shared" si="24"/>
        <v>#DIV/0!</v>
      </c>
      <c r="W334" s="89" t="str">
        <f t="shared" si="9"/>
        <v>#DIV/0!</v>
      </c>
      <c r="X334" s="89"/>
      <c r="Y334" s="89"/>
      <c r="Z334" s="89"/>
      <c r="AA334" s="89"/>
      <c r="AB334" s="89"/>
      <c r="AC334" s="89"/>
      <c r="AD334" s="89"/>
      <c r="AE334" s="89"/>
      <c r="AF334" s="89"/>
      <c r="AG334" s="89"/>
      <c r="AH334" s="89"/>
    </row>
    <row r="335">
      <c r="A335" s="8" t="s">
        <v>473</v>
      </c>
      <c r="B335" s="97"/>
      <c r="C335" s="8"/>
      <c r="D335" s="89" t="str">
        <f t="shared" si="1"/>
        <v/>
      </c>
      <c r="E335" s="89" t="str">
        <f t="shared" si="2"/>
        <v>OT Hours</v>
      </c>
      <c r="F335" s="89" t="str">
        <f>IFERROR(VLOOKUP(C335,'Employees List'!$B$1:$G$999,2,0),"")</f>
        <v/>
      </c>
      <c r="G335" s="89" t="str">
        <f t="shared" si="23"/>
        <v>#DIV/0!</v>
      </c>
      <c r="H335" s="98"/>
      <c r="I335" s="89" t="str">
        <f>IFERROR(VLOOKUP(F335,'Employees List'!$C:$F,2,0),"")</f>
        <v/>
      </c>
      <c r="J335" s="93" t="str">
        <f>IFERROR(VLOOKUP(C335,'Employees List'!$B$2:$G$991,5,0),"")</f>
        <v/>
      </c>
      <c r="K335" s="95" t="str">
        <f>IFERROR(VLOOKUP(F335,'Employees List'!$C$1:$AB$991,5,0),"")</f>
        <v/>
      </c>
      <c r="L335" s="91">
        <f t="shared" si="3"/>
        <v>0</v>
      </c>
      <c r="M335" s="91">
        <f t="shared" si="4"/>
        <v>0</v>
      </c>
      <c r="N335" s="89" t="str">
        <f>IFERROR(VLOOKUP(B335,'Employees List'!$A$2:$H$991,8,0),"")</f>
        <v/>
      </c>
      <c r="O335" s="89" t="str">
        <f>IFERROR(VLOOKUP(D335,'Daily Attendance Report 24-25'!A303:BP999,5,0),"")</f>
        <v/>
      </c>
      <c r="P335" s="89" t="str">
        <f>IFERROR(VLOOKUP(E335,'Daily Attendance Report 24-25'!$A$1:$BO$617,5,0),"")</f>
        <v/>
      </c>
      <c r="Q335" s="89"/>
      <c r="R335" s="89"/>
      <c r="S335" s="89" t="str">
        <f t="shared" si="17"/>
        <v>#DIV/0!</v>
      </c>
      <c r="T335" s="89" t="str">
        <f t="shared" si="6"/>
        <v>#DIV/0!</v>
      </c>
      <c r="U335" s="89" t="str">
        <f t="shared" si="25"/>
        <v>#DIV/0!</v>
      </c>
      <c r="V335" s="89" t="str">
        <f t="shared" si="24"/>
        <v>#DIV/0!</v>
      </c>
      <c r="W335" s="89" t="str">
        <f t="shared" si="9"/>
        <v>#DIV/0!</v>
      </c>
      <c r="X335" s="89"/>
      <c r="Y335" s="89"/>
      <c r="Z335" s="89"/>
      <c r="AA335" s="89"/>
      <c r="AB335" s="89"/>
      <c r="AC335" s="89"/>
      <c r="AD335" s="89"/>
      <c r="AE335" s="89"/>
      <c r="AF335" s="89"/>
      <c r="AG335" s="89"/>
      <c r="AH335" s="89"/>
    </row>
    <row r="336">
      <c r="A336" s="8" t="s">
        <v>474</v>
      </c>
      <c r="B336" s="97"/>
      <c r="C336" s="8"/>
      <c r="D336" s="89" t="str">
        <f t="shared" si="1"/>
        <v/>
      </c>
      <c r="E336" s="89" t="str">
        <f t="shared" si="2"/>
        <v>OT Hours</v>
      </c>
      <c r="F336" s="89" t="str">
        <f>IFERROR(VLOOKUP(C336,'Employees List'!$B$1:$G$999,2,0),"")</f>
        <v/>
      </c>
      <c r="G336" s="89" t="str">
        <f t="shared" si="23"/>
        <v>#DIV/0!</v>
      </c>
      <c r="H336" s="98"/>
      <c r="I336" s="89" t="str">
        <f>IFERROR(VLOOKUP(F336,'Employees List'!$C:$F,2,0),"")</f>
        <v/>
      </c>
      <c r="J336" s="93" t="str">
        <f>IFERROR(VLOOKUP(C336,'Employees List'!$B$2:$G$991,5,0),"")</f>
        <v/>
      </c>
      <c r="K336" s="95" t="str">
        <f>IFERROR(VLOOKUP(F336,'Employees List'!$C$1:$AB$991,5,0),"")</f>
        <v/>
      </c>
      <c r="L336" s="91">
        <f t="shared" si="3"/>
        <v>0</v>
      </c>
      <c r="M336" s="91">
        <f t="shared" si="4"/>
        <v>0</v>
      </c>
      <c r="N336" s="89" t="str">
        <f>IFERROR(VLOOKUP(B336,'Employees List'!$A$2:$H$991,8,0),"")</f>
        <v/>
      </c>
      <c r="O336" s="89" t="str">
        <f>IFERROR(VLOOKUP(D336,'Daily Attendance Report 24-25'!A304:BP999,5,0),"")</f>
        <v/>
      </c>
      <c r="P336" s="89" t="str">
        <f>IFERROR(VLOOKUP(E336,'Daily Attendance Report 24-25'!$A$1:$BO$617,5,0),"")</f>
        <v/>
      </c>
      <c r="Q336" s="89"/>
      <c r="R336" s="89"/>
      <c r="S336" s="89" t="str">
        <f t="shared" si="17"/>
        <v>#DIV/0!</v>
      </c>
      <c r="T336" s="89" t="str">
        <f t="shared" si="6"/>
        <v>#DIV/0!</v>
      </c>
      <c r="U336" s="89" t="str">
        <f t="shared" si="25"/>
        <v>#DIV/0!</v>
      </c>
      <c r="V336" s="89" t="str">
        <f t="shared" si="24"/>
        <v>#DIV/0!</v>
      </c>
      <c r="W336" s="89" t="str">
        <f t="shared" si="9"/>
        <v>#DIV/0!</v>
      </c>
      <c r="X336" s="89"/>
      <c r="Y336" s="89"/>
      <c r="Z336" s="89"/>
      <c r="AA336" s="89"/>
      <c r="AB336" s="89"/>
      <c r="AC336" s="89"/>
      <c r="AD336" s="89"/>
      <c r="AE336" s="89"/>
      <c r="AF336" s="89"/>
      <c r="AG336" s="89"/>
      <c r="AH336" s="89"/>
    </row>
    <row r="337">
      <c r="A337" s="8" t="s">
        <v>475</v>
      </c>
      <c r="B337" s="97"/>
      <c r="C337" s="8"/>
      <c r="D337" s="89" t="str">
        <f t="shared" si="1"/>
        <v/>
      </c>
      <c r="E337" s="89" t="str">
        <f t="shared" si="2"/>
        <v>OT Hours</v>
      </c>
      <c r="F337" s="89" t="str">
        <f>IFERROR(VLOOKUP(C337,'Employees List'!$B$1:$G$999,2,0),"")</f>
        <v/>
      </c>
      <c r="G337" s="89" t="str">
        <f t="shared" si="23"/>
        <v>#DIV/0!</v>
      </c>
      <c r="H337" s="98"/>
      <c r="I337" s="89" t="str">
        <f>IFERROR(VLOOKUP(F337,'Employees List'!$C:$F,2,0),"")</f>
        <v/>
      </c>
      <c r="J337" s="93" t="str">
        <f>IFERROR(VLOOKUP(C337,'Employees List'!$B$2:$G$991,5,0),"")</f>
        <v/>
      </c>
      <c r="K337" s="95" t="str">
        <f>IFERROR(VLOOKUP(F337,'Employees List'!$C$1:$AB$991,5,0),"")</f>
        <v/>
      </c>
      <c r="L337" s="91">
        <f t="shared" si="3"/>
        <v>0</v>
      </c>
      <c r="M337" s="91">
        <f t="shared" si="4"/>
        <v>0</v>
      </c>
      <c r="N337" s="89" t="str">
        <f>IFERROR(VLOOKUP(B337,'Employees List'!$A$2:$H$991,8,0),"")</f>
        <v/>
      </c>
      <c r="O337" s="89" t="str">
        <f>IFERROR(VLOOKUP(D337,'Daily Attendance Report 24-25'!A305:BP999,5,0),"")</f>
        <v/>
      </c>
      <c r="P337" s="89" t="str">
        <f>IFERROR(VLOOKUP(E337,'Daily Attendance Report 24-25'!$A$1:$BO$617,5,0),"")</f>
        <v/>
      </c>
      <c r="Q337" s="89"/>
      <c r="R337" s="89"/>
      <c r="S337" s="89" t="str">
        <f t="shared" si="17"/>
        <v>#DIV/0!</v>
      </c>
      <c r="T337" s="89" t="str">
        <f t="shared" si="6"/>
        <v>#DIV/0!</v>
      </c>
      <c r="U337" s="89" t="str">
        <f t="shared" si="25"/>
        <v>#DIV/0!</v>
      </c>
      <c r="V337" s="89" t="str">
        <f t="shared" si="24"/>
        <v>#DIV/0!</v>
      </c>
      <c r="W337" s="89" t="str">
        <f t="shared" si="9"/>
        <v>#DIV/0!</v>
      </c>
      <c r="X337" s="89"/>
      <c r="Y337" s="89"/>
      <c r="Z337" s="89"/>
      <c r="AA337" s="89"/>
      <c r="AB337" s="89"/>
      <c r="AC337" s="89"/>
      <c r="AD337" s="89"/>
      <c r="AE337" s="89"/>
      <c r="AF337" s="89"/>
      <c r="AG337" s="89"/>
      <c r="AH337" s="89"/>
    </row>
    <row r="338">
      <c r="A338" s="8" t="s">
        <v>476</v>
      </c>
      <c r="B338" s="97"/>
      <c r="C338" s="8"/>
      <c r="D338" s="89" t="str">
        <f t="shared" si="1"/>
        <v/>
      </c>
      <c r="E338" s="89" t="str">
        <f t="shared" si="2"/>
        <v>OT Hours</v>
      </c>
      <c r="F338" s="89" t="str">
        <f>IFERROR(VLOOKUP(C338,'Employees List'!$B$1:$G$999,2,0),"")</f>
        <v/>
      </c>
      <c r="G338" s="89" t="str">
        <f t="shared" si="23"/>
        <v>#DIV/0!</v>
      </c>
      <c r="H338" s="98"/>
      <c r="I338" s="89" t="str">
        <f>IFERROR(VLOOKUP(F338,'Employees List'!$C:$F,2,0),"")</f>
        <v/>
      </c>
      <c r="J338" s="93" t="str">
        <f>IFERROR(VLOOKUP(C338,'Employees List'!$B$2:$G$991,5,0),"")</f>
        <v/>
      </c>
      <c r="K338" s="95" t="str">
        <f>IFERROR(VLOOKUP(F338,'Employees List'!$C$1:$AB$991,5,0),"")</f>
        <v/>
      </c>
      <c r="L338" s="91">
        <f t="shared" si="3"/>
        <v>0</v>
      </c>
      <c r="M338" s="91">
        <f t="shared" si="4"/>
        <v>0</v>
      </c>
      <c r="N338" s="89" t="str">
        <f>IFERROR(VLOOKUP(B338,'Employees List'!$A$2:$H$991,8,0),"")</f>
        <v/>
      </c>
      <c r="O338" s="89" t="str">
        <f>IFERROR(VLOOKUP(D338,'Daily Attendance Report 24-25'!A306:BP999,5,0),"")</f>
        <v/>
      </c>
      <c r="P338" s="89" t="str">
        <f>IFERROR(VLOOKUP(E338,'Daily Attendance Report 24-25'!$A$1:$BO$617,5,0),"")</f>
        <v/>
      </c>
      <c r="Q338" s="89"/>
      <c r="R338" s="89"/>
      <c r="S338" s="89" t="str">
        <f t="shared" si="17"/>
        <v>#DIV/0!</v>
      </c>
      <c r="T338" s="89" t="str">
        <f t="shared" si="6"/>
        <v>#DIV/0!</v>
      </c>
      <c r="U338" s="89" t="str">
        <f t="shared" si="25"/>
        <v>#DIV/0!</v>
      </c>
      <c r="V338" s="89" t="str">
        <f t="shared" si="24"/>
        <v>#DIV/0!</v>
      </c>
      <c r="W338" s="89" t="str">
        <f t="shared" si="9"/>
        <v>#DIV/0!</v>
      </c>
      <c r="X338" s="89"/>
      <c r="Y338" s="89"/>
      <c r="Z338" s="89"/>
      <c r="AA338" s="89"/>
      <c r="AB338" s="89"/>
      <c r="AC338" s="89"/>
      <c r="AD338" s="89"/>
      <c r="AE338" s="89"/>
      <c r="AF338" s="89"/>
      <c r="AG338" s="89"/>
      <c r="AH338" s="89"/>
    </row>
    <row r="339">
      <c r="A339" s="8" t="s">
        <v>477</v>
      </c>
      <c r="B339" s="97"/>
      <c r="C339" s="8"/>
      <c r="D339" s="89" t="str">
        <f t="shared" si="1"/>
        <v/>
      </c>
      <c r="E339" s="89" t="str">
        <f t="shared" si="2"/>
        <v>OT Hours</v>
      </c>
      <c r="F339" s="89" t="str">
        <f>IFERROR(VLOOKUP(C339,'Employees List'!$B$1:$G$999,2,0),"")</f>
        <v/>
      </c>
      <c r="G339" s="89" t="str">
        <f t="shared" si="23"/>
        <v>#DIV/0!</v>
      </c>
      <c r="H339" s="98"/>
      <c r="I339" s="89" t="str">
        <f>IFERROR(VLOOKUP(F339,'Employees List'!$C:$F,2,0),"")</f>
        <v/>
      </c>
      <c r="J339" s="93" t="str">
        <f>IFERROR(VLOOKUP(C339,'Employees List'!$B$2:$G$991,5,0),"")</f>
        <v/>
      </c>
      <c r="K339" s="95" t="str">
        <f>IFERROR(VLOOKUP(F339,'Employees List'!$C$1:$AB$991,5,0),"")</f>
        <v/>
      </c>
      <c r="L339" s="91">
        <f t="shared" si="3"/>
        <v>0</v>
      </c>
      <c r="M339" s="91">
        <f t="shared" si="4"/>
        <v>0</v>
      </c>
      <c r="N339" s="89" t="str">
        <f>IFERROR(VLOOKUP(B339,'Employees List'!$A$2:$H$991,8,0),"")</f>
        <v/>
      </c>
      <c r="O339" s="89" t="str">
        <f>IFERROR(VLOOKUP(D339,'Daily Attendance Report 24-25'!A307:BP999,5,0),"")</f>
        <v/>
      </c>
      <c r="P339" s="89" t="str">
        <f>IFERROR(VLOOKUP(E339,'Daily Attendance Report 24-25'!$A$1:$BO$617,5,0),"")</f>
        <v/>
      </c>
      <c r="Q339" s="89"/>
      <c r="R339" s="89"/>
      <c r="S339" s="89" t="str">
        <f t="shared" si="17"/>
        <v>#DIV/0!</v>
      </c>
      <c r="T339" s="89" t="str">
        <f t="shared" si="6"/>
        <v>#DIV/0!</v>
      </c>
      <c r="U339" s="89" t="str">
        <f t="shared" si="25"/>
        <v>#DIV/0!</v>
      </c>
      <c r="V339" s="89" t="str">
        <f t="shared" si="24"/>
        <v>#DIV/0!</v>
      </c>
      <c r="W339" s="89" t="str">
        <f t="shared" si="9"/>
        <v>#DIV/0!</v>
      </c>
      <c r="X339" s="89"/>
      <c r="Y339" s="89"/>
      <c r="Z339" s="89"/>
      <c r="AA339" s="89"/>
      <c r="AB339" s="89"/>
      <c r="AC339" s="89"/>
      <c r="AD339" s="89"/>
      <c r="AE339" s="89"/>
      <c r="AF339" s="89"/>
      <c r="AG339" s="89"/>
      <c r="AH339" s="89"/>
    </row>
    <row r="340">
      <c r="A340" s="8" t="s">
        <v>478</v>
      </c>
      <c r="B340" s="97"/>
      <c r="C340" s="8"/>
      <c r="D340" s="89" t="str">
        <f t="shared" si="1"/>
        <v/>
      </c>
      <c r="E340" s="89" t="str">
        <f t="shared" si="2"/>
        <v>OT Hours</v>
      </c>
      <c r="F340" s="89" t="str">
        <f>IFERROR(VLOOKUP(C340,'Employees List'!$B$1:$G$999,2,0),"")</f>
        <v/>
      </c>
      <c r="G340" s="89" t="str">
        <f t="shared" si="23"/>
        <v>#DIV/0!</v>
      </c>
      <c r="H340" s="98"/>
      <c r="I340" s="89" t="str">
        <f>IFERROR(VLOOKUP(F340,'Employees List'!$C:$F,2,0),"")</f>
        <v/>
      </c>
      <c r="J340" s="93" t="str">
        <f>IFERROR(VLOOKUP(C340,'Employees List'!$B$2:$G$991,5,0),"")</f>
        <v/>
      </c>
      <c r="K340" s="95" t="str">
        <f>IFERROR(VLOOKUP(F340,'Employees List'!$C$1:$AB$991,5,0),"")</f>
        <v/>
      </c>
      <c r="L340" s="91">
        <f t="shared" si="3"/>
        <v>0</v>
      </c>
      <c r="M340" s="91">
        <f t="shared" si="4"/>
        <v>0</v>
      </c>
      <c r="N340" s="89" t="str">
        <f>IFERROR(VLOOKUP(B340,'Employees List'!$A$2:$H$991,8,0),"")</f>
        <v/>
      </c>
      <c r="O340" s="89" t="str">
        <f>IFERROR(VLOOKUP(D340,'Daily Attendance Report 24-25'!A308:BP999,5,0),"")</f>
        <v/>
      </c>
      <c r="P340" s="89" t="str">
        <f>IFERROR(VLOOKUP(E340,'Daily Attendance Report 24-25'!$A$1:$BO$617,5,0),"")</f>
        <v/>
      </c>
      <c r="Q340" s="89"/>
      <c r="R340" s="89"/>
      <c r="S340" s="89" t="str">
        <f t="shared" si="17"/>
        <v>#DIV/0!</v>
      </c>
      <c r="T340" s="89" t="str">
        <f t="shared" si="6"/>
        <v>#DIV/0!</v>
      </c>
      <c r="U340" s="89" t="str">
        <f t="shared" si="25"/>
        <v>#DIV/0!</v>
      </c>
      <c r="V340" s="89" t="str">
        <f t="shared" si="24"/>
        <v>#DIV/0!</v>
      </c>
      <c r="W340" s="89" t="str">
        <f t="shared" si="9"/>
        <v>#DIV/0!</v>
      </c>
      <c r="X340" s="89"/>
      <c r="Y340" s="89"/>
      <c r="Z340" s="89"/>
      <c r="AA340" s="89"/>
      <c r="AB340" s="89"/>
      <c r="AC340" s="89"/>
      <c r="AD340" s="89"/>
      <c r="AE340" s="89"/>
      <c r="AF340" s="89"/>
      <c r="AG340" s="89"/>
      <c r="AH340" s="89"/>
    </row>
    <row r="341">
      <c r="A341" s="8" t="s">
        <v>479</v>
      </c>
      <c r="B341" s="97"/>
      <c r="C341" s="8"/>
      <c r="D341" s="89" t="str">
        <f t="shared" si="1"/>
        <v/>
      </c>
      <c r="E341" s="89" t="str">
        <f t="shared" si="2"/>
        <v>OT Hours</v>
      </c>
      <c r="F341" s="89" t="str">
        <f>IFERROR(VLOOKUP(C341,'Employees List'!$B$1:$G$999,2,0),"")</f>
        <v/>
      </c>
      <c r="G341" s="89" t="str">
        <f t="shared" si="23"/>
        <v>#DIV/0!</v>
      </c>
      <c r="H341" s="98"/>
      <c r="I341" s="89" t="str">
        <f>IFERROR(VLOOKUP(F341,'Employees List'!$C:$F,2,0),"")</f>
        <v/>
      </c>
      <c r="J341" s="93" t="str">
        <f>IFERROR(VLOOKUP(C341,'Employees List'!$B$2:$G$991,5,0),"")</f>
        <v/>
      </c>
      <c r="K341" s="95" t="str">
        <f>IFERROR(VLOOKUP(F341,'Employees List'!$C$1:$AB$991,5,0),"")</f>
        <v/>
      </c>
      <c r="L341" s="91">
        <f t="shared" si="3"/>
        <v>0</v>
      </c>
      <c r="M341" s="91">
        <f t="shared" si="4"/>
        <v>0</v>
      </c>
      <c r="N341" s="89" t="str">
        <f>IFERROR(VLOOKUP(B341,'Employees List'!$A$2:$H$991,8,0),"")</f>
        <v/>
      </c>
      <c r="O341" s="89" t="str">
        <f>IFERROR(VLOOKUP(D341,'Daily Attendance Report 24-25'!A309:BP999,5,0),"")</f>
        <v/>
      </c>
      <c r="P341" s="89" t="str">
        <f>IFERROR(VLOOKUP(E341,'Daily Attendance Report 24-25'!$A$1:$BO$617,5,0),"")</f>
        <v/>
      </c>
      <c r="Q341" s="89"/>
      <c r="R341" s="89"/>
      <c r="S341" s="89" t="str">
        <f t="shared" si="17"/>
        <v>#DIV/0!</v>
      </c>
      <c r="T341" s="89" t="str">
        <f t="shared" si="6"/>
        <v>#DIV/0!</v>
      </c>
      <c r="U341" s="89" t="str">
        <f t="shared" si="25"/>
        <v>#DIV/0!</v>
      </c>
      <c r="V341" s="89" t="str">
        <f t="shared" si="24"/>
        <v>#DIV/0!</v>
      </c>
      <c r="W341" s="89" t="str">
        <f t="shared" si="9"/>
        <v>#DIV/0!</v>
      </c>
      <c r="X341" s="89"/>
      <c r="Y341" s="89"/>
      <c r="Z341" s="89"/>
      <c r="AA341" s="89"/>
      <c r="AB341" s="89"/>
      <c r="AC341" s="89"/>
      <c r="AD341" s="89"/>
      <c r="AE341" s="89"/>
      <c r="AF341" s="89"/>
      <c r="AG341" s="89"/>
      <c r="AH341" s="89"/>
    </row>
    <row r="342">
      <c r="A342" s="8" t="s">
        <v>480</v>
      </c>
      <c r="B342" s="97"/>
      <c r="C342" s="8"/>
      <c r="D342" s="89" t="str">
        <f t="shared" si="1"/>
        <v/>
      </c>
      <c r="E342" s="89" t="str">
        <f t="shared" si="2"/>
        <v>OT Hours</v>
      </c>
      <c r="F342" s="89" t="str">
        <f>IFERROR(VLOOKUP(C342,'Employees List'!$B$1:$G$999,2,0),"")</f>
        <v/>
      </c>
      <c r="G342" s="89" t="str">
        <f t="shared" si="23"/>
        <v>#DIV/0!</v>
      </c>
      <c r="H342" s="98"/>
      <c r="I342" s="89" t="str">
        <f>IFERROR(VLOOKUP(F342,'Employees List'!$C:$F,2,0),"")</f>
        <v/>
      </c>
      <c r="J342" s="93" t="str">
        <f>IFERROR(VLOOKUP(C342,'Employees List'!$B$2:$G$991,5,0),"")</f>
        <v/>
      </c>
      <c r="K342" s="95" t="str">
        <f>IFERROR(VLOOKUP(F342,'Employees List'!$C$1:$AB$991,5,0),"")</f>
        <v/>
      </c>
      <c r="L342" s="91">
        <f t="shared" si="3"/>
        <v>0</v>
      </c>
      <c r="M342" s="91">
        <f t="shared" si="4"/>
        <v>0</v>
      </c>
      <c r="N342" s="89" t="str">
        <f>IFERROR(VLOOKUP(B342,'Employees List'!$A$2:$H$991,8,0),"")</f>
        <v/>
      </c>
      <c r="O342" s="89" t="str">
        <f>IFERROR(VLOOKUP(D342,'Daily Attendance Report 24-25'!A310:BP999,5,0),"")</f>
        <v/>
      </c>
      <c r="P342" s="89" t="str">
        <f>IFERROR(VLOOKUP(E342,'Daily Attendance Report 24-25'!$A$1:$BO$617,5,0),"")</f>
        <v/>
      </c>
      <c r="Q342" s="89"/>
      <c r="R342" s="89"/>
      <c r="S342" s="89" t="str">
        <f t="shared" si="17"/>
        <v>#DIV/0!</v>
      </c>
      <c r="T342" s="89" t="str">
        <f t="shared" si="6"/>
        <v>#DIV/0!</v>
      </c>
      <c r="U342" s="89" t="str">
        <f t="shared" si="25"/>
        <v>#DIV/0!</v>
      </c>
      <c r="V342" s="89" t="str">
        <f t="shared" si="24"/>
        <v>#DIV/0!</v>
      </c>
      <c r="W342" s="89" t="str">
        <f t="shared" si="9"/>
        <v>#DIV/0!</v>
      </c>
      <c r="X342" s="89"/>
      <c r="Y342" s="89"/>
      <c r="Z342" s="89"/>
      <c r="AA342" s="89"/>
      <c r="AB342" s="89"/>
      <c r="AC342" s="89"/>
      <c r="AD342" s="89"/>
      <c r="AE342" s="89"/>
      <c r="AF342" s="89"/>
      <c r="AG342" s="89"/>
      <c r="AH342" s="89"/>
    </row>
    <row r="343">
      <c r="A343" s="8" t="s">
        <v>481</v>
      </c>
      <c r="B343" s="97"/>
      <c r="C343" s="8"/>
      <c r="D343" s="89" t="str">
        <f t="shared" si="1"/>
        <v/>
      </c>
      <c r="E343" s="89" t="str">
        <f t="shared" si="2"/>
        <v>OT Hours</v>
      </c>
      <c r="F343" s="89" t="str">
        <f>IFERROR(VLOOKUP(C343,'Employees List'!$B$1:$G$999,2,0),"")</f>
        <v/>
      </c>
      <c r="G343" s="89" t="str">
        <f t="shared" si="23"/>
        <v>#DIV/0!</v>
      </c>
      <c r="H343" s="98"/>
      <c r="I343" s="89" t="str">
        <f>IFERROR(VLOOKUP(F343,'Employees List'!$C:$F,2,0),"")</f>
        <v/>
      </c>
      <c r="J343" s="93" t="str">
        <f>IFERROR(VLOOKUP(C343,'Employees List'!$B$2:$G$991,5,0),"")</f>
        <v/>
      </c>
      <c r="K343" s="95" t="str">
        <f>IFERROR(VLOOKUP(F343,'Employees List'!$C$1:$AB$991,5,0),"")</f>
        <v/>
      </c>
      <c r="L343" s="91">
        <f t="shared" si="3"/>
        <v>0</v>
      </c>
      <c r="M343" s="91">
        <f t="shared" si="4"/>
        <v>0</v>
      </c>
      <c r="N343" s="89" t="str">
        <f>IFERROR(VLOOKUP(B343,'Employees List'!$A$2:$H$991,8,0),"")</f>
        <v/>
      </c>
      <c r="O343" s="89" t="str">
        <f>IFERROR(VLOOKUP(D343,'Daily Attendance Report 24-25'!A311:BP999,5,0),"")</f>
        <v/>
      </c>
      <c r="P343" s="89" t="str">
        <f>IFERROR(VLOOKUP(E343,'Daily Attendance Report 24-25'!$A$1:$BO$617,5,0),"")</f>
        <v/>
      </c>
      <c r="Q343" s="89"/>
      <c r="R343" s="89"/>
      <c r="S343" s="89" t="str">
        <f t="shared" si="17"/>
        <v>#DIV/0!</v>
      </c>
      <c r="T343" s="89" t="str">
        <f t="shared" si="6"/>
        <v>#DIV/0!</v>
      </c>
      <c r="U343" s="89" t="str">
        <f t="shared" si="25"/>
        <v>#DIV/0!</v>
      </c>
      <c r="V343" s="89" t="str">
        <f t="shared" si="24"/>
        <v>#DIV/0!</v>
      </c>
      <c r="W343" s="89" t="str">
        <f t="shared" si="9"/>
        <v>#DIV/0!</v>
      </c>
      <c r="X343" s="89"/>
      <c r="Y343" s="89"/>
      <c r="Z343" s="89"/>
      <c r="AA343" s="89"/>
      <c r="AB343" s="89"/>
      <c r="AC343" s="89"/>
      <c r="AD343" s="89"/>
      <c r="AE343" s="89"/>
      <c r="AF343" s="89"/>
      <c r="AG343" s="89"/>
      <c r="AH343" s="89"/>
    </row>
    <row r="344">
      <c r="A344" s="8" t="s">
        <v>482</v>
      </c>
      <c r="B344" s="97"/>
      <c r="C344" s="8"/>
      <c r="D344" s="89" t="str">
        <f t="shared" si="1"/>
        <v/>
      </c>
      <c r="E344" s="89" t="str">
        <f t="shared" si="2"/>
        <v>OT Hours</v>
      </c>
      <c r="F344" s="89" t="str">
        <f>IFERROR(VLOOKUP(C344,'Employees List'!$B$1:$G$999,2,0),"")</f>
        <v/>
      </c>
      <c r="G344" s="89" t="str">
        <f t="shared" si="23"/>
        <v>#DIV/0!</v>
      </c>
      <c r="H344" s="98"/>
      <c r="I344" s="89" t="str">
        <f>IFERROR(VLOOKUP(F344,'Employees List'!$C:$F,2,0),"")</f>
        <v/>
      </c>
      <c r="J344" s="93" t="str">
        <f>IFERROR(VLOOKUP(C344,'Employees List'!$B$2:$G$991,5,0),"")</f>
        <v/>
      </c>
      <c r="K344" s="95" t="str">
        <f>IFERROR(VLOOKUP(F344,'Employees List'!$C$1:$AB$991,5,0),"")</f>
        <v/>
      </c>
      <c r="L344" s="91">
        <f t="shared" si="3"/>
        <v>0</v>
      </c>
      <c r="M344" s="91">
        <f t="shared" si="4"/>
        <v>0</v>
      </c>
      <c r="N344" s="89" t="str">
        <f>IFERROR(VLOOKUP(B344,'Employees List'!$A$2:$H$991,8,0),"")</f>
        <v/>
      </c>
      <c r="O344" s="89" t="str">
        <f>IFERROR(VLOOKUP(D344,'Daily Attendance Report 24-25'!A312:BP999,5,0),"")</f>
        <v/>
      </c>
      <c r="P344" s="89" t="str">
        <f>IFERROR(VLOOKUP(E344,'Daily Attendance Report 24-25'!$A$1:$BO$617,5,0),"")</f>
        <v/>
      </c>
      <c r="Q344" s="89"/>
      <c r="R344" s="89"/>
      <c r="S344" s="89" t="str">
        <f t="shared" si="17"/>
        <v>#DIV/0!</v>
      </c>
      <c r="T344" s="89" t="str">
        <f t="shared" si="6"/>
        <v>#DIV/0!</v>
      </c>
      <c r="U344" s="89" t="str">
        <f t="shared" si="25"/>
        <v>#DIV/0!</v>
      </c>
      <c r="V344" s="89" t="str">
        <f t="shared" si="24"/>
        <v>#DIV/0!</v>
      </c>
      <c r="W344" s="89" t="str">
        <f t="shared" si="9"/>
        <v>#DIV/0!</v>
      </c>
      <c r="X344" s="89"/>
      <c r="Y344" s="89"/>
      <c r="Z344" s="89"/>
      <c r="AA344" s="89"/>
      <c r="AB344" s="89"/>
      <c r="AC344" s="89"/>
      <c r="AD344" s="89"/>
      <c r="AE344" s="89"/>
      <c r="AF344" s="89"/>
      <c r="AG344" s="89"/>
      <c r="AH344" s="89"/>
    </row>
    <row r="345">
      <c r="A345" s="8" t="s">
        <v>483</v>
      </c>
      <c r="B345" s="97"/>
      <c r="C345" s="8"/>
      <c r="D345" s="89" t="str">
        <f t="shared" si="1"/>
        <v/>
      </c>
      <c r="E345" s="89" t="str">
        <f t="shared" si="2"/>
        <v>OT Hours</v>
      </c>
      <c r="F345" s="89" t="str">
        <f>IFERROR(VLOOKUP(C345,'Employees List'!$B$1:$G$999,2,0),"")</f>
        <v/>
      </c>
      <c r="G345" s="89" t="str">
        <f t="shared" si="23"/>
        <v>#DIV/0!</v>
      </c>
      <c r="H345" s="98"/>
      <c r="I345" s="89" t="str">
        <f>IFERROR(VLOOKUP(F345,'Employees List'!$C:$F,2,0),"")</f>
        <v/>
      </c>
      <c r="J345" s="93" t="str">
        <f>IFERROR(VLOOKUP(C345,'Employees List'!$B$2:$G$991,5,0),"")</f>
        <v/>
      </c>
      <c r="K345" s="95" t="str">
        <f>IFERROR(VLOOKUP(F345,'Employees List'!$C$1:$AB$991,5,0),"")</f>
        <v/>
      </c>
      <c r="L345" s="91">
        <f t="shared" si="3"/>
        <v>0</v>
      </c>
      <c r="M345" s="91">
        <f t="shared" si="4"/>
        <v>0</v>
      </c>
      <c r="N345" s="89" t="str">
        <f>IFERROR(VLOOKUP(B345,'Employees List'!$A$2:$H$991,8,0),"")</f>
        <v/>
      </c>
      <c r="O345" s="89" t="str">
        <f>IFERROR(VLOOKUP(D345,'Daily Attendance Report 24-25'!A313:BP999,5,0),"")</f>
        <v/>
      </c>
      <c r="P345" s="89" t="str">
        <f>IFERROR(VLOOKUP(E345,'Daily Attendance Report 24-25'!$A$1:$BO$617,5,0),"")</f>
        <v/>
      </c>
      <c r="Q345" s="89"/>
      <c r="R345" s="89"/>
      <c r="S345" s="89" t="str">
        <f t="shared" si="17"/>
        <v>#DIV/0!</v>
      </c>
      <c r="T345" s="89" t="str">
        <f t="shared" si="6"/>
        <v>#DIV/0!</v>
      </c>
      <c r="U345" s="89" t="str">
        <f t="shared" si="25"/>
        <v>#DIV/0!</v>
      </c>
      <c r="V345" s="89" t="str">
        <f t="shared" si="24"/>
        <v>#DIV/0!</v>
      </c>
      <c r="W345" s="89" t="str">
        <f t="shared" si="9"/>
        <v>#DIV/0!</v>
      </c>
      <c r="X345" s="89"/>
      <c r="Y345" s="89"/>
      <c r="Z345" s="89"/>
      <c r="AA345" s="89"/>
      <c r="AB345" s="89"/>
      <c r="AC345" s="89"/>
      <c r="AD345" s="89"/>
      <c r="AE345" s="89"/>
      <c r="AF345" s="89"/>
      <c r="AG345" s="89"/>
      <c r="AH345" s="89"/>
    </row>
    <row r="346">
      <c r="A346" s="8" t="s">
        <v>484</v>
      </c>
      <c r="B346" s="97"/>
      <c r="C346" s="8"/>
      <c r="D346" s="89" t="str">
        <f t="shared" si="1"/>
        <v/>
      </c>
      <c r="E346" s="89" t="str">
        <f t="shared" si="2"/>
        <v>OT Hours</v>
      </c>
      <c r="F346" s="89" t="str">
        <f>IFERROR(VLOOKUP(C346,'Employees List'!$B$1:$G$999,2,0),"")</f>
        <v/>
      </c>
      <c r="G346" s="89" t="str">
        <f t="shared" si="23"/>
        <v>#DIV/0!</v>
      </c>
      <c r="H346" s="98"/>
      <c r="I346" s="89" t="str">
        <f>IFERROR(VLOOKUP(F346,'Employees List'!$C:$F,2,0),"")</f>
        <v/>
      </c>
      <c r="J346" s="93" t="str">
        <f>IFERROR(VLOOKUP(C346,'Employees List'!$B$2:$G$991,5,0),"")</f>
        <v/>
      </c>
      <c r="K346" s="95" t="str">
        <f>IFERROR(VLOOKUP(F346,'Employees List'!$C$1:$AB$991,5,0),"")</f>
        <v/>
      </c>
      <c r="L346" s="91">
        <f t="shared" si="3"/>
        <v>0</v>
      </c>
      <c r="M346" s="91">
        <f t="shared" si="4"/>
        <v>0</v>
      </c>
      <c r="N346" s="89" t="str">
        <f>IFERROR(VLOOKUP(B346,'Employees List'!$A$2:$H$991,8,0),"")</f>
        <v/>
      </c>
      <c r="O346" s="89" t="str">
        <f>IFERROR(VLOOKUP(D346,'Daily Attendance Report 24-25'!A314:BP999,5,0),"")</f>
        <v/>
      </c>
      <c r="P346" s="89" t="str">
        <f>IFERROR(VLOOKUP(E346,'Daily Attendance Report 24-25'!$A$1:$BO$617,5,0),"")</f>
        <v/>
      </c>
      <c r="Q346" s="89"/>
      <c r="R346" s="89"/>
      <c r="S346" s="89" t="str">
        <f t="shared" si="17"/>
        <v>#DIV/0!</v>
      </c>
      <c r="T346" s="89" t="str">
        <f t="shared" si="6"/>
        <v>#DIV/0!</v>
      </c>
      <c r="U346" s="89" t="str">
        <f t="shared" si="25"/>
        <v>#DIV/0!</v>
      </c>
      <c r="V346" s="89" t="str">
        <f t="shared" si="24"/>
        <v>#DIV/0!</v>
      </c>
      <c r="W346" s="89" t="str">
        <f t="shared" si="9"/>
        <v>#DIV/0!</v>
      </c>
      <c r="X346" s="89"/>
      <c r="Y346" s="89"/>
      <c r="Z346" s="89"/>
      <c r="AA346" s="89"/>
      <c r="AB346" s="89"/>
      <c r="AC346" s="89"/>
      <c r="AD346" s="89"/>
      <c r="AE346" s="89"/>
      <c r="AF346" s="89"/>
      <c r="AG346" s="89"/>
      <c r="AH346" s="89"/>
    </row>
    <row r="347">
      <c r="A347" s="8" t="s">
        <v>485</v>
      </c>
      <c r="B347" s="97"/>
      <c r="C347" s="8"/>
      <c r="D347" s="89" t="str">
        <f t="shared" si="1"/>
        <v/>
      </c>
      <c r="E347" s="89" t="str">
        <f t="shared" si="2"/>
        <v>OT Hours</v>
      </c>
      <c r="F347" s="89" t="str">
        <f>IFERROR(VLOOKUP(C347,'Employees List'!$B$1:$G$999,2,0),"")</f>
        <v/>
      </c>
      <c r="G347" s="89" t="str">
        <f t="shared" si="23"/>
        <v>#DIV/0!</v>
      </c>
      <c r="H347" s="98"/>
      <c r="I347" s="89" t="str">
        <f>IFERROR(VLOOKUP(F347,'Employees List'!$C:$F,2,0),"")</f>
        <v/>
      </c>
      <c r="J347" s="93" t="str">
        <f>IFERROR(VLOOKUP(C347,'Employees List'!$B$2:$G$991,5,0),"")</f>
        <v/>
      </c>
      <c r="K347" s="95" t="str">
        <f>IFERROR(VLOOKUP(F347,'Employees List'!$C$1:$AB$991,5,0),"")</f>
        <v/>
      </c>
      <c r="L347" s="91">
        <f t="shared" si="3"/>
        <v>0</v>
      </c>
      <c r="M347" s="91">
        <f t="shared" si="4"/>
        <v>0</v>
      </c>
      <c r="N347" s="89" t="str">
        <f>IFERROR(VLOOKUP(B347,'Employees List'!$A$2:$H$991,8,0),"")</f>
        <v/>
      </c>
      <c r="O347" s="89" t="str">
        <f>IFERROR(VLOOKUP(D347,'Daily Attendance Report 24-25'!A315:BP999,5,0),"")</f>
        <v/>
      </c>
      <c r="P347" s="89" t="str">
        <f>IFERROR(VLOOKUP(E347,'Daily Attendance Report 24-25'!$A$1:$BO$617,5,0),"")</f>
        <v/>
      </c>
      <c r="Q347" s="89"/>
      <c r="R347" s="89"/>
      <c r="S347" s="89" t="str">
        <f t="shared" si="17"/>
        <v>#DIV/0!</v>
      </c>
      <c r="T347" s="89" t="str">
        <f t="shared" si="6"/>
        <v>#DIV/0!</v>
      </c>
      <c r="U347" s="89" t="str">
        <f t="shared" si="25"/>
        <v>#DIV/0!</v>
      </c>
      <c r="V347" s="89" t="str">
        <f t="shared" si="24"/>
        <v>#DIV/0!</v>
      </c>
      <c r="W347" s="89" t="str">
        <f t="shared" si="9"/>
        <v>#DIV/0!</v>
      </c>
      <c r="X347" s="89"/>
      <c r="Y347" s="89"/>
      <c r="Z347" s="89"/>
      <c r="AA347" s="89"/>
      <c r="AB347" s="89"/>
      <c r="AC347" s="89"/>
      <c r="AD347" s="89"/>
      <c r="AE347" s="89"/>
      <c r="AF347" s="89"/>
      <c r="AG347" s="89"/>
      <c r="AH347" s="89"/>
    </row>
    <row r="348">
      <c r="A348" s="8" t="s">
        <v>486</v>
      </c>
      <c r="B348" s="97"/>
      <c r="C348" s="8"/>
      <c r="D348" s="89" t="str">
        <f t="shared" si="1"/>
        <v/>
      </c>
      <c r="E348" s="89" t="str">
        <f t="shared" si="2"/>
        <v>OT Hours</v>
      </c>
      <c r="F348" s="89" t="str">
        <f>IFERROR(VLOOKUP(C348,'Employees List'!$B$1:$G$999,2,0),"")</f>
        <v/>
      </c>
      <c r="G348" s="89" t="str">
        <f t="shared" si="23"/>
        <v>#DIV/0!</v>
      </c>
      <c r="H348" s="98"/>
      <c r="I348" s="89" t="str">
        <f>IFERROR(VLOOKUP(F348,'Employees List'!$C:$F,2,0),"")</f>
        <v/>
      </c>
      <c r="J348" s="93" t="str">
        <f>IFERROR(VLOOKUP(C348,'Employees List'!$B$2:$G$991,5,0),"")</f>
        <v/>
      </c>
      <c r="K348" s="95" t="str">
        <f>IFERROR(VLOOKUP(F348,'Employees List'!$C$1:$AB$991,5,0),"")</f>
        <v/>
      </c>
      <c r="L348" s="91">
        <f t="shared" si="3"/>
        <v>0</v>
      </c>
      <c r="M348" s="91">
        <f t="shared" si="4"/>
        <v>0</v>
      </c>
      <c r="N348" s="89" t="str">
        <f>IFERROR(VLOOKUP(B348,'Employees List'!$A$2:$H$991,8,0),"")</f>
        <v/>
      </c>
      <c r="O348" s="89" t="str">
        <f>IFERROR(VLOOKUP(D348,'Daily Attendance Report 24-25'!A316:BP999,5,0),"")</f>
        <v/>
      </c>
      <c r="P348" s="89" t="str">
        <f>IFERROR(VLOOKUP(E348,'Daily Attendance Report 24-25'!$A$1:$BO$617,5,0),"")</f>
        <v/>
      </c>
      <c r="Q348" s="89"/>
      <c r="R348" s="89"/>
      <c r="S348" s="89" t="str">
        <f t="shared" si="17"/>
        <v>#DIV/0!</v>
      </c>
      <c r="T348" s="89" t="str">
        <f t="shared" si="6"/>
        <v>#DIV/0!</v>
      </c>
      <c r="U348" s="89" t="str">
        <f t="shared" si="25"/>
        <v>#DIV/0!</v>
      </c>
      <c r="V348" s="89" t="str">
        <f t="shared" si="24"/>
        <v>#DIV/0!</v>
      </c>
      <c r="W348" s="89" t="str">
        <f t="shared" si="9"/>
        <v>#DIV/0!</v>
      </c>
      <c r="X348" s="89"/>
      <c r="Y348" s="89"/>
      <c r="Z348" s="89"/>
      <c r="AA348" s="89"/>
      <c r="AB348" s="89"/>
      <c r="AC348" s="89"/>
      <c r="AD348" s="89"/>
      <c r="AE348" s="89"/>
      <c r="AF348" s="89"/>
      <c r="AG348" s="89"/>
      <c r="AH348" s="89"/>
    </row>
    <row r="349">
      <c r="A349" s="8" t="s">
        <v>487</v>
      </c>
      <c r="B349" s="97"/>
      <c r="C349" s="8"/>
      <c r="D349" s="89" t="str">
        <f t="shared" si="1"/>
        <v/>
      </c>
      <c r="E349" s="89" t="str">
        <f t="shared" si="2"/>
        <v>OT Hours</v>
      </c>
      <c r="F349" s="89" t="str">
        <f>IFERROR(VLOOKUP(C349,'Employees List'!$B$1:$G$999,2,0),"")</f>
        <v/>
      </c>
      <c r="G349" s="89" t="str">
        <f t="shared" si="23"/>
        <v>#DIV/0!</v>
      </c>
      <c r="H349" s="98"/>
      <c r="I349" s="89" t="str">
        <f>IFERROR(VLOOKUP(F349,'Employees List'!$C:$F,2,0),"")</f>
        <v/>
      </c>
      <c r="J349" s="93" t="str">
        <f>IFERROR(VLOOKUP(C349,'Employees List'!$B$2:$G$991,5,0),"")</f>
        <v/>
      </c>
      <c r="K349" s="95" t="str">
        <f>IFERROR(VLOOKUP(F349,'Employees List'!$C$1:$AB$991,5,0),"")</f>
        <v/>
      </c>
      <c r="L349" s="91">
        <f t="shared" si="3"/>
        <v>0</v>
      </c>
      <c r="M349" s="91">
        <f t="shared" si="4"/>
        <v>0</v>
      </c>
      <c r="N349" s="89" t="str">
        <f>IFERROR(VLOOKUP(B349,'Employees List'!$A$2:$H$991,8,0),"")</f>
        <v/>
      </c>
      <c r="O349" s="89" t="str">
        <f>IFERROR(VLOOKUP(D349,'Daily Attendance Report 24-25'!A317:BP999,5,0),"")</f>
        <v/>
      </c>
      <c r="P349" s="89" t="str">
        <f>IFERROR(VLOOKUP(E349,'Daily Attendance Report 24-25'!$A$1:$BO$617,5,0),"")</f>
        <v/>
      </c>
      <c r="Q349" s="89"/>
      <c r="R349" s="89"/>
      <c r="S349" s="89" t="str">
        <f t="shared" si="17"/>
        <v>#DIV/0!</v>
      </c>
      <c r="T349" s="89" t="str">
        <f t="shared" si="6"/>
        <v>#DIV/0!</v>
      </c>
      <c r="U349" s="89" t="str">
        <f t="shared" si="25"/>
        <v>#DIV/0!</v>
      </c>
      <c r="V349" s="89" t="str">
        <f t="shared" si="24"/>
        <v>#DIV/0!</v>
      </c>
      <c r="W349" s="89" t="str">
        <f t="shared" si="9"/>
        <v>#DIV/0!</v>
      </c>
      <c r="X349" s="89"/>
      <c r="Y349" s="89"/>
      <c r="Z349" s="89"/>
      <c r="AA349" s="89"/>
      <c r="AB349" s="89"/>
      <c r="AC349" s="89"/>
      <c r="AD349" s="89"/>
      <c r="AE349" s="89"/>
      <c r="AF349" s="89"/>
      <c r="AG349" s="89"/>
      <c r="AH349" s="89"/>
    </row>
    <row r="350">
      <c r="A350" s="8" t="s">
        <v>488</v>
      </c>
      <c r="B350" s="97"/>
      <c r="C350" s="8"/>
      <c r="D350" s="89" t="str">
        <f t="shared" si="1"/>
        <v/>
      </c>
      <c r="E350" s="89" t="str">
        <f t="shared" si="2"/>
        <v>OT Hours</v>
      </c>
      <c r="F350" s="89" t="str">
        <f>IFERROR(VLOOKUP(C350,'Employees List'!$B$1:$G$999,2,0),"")</f>
        <v/>
      </c>
      <c r="G350" s="89" t="str">
        <f t="shared" si="23"/>
        <v>#DIV/0!</v>
      </c>
      <c r="H350" s="98"/>
      <c r="I350" s="89" t="str">
        <f>IFERROR(VLOOKUP(F350,'Employees List'!$C:$F,2,0),"")</f>
        <v/>
      </c>
      <c r="J350" s="93" t="str">
        <f>IFERROR(VLOOKUP(C350,'Employees List'!$B$2:$G$991,5,0),"")</f>
        <v/>
      </c>
      <c r="K350" s="95" t="str">
        <f>IFERROR(VLOOKUP(F350,'Employees List'!$C$1:$AB$991,5,0),"")</f>
        <v/>
      </c>
      <c r="L350" s="91">
        <f t="shared" si="3"/>
        <v>0</v>
      </c>
      <c r="M350" s="91">
        <f t="shared" si="4"/>
        <v>0</v>
      </c>
      <c r="N350" s="89" t="str">
        <f>IFERROR(VLOOKUP(B350,'Employees List'!$A$2:$H$991,8,0),"")</f>
        <v/>
      </c>
      <c r="O350" s="89" t="str">
        <f>IFERROR(VLOOKUP(D350,'Daily Attendance Report 24-25'!A318:BP999,5,0),"")</f>
        <v/>
      </c>
      <c r="P350" s="89" t="str">
        <f>IFERROR(VLOOKUP(E350,'Daily Attendance Report 24-25'!$A$1:$BO$617,5,0),"")</f>
        <v/>
      </c>
      <c r="Q350" s="89"/>
      <c r="R350" s="89"/>
      <c r="S350" s="89" t="str">
        <f t="shared" si="17"/>
        <v>#DIV/0!</v>
      </c>
      <c r="T350" s="89" t="str">
        <f t="shared" si="6"/>
        <v>#DIV/0!</v>
      </c>
      <c r="U350" s="89" t="str">
        <f t="shared" si="25"/>
        <v>#DIV/0!</v>
      </c>
      <c r="V350" s="89" t="str">
        <f t="shared" si="24"/>
        <v>#DIV/0!</v>
      </c>
      <c r="W350" s="89" t="str">
        <f t="shared" si="9"/>
        <v>#DIV/0!</v>
      </c>
      <c r="X350" s="89"/>
      <c r="Y350" s="89"/>
      <c r="Z350" s="89"/>
      <c r="AA350" s="89"/>
      <c r="AB350" s="89"/>
      <c r="AC350" s="89"/>
      <c r="AD350" s="89"/>
      <c r="AE350" s="89"/>
      <c r="AF350" s="89"/>
      <c r="AG350" s="89"/>
      <c r="AH350" s="89"/>
    </row>
    <row r="351">
      <c r="A351" s="8" t="s">
        <v>489</v>
      </c>
      <c r="B351" s="97"/>
      <c r="C351" s="8"/>
      <c r="D351" s="89" t="str">
        <f t="shared" si="1"/>
        <v/>
      </c>
      <c r="E351" s="89" t="str">
        <f t="shared" si="2"/>
        <v>OT Hours</v>
      </c>
      <c r="F351" s="89" t="str">
        <f>IFERROR(VLOOKUP(C351,'Employees List'!$B$1:$G$999,2,0),"")</f>
        <v/>
      </c>
      <c r="G351" s="89" t="str">
        <f t="shared" si="23"/>
        <v>#DIV/0!</v>
      </c>
      <c r="H351" s="98"/>
      <c r="I351" s="89" t="str">
        <f>IFERROR(VLOOKUP(F351,'Employees List'!$C:$F,2,0),"")</f>
        <v/>
      </c>
      <c r="J351" s="93" t="str">
        <f>IFERROR(VLOOKUP(C351,'Employees List'!$B$2:$G$991,5,0),"")</f>
        <v/>
      </c>
      <c r="K351" s="95" t="str">
        <f>IFERROR(VLOOKUP(F351,'Employees List'!$C$1:$AB$991,5,0),"")</f>
        <v/>
      </c>
      <c r="L351" s="91">
        <f t="shared" si="3"/>
        <v>0</v>
      </c>
      <c r="M351" s="91">
        <f t="shared" si="4"/>
        <v>0</v>
      </c>
      <c r="N351" s="89" t="str">
        <f>IFERROR(VLOOKUP(B351,'Employees List'!$A$2:$H$991,8,0),"")</f>
        <v/>
      </c>
      <c r="O351" s="89" t="str">
        <f>IFERROR(VLOOKUP(D351,'Daily Attendance Report 24-25'!A319:BP999,5,0),"")</f>
        <v/>
      </c>
      <c r="P351" s="89" t="str">
        <f>IFERROR(VLOOKUP(E351,'Daily Attendance Report 24-25'!$A$1:$BO$617,5,0),"")</f>
        <v/>
      </c>
      <c r="Q351" s="89"/>
      <c r="R351" s="89"/>
      <c r="S351" s="89" t="str">
        <f t="shared" si="17"/>
        <v>#DIV/0!</v>
      </c>
      <c r="T351" s="89" t="str">
        <f t="shared" si="6"/>
        <v>#DIV/0!</v>
      </c>
      <c r="U351" s="89" t="str">
        <f t="shared" si="25"/>
        <v>#DIV/0!</v>
      </c>
      <c r="V351" s="89" t="str">
        <f t="shared" si="24"/>
        <v>#DIV/0!</v>
      </c>
      <c r="W351" s="89" t="str">
        <f t="shared" si="9"/>
        <v>#DIV/0!</v>
      </c>
      <c r="X351" s="89"/>
      <c r="Y351" s="89"/>
      <c r="Z351" s="89"/>
      <c r="AA351" s="89"/>
      <c r="AB351" s="89"/>
      <c r="AC351" s="89"/>
      <c r="AD351" s="89"/>
      <c r="AE351" s="89"/>
      <c r="AF351" s="89"/>
      <c r="AG351" s="89"/>
      <c r="AH351" s="89"/>
    </row>
    <row r="352">
      <c r="A352" s="8" t="s">
        <v>490</v>
      </c>
      <c r="B352" s="97"/>
      <c r="C352" s="8"/>
      <c r="D352" s="89" t="str">
        <f t="shared" si="1"/>
        <v/>
      </c>
      <c r="E352" s="89" t="str">
        <f t="shared" si="2"/>
        <v>OT Hours</v>
      </c>
      <c r="F352" s="89" t="str">
        <f>IFERROR(VLOOKUP(C352,'Employees List'!$B$1:$G$999,2,0),"")</f>
        <v/>
      </c>
      <c r="G352" s="89" t="str">
        <f t="shared" si="23"/>
        <v>#DIV/0!</v>
      </c>
      <c r="H352" s="98"/>
      <c r="I352" s="89" t="str">
        <f>IFERROR(VLOOKUP(F352,'Employees List'!$C:$F,2,0),"")</f>
        <v/>
      </c>
      <c r="J352" s="93" t="str">
        <f>IFERROR(VLOOKUP(C352,'Employees List'!$B$2:$G$991,5,0),"")</f>
        <v/>
      </c>
      <c r="K352" s="95" t="str">
        <f>IFERROR(VLOOKUP(F352,'Employees List'!$C$1:$AB$991,5,0),"")</f>
        <v/>
      </c>
      <c r="L352" s="91">
        <f t="shared" si="3"/>
        <v>0</v>
      </c>
      <c r="M352" s="91">
        <f t="shared" si="4"/>
        <v>0</v>
      </c>
      <c r="N352" s="89" t="str">
        <f>IFERROR(VLOOKUP(B352,'Employees List'!$A$2:$H$991,8,0),"")</f>
        <v/>
      </c>
      <c r="O352" s="89" t="str">
        <f>IFERROR(VLOOKUP(D352,'Daily Attendance Report 24-25'!A320:BP999,5,0),"")</f>
        <v/>
      </c>
      <c r="P352" s="89" t="str">
        <f>IFERROR(VLOOKUP(E352,'Daily Attendance Report 24-25'!$A$1:$BO$617,5,0),"")</f>
        <v/>
      </c>
      <c r="Q352" s="89"/>
      <c r="R352" s="89"/>
      <c r="S352" s="89" t="str">
        <f t="shared" si="17"/>
        <v>#DIV/0!</v>
      </c>
      <c r="T352" s="89" t="str">
        <f t="shared" si="6"/>
        <v>#DIV/0!</v>
      </c>
      <c r="U352" s="89" t="str">
        <f t="shared" si="25"/>
        <v>#DIV/0!</v>
      </c>
      <c r="V352" s="89" t="str">
        <f t="shared" si="24"/>
        <v>#DIV/0!</v>
      </c>
      <c r="W352" s="89" t="str">
        <f t="shared" si="9"/>
        <v>#DIV/0!</v>
      </c>
      <c r="X352" s="89"/>
      <c r="Y352" s="89"/>
      <c r="Z352" s="89"/>
      <c r="AA352" s="89"/>
      <c r="AB352" s="89"/>
      <c r="AC352" s="89"/>
      <c r="AD352" s="89"/>
      <c r="AE352" s="89"/>
      <c r="AF352" s="89"/>
      <c r="AG352" s="89"/>
      <c r="AH352" s="89"/>
    </row>
    <row r="353">
      <c r="A353" s="8" t="s">
        <v>491</v>
      </c>
      <c r="B353" s="97"/>
      <c r="C353" s="8"/>
      <c r="D353" s="89" t="str">
        <f t="shared" si="1"/>
        <v/>
      </c>
      <c r="E353" s="89" t="str">
        <f t="shared" si="2"/>
        <v>OT Hours</v>
      </c>
      <c r="F353" s="89" t="str">
        <f>IFERROR(VLOOKUP(C353,'Employees List'!$B$1:$G$999,2,0),"")</f>
        <v/>
      </c>
      <c r="G353" s="89" t="str">
        <f t="shared" si="23"/>
        <v>#DIV/0!</v>
      </c>
      <c r="H353" s="98"/>
      <c r="I353" s="89" t="str">
        <f>IFERROR(VLOOKUP(F353,'Employees List'!$C:$F,2,0),"")</f>
        <v/>
      </c>
      <c r="J353" s="93" t="str">
        <f>IFERROR(VLOOKUP(C353,'Employees List'!$B$2:$G$991,5,0),"")</f>
        <v/>
      </c>
      <c r="K353" s="95" t="str">
        <f>IFERROR(VLOOKUP(F353,'Employees List'!$C$1:$AB$991,5,0),"")</f>
        <v/>
      </c>
      <c r="L353" s="91">
        <f t="shared" si="3"/>
        <v>0</v>
      </c>
      <c r="M353" s="91">
        <f t="shared" si="4"/>
        <v>0</v>
      </c>
      <c r="N353" s="89" t="str">
        <f>IFERROR(VLOOKUP(B353,'Employees List'!$A$2:$H$991,8,0),"")</f>
        <v/>
      </c>
      <c r="O353" s="89" t="str">
        <f>IFERROR(VLOOKUP(D353,'Daily Attendance Report 24-25'!A321:BP999,5,0),"")</f>
        <v/>
      </c>
      <c r="P353" s="89" t="str">
        <f>IFERROR(VLOOKUP(E353,'Daily Attendance Report 24-25'!$A$1:$BO$617,5,0),"")</f>
        <v/>
      </c>
      <c r="Q353" s="89"/>
      <c r="R353" s="89"/>
      <c r="S353" s="89" t="str">
        <f t="shared" si="17"/>
        <v>#DIV/0!</v>
      </c>
      <c r="T353" s="89" t="str">
        <f t="shared" si="6"/>
        <v>#DIV/0!</v>
      </c>
      <c r="U353" s="89" t="str">
        <f t="shared" si="25"/>
        <v>#DIV/0!</v>
      </c>
      <c r="V353" s="89" t="str">
        <f t="shared" si="24"/>
        <v>#DIV/0!</v>
      </c>
      <c r="W353" s="89" t="str">
        <f t="shared" si="9"/>
        <v>#DIV/0!</v>
      </c>
      <c r="X353" s="89"/>
      <c r="Y353" s="89"/>
      <c r="Z353" s="89"/>
      <c r="AA353" s="89"/>
      <c r="AB353" s="89"/>
      <c r="AC353" s="89"/>
      <c r="AD353" s="89"/>
      <c r="AE353" s="89"/>
      <c r="AF353" s="89"/>
      <c r="AG353" s="89"/>
      <c r="AH353" s="89"/>
    </row>
    <row r="354">
      <c r="A354" s="8" t="s">
        <v>492</v>
      </c>
      <c r="B354" s="97"/>
      <c r="C354" s="8"/>
      <c r="D354" s="89" t="str">
        <f t="shared" si="1"/>
        <v/>
      </c>
      <c r="E354" s="89" t="str">
        <f t="shared" si="2"/>
        <v>OT Hours</v>
      </c>
      <c r="F354" s="89" t="str">
        <f>IFERROR(VLOOKUP(C354,'Employees List'!$B$1:$G$999,2,0),"")</f>
        <v/>
      </c>
      <c r="G354" s="89" t="str">
        <f t="shared" si="23"/>
        <v>#DIV/0!</v>
      </c>
      <c r="H354" s="98"/>
      <c r="I354" s="89" t="str">
        <f>IFERROR(VLOOKUP(F354,'Employees List'!$C:$F,2,0),"")</f>
        <v/>
      </c>
      <c r="J354" s="93" t="str">
        <f>IFERROR(VLOOKUP(C354,'Employees List'!$B$2:$G$991,5,0),"")</f>
        <v/>
      </c>
      <c r="K354" s="95" t="str">
        <f>IFERROR(VLOOKUP(F354,'Employees List'!$C$1:$AB$991,5,0),"")</f>
        <v/>
      </c>
      <c r="L354" s="91">
        <f t="shared" si="3"/>
        <v>0</v>
      </c>
      <c r="M354" s="91">
        <f t="shared" si="4"/>
        <v>0</v>
      </c>
      <c r="N354" s="89" t="str">
        <f>IFERROR(VLOOKUP(B354,'Employees List'!$A$2:$H$991,8,0),"")</f>
        <v/>
      </c>
      <c r="O354" s="89" t="str">
        <f>IFERROR(VLOOKUP(D354,'Daily Attendance Report 24-25'!A322:BP999,5,0),"")</f>
        <v/>
      </c>
      <c r="P354" s="89" t="str">
        <f>IFERROR(VLOOKUP(E354,'Daily Attendance Report 24-25'!$A$1:$BO$617,5,0),"")</f>
        <v/>
      </c>
      <c r="Q354" s="89"/>
      <c r="R354" s="89"/>
      <c r="S354" s="89" t="str">
        <f t="shared" si="17"/>
        <v>#DIV/0!</v>
      </c>
      <c r="T354" s="89" t="str">
        <f t="shared" si="6"/>
        <v>#DIV/0!</v>
      </c>
      <c r="U354" s="89" t="str">
        <f t="shared" si="25"/>
        <v>#DIV/0!</v>
      </c>
      <c r="V354" s="89" t="str">
        <f t="shared" si="24"/>
        <v>#DIV/0!</v>
      </c>
      <c r="W354" s="89" t="str">
        <f t="shared" si="9"/>
        <v>#DIV/0!</v>
      </c>
      <c r="X354" s="89"/>
      <c r="Y354" s="89"/>
      <c r="Z354" s="89"/>
      <c r="AA354" s="89"/>
      <c r="AB354" s="89"/>
      <c r="AC354" s="89"/>
      <c r="AD354" s="89"/>
      <c r="AE354" s="89"/>
      <c r="AF354" s="89"/>
      <c r="AG354" s="89"/>
      <c r="AH354" s="89"/>
    </row>
    <row r="355">
      <c r="A355" s="8" t="s">
        <v>493</v>
      </c>
      <c r="B355" s="97"/>
      <c r="C355" s="8"/>
      <c r="D355" s="89" t="str">
        <f t="shared" si="1"/>
        <v/>
      </c>
      <c r="E355" s="89" t="str">
        <f t="shared" si="2"/>
        <v>OT Hours</v>
      </c>
      <c r="F355" s="89" t="str">
        <f>IFERROR(VLOOKUP(C355,'Employees List'!$B$1:$G$999,2,0),"")</f>
        <v/>
      </c>
      <c r="G355" s="89" t="str">
        <f t="shared" si="23"/>
        <v>#DIV/0!</v>
      </c>
      <c r="H355" s="98"/>
      <c r="I355" s="89" t="str">
        <f>IFERROR(VLOOKUP(F355,'Employees List'!$C:$F,2,0),"")</f>
        <v/>
      </c>
      <c r="J355" s="93" t="str">
        <f>IFERROR(VLOOKUP(C355,'Employees List'!$B$2:$G$991,5,0),"")</f>
        <v/>
      </c>
      <c r="K355" s="95" t="str">
        <f>IFERROR(VLOOKUP(F355,'Employees List'!$C$1:$AB$991,5,0),"")</f>
        <v/>
      </c>
      <c r="L355" s="91">
        <f t="shared" si="3"/>
        <v>0</v>
      </c>
      <c r="M355" s="91">
        <f t="shared" si="4"/>
        <v>0</v>
      </c>
      <c r="N355" s="89" t="str">
        <f>IFERROR(VLOOKUP(B355,'Employees List'!$A$2:$H$991,8,0),"")</f>
        <v/>
      </c>
      <c r="O355" s="89" t="str">
        <f>IFERROR(VLOOKUP(D355,'Daily Attendance Report 24-25'!A323:BP999,5,0),"")</f>
        <v/>
      </c>
      <c r="P355" s="89" t="str">
        <f>IFERROR(VLOOKUP(E355,'Daily Attendance Report 24-25'!$A$1:$BO$617,5,0),"")</f>
        <v/>
      </c>
      <c r="Q355" s="89"/>
      <c r="R355" s="89"/>
      <c r="S355" s="89" t="str">
        <f t="shared" si="17"/>
        <v>#DIV/0!</v>
      </c>
      <c r="T355" s="89" t="str">
        <f t="shared" si="6"/>
        <v>#DIV/0!</v>
      </c>
      <c r="U355" s="89" t="str">
        <f t="shared" si="25"/>
        <v>#DIV/0!</v>
      </c>
      <c r="V355" s="89" t="str">
        <f t="shared" si="24"/>
        <v>#DIV/0!</v>
      </c>
      <c r="W355" s="89" t="str">
        <f t="shared" si="9"/>
        <v>#DIV/0!</v>
      </c>
      <c r="X355" s="89"/>
      <c r="Y355" s="89"/>
      <c r="Z355" s="89"/>
      <c r="AA355" s="89"/>
      <c r="AB355" s="89"/>
      <c r="AC355" s="89"/>
      <c r="AD355" s="89"/>
      <c r="AE355" s="89"/>
      <c r="AF355" s="89"/>
      <c r="AG355" s="89"/>
      <c r="AH355" s="89"/>
    </row>
    <row r="356">
      <c r="A356" s="8" t="s">
        <v>494</v>
      </c>
      <c r="B356" s="97"/>
      <c r="C356" s="8"/>
      <c r="D356" s="89" t="str">
        <f t="shared" si="1"/>
        <v/>
      </c>
      <c r="E356" s="89" t="str">
        <f t="shared" si="2"/>
        <v>OT Hours</v>
      </c>
      <c r="F356" s="89" t="str">
        <f>IFERROR(VLOOKUP(C356,'Employees List'!$B$1:$G$999,2,0),"")</f>
        <v/>
      </c>
      <c r="G356" s="89" t="str">
        <f t="shared" si="23"/>
        <v>#DIV/0!</v>
      </c>
      <c r="H356" s="98"/>
      <c r="I356" s="89" t="str">
        <f>IFERROR(VLOOKUP(F356,'Employees List'!$C:$F,2,0),"")</f>
        <v/>
      </c>
      <c r="J356" s="93" t="str">
        <f>IFERROR(VLOOKUP(C356,'Employees List'!$B$2:$G$991,5,0),"")</f>
        <v/>
      </c>
      <c r="K356" s="95" t="str">
        <f>IFERROR(VLOOKUP(F356,'Employees List'!$C$1:$AB$991,5,0),"")</f>
        <v/>
      </c>
      <c r="L356" s="91">
        <f t="shared" si="3"/>
        <v>0</v>
      </c>
      <c r="M356" s="91">
        <f t="shared" si="4"/>
        <v>0</v>
      </c>
      <c r="N356" s="89" t="str">
        <f>IFERROR(VLOOKUP(B356,'Employees List'!$A$2:$H$991,8,0),"")</f>
        <v/>
      </c>
      <c r="O356" s="89" t="str">
        <f>IFERROR(VLOOKUP(D356,'Daily Attendance Report 24-25'!A324:BP999,5,0),"")</f>
        <v/>
      </c>
      <c r="P356" s="89" t="str">
        <f>IFERROR(VLOOKUP(E356,'Daily Attendance Report 24-25'!$A$1:$BO$617,5,0),"")</f>
        <v/>
      </c>
      <c r="Q356" s="89"/>
      <c r="R356" s="89"/>
      <c r="S356" s="89" t="str">
        <f t="shared" si="17"/>
        <v>#DIV/0!</v>
      </c>
      <c r="T356" s="89" t="str">
        <f t="shared" si="6"/>
        <v>#DIV/0!</v>
      </c>
      <c r="U356" s="89" t="str">
        <f t="shared" si="25"/>
        <v>#DIV/0!</v>
      </c>
      <c r="V356" s="89" t="str">
        <f t="shared" si="24"/>
        <v>#DIV/0!</v>
      </c>
      <c r="W356" s="89" t="str">
        <f t="shared" si="9"/>
        <v>#DIV/0!</v>
      </c>
      <c r="X356" s="89"/>
      <c r="Y356" s="89"/>
      <c r="Z356" s="89"/>
      <c r="AA356" s="89"/>
      <c r="AB356" s="89"/>
      <c r="AC356" s="89"/>
      <c r="AD356" s="89"/>
      <c r="AE356" s="89"/>
      <c r="AF356" s="89"/>
      <c r="AG356" s="89"/>
      <c r="AH356" s="89"/>
    </row>
    <row r="357">
      <c r="A357" s="8" t="s">
        <v>495</v>
      </c>
      <c r="B357" s="97"/>
      <c r="C357" s="8"/>
      <c r="D357" s="89" t="str">
        <f t="shared" si="1"/>
        <v/>
      </c>
      <c r="E357" s="89" t="str">
        <f t="shared" si="2"/>
        <v>OT Hours</v>
      </c>
      <c r="F357" s="89" t="str">
        <f>IFERROR(VLOOKUP(C357,'Employees List'!$B$1:$G$999,2,0),"")</f>
        <v/>
      </c>
      <c r="G357" s="89" t="str">
        <f t="shared" si="23"/>
        <v>#DIV/0!</v>
      </c>
      <c r="H357" s="98"/>
      <c r="I357" s="89" t="str">
        <f>IFERROR(VLOOKUP(F357,'Employees List'!$C:$F,2,0),"")</f>
        <v/>
      </c>
      <c r="J357" s="93" t="str">
        <f>IFERROR(VLOOKUP(C357,'Employees List'!$B$2:$G$991,5,0),"")</f>
        <v/>
      </c>
      <c r="K357" s="95" t="str">
        <f>IFERROR(VLOOKUP(F357,'Employees List'!$C$1:$AB$991,5,0),"")</f>
        <v/>
      </c>
      <c r="L357" s="91">
        <f t="shared" si="3"/>
        <v>0</v>
      </c>
      <c r="M357" s="91">
        <f t="shared" si="4"/>
        <v>0</v>
      </c>
      <c r="N357" s="89" t="str">
        <f>IFERROR(VLOOKUP(B357,'Employees List'!$A$2:$H$991,8,0),"")</f>
        <v/>
      </c>
      <c r="O357" s="89" t="str">
        <f>IFERROR(VLOOKUP(D357,'Daily Attendance Report 24-25'!A325:BP999,5,0),"")</f>
        <v/>
      </c>
      <c r="P357" s="89" t="str">
        <f>IFERROR(VLOOKUP(E357,'Daily Attendance Report 24-25'!$A$1:$BO$617,5,0),"")</f>
        <v/>
      </c>
      <c r="Q357" s="89"/>
      <c r="R357" s="89"/>
      <c r="S357" s="89" t="str">
        <f t="shared" si="17"/>
        <v>#DIV/0!</v>
      </c>
      <c r="T357" s="89" t="str">
        <f t="shared" si="6"/>
        <v>#DIV/0!</v>
      </c>
      <c r="U357" s="89" t="str">
        <f t="shared" si="25"/>
        <v>#DIV/0!</v>
      </c>
      <c r="V357" s="89" t="str">
        <f t="shared" si="24"/>
        <v>#DIV/0!</v>
      </c>
      <c r="W357" s="89" t="str">
        <f t="shared" si="9"/>
        <v>#DIV/0!</v>
      </c>
      <c r="X357" s="89"/>
      <c r="Y357" s="89"/>
      <c r="Z357" s="89"/>
      <c r="AA357" s="89"/>
      <c r="AB357" s="89"/>
      <c r="AC357" s="89"/>
      <c r="AD357" s="89"/>
      <c r="AE357" s="89"/>
      <c r="AF357" s="89"/>
      <c r="AG357" s="89"/>
      <c r="AH357" s="89"/>
    </row>
    <row r="358">
      <c r="A358" s="8" t="s">
        <v>496</v>
      </c>
      <c r="B358" s="97"/>
      <c r="C358" s="8"/>
      <c r="D358" s="89" t="str">
        <f t="shared" si="1"/>
        <v/>
      </c>
      <c r="E358" s="89" t="str">
        <f t="shared" si="2"/>
        <v>OT Hours</v>
      </c>
      <c r="F358" s="89" t="str">
        <f>IFERROR(VLOOKUP(C358,'Employees List'!$B$1:$G$999,2,0),"")</f>
        <v/>
      </c>
      <c r="G358" s="89" t="str">
        <f t="shared" si="23"/>
        <v>#DIV/0!</v>
      </c>
      <c r="H358" s="98"/>
      <c r="I358" s="89" t="str">
        <f>IFERROR(VLOOKUP(F358,'Employees List'!$C:$F,2,0),"")</f>
        <v/>
      </c>
      <c r="J358" s="93" t="str">
        <f>IFERROR(VLOOKUP(C358,'Employees List'!$B$2:$G$991,5,0),"")</f>
        <v/>
      </c>
      <c r="K358" s="95" t="str">
        <f>IFERROR(VLOOKUP(F358,'Employees List'!$C$1:$AB$991,5,0),"")</f>
        <v/>
      </c>
      <c r="L358" s="91">
        <f t="shared" si="3"/>
        <v>0</v>
      </c>
      <c r="M358" s="91">
        <f t="shared" si="4"/>
        <v>0</v>
      </c>
      <c r="N358" s="89" t="str">
        <f>IFERROR(VLOOKUP(B358,'Employees List'!$A$2:$H$991,8,0),"")</f>
        <v/>
      </c>
      <c r="O358" s="89" t="str">
        <f>IFERROR(VLOOKUP(D358,'Daily Attendance Report 24-25'!A326:BP999,5,0),"")</f>
        <v/>
      </c>
      <c r="P358" s="89" t="str">
        <f>IFERROR(VLOOKUP(E358,'Daily Attendance Report 24-25'!$A$1:$BO$617,5,0),"")</f>
        <v/>
      </c>
      <c r="Q358" s="89"/>
      <c r="R358" s="89"/>
      <c r="S358" s="89" t="str">
        <f t="shared" si="17"/>
        <v>#DIV/0!</v>
      </c>
      <c r="T358" s="89" t="str">
        <f t="shared" si="6"/>
        <v>#DIV/0!</v>
      </c>
      <c r="U358" s="89" t="str">
        <f t="shared" si="25"/>
        <v>#DIV/0!</v>
      </c>
      <c r="V358" s="89" t="str">
        <f t="shared" si="24"/>
        <v>#DIV/0!</v>
      </c>
      <c r="W358" s="89" t="str">
        <f t="shared" si="9"/>
        <v>#DIV/0!</v>
      </c>
      <c r="X358" s="89"/>
      <c r="Y358" s="89"/>
      <c r="Z358" s="89"/>
      <c r="AA358" s="89"/>
      <c r="AB358" s="89"/>
      <c r="AC358" s="89"/>
      <c r="AD358" s="89"/>
      <c r="AE358" s="89"/>
      <c r="AF358" s="89"/>
      <c r="AG358" s="89"/>
      <c r="AH358" s="89"/>
    </row>
    <row r="359">
      <c r="A359" s="8" t="s">
        <v>497</v>
      </c>
      <c r="B359" s="97"/>
      <c r="C359" s="8"/>
      <c r="D359" s="89" t="str">
        <f t="shared" si="1"/>
        <v/>
      </c>
      <c r="E359" s="89" t="str">
        <f t="shared" si="2"/>
        <v>OT Hours</v>
      </c>
      <c r="F359" s="89" t="str">
        <f>IFERROR(VLOOKUP(C359,'Employees List'!$B$1:$G$999,2,0),"")</f>
        <v/>
      </c>
      <c r="G359" s="89" t="str">
        <f t="shared" si="23"/>
        <v>#DIV/0!</v>
      </c>
      <c r="H359" s="98"/>
      <c r="I359" s="89" t="str">
        <f>IFERROR(VLOOKUP(F359,'Employees List'!$C:$F,2,0),"")</f>
        <v/>
      </c>
      <c r="J359" s="93" t="str">
        <f>IFERROR(VLOOKUP(C359,'Employees List'!$B$2:$G$991,5,0),"")</f>
        <v/>
      </c>
      <c r="K359" s="95" t="str">
        <f>IFERROR(VLOOKUP(F359,'Employees List'!$C$1:$AB$991,5,0),"")</f>
        <v/>
      </c>
      <c r="L359" s="91">
        <f t="shared" si="3"/>
        <v>0</v>
      </c>
      <c r="M359" s="91">
        <f t="shared" si="4"/>
        <v>0</v>
      </c>
      <c r="N359" s="89" t="str">
        <f>IFERROR(VLOOKUP(B359,'Employees List'!$A$2:$H$991,8,0),"")</f>
        <v/>
      </c>
      <c r="O359" s="89" t="str">
        <f>IFERROR(VLOOKUP(D359,'Daily Attendance Report 24-25'!A327:BP999,5,0),"")</f>
        <v/>
      </c>
      <c r="P359" s="89" t="str">
        <f>IFERROR(VLOOKUP(E359,'Daily Attendance Report 24-25'!$A$1:$BO$617,5,0),"")</f>
        <v/>
      </c>
      <c r="Q359" s="89"/>
      <c r="R359" s="89"/>
      <c r="S359" s="89" t="str">
        <f t="shared" si="17"/>
        <v>#DIV/0!</v>
      </c>
      <c r="T359" s="89" t="str">
        <f t="shared" si="6"/>
        <v>#DIV/0!</v>
      </c>
      <c r="U359" s="89" t="str">
        <f t="shared" si="25"/>
        <v>#DIV/0!</v>
      </c>
      <c r="V359" s="89" t="str">
        <f t="shared" si="24"/>
        <v>#DIV/0!</v>
      </c>
      <c r="W359" s="89" t="str">
        <f t="shared" si="9"/>
        <v>#DIV/0!</v>
      </c>
      <c r="X359" s="89"/>
      <c r="Y359" s="89"/>
      <c r="Z359" s="89"/>
      <c r="AA359" s="89"/>
      <c r="AB359" s="89"/>
      <c r="AC359" s="89"/>
      <c r="AD359" s="89"/>
      <c r="AE359" s="89"/>
      <c r="AF359" s="89"/>
      <c r="AG359" s="89"/>
      <c r="AH359" s="89"/>
    </row>
    <row r="360">
      <c r="A360" s="8" t="s">
        <v>498</v>
      </c>
      <c r="B360" s="97"/>
      <c r="C360" s="8"/>
      <c r="D360" s="89" t="str">
        <f t="shared" si="1"/>
        <v/>
      </c>
      <c r="E360" s="89" t="str">
        <f t="shared" si="2"/>
        <v>OT Hours</v>
      </c>
      <c r="F360" s="89" t="str">
        <f>IFERROR(VLOOKUP(C360,'Employees List'!$B$1:$G$999,2,0),"")</f>
        <v/>
      </c>
      <c r="G360" s="89" t="str">
        <f t="shared" si="23"/>
        <v>#DIV/0!</v>
      </c>
      <c r="H360" s="98"/>
      <c r="I360" s="89" t="str">
        <f>IFERROR(VLOOKUP(F360,'Employees List'!$C:$F,2,0),"")</f>
        <v/>
      </c>
      <c r="J360" s="93" t="str">
        <f>IFERROR(VLOOKUP(C360,'Employees List'!$B$2:$G$991,5,0),"")</f>
        <v/>
      </c>
      <c r="K360" s="95" t="str">
        <f>IFERROR(VLOOKUP(F360,'Employees List'!$C$1:$AB$991,5,0),"")</f>
        <v/>
      </c>
      <c r="L360" s="91">
        <f t="shared" si="3"/>
        <v>0</v>
      </c>
      <c r="M360" s="91">
        <f t="shared" si="4"/>
        <v>0</v>
      </c>
      <c r="N360" s="89" t="str">
        <f>IFERROR(VLOOKUP(B360,'Employees List'!$A$2:$H$991,8,0),"")</f>
        <v/>
      </c>
      <c r="O360" s="89" t="str">
        <f>IFERROR(VLOOKUP(D360,'Daily Attendance Report 24-25'!A328:BP999,5,0),"")</f>
        <v/>
      </c>
      <c r="P360" s="89" t="str">
        <f>IFERROR(VLOOKUP(E360,'Daily Attendance Report 24-25'!$A$1:$BO$617,5,0),"")</f>
        <v/>
      </c>
      <c r="Q360" s="89"/>
      <c r="R360" s="89"/>
      <c r="S360" s="89" t="str">
        <f t="shared" si="17"/>
        <v>#DIV/0!</v>
      </c>
      <c r="T360" s="89" t="str">
        <f t="shared" si="6"/>
        <v>#DIV/0!</v>
      </c>
      <c r="U360" s="89" t="str">
        <f t="shared" si="25"/>
        <v>#DIV/0!</v>
      </c>
      <c r="V360" s="89" t="str">
        <f t="shared" si="24"/>
        <v>#DIV/0!</v>
      </c>
      <c r="W360" s="89" t="str">
        <f t="shared" si="9"/>
        <v>#DIV/0!</v>
      </c>
      <c r="X360" s="89"/>
      <c r="Y360" s="89"/>
      <c r="Z360" s="89"/>
      <c r="AA360" s="89"/>
      <c r="AB360" s="89"/>
      <c r="AC360" s="89"/>
      <c r="AD360" s="89"/>
      <c r="AE360" s="89"/>
      <c r="AF360" s="89"/>
      <c r="AG360" s="89"/>
      <c r="AH360" s="89"/>
    </row>
    <row r="361">
      <c r="A361" s="8" t="s">
        <v>499</v>
      </c>
      <c r="B361" s="97"/>
      <c r="C361" s="8"/>
      <c r="D361" s="89" t="str">
        <f t="shared" si="1"/>
        <v/>
      </c>
      <c r="E361" s="89" t="str">
        <f t="shared" si="2"/>
        <v>OT Hours</v>
      </c>
      <c r="F361" s="89" t="str">
        <f>IFERROR(VLOOKUP(C361,'Employees List'!$B$1:$G$999,2,0),"")</f>
        <v/>
      </c>
      <c r="G361" s="89" t="str">
        <f t="shared" si="23"/>
        <v>#DIV/0!</v>
      </c>
      <c r="H361" s="98"/>
      <c r="I361" s="89" t="str">
        <f>IFERROR(VLOOKUP(F361,'Employees List'!$C:$F,2,0),"")</f>
        <v/>
      </c>
      <c r="J361" s="93" t="str">
        <f>IFERROR(VLOOKUP(C361,'Employees List'!$B$2:$G$991,5,0),"")</f>
        <v/>
      </c>
      <c r="K361" s="95" t="str">
        <f>IFERROR(VLOOKUP(F361,'Employees List'!$C$1:$AB$991,5,0),"")</f>
        <v/>
      </c>
      <c r="L361" s="91">
        <f t="shared" si="3"/>
        <v>0</v>
      </c>
      <c r="M361" s="91">
        <f t="shared" si="4"/>
        <v>0</v>
      </c>
      <c r="N361" s="89" t="str">
        <f>IFERROR(VLOOKUP(B361,'Employees List'!$A$2:$H$991,8,0),"")</f>
        <v/>
      </c>
      <c r="O361" s="89" t="str">
        <f>IFERROR(VLOOKUP(D361,'Daily Attendance Report 24-25'!A329:BP999,5,0),"")</f>
        <v/>
      </c>
      <c r="P361" s="89" t="str">
        <f>IFERROR(VLOOKUP(E361,'Daily Attendance Report 24-25'!$A$1:$BO$617,5,0),"")</f>
        <v/>
      </c>
      <c r="Q361" s="89"/>
      <c r="R361" s="89"/>
      <c r="S361" s="89" t="str">
        <f t="shared" si="17"/>
        <v>#DIV/0!</v>
      </c>
      <c r="T361" s="89" t="str">
        <f t="shared" si="6"/>
        <v>#DIV/0!</v>
      </c>
      <c r="U361" s="89" t="str">
        <f t="shared" si="25"/>
        <v>#DIV/0!</v>
      </c>
      <c r="V361" s="89" t="str">
        <f t="shared" si="24"/>
        <v>#DIV/0!</v>
      </c>
      <c r="W361" s="89" t="str">
        <f t="shared" si="9"/>
        <v>#DIV/0!</v>
      </c>
      <c r="X361" s="89"/>
      <c r="Y361" s="89"/>
      <c r="Z361" s="89"/>
      <c r="AA361" s="89"/>
      <c r="AB361" s="89"/>
      <c r="AC361" s="89"/>
      <c r="AD361" s="89"/>
      <c r="AE361" s="89"/>
      <c r="AF361" s="89"/>
      <c r="AG361" s="89"/>
      <c r="AH361" s="89"/>
    </row>
    <row r="362">
      <c r="A362" s="8" t="s">
        <v>500</v>
      </c>
      <c r="B362" s="97"/>
      <c r="C362" s="8"/>
      <c r="D362" s="89" t="str">
        <f t="shared" si="1"/>
        <v/>
      </c>
      <c r="E362" s="89" t="str">
        <f t="shared" si="2"/>
        <v>OT Hours</v>
      </c>
      <c r="F362" s="89" t="str">
        <f>IFERROR(VLOOKUP(C362,'Employees List'!$B$1:$G$999,2,0),"")</f>
        <v/>
      </c>
      <c r="G362" s="89" t="str">
        <f t="shared" si="23"/>
        <v>#DIV/0!</v>
      </c>
      <c r="H362" s="98"/>
      <c r="I362" s="89" t="str">
        <f>IFERROR(VLOOKUP(F362,'Employees List'!$C:$F,2,0),"")</f>
        <v/>
      </c>
      <c r="J362" s="93" t="str">
        <f>IFERROR(VLOOKUP(C362,'Employees List'!$B$2:$G$991,5,0),"")</f>
        <v/>
      </c>
      <c r="K362" s="95" t="str">
        <f>IFERROR(VLOOKUP(F362,'Employees List'!$C$1:$AB$991,5,0),"")</f>
        <v/>
      </c>
      <c r="L362" s="91">
        <f t="shared" si="3"/>
        <v>0</v>
      </c>
      <c r="M362" s="91">
        <f t="shared" si="4"/>
        <v>0</v>
      </c>
      <c r="N362" s="89" t="str">
        <f>IFERROR(VLOOKUP(B362,'Employees List'!$A$2:$H$991,8,0),"")</f>
        <v/>
      </c>
      <c r="O362" s="89" t="str">
        <f>IFERROR(VLOOKUP(D362,'Daily Attendance Report 24-25'!A330:BP999,5,0),"")</f>
        <v/>
      </c>
      <c r="P362" s="89" t="str">
        <f>IFERROR(VLOOKUP(E362,'Daily Attendance Report 24-25'!$A$1:$BO$617,5,0),"")</f>
        <v/>
      </c>
      <c r="Q362" s="89"/>
      <c r="R362" s="89"/>
      <c r="S362" s="89" t="str">
        <f t="shared" si="17"/>
        <v>#DIV/0!</v>
      </c>
      <c r="T362" s="89" t="str">
        <f t="shared" si="6"/>
        <v>#DIV/0!</v>
      </c>
      <c r="U362" s="89" t="str">
        <f t="shared" si="25"/>
        <v>#DIV/0!</v>
      </c>
      <c r="V362" s="89" t="str">
        <f t="shared" si="24"/>
        <v>#DIV/0!</v>
      </c>
      <c r="W362" s="89" t="str">
        <f t="shared" si="9"/>
        <v>#DIV/0!</v>
      </c>
      <c r="X362" s="89"/>
      <c r="Y362" s="89"/>
      <c r="Z362" s="89"/>
      <c r="AA362" s="89"/>
      <c r="AB362" s="89"/>
      <c r="AC362" s="89"/>
      <c r="AD362" s="89"/>
      <c r="AE362" s="89"/>
      <c r="AF362" s="89"/>
      <c r="AG362" s="89"/>
      <c r="AH362" s="89"/>
    </row>
    <row r="363">
      <c r="A363" s="8" t="s">
        <v>501</v>
      </c>
      <c r="B363" s="97"/>
      <c r="C363" s="8"/>
      <c r="D363" s="89" t="str">
        <f t="shared" si="1"/>
        <v/>
      </c>
      <c r="E363" s="89" t="str">
        <f t="shared" si="2"/>
        <v>OT Hours</v>
      </c>
      <c r="F363" s="89" t="str">
        <f>IFERROR(VLOOKUP(C363,'Employees List'!$B$1:$G$999,2,0),"")</f>
        <v/>
      </c>
      <c r="G363" s="89" t="str">
        <f t="shared" si="23"/>
        <v>#DIV/0!</v>
      </c>
      <c r="H363" s="98"/>
      <c r="I363" s="89" t="str">
        <f>IFERROR(VLOOKUP(F363,'Employees List'!$C:$F,2,0),"")</f>
        <v/>
      </c>
      <c r="J363" s="93" t="str">
        <f>IFERROR(VLOOKUP(C363,'Employees List'!$B$2:$G$991,5,0),"")</f>
        <v/>
      </c>
      <c r="K363" s="95" t="str">
        <f>IFERROR(VLOOKUP(F363,'Employees List'!$C$1:$AB$991,5,0),"")</f>
        <v/>
      </c>
      <c r="L363" s="91">
        <f t="shared" si="3"/>
        <v>0</v>
      </c>
      <c r="M363" s="91">
        <f t="shared" si="4"/>
        <v>0</v>
      </c>
      <c r="N363" s="89" t="str">
        <f>IFERROR(VLOOKUP(B363,'Employees List'!$A$2:$H$991,8,0),"")</f>
        <v/>
      </c>
      <c r="O363" s="89" t="str">
        <f>IFERROR(VLOOKUP(D363,'Daily Attendance Report 24-25'!A331:BP999,5,0),"")</f>
        <v/>
      </c>
      <c r="P363" s="89" t="str">
        <f>IFERROR(VLOOKUP(E363,'Daily Attendance Report 24-25'!$A$1:$BO$617,5,0),"")</f>
        <v/>
      </c>
      <c r="Q363" s="89"/>
      <c r="R363" s="89"/>
      <c r="S363" s="89" t="str">
        <f t="shared" si="17"/>
        <v>#DIV/0!</v>
      </c>
      <c r="T363" s="89" t="str">
        <f t="shared" si="6"/>
        <v>#DIV/0!</v>
      </c>
      <c r="U363" s="89" t="str">
        <f t="shared" si="25"/>
        <v>#DIV/0!</v>
      </c>
      <c r="V363" s="89" t="str">
        <f t="shared" si="24"/>
        <v>#DIV/0!</v>
      </c>
      <c r="W363" s="89" t="str">
        <f t="shared" si="9"/>
        <v>#DIV/0!</v>
      </c>
      <c r="X363" s="89"/>
      <c r="Y363" s="89"/>
      <c r="Z363" s="89"/>
      <c r="AA363" s="89"/>
      <c r="AB363" s="89"/>
      <c r="AC363" s="89"/>
      <c r="AD363" s="89"/>
      <c r="AE363" s="89"/>
      <c r="AF363" s="89"/>
      <c r="AG363" s="89"/>
      <c r="AH363" s="89"/>
    </row>
    <row r="364">
      <c r="A364" s="8" t="s">
        <v>502</v>
      </c>
      <c r="B364" s="97"/>
      <c r="C364" s="8"/>
      <c r="D364" s="89" t="str">
        <f t="shared" si="1"/>
        <v/>
      </c>
      <c r="E364" s="89" t="str">
        <f t="shared" si="2"/>
        <v>OT Hours</v>
      </c>
      <c r="F364" s="89" t="str">
        <f>IFERROR(VLOOKUP(C364,'Employees List'!$B$1:$G$999,2,0),"")</f>
        <v/>
      </c>
      <c r="G364" s="89" t="str">
        <f t="shared" si="23"/>
        <v>#DIV/0!</v>
      </c>
      <c r="H364" s="98"/>
      <c r="I364" s="89" t="str">
        <f>IFERROR(VLOOKUP(F364,'Employees List'!$C:$F,2,0),"")</f>
        <v/>
      </c>
      <c r="J364" s="93" t="str">
        <f>IFERROR(VLOOKUP(C364,'Employees List'!$B$2:$G$991,5,0),"")</f>
        <v/>
      </c>
      <c r="K364" s="95" t="str">
        <f>IFERROR(VLOOKUP(F364,'Employees List'!$C$1:$AB$991,5,0),"")</f>
        <v/>
      </c>
      <c r="L364" s="91">
        <f t="shared" si="3"/>
        <v>0</v>
      </c>
      <c r="M364" s="91">
        <f t="shared" si="4"/>
        <v>0</v>
      </c>
      <c r="N364" s="89" t="str">
        <f>IFERROR(VLOOKUP(B364,'Employees List'!$A$2:$H$991,8,0),"")</f>
        <v/>
      </c>
      <c r="O364" s="89" t="str">
        <f>IFERROR(VLOOKUP(D364,'Daily Attendance Report 24-25'!A332:BP999,5,0),"")</f>
        <v/>
      </c>
      <c r="P364" s="89" t="str">
        <f>IFERROR(VLOOKUP(E364,'Daily Attendance Report 24-25'!$A$1:$BO$617,5,0),"")</f>
        <v/>
      </c>
      <c r="Q364" s="89"/>
      <c r="R364" s="89"/>
      <c r="S364" s="89" t="str">
        <f t="shared" si="17"/>
        <v>#DIV/0!</v>
      </c>
      <c r="T364" s="89" t="str">
        <f t="shared" si="6"/>
        <v>#DIV/0!</v>
      </c>
      <c r="U364" s="89" t="str">
        <f t="shared" si="25"/>
        <v>#DIV/0!</v>
      </c>
      <c r="V364" s="89" t="str">
        <f t="shared" si="24"/>
        <v>#DIV/0!</v>
      </c>
      <c r="W364" s="89" t="str">
        <f t="shared" si="9"/>
        <v>#DIV/0!</v>
      </c>
      <c r="X364" s="89"/>
      <c r="Y364" s="89"/>
      <c r="Z364" s="89"/>
      <c r="AA364" s="89"/>
      <c r="AB364" s="89"/>
      <c r="AC364" s="89"/>
      <c r="AD364" s="89"/>
      <c r="AE364" s="89"/>
      <c r="AF364" s="89"/>
      <c r="AG364" s="89"/>
      <c r="AH364" s="89"/>
    </row>
    <row r="365">
      <c r="A365" s="8" t="s">
        <v>503</v>
      </c>
      <c r="B365" s="97"/>
      <c r="C365" s="8"/>
      <c r="D365" s="89" t="str">
        <f t="shared" si="1"/>
        <v/>
      </c>
      <c r="E365" s="89" t="str">
        <f t="shared" si="2"/>
        <v>OT Hours</v>
      </c>
      <c r="F365" s="89" t="str">
        <f>IFERROR(VLOOKUP(C365,'Employees List'!$B$1:$G$999,2,0),"")</f>
        <v/>
      </c>
      <c r="G365" s="89" t="str">
        <f t="shared" si="23"/>
        <v>#DIV/0!</v>
      </c>
      <c r="H365" s="98"/>
      <c r="I365" s="89" t="str">
        <f>IFERROR(VLOOKUP(F365,'Employees List'!$C:$F,2,0),"")</f>
        <v/>
      </c>
      <c r="J365" s="93" t="str">
        <f>IFERROR(VLOOKUP(C365,'Employees List'!$B$2:$G$991,5,0),"")</f>
        <v/>
      </c>
      <c r="K365" s="95" t="str">
        <f>IFERROR(VLOOKUP(F365,'Employees List'!$C$1:$AB$991,5,0),"")</f>
        <v/>
      </c>
      <c r="L365" s="91">
        <f t="shared" si="3"/>
        <v>0</v>
      </c>
      <c r="M365" s="91">
        <f t="shared" si="4"/>
        <v>0</v>
      </c>
      <c r="N365" s="89" t="str">
        <f>IFERROR(VLOOKUP(B365,'Employees List'!$A$2:$H$991,8,0),"")</f>
        <v/>
      </c>
      <c r="O365" s="89" t="str">
        <f>IFERROR(VLOOKUP(D365,'Daily Attendance Report 24-25'!A332:BP999,5,0),"")</f>
        <v/>
      </c>
      <c r="P365" s="89" t="str">
        <f>IFERROR(VLOOKUP(E365,'Daily Attendance Report 24-25'!$A$1:$BO$617,5,0),"")</f>
        <v/>
      </c>
      <c r="Q365" s="89"/>
      <c r="R365" s="89"/>
      <c r="S365" s="89" t="str">
        <f t="shared" si="17"/>
        <v>#DIV/0!</v>
      </c>
      <c r="T365" s="89" t="str">
        <f t="shared" si="6"/>
        <v>#DIV/0!</v>
      </c>
      <c r="U365" s="89" t="str">
        <f t="shared" si="25"/>
        <v>#DIV/0!</v>
      </c>
      <c r="V365" s="89" t="str">
        <f t="shared" si="24"/>
        <v>#DIV/0!</v>
      </c>
      <c r="W365" s="89" t="str">
        <f t="shared" si="9"/>
        <v>#DIV/0!</v>
      </c>
      <c r="X365" s="89"/>
      <c r="Y365" s="89"/>
      <c r="Z365" s="89"/>
      <c r="AA365" s="89"/>
      <c r="AB365" s="89"/>
      <c r="AC365" s="89"/>
      <c r="AD365" s="89"/>
      <c r="AE365" s="89"/>
      <c r="AF365" s="89"/>
      <c r="AG365" s="89"/>
      <c r="AH365" s="89"/>
    </row>
    <row r="366">
      <c r="A366" s="8" t="s">
        <v>504</v>
      </c>
      <c r="B366" s="97"/>
      <c r="C366" s="8"/>
      <c r="D366" s="89" t="str">
        <f t="shared" si="1"/>
        <v/>
      </c>
      <c r="E366" s="89" t="str">
        <f t="shared" si="2"/>
        <v>OT Hours</v>
      </c>
      <c r="F366" s="89" t="str">
        <f>IFERROR(VLOOKUP(C366,'Employees List'!$B$1:$G$999,2,0),"")</f>
        <v/>
      </c>
      <c r="G366" s="89" t="str">
        <f t="shared" si="23"/>
        <v>#DIV/0!</v>
      </c>
      <c r="H366" s="98"/>
      <c r="I366" s="89" t="str">
        <f>IFERROR(VLOOKUP(F366,'Employees List'!$C:$F,2,0),"")</f>
        <v/>
      </c>
      <c r="J366" s="93" t="str">
        <f>IFERROR(VLOOKUP(C366,'Employees List'!$B$2:$G$991,5,0),"")</f>
        <v/>
      </c>
      <c r="K366" s="95" t="str">
        <f>IFERROR(VLOOKUP(F366,'Employees List'!$C$1:$AB$991,5,0),"")</f>
        <v/>
      </c>
      <c r="L366" s="91">
        <f t="shared" si="3"/>
        <v>0</v>
      </c>
      <c r="M366" s="91">
        <f t="shared" si="4"/>
        <v>0</v>
      </c>
      <c r="N366" s="89" t="str">
        <f>IFERROR(VLOOKUP(B366,'Employees List'!$A$2:$H$991,8,0),"")</f>
        <v/>
      </c>
      <c r="O366" s="89" t="str">
        <f>IFERROR(VLOOKUP(D366,'Daily Attendance Report 24-25'!A332:BP999,5,0),"")</f>
        <v/>
      </c>
      <c r="P366" s="89" t="str">
        <f>IFERROR(VLOOKUP(E366,'Daily Attendance Report 24-25'!$A$1:$BO$617,5,0),"")</f>
        <v/>
      </c>
      <c r="Q366" s="89"/>
      <c r="R366" s="89"/>
      <c r="S366" s="89" t="str">
        <f t="shared" si="17"/>
        <v>#DIV/0!</v>
      </c>
      <c r="T366" s="89" t="str">
        <f t="shared" si="6"/>
        <v>#DIV/0!</v>
      </c>
      <c r="U366" s="89" t="str">
        <f t="shared" si="25"/>
        <v>#DIV/0!</v>
      </c>
      <c r="V366" s="89" t="str">
        <f t="shared" si="24"/>
        <v>#DIV/0!</v>
      </c>
      <c r="W366" s="89" t="str">
        <f t="shared" si="9"/>
        <v>#DIV/0!</v>
      </c>
      <c r="X366" s="89"/>
      <c r="Y366" s="89"/>
      <c r="Z366" s="89"/>
      <c r="AA366" s="89"/>
      <c r="AB366" s="89"/>
      <c r="AC366" s="89"/>
      <c r="AD366" s="89"/>
      <c r="AE366" s="89"/>
      <c r="AF366" s="89"/>
      <c r="AG366" s="89"/>
      <c r="AH366" s="89"/>
    </row>
    <row r="367">
      <c r="A367" s="8" t="s">
        <v>505</v>
      </c>
      <c r="B367" s="97"/>
      <c r="C367" s="8"/>
      <c r="D367" s="89" t="str">
        <f t="shared" si="1"/>
        <v/>
      </c>
      <c r="E367" s="89" t="str">
        <f t="shared" si="2"/>
        <v>OT Hours</v>
      </c>
      <c r="F367" s="89" t="str">
        <f>IFERROR(VLOOKUP(C367,'Employees List'!$B$1:$G$999,2,0),"")</f>
        <v/>
      </c>
      <c r="G367" s="89" t="str">
        <f t="shared" si="23"/>
        <v>#DIV/0!</v>
      </c>
      <c r="H367" s="98"/>
      <c r="I367" s="89" t="str">
        <f>IFERROR(VLOOKUP(F367,'Employees List'!$C:$F,2,0),"")</f>
        <v/>
      </c>
      <c r="J367" s="93" t="str">
        <f>IFERROR(VLOOKUP(C367,'Employees List'!$B$2:$G$991,5,0),"")</f>
        <v/>
      </c>
      <c r="K367" s="95" t="str">
        <f>IFERROR(VLOOKUP(F367,'Employees List'!$C$1:$AB$991,5,0),"")</f>
        <v/>
      </c>
      <c r="L367" s="91">
        <f t="shared" si="3"/>
        <v>0</v>
      </c>
      <c r="M367" s="91">
        <f t="shared" si="4"/>
        <v>0</v>
      </c>
      <c r="N367" s="89" t="str">
        <f>IFERROR(VLOOKUP(B367,'Employees List'!$A$2:$H$991,8,0),"")</f>
        <v/>
      </c>
      <c r="O367" s="89" t="str">
        <f>IFERROR(VLOOKUP(D367,'Daily Attendance Report 24-25'!A332:BP999,5,0),"")</f>
        <v/>
      </c>
      <c r="P367" s="89" t="str">
        <f>IFERROR(VLOOKUP(E367,'Daily Attendance Report 24-25'!$A$1:$BO$617,5,0),"")</f>
        <v/>
      </c>
      <c r="Q367" s="89"/>
      <c r="R367" s="89"/>
      <c r="S367" s="89" t="str">
        <f t="shared" si="17"/>
        <v>#DIV/0!</v>
      </c>
      <c r="T367" s="89" t="str">
        <f t="shared" si="6"/>
        <v>#DIV/0!</v>
      </c>
      <c r="U367" s="89" t="str">
        <f t="shared" si="25"/>
        <v>#DIV/0!</v>
      </c>
      <c r="V367" s="89" t="str">
        <f t="shared" si="24"/>
        <v>#DIV/0!</v>
      </c>
      <c r="W367" s="89" t="str">
        <f t="shared" si="9"/>
        <v>#DIV/0!</v>
      </c>
      <c r="X367" s="89"/>
      <c r="Y367" s="89"/>
      <c r="Z367" s="89"/>
      <c r="AA367" s="89"/>
      <c r="AB367" s="89"/>
      <c r="AC367" s="89"/>
      <c r="AD367" s="89"/>
      <c r="AE367" s="89"/>
      <c r="AF367" s="89"/>
      <c r="AG367" s="89"/>
      <c r="AH367" s="89"/>
    </row>
    <row r="368">
      <c r="A368" s="8" t="s">
        <v>506</v>
      </c>
      <c r="B368" s="97"/>
      <c r="C368" s="8"/>
      <c r="D368" s="89" t="str">
        <f t="shared" si="1"/>
        <v/>
      </c>
      <c r="E368" s="89" t="str">
        <f t="shared" si="2"/>
        <v>OT Hours</v>
      </c>
      <c r="F368" s="89" t="str">
        <f>IFERROR(VLOOKUP(C368,'Employees List'!$B$1:$G$999,2,0),"")</f>
        <v/>
      </c>
      <c r="G368" s="89" t="str">
        <f t="shared" si="23"/>
        <v>#DIV/0!</v>
      </c>
      <c r="H368" s="98"/>
      <c r="I368" s="89" t="str">
        <f>IFERROR(VLOOKUP(F368,'Employees List'!$C:$F,2,0),"")</f>
        <v/>
      </c>
      <c r="J368" s="93" t="str">
        <f>IFERROR(VLOOKUP(C368,'Employees List'!$B$2:$G$991,5,0),"")</f>
        <v/>
      </c>
      <c r="K368" s="95" t="str">
        <f>IFERROR(VLOOKUP(F368,'Employees List'!$C$1:$AB$991,5,0),"")</f>
        <v/>
      </c>
      <c r="L368" s="91">
        <f t="shared" si="3"/>
        <v>0</v>
      </c>
      <c r="M368" s="91">
        <f t="shared" si="4"/>
        <v>0</v>
      </c>
      <c r="N368" s="89" t="str">
        <f>IFERROR(VLOOKUP(B368,'Employees List'!$A$2:$H$991,8,0),"")</f>
        <v/>
      </c>
      <c r="O368" s="89" t="str">
        <f>IFERROR(VLOOKUP(D368,'Daily Attendance Report 24-25'!A332:BP999,5,0),"")</f>
        <v/>
      </c>
      <c r="P368" s="89" t="str">
        <f>IFERROR(VLOOKUP(E368,'Daily Attendance Report 24-25'!$A$1:$BO$617,5,0),"")</f>
        <v/>
      </c>
      <c r="Q368" s="89"/>
      <c r="R368" s="89"/>
      <c r="S368" s="89" t="str">
        <f t="shared" si="17"/>
        <v>#DIV/0!</v>
      </c>
      <c r="T368" s="89" t="str">
        <f t="shared" si="6"/>
        <v>#DIV/0!</v>
      </c>
      <c r="U368" s="89" t="str">
        <f t="shared" si="25"/>
        <v>#DIV/0!</v>
      </c>
      <c r="V368" s="89" t="str">
        <f t="shared" si="24"/>
        <v>#DIV/0!</v>
      </c>
      <c r="W368" s="89" t="str">
        <f t="shared" si="9"/>
        <v>#DIV/0!</v>
      </c>
      <c r="X368" s="89"/>
      <c r="Y368" s="89"/>
      <c r="Z368" s="89"/>
      <c r="AA368" s="89"/>
      <c r="AB368" s="89"/>
      <c r="AC368" s="89"/>
      <c r="AD368" s="89"/>
      <c r="AE368" s="89"/>
      <c r="AF368" s="89"/>
      <c r="AG368" s="89"/>
      <c r="AH368" s="89"/>
    </row>
    <row r="369">
      <c r="A369" s="8" t="s">
        <v>507</v>
      </c>
      <c r="B369" s="97"/>
      <c r="C369" s="8"/>
      <c r="D369" s="89" t="str">
        <f t="shared" si="1"/>
        <v/>
      </c>
      <c r="E369" s="89" t="str">
        <f t="shared" si="2"/>
        <v>OT Hours</v>
      </c>
      <c r="F369" s="89" t="str">
        <f>IFERROR(VLOOKUP(C369,'Employees List'!$B$1:$G$999,2,0),"")</f>
        <v/>
      </c>
      <c r="G369" s="89" t="str">
        <f t="shared" si="23"/>
        <v>#DIV/0!</v>
      </c>
      <c r="H369" s="98"/>
      <c r="I369" s="89" t="str">
        <f>IFERROR(VLOOKUP(F369,'Employees List'!$C:$F,2,0),"")</f>
        <v/>
      </c>
      <c r="J369" s="93" t="str">
        <f>IFERROR(VLOOKUP(C369,'Employees List'!$B$2:$G$991,5,0),"")</f>
        <v/>
      </c>
      <c r="K369" s="95" t="str">
        <f>IFERROR(VLOOKUP(F369,'Employees List'!$C$1:$AB$991,5,0),"")</f>
        <v/>
      </c>
      <c r="L369" s="91">
        <f t="shared" si="3"/>
        <v>0</v>
      </c>
      <c r="M369" s="91">
        <f t="shared" si="4"/>
        <v>0</v>
      </c>
      <c r="N369" s="89" t="str">
        <f>IFERROR(VLOOKUP(B369,'Employees List'!$A$2:$H$991,8,0),"")</f>
        <v/>
      </c>
      <c r="O369" s="89" t="str">
        <f>IFERROR(VLOOKUP(D369,'Daily Attendance Report 24-25'!A333:BP999,5,0),"")</f>
        <v/>
      </c>
      <c r="P369" s="89" t="str">
        <f>IFERROR(VLOOKUP(E369,'Daily Attendance Report 24-25'!$A$1:$BO$617,5,0),"")</f>
        <v/>
      </c>
      <c r="Q369" s="89"/>
      <c r="R369" s="89"/>
      <c r="S369" s="89" t="str">
        <f t="shared" si="17"/>
        <v>#DIV/0!</v>
      </c>
      <c r="T369" s="89" t="str">
        <f t="shared" si="6"/>
        <v>#DIV/0!</v>
      </c>
      <c r="U369" s="89" t="str">
        <f t="shared" si="25"/>
        <v>#DIV/0!</v>
      </c>
      <c r="V369" s="89" t="str">
        <f t="shared" si="24"/>
        <v>#DIV/0!</v>
      </c>
      <c r="W369" s="89" t="str">
        <f t="shared" si="9"/>
        <v>#DIV/0!</v>
      </c>
      <c r="X369" s="89"/>
      <c r="Y369" s="89"/>
      <c r="Z369" s="89"/>
      <c r="AA369" s="89"/>
      <c r="AB369" s="89"/>
      <c r="AC369" s="89"/>
      <c r="AD369" s="89"/>
      <c r="AE369" s="89"/>
      <c r="AF369" s="89"/>
      <c r="AG369" s="89"/>
      <c r="AH369" s="89"/>
    </row>
    <row r="370">
      <c r="A370" s="8" t="s">
        <v>508</v>
      </c>
      <c r="B370" s="97"/>
      <c r="C370" s="8"/>
      <c r="D370" s="89" t="str">
        <f t="shared" si="1"/>
        <v/>
      </c>
      <c r="E370" s="89" t="str">
        <f t="shared" si="2"/>
        <v>OT Hours</v>
      </c>
      <c r="F370" s="89" t="str">
        <f>IFERROR(VLOOKUP(C370,'Employees List'!$B$1:$G$999,2,0),"")</f>
        <v/>
      </c>
      <c r="G370" s="89" t="str">
        <f t="shared" si="23"/>
        <v>#DIV/0!</v>
      </c>
      <c r="H370" s="98"/>
      <c r="I370" s="89" t="str">
        <f>IFERROR(VLOOKUP(F370,'Employees List'!$C:$F,2,0),"")</f>
        <v/>
      </c>
      <c r="J370" s="93" t="str">
        <f>IFERROR(VLOOKUP(C370,'Employees List'!$B$2:$G$991,5,0),"")</f>
        <v/>
      </c>
      <c r="K370" s="95" t="str">
        <f>IFERROR(VLOOKUP(F370,'Employees List'!$C$1:$AB$991,5,0),"")</f>
        <v/>
      </c>
      <c r="L370" s="91">
        <f t="shared" si="3"/>
        <v>0</v>
      </c>
      <c r="M370" s="91">
        <f t="shared" si="4"/>
        <v>0</v>
      </c>
      <c r="N370" s="89" t="str">
        <f>IFERROR(VLOOKUP(B370,'Employees List'!$A$2:$H$991,8,0),"")</f>
        <v/>
      </c>
      <c r="O370" s="89" t="str">
        <f>IFERROR(VLOOKUP(D370,'Daily Attendance Report 24-25'!A334:BP999,5,0),"")</f>
        <v/>
      </c>
      <c r="P370" s="89" t="str">
        <f>IFERROR(VLOOKUP(E370,'Daily Attendance Report 24-25'!$A$1:$BO$617,5,0),"")</f>
        <v/>
      </c>
      <c r="Q370" s="89"/>
      <c r="R370" s="89"/>
      <c r="S370" s="89" t="str">
        <f t="shared" si="17"/>
        <v>#DIV/0!</v>
      </c>
      <c r="T370" s="89" t="str">
        <f t="shared" si="6"/>
        <v>#DIV/0!</v>
      </c>
      <c r="U370" s="89" t="str">
        <f t="shared" si="25"/>
        <v>#DIV/0!</v>
      </c>
      <c r="V370" s="89" t="str">
        <f t="shared" si="24"/>
        <v>#DIV/0!</v>
      </c>
      <c r="W370" s="89" t="str">
        <f t="shared" si="9"/>
        <v>#DIV/0!</v>
      </c>
      <c r="X370" s="89"/>
      <c r="Y370" s="89"/>
      <c r="Z370" s="89"/>
      <c r="AA370" s="89"/>
      <c r="AB370" s="89"/>
      <c r="AC370" s="89"/>
      <c r="AD370" s="89"/>
      <c r="AE370" s="89"/>
      <c r="AF370" s="89"/>
      <c r="AG370" s="89"/>
      <c r="AH370" s="89"/>
    </row>
    <row r="371">
      <c r="A371" s="8" t="s">
        <v>509</v>
      </c>
      <c r="B371" s="97"/>
      <c r="C371" s="8"/>
      <c r="D371" s="89" t="str">
        <f t="shared" si="1"/>
        <v/>
      </c>
      <c r="E371" s="89" t="str">
        <f t="shared" si="2"/>
        <v>OT Hours</v>
      </c>
      <c r="F371" s="89" t="str">
        <f>IFERROR(VLOOKUP(C371,'Employees List'!$B$1:$G$999,2,0),"")</f>
        <v/>
      </c>
      <c r="G371" s="89" t="str">
        <f t="shared" si="23"/>
        <v>#DIV/0!</v>
      </c>
      <c r="H371" s="98"/>
      <c r="I371" s="89" t="str">
        <f>IFERROR(VLOOKUP(F371,'Employees List'!$C:$F,2,0),"")</f>
        <v/>
      </c>
      <c r="J371" s="93" t="str">
        <f>IFERROR(VLOOKUP(C371,'Employees List'!$B$2:$G$991,5,0),"")</f>
        <v/>
      </c>
      <c r="K371" s="95" t="str">
        <f>IFERROR(VLOOKUP(F371,'Employees List'!$C$1:$AB$991,5,0),"")</f>
        <v/>
      </c>
      <c r="L371" s="91">
        <f t="shared" si="3"/>
        <v>0</v>
      </c>
      <c r="M371" s="91">
        <f t="shared" si="4"/>
        <v>0</v>
      </c>
      <c r="N371" s="89" t="str">
        <f>IFERROR(VLOOKUP(B371,'Employees List'!$A$2:$H$991,8,0),"")</f>
        <v/>
      </c>
      <c r="O371" s="89" t="str">
        <f>IFERROR(VLOOKUP(D371,'Daily Attendance Report 24-25'!A335:BP999,5,0),"")</f>
        <v/>
      </c>
      <c r="P371" s="89" t="str">
        <f>IFERROR(VLOOKUP(E371,'Daily Attendance Report 24-25'!$A$1:$BO$617,5,0),"")</f>
        <v/>
      </c>
      <c r="Q371" s="89"/>
      <c r="R371" s="89"/>
      <c r="S371" s="89" t="str">
        <f t="shared" si="17"/>
        <v>#DIV/0!</v>
      </c>
      <c r="T371" s="89" t="str">
        <f t="shared" si="6"/>
        <v>#DIV/0!</v>
      </c>
      <c r="U371" s="89" t="str">
        <f t="shared" si="25"/>
        <v>#DIV/0!</v>
      </c>
      <c r="V371" s="89" t="str">
        <f t="shared" si="24"/>
        <v>#DIV/0!</v>
      </c>
      <c r="W371" s="89" t="str">
        <f t="shared" si="9"/>
        <v>#DIV/0!</v>
      </c>
      <c r="X371" s="89"/>
      <c r="Y371" s="89"/>
      <c r="Z371" s="89"/>
      <c r="AA371" s="89"/>
      <c r="AB371" s="89"/>
      <c r="AC371" s="89"/>
      <c r="AD371" s="89"/>
      <c r="AE371" s="89"/>
      <c r="AF371" s="89"/>
      <c r="AG371" s="89"/>
      <c r="AH371" s="89"/>
    </row>
    <row r="372">
      <c r="A372" s="8" t="s">
        <v>510</v>
      </c>
      <c r="B372" s="97"/>
      <c r="C372" s="8"/>
      <c r="D372" s="89" t="str">
        <f t="shared" si="1"/>
        <v/>
      </c>
      <c r="E372" s="89" t="str">
        <f t="shared" si="2"/>
        <v>OT Hours</v>
      </c>
      <c r="F372" s="89" t="str">
        <f>IFERROR(VLOOKUP(C372,'Employees List'!$B$1:$G$999,2,0),"")</f>
        <v/>
      </c>
      <c r="G372" s="89" t="str">
        <f t="shared" si="23"/>
        <v>#DIV/0!</v>
      </c>
      <c r="H372" s="98"/>
      <c r="I372" s="89" t="str">
        <f>IFERROR(VLOOKUP(F372,'Employees List'!$C:$F,2,0),"")</f>
        <v/>
      </c>
      <c r="J372" s="93" t="str">
        <f>IFERROR(VLOOKUP(C372,'Employees List'!$B$2:$G$991,5,0),"")</f>
        <v/>
      </c>
      <c r="K372" s="95" t="str">
        <f>IFERROR(VLOOKUP(F372,'Employees List'!$C$1:$AB$991,5,0),"")</f>
        <v/>
      </c>
      <c r="L372" s="91">
        <f t="shared" si="3"/>
        <v>0</v>
      </c>
      <c r="M372" s="91">
        <f t="shared" si="4"/>
        <v>0</v>
      </c>
      <c r="N372" s="89" t="str">
        <f>IFERROR(VLOOKUP(B372,'Employees List'!$A$2:$H$991,8,0),"")</f>
        <v/>
      </c>
      <c r="O372" s="89" t="str">
        <f>IFERROR(VLOOKUP(D372,'Daily Attendance Report 24-25'!A336:BP999,5,0),"")</f>
        <v/>
      </c>
      <c r="P372" s="89" t="str">
        <f>IFERROR(VLOOKUP(E372,'Daily Attendance Report 24-25'!$A$1:$BO$617,5,0),"")</f>
        <v/>
      </c>
      <c r="Q372" s="89"/>
      <c r="R372" s="89"/>
      <c r="S372" s="89" t="str">
        <f t="shared" si="17"/>
        <v>#DIV/0!</v>
      </c>
      <c r="T372" s="89" t="str">
        <f t="shared" si="6"/>
        <v>#DIV/0!</v>
      </c>
      <c r="U372" s="89" t="str">
        <f t="shared" si="25"/>
        <v>#DIV/0!</v>
      </c>
      <c r="V372" s="89" t="str">
        <f t="shared" si="24"/>
        <v>#DIV/0!</v>
      </c>
      <c r="W372" s="89" t="str">
        <f t="shared" si="9"/>
        <v>#DIV/0!</v>
      </c>
      <c r="X372" s="89"/>
      <c r="Y372" s="89"/>
      <c r="Z372" s="89"/>
      <c r="AA372" s="89"/>
      <c r="AB372" s="89"/>
      <c r="AC372" s="89"/>
      <c r="AD372" s="89"/>
      <c r="AE372" s="89"/>
      <c r="AF372" s="89"/>
      <c r="AG372" s="89"/>
      <c r="AH372" s="89"/>
    </row>
    <row r="373">
      <c r="A373" s="8" t="s">
        <v>511</v>
      </c>
      <c r="B373" s="97"/>
      <c r="C373" s="8"/>
      <c r="D373" s="89" t="str">
        <f t="shared" si="1"/>
        <v/>
      </c>
      <c r="E373" s="89" t="str">
        <f t="shared" si="2"/>
        <v>OT Hours</v>
      </c>
      <c r="F373" s="89" t="str">
        <f>IFERROR(VLOOKUP(C373,'Employees List'!$B$1:$G$999,2,0),"")</f>
        <v/>
      </c>
      <c r="G373" s="89" t="str">
        <f t="shared" si="23"/>
        <v>#DIV/0!</v>
      </c>
      <c r="H373" s="98"/>
      <c r="I373" s="89" t="str">
        <f>IFERROR(VLOOKUP(F373,'Employees List'!$C:$F,2,0),"")</f>
        <v/>
      </c>
      <c r="J373" s="93" t="str">
        <f>IFERROR(VLOOKUP(C373,'Employees List'!$B$2:$G$991,5,0),"")</f>
        <v/>
      </c>
      <c r="K373" s="95" t="str">
        <f>IFERROR(VLOOKUP(F373,'Employees List'!$C$1:$AB$991,5,0),"")</f>
        <v/>
      </c>
      <c r="L373" s="91">
        <f t="shared" si="3"/>
        <v>0</v>
      </c>
      <c r="M373" s="91">
        <f t="shared" si="4"/>
        <v>0</v>
      </c>
      <c r="N373" s="89" t="str">
        <f>IFERROR(VLOOKUP(B373,'Employees List'!$A$2:$H$991,8,0),"")</f>
        <v/>
      </c>
      <c r="O373" s="89" t="str">
        <f>IFERROR(VLOOKUP(D373,'Daily Attendance Report 24-25'!A337:BP999,5,0),"")</f>
        <v/>
      </c>
      <c r="P373" s="89" t="str">
        <f>IFERROR(VLOOKUP(E373,'Daily Attendance Report 24-25'!$A$1:$BO$617,5,0),"")</f>
        <v/>
      </c>
      <c r="Q373" s="89"/>
      <c r="R373" s="89"/>
      <c r="S373" s="89" t="str">
        <f t="shared" si="17"/>
        <v>#DIV/0!</v>
      </c>
      <c r="T373" s="89" t="str">
        <f t="shared" si="6"/>
        <v>#DIV/0!</v>
      </c>
      <c r="U373" s="89" t="str">
        <f t="shared" si="25"/>
        <v>#DIV/0!</v>
      </c>
      <c r="V373" s="89" t="str">
        <f t="shared" si="24"/>
        <v>#DIV/0!</v>
      </c>
      <c r="W373" s="89" t="str">
        <f t="shared" si="9"/>
        <v>#DIV/0!</v>
      </c>
      <c r="X373" s="89"/>
      <c r="Y373" s="89"/>
      <c r="Z373" s="89"/>
      <c r="AA373" s="89"/>
      <c r="AB373" s="89"/>
      <c r="AC373" s="89"/>
      <c r="AD373" s="89"/>
      <c r="AE373" s="89"/>
      <c r="AF373" s="89"/>
      <c r="AG373" s="89"/>
      <c r="AH373" s="89"/>
    </row>
    <row r="374">
      <c r="A374" s="8" t="s">
        <v>512</v>
      </c>
      <c r="B374" s="97"/>
      <c r="C374" s="8"/>
      <c r="D374" s="89" t="str">
        <f t="shared" si="1"/>
        <v/>
      </c>
      <c r="E374" s="89" t="str">
        <f t="shared" si="2"/>
        <v>OT Hours</v>
      </c>
      <c r="F374" s="89" t="str">
        <f>IFERROR(VLOOKUP(C374,'Employees List'!$B$1:$G$999,2,0),"")</f>
        <v/>
      </c>
      <c r="G374" s="89" t="str">
        <f t="shared" si="23"/>
        <v>#DIV/0!</v>
      </c>
      <c r="H374" s="98"/>
      <c r="I374" s="89" t="str">
        <f>IFERROR(VLOOKUP(F374,'Employees List'!$C:$F,2,0),"")</f>
        <v/>
      </c>
      <c r="J374" s="93" t="str">
        <f>IFERROR(VLOOKUP(C374,'Employees List'!$B$2:$G$991,5,0),"")</f>
        <v/>
      </c>
      <c r="K374" s="95" t="str">
        <f>IFERROR(VLOOKUP(F374,'Employees List'!$C$1:$AB$991,5,0),"")</f>
        <v/>
      </c>
      <c r="L374" s="91">
        <f t="shared" si="3"/>
        <v>0</v>
      </c>
      <c r="M374" s="91">
        <f t="shared" si="4"/>
        <v>0</v>
      </c>
      <c r="N374" s="89" t="str">
        <f>IFERROR(VLOOKUP(B374,'Employees List'!$A$2:$H$991,8,0),"")</f>
        <v/>
      </c>
      <c r="O374" s="89" t="str">
        <f>IFERROR(VLOOKUP(D374,'Daily Attendance Report 24-25'!A338:BP999,5,0),"")</f>
        <v/>
      </c>
      <c r="P374" s="89" t="str">
        <f>IFERROR(VLOOKUP(E374,'Daily Attendance Report 24-25'!$A$1:$BO$617,5,0),"")</f>
        <v/>
      </c>
      <c r="Q374" s="89"/>
      <c r="R374" s="89"/>
      <c r="S374" s="89" t="str">
        <f t="shared" si="17"/>
        <v>#DIV/0!</v>
      </c>
      <c r="T374" s="89" t="str">
        <f t="shared" si="6"/>
        <v>#DIV/0!</v>
      </c>
      <c r="U374" s="89" t="str">
        <f t="shared" si="25"/>
        <v>#DIV/0!</v>
      </c>
      <c r="V374" s="89" t="str">
        <f t="shared" si="24"/>
        <v>#DIV/0!</v>
      </c>
      <c r="W374" s="89" t="str">
        <f t="shared" si="9"/>
        <v>#DIV/0!</v>
      </c>
      <c r="X374" s="89"/>
      <c r="Y374" s="89"/>
      <c r="Z374" s="89"/>
      <c r="AA374" s="89"/>
      <c r="AB374" s="89"/>
      <c r="AC374" s="89"/>
      <c r="AD374" s="89"/>
      <c r="AE374" s="89"/>
      <c r="AF374" s="89"/>
      <c r="AG374" s="89"/>
      <c r="AH374" s="89"/>
    </row>
    <row r="375">
      <c r="A375" s="8" t="s">
        <v>513</v>
      </c>
      <c r="B375" s="97"/>
      <c r="C375" s="8"/>
      <c r="D375" s="89" t="str">
        <f t="shared" si="1"/>
        <v/>
      </c>
      <c r="E375" s="89" t="str">
        <f t="shared" si="2"/>
        <v>OT Hours</v>
      </c>
      <c r="F375" s="89" t="str">
        <f>IFERROR(VLOOKUP(C375,'Employees List'!$B$1:$G$999,2,0),"")</f>
        <v/>
      </c>
      <c r="G375" s="89" t="str">
        <f t="shared" si="23"/>
        <v>#DIV/0!</v>
      </c>
      <c r="H375" s="98"/>
      <c r="I375" s="89" t="str">
        <f>IFERROR(VLOOKUP(F375,'Employees List'!$C:$F,2,0),"")</f>
        <v/>
      </c>
      <c r="J375" s="93" t="str">
        <f>IFERROR(VLOOKUP(C375,'Employees List'!$B$2:$G$991,5,0),"")</f>
        <v/>
      </c>
      <c r="K375" s="95" t="str">
        <f>IFERROR(VLOOKUP(F375,'Employees List'!$C$1:$AB$991,5,0),"")</f>
        <v/>
      </c>
      <c r="L375" s="91">
        <f t="shared" si="3"/>
        <v>0</v>
      </c>
      <c r="M375" s="91">
        <f t="shared" si="4"/>
        <v>0</v>
      </c>
      <c r="N375" s="89" t="str">
        <f>IFERROR(VLOOKUP(B375,'Employees List'!$A$2:$H$991,8,0),"")</f>
        <v/>
      </c>
      <c r="O375" s="89" t="str">
        <f>IFERROR(VLOOKUP(D375,'Daily Attendance Report 24-25'!A339:BP999,5,0),"")</f>
        <v/>
      </c>
      <c r="P375" s="89" t="str">
        <f>IFERROR(VLOOKUP(E375,'Daily Attendance Report 24-25'!$A$1:$BO$617,5,0),"")</f>
        <v/>
      </c>
      <c r="Q375" s="89"/>
      <c r="R375" s="89"/>
      <c r="S375" s="89" t="str">
        <f t="shared" si="17"/>
        <v>#DIV/0!</v>
      </c>
      <c r="T375" s="89" t="str">
        <f t="shared" si="6"/>
        <v>#DIV/0!</v>
      </c>
      <c r="U375" s="89" t="str">
        <f t="shared" si="25"/>
        <v>#DIV/0!</v>
      </c>
      <c r="V375" s="89" t="str">
        <f t="shared" si="24"/>
        <v>#DIV/0!</v>
      </c>
      <c r="W375" s="89" t="str">
        <f t="shared" si="9"/>
        <v>#DIV/0!</v>
      </c>
      <c r="X375" s="89"/>
      <c r="Y375" s="89"/>
      <c r="Z375" s="89"/>
      <c r="AA375" s="89"/>
      <c r="AB375" s="89"/>
      <c r="AC375" s="89"/>
      <c r="AD375" s="89"/>
      <c r="AE375" s="89"/>
      <c r="AF375" s="89"/>
      <c r="AG375" s="89"/>
      <c r="AH375" s="89"/>
    </row>
    <row r="376">
      <c r="A376" s="8" t="s">
        <v>514</v>
      </c>
      <c r="B376" s="97"/>
      <c r="C376" s="8"/>
      <c r="D376" s="89" t="str">
        <f t="shared" si="1"/>
        <v/>
      </c>
      <c r="E376" s="89" t="str">
        <f t="shared" si="2"/>
        <v>OT Hours</v>
      </c>
      <c r="F376" s="89" t="str">
        <f>IFERROR(VLOOKUP(C376,'Employees List'!$B$1:$G$999,2,0),"")</f>
        <v/>
      </c>
      <c r="G376" s="89" t="str">
        <f t="shared" si="23"/>
        <v>#DIV/0!</v>
      </c>
      <c r="H376" s="98"/>
      <c r="I376" s="89" t="str">
        <f>IFERROR(VLOOKUP(F376,'Employees List'!$C:$F,2,0),"")</f>
        <v/>
      </c>
      <c r="J376" s="93" t="str">
        <f>IFERROR(VLOOKUP(C376,'Employees List'!$B$2:$G$991,5,0),"")</f>
        <v/>
      </c>
      <c r="K376" s="95" t="str">
        <f>IFERROR(VLOOKUP(F376,'Employees List'!$C$1:$AB$991,5,0),"")</f>
        <v/>
      </c>
      <c r="L376" s="91">
        <f t="shared" si="3"/>
        <v>0</v>
      </c>
      <c r="M376" s="91">
        <f t="shared" si="4"/>
        <v>0</v>
      </c>
      <c r="N376" s="89" t="str">
        <f>IFERROR(VLOOKUP(B376,'Employees List'!$A$2:$H$991,8,0),"")</f>
        <v/>
      </c>
      <c r="O376" s="89" t="str">
        <f>IFERROR(VLOOKUP(D376,'Daily Attendance Report 24-25'!A340:BP999,5,0),"")</f>
        <v/>
      </c>
      <c r="P376" s="89" t="str">
        <f>IFERROR(VLOOKUP(E376,'Daily Attendance Report 24-25'!$A$1:$BO$617,5,0),"")</f>
        <v/>
      </c>
      <c r="Q376" s="89"/>
      <c r="R376" s="89"/>
      <c r="S376" s="89" t="str">
        <f t="shared" si="17"/>
        <v>#DIV/0!</v>
      </c>
      <c r="T376" s="89" t="str">
        <f t="shared" si="6"/>
        <v>#DIV/0!</v>
      </c>
      <c r="U376" s="89" t="str">
        <f t="shared" si="25"/>
        <v>#DIV/0!</v>
      </c>
      <c r="V376" s="89" t="str">
        <f t="shared" si="24"/>
        <v>#DIV/0!</v>
      </c>
      <c r="W376" s="89" t="str">
        <f t="shared" si="9"/>
        <v>#DIV/0!</v>
      </c>
      <c r="X376" s="89"/>
      <c r="Y376" s="89"/>
      <c r="Z376" s="89"/>
      <c r="AA376" s="89"/>
      <c r="AB376" s="89"/>
      <c r="AC376" s="89"/>
      <c r="AD376" s="89"/>
      <c r="AE376" s="89"/>
      <c r="AF376" s="89"/>
      <c r="AG376" s="89"/>
      <c r="AH376" s="89"/>
    </row>
    <row r="377">
      <c r="A377" s="8" t="s">
        <v>515</v>
      </c>
      <c r="B377" s="97"/>
      <c r="C377" s="8"/>
      <c r="D377" s="89" t="str">
        <f t="shared" si="1"/>
        <v/>
      </c>
      <c r="E377" s="89" t="str">
        <f t="shared" si="2"/>
        <v>OT Hours</v>
      </c>
      <c r="F377" s="89" t="str">
        <f>IFERROR(VLOOKUP(C377,'Employees List'!$B$1:$G$999,2,0),"")</f>
        <v/>
      </c>
      <c r="G377" s="89" t="str">
        <f t="shared" si="23"/>
        <v>#DIV/0!</v>
      </c>
      <c r="H377" s="98"/>
      <c r="I377" s="89" t="str">
        <f>IFERROR(VLOOKUP(F377,'Employees List'!$C:$F,2,0),"")</f>
        <v/>
      </c>
      <c r="J377" s="93" t="str">
        <f>IFERROR(VLOOKUP(C377,'Employees List'!$B$2:$G$991,5,0),"")</f>
        <v/>
      </c>
      <c r="K377" s="95" t="str">
        <f>IFERROR(VLOOKUP(F377,'Employees List'!$C$1:$AB$991,5,0),"")</f>
        <v/>
      </c>
      <c r="L377" s="91">
        <f t="shared" si="3"/>
        <v>0</v>
      </c>
      <c r="M377" s="91">
        <f t="shared" si="4"/>
        <v>0</v>
      </c>
      <c r="N377" s="89" t="str">
        <f>IFERROR(VLOOKUP(B377,'Employees List'!$A$2:$H$991,8,0),"")</f>
        <v/>
      </c>
      <c r="O377" s="89" t="str">
        <f>IFERROR(VLOOKUP(D377,'Daily Attendance Report 24-25'!A341:BP999,5,0),"")</f>
        <v/>
      </c>
      <c r="P377" s="89" t="str">
        <f>IFERROR(VLOOKUP(E377,'Daily Attendance Report 24-25'!$A$1:$BO$617,5,0),"")</f>
        <v/>
      </c>
      <c r="Q377" s="89"/>
      <c r="R377" s="89"/>
      <c r="S377" s="89" t="str">
        <f t="shared" si="17"/>
        <v>#DIV/0!</v>
      </c>
      <c r="T377" s="89" t="str">
        <f t="shared" si="6"/>
        <v>#DIV/0!</v>
      </c>
      <c r="U377" s="89" t="str">
        <f t="shared" si="25"/>
        <v>#DIV/0!</v>
      </c>
      <c r="V377" s="89" t="str">
        <f t="shared" si="24"/>
        <v>#DIV/0!</v>
      </c>
      <c r="W377" s="89" t="str">
        <f t="shared" si="9"/>
        <v>#DIV/0!</v>
      </c>
      <c r="X377" s="89"/>
      <c r="Y377" s="89"/>
      <c r="Z377" s="89"/>
      <c r="AA377" s="89"/>
      <c r="AB377" s="89"/>
      <c r="AC377" s="89"/>
      <c r="AD377" s="89"/>
      <c r="AE377" s="89"/>
      <c r="AF377" s="89"/>
      <c r="AG377" s="89"/>
      <c r="AH377" s="89"/>
    </row>
    <row r="378">
      <c r="A378" s="8" t="s">
        <v>516</v>
      </c>
      <c r="B378" s="97"/>
      <c r="C378" s="8"/>
      <c r="D378" s="89" t="str">
        <f t="shared" si="1"/>
        <v/>
      </c>
      <c r="E378" s="89" t="str">
        <f t="shared" si="2"/>
        <v>OT Hours</v>
      </c>
      <c r="F378" s="89" t="str">
        <f>IFERROR(VLOOKUP(C378,'Employees List'!$B$1:$G$999,2,0),"")</f>
        <v/>
      </c>
      <c r="G378" s="89" t="str">
        <f t="shared" si="23"/>
        <v>#DIV/0!</v>
      </c>
      <c r="H378" s="98"/>
      <c r="I378" s="89" t="str">
        <f>IFERROR(VLOOKUP(F378,'Employees List'!$C:$F,2,0),"")</f>
        <v/>
      </c>
      <c r="J378" s="93" t="str">
        <f>IFERROR(VLOOKUP(C378,'Employees List'!$B$2:$G$991,5,0),"")</f>
        <v/>
      </c>
      <c r="K378" s="95" t="str">
        <f>IFERROR(VLOOKUP(F378,'Employees List'!$C$1:$AB$991,5,0),"")</f>
        <v/>
      </c>
      <c r="L378" s="91">
        <f t="shared" si="3"/>
        <v>0</v>
      </c>
      <c r="M378" s="91">
        <f t="shared" si="4"/>
        <v>0</v>
      </c>
      <c r="N378" s="89" t="str">
        <f>IFERROR(VLOOKUP(B378,'Employees List'!$A$2:$H$991,8,0),"")</f>
        <v/>
      </c>
      <c r="O378" s="89" t="str">
        <f>IFERROR(VLOOKUP(D378,'Daily Attendance Report 24-25'!A342:BP999,5,0),"")</f>
        <v/>
      </c>
      <c r="P378" s="89" t="str">
        <f>IFERROR(VLOOKUP(E378,'Daily Attendance Report 24-25'!$A$1:$BO$617,5,0),"")</f>
        <v/>
      </c>
      <c r="Q378" s="89"/>
      <c r="R378" s="89"/>
      <c r="S378" s="89" t="str">
        <f t="shared" si="17"/>
        <v>#DIV/0!</v>
      </c>
      <c r="T378" s="89" t="str">
        <f t="shared" si="6"/>
        <v>#DIV/0!</v>
      </c>
      <c r="U378" s="89" t="str">
        <f t="shared" si="25"/>
        <v>#DIV/0!</v>
      </c>
      <c r="V378" s="89" t="str">
        <f t="shared" si="24"/>
        <v>#DIV/0!</v>
      </c>
      <c r="W378" s="89" t="str">
        <f t="shared" si="9"/>
        <v>#DIV/0!</v>
      </c>
      <c r="X378" s="89"/>
      <c r="Y378" s="89"/>
      <c r="Z378" s="89"/>
      <c r="AA378" s="89"/>
      <c r="AB378" s="89"/>
      <c r="AC378" s="89"/>
      <c r="AD378" s="89"/>
      <c r="AE378" s="89"/>
      <c r="AF378" s="89"/>
      <c r="AG378" s="89"/>
      <c r="AH378" s="89"/>
    </row>
    <row r="379">
      <c r="A379" s="8" t="s">
        <v>517</v>
      </c>
      <c r="B379" s="97"/>
      <c r="C379" s="8"/>
      <c r="D379" s="89" t="str">
        <f t="shared" si="1"/>
        <v/>
      </c>
      <c r="E379" s="89" t="str">
        <f t="shared" si="2"/>
        <v>OT Hours</v>
      </c>
      <c r="F379" s="89" t="str">
        <f>IFERROR(VLOOKUP(C379,'Employees List'!$B$1:$G$999,2,0),"")</f>
        <v/>
      </c>
      <c r="G379" s="89" t="str">
        <f t="shared" si="23"/>
        <v>#DIV/0!</v>
      </c>
      <c r="H379" s="98"/>
      <c r="I379" s="89" t="str">
        <f>IFERROR(VLOOKUP(F379,'Employees List'!$C:$F,2,0),"")</f>
        <v/>
      </c>
      <c r="J379" s="93" t="str">
        <f>IFERROR(VLOOKUP(C379,'Employees List'!$B$2:$G$991,5,0),"")</f>
        <v/>
      </c>
      <c r="K379" s="95" t="str">
        <f>IFERROR(VLOOKUP(F379,'Employees List'!$C$1:$AB$991,5,0),"")</f>
        <v/>
      </c>
      <c r="L379" s="91">
        <f t="shared" si="3"/>
        <v>0</v>
      </c>
      <c r="M379" s="91">
        <f t="shared" si="4"/>
        <v>0</v>
      </c>
      <c r="N379" s="89" t="str">
        <f>IFERROR(VLOOKUP(B379,'Employees List'!$A$2:$H$991,8,0),"")</f>
        <v/>
      </c>
      <c r="O379" s="89" t="str">
        <f>IFERROR(VLOOKUP(D379,'Daily Attendance Report 24-25'!A343:BP999,5,0),"")</f>
        <v/>
      </c>
      <c r="P379" s="89" t="str">
        <f>IFERROR(VLOOKUP(E379,'Daily Attendance Report 24-25'!$A$1:$BO$617,5,0),"")</f>
        <v/>
      </c>
      <c r="Q379" s="89"/>
      <c r="R379" s="89"/>
      <c r="S379" s="89" t="str">
        <f t="shared" si="17"/>
        <v>#DIV/0!</v>
      </c>
      <c r="T379" s="89" t="str">
        <f t="shared" si="6"/>
        <v>#DIV/0!</v>
      </c>
      <c r="U379" s="89" t="str">
        <f t="shared" si="25"/>
        <v>#DIV/0!</v>
      </c>
      <c r="V379" s="89" t="str">
        <f t="shared" si="24"/>
        <v>#DIV/0!</v>
      </c>
      <c r="W379" s="89" t="str">
        <f t="shared" si="9"/>
        <v>#DIV/0!</v>
      </c>
      <c r="X379" s="89"/>
      <c r="Y379" s="89"/>
      <c r="Z379" s="89"/>
      <c r="AA379" s="89"/>
      <c r="AB379" s="89"/>
      <c r="AC379" s="89"/>
      <c r="AD379" s="89"/>
      <c r="AE379" s="89"/>
      <c r="AF379" s="89"/>
      <c r="AG379" s="89"/>
      <c r="AH379" s="89"/>
    </row>
    <row r="380">
      <c r="A380" s="8" t="s">
        <v>518</v>
      </c>
      <c r="B380" s="97"/>
      <c r="C380" s="8"/>
      <c r="D380" s="89" t="str">
        <f t="shared" si="1"/>
        <v/>
      </c>
      <c r="E380" s="89" t="str">
        <f t="shared" si="2"/>
        <v>OT Hours</v>
      </c>
      <c r="F380" s="89" t="str">
        <f>IFERROR(VLOOKUP(C380,'Employees List'!$B$1:$G$999,2,0),"")</f>
        <v/>
      </c>
      <c r="G380" s="89" t="str">
        <f t="shared" si="23"/>
        <v>#DIV/0!</v>
      </c>
      <c r="H380" s="98"/>
      <c r="I380" s="89" t="str">
        <f>IFERROR(VLOOKUP(F380,'Employees List'!$C:$F,2,0),"")</f>
        <v/>
      </c>
      <c r="J380" s="93" t="str">
        <f>IFERROR(VLOOKUP(C380,'Employees List'!$B$2:$G$991,5,0),"")</f>
        <v/>
      </c>
      <c r="K380" s="95" t="str">
        <f>IFERROR(VLOOKUP(F380,'Employees List'!$C$1:$AB$991,5,0),"")</f>
        <v/>
      </c>
      <c r="L380" s="91">
        <f t="shared" si="3"/>
        <v>0</v>
      </c>
      <c r="M380" s="91">
        <f t="shared" si="4"/>
        <v>0</v>
      </c>
      <c r="N380" s="89" t="str">
        <f>IFERROR(VLOOKUP(B380,'Employees List'!$A$2:$H$991,8,0),"")</f>
        <v/>
      </c>
      <c r="O380" s="89" t="str">
        <f>IFERROR(VLOOKUP(D380,'Daily Attendance Report 24-25'!A344:BP999,5,0),"")</f>
        <v/>
      </c>
      <c r="P380" s="89" t="str">
        <f>IFERROR(VLOOKUP(E380,'Daily Attendance Report 24-25'!$A$1:$BO$617,5,0),"")</f>
        <v/>
      </c>
      <c r="Q380" s="89"/>
      <c r="R380" s="89"/>
      <c r="S380" s="89" t="str">
        <f t="shared" si="17"/>
        <v>#DIV/0!</v>
      </c>
      <c r="T380" s="89" t="str">
        <f t="shared" si="6"/>
        <v>#DIV/0!</v>
      </c>
      <c r="U380" s="89" t="str">
        <f t="shared" si="25"/>
        <v>#DIV/0!</v>
      </c>
      <c r="V380" s="89" t="str">
        <f t="shared" si="24"/>
        <v>#DIV/0!</v>
      </c>
      <c r="W380" s="89" t="str">
        <f t="shared" si="9"/>
        <v>#DIV/0!</v>
      </c>
      <c r="X380" s="89"/>
      <c r="Y380" s="89"/>
      <c r="Z380" s="89"/>
      <c r="AA380" s="89"/>
      <c r="AB380" s="89"/>
      <c r="AC380" s="89"/>
      <c r="AD380" s="89"/>
      <c r="AE380" s="89"/>
      <c r="AF380" s="89"/>
      <c r="AG380" s="89"/>
      <c r="AH380" s="89"/>
    </row>
    <row r="381">
      <c r="A381" s="8" t="s">
        <v>519</v>
      </c>
      <c r="B381" s="97"/>
      <c r="C381" s="8"/>
      <c r="D381" s="89" t="str">
        <f t="shared" si="1"/>
        <v/>
      </c>
      <c r="E381" s="89" t="str">
        <f t="shared" si="2"/>
        <v>OT Hours</v>
      </c>
      <c r="F381" s="89" t="str">
        <f>IFERROR(VLOOKUP(C381,'Employees List'!$B$1:$G$999,2,0),"")</f>
        <v/>
      </c>
      <c r="G381" s="89" t="str">
        <f t="shared" si="23"/>
        <v>#DIV/0!</v>
      </c>
      <c r="H381" s="98"/>
      <c r="I381" s="89" t="str">
        <f>IFERROR(VLOOKUP(F381,'Employees List'!$C:$F,2,0),"")</f>
        <v/>
      </c>
      <c r="J381" s="93" t="str">
        <f>IFERROR(VLOOKUP(C381,'Employees List'!$B$2:$G$991,5,0),"")</f>
        <v/>
      </c>
      <c r="K381" s="95" t="str">
        <f>IFERROR(VLOOKUP(F381,'Employees List'!$C$1:$AB$991,5,0),"")</f>
        <v/>
      </c>
      <c r="L381" s="91">
        <f t="shared" si="3"/>
        <v>0</v>
      </c>
      <c r="M381" s="91">
        <f t="shared" si="4"/>
        <v>0</v>
      </c>
      <c r="N381" s="89" t="str">
        <f>IFERROR(VLOOKUP(B381,'Employees List'!$A$2:$H$991,8,0),"")</f>
        <v/>
      </c>
      <c r="O381" s="89" t="str">
        <f>IFERROR(VLOOKUP(D381,'Daily Attendance Report 24-25'!A345:BP999,5,0),"")</f>
        <v/>
      </c>
      <c r="P381" s="89" t="str">
        <f>IFERROR(VLOOKUP(E381,'Daily Attendance Report 24-25'!$A$1:$BO$617,5,0),"")</f>
        <v/>
      </c>
      <c r="Q381" s="89"/>
      <c r="R381" s="89"/>
      <c r="S381" s="89" t="str">
        <f t="shared" si="17"/>
        <v>#DIV/0!</v>
      </c>
      <c r="T381" s="89" t="str">
        <f t="shared" si="6"/>
        <v>#DIV/0!</v>
      </c>
      <c r="U381" s="89" t="str">
        <f t="shared" si="25"/>
        <v>#DIV/0!</v>
      </c>
      <c r="V381" s="89" t="str">
        <f t="shared" si="24"/>
        <v>#DIV/0!</v>
      </c>
      <c r="W381" s="89" t="str">
        <f t="shared" si="9"/>
        <v>#DIV/0!</v>
      </c>
      <c r="X381" s="89"/>
      <c r="Y381" s="89"/>
      <c r="Z381" s="89"/>
      <c r="AA381" s="89"/>
      <c r="AB381" s="89"/>
      <c r="AC381" s="89"/>
      <c r="AD381" s="89"/>
      <c r="AE381" s="89"/>
      <c r="AF381" s="89"/>
      <c r="AG381" s="89"/>
      <c r="AH381" s="89"/>
    </row>
    <row r="382">
      <c r="A382" s="8" t="s">
        <v>520</v>
      </c>
      <c r="B382" s="97"/>
      <c r="C382" s="8"/>
      <c r="D382" s="89" t="str">
        <f t="shared" si="1"/>
        <v/>
      </c>
      <c r="E382" s="89" t="str">
        <f t="shared" si="2"/>
        <v>OT Hours</v>
      </c>
      <c r="F382" s="89" t="str">
        <f>IFERROR(VLOOKUP(C382,'Employees List'!$B$1:$G$999,2,0),"")</f>
        <v/>
      </c>
      <c r="G382" s="89" t="str">
        <f t="shared" si="23"/>
        <v>#DIV/0!</v>
      </c>
      <c r="H382" s="98"/>
      <c r="I382" s="89" t="str">
        <f>IFERROR(VLOOKUP(F382,'Employees List'!$C:$F,2,0),"")</f>
        <v/>
      </c>
      <c r="J382" s="93" t="str">
        <f>IFERROR(VLOOKUP(C382,'Employees List'!$B$2:$G$991,5,0),"")</f>
        <v/>
      </c>
      <c r="K382" s="95" t="str">
        <f>IFERROR(VLOOKUP(F382,'Employees List'!$C$1:$AB$991,5,0),"")</f>
        <v/>
      </c>
      <c r="L382" s="91">
        <f t="shared" si="3"/>
        <v>0</v>
      </c>
      <c r="M382" s="91">
        <f t="shared" si="4"/>
        <v>0</v>
      </c>
      <c r="N382" s="89" t="str">
        <f>IFERROR(VLOOKUP(B382,'Employees List'!$A$2:$H$991,8,0),"")</f>
        <v/>
      </c>
      <c r="O382" s="89" t="str">
        <f>IFERROR(VLOOKUP(D382,'Daily Attendance Report 24-25'!A346:BP999,5,0),"")</f>
        <v/>
      </c>
      <c r="P382" s="89" t="str">
        <f>IFERROR(VLOOKUP(E382,'Daily Attendance Report 24-25'!$A$1:$BO$617,5,0),"")</f>
        <v/>
      </c>
      <c r="Q382" s="89"/>
      <c r="R382" s="89"/>
      <c r="S382" s="89" t="str">
        <f t="shared" si="17"/>
        <v>#DIV/0!</v>
      </c>
      <c r="T382" s="89" t="str">
        <f t="shared" si="6"/>
        <v>#DIV/0!</v>
      </c>
      <c r="U382" s="89" t="str">
        <f t="shared" si="25"/>
        <v>#DIV/0!</v>
      </c>
      <c r="V382" s="89" t="str">
        <f t="shared" si="24"/>
        <v>#DIV/0!</v>
      </c>
      <c r="W382" s="89" t="str">
        <f t="shared" si="9"/>
        <v>#DIV/0!</v>
      </c>
      <c r="X382" s="89"/>
      <c r="Y382" s="89"/>
      <c r="Z382" s="89"/>
      <c r="AA382" s="89"/>
      <c r="AB382" s="89"/>
      <c r="AC382" s="89"/>
      <c r="AD382" s="89"/>
      <c r="AE382" s="89"/>
      <c r="AF382" s="89"/>
      <c r="AG382" s="89"/>
      <c r="AH382" s="89"/>
    </row>
    <row r="383">
      <c r="A383" s="8" t="s">
        <v>521</v>
      </c>
      <c r="B383" s="97"/>
      <c r="C383" s="8"/>
      <c r="D383" s="89" t="str">
        <f t="shared" si="1"/>
        <v/>
      </c>
      <c r="E383" s="89" t="str">
        <f t="shared" si="2"/>
        <v>OT Hours</v>
      </c>
      <c r="F383" s="89" t="str">
        <f>IFERROR(VLOOKUP(C383,'Employees List'!$B$1:$G$999,2,0),"")</f>
        <v/>
      </c>
      <c r="G383" s="89" t="str">
        <f t="shared" si="23"/>
        <v>#DIV/0!</v>
      </c>
      <c r="H383" s="98"/>
      <c r="I383" s="89" t="str">
        <f>IFERROR(VLOOKUP(F383,'Employees List'!$C:$F,2,0),"")</f>
        <v/>
      </c>
      <c r="J383" s="93" t="str">
        <f>IFERROR(VLOOKUP(C383,'Employees List'!$B$2:$G$991,5,0),"")</f>
        <v/>
      </c>
      <c r="K383" s="95" t="str">
        <f>IFERROR(VLOOKUP(F383,'Employees List'!$C$1:$AB$991,5,0),"")</f>
        <v/>
      </c>
      <c r="L383" s="91">
        <f t="shared" si="3"/>
        <v>0</v>
      </c>
      <c r="M383" s="91">
        <f t="shared" si="4"/>
        <v>0</v>
      </c>
      <c r="N383" s="89" t="str">
        <f>IFERROR(VLOOKUP(B383,'Employees List'!$A$2:$H$991,8,0),"")</f>
        <v/>
      </c>
      <c r="O383" s="89" t="str">
        <f>IFERROR(VLOOKUP(D383,'Daily Attendance Report 24-25'!A347:BP999,5,0),"")</f>
        <v/>
      </c>
      <c r="P383" s="89" t="str">
        <f>IFERROR(VLOOKUP(E383,'Daily Attendance Report 24-25'!$A$1:$BO$617,5,0),"")</f>
        <v/>
      </c>
      <c r="Q383" s="89"/>
      <c r="R383" s="89"/>
      <c r="S383" s="89" t="str">
        <f t="shared" si="17"/>
        <v>#DIV/0!</v>
      </c>
      <c r="T383" s="89" t="str">
        <f t="shared" si="6"/>
        <v>#DIV/0!</v>
      </c>
      <c r="U383" s="89" t="str">
        <f t="shared" si="25"/>
        <v>#DIV/0!</v>
      </c>
      <c r="V383" s="89" t="str">
        <f t="shared" si="24"/>
        <v>#DIV/0!</v>
      </c>
      <c r="W383" s="89" t="str">
        <f t="shared" si="9"/>
        <v>#DIV/0!</v>
      </c>
      <c r="X383" s="89"/>
      <c r="Y383" s="89"/>
      <c r="Z383" s="89"/>
      <c r="AA383" s="89"/>
      <c r="AB383" s="89"/>
      <c r="AC383" s="89"/>
      <c r="AD383" s="89"/>
      <c r="AE383" s="89"/>
      <c r="AF383" s="89"/>
      <c r="AG383" s="89"/>
      <c r="AH383" s="89"/>
    </row>
    <row r="384">
      <c r="A384" s="8" t="s">
        <v>522</v>
      </c>
      <c r="B384" s="97"/>
      <c r="C384" s="8"/>
      <c r="D384" s="89" t="str">
        <f t="shared" si="1"/>
        <v/>
      </c>
      <c r="E384" s="89" t="str">
        <f t="shared" si="2"/>
        <v>OT Hours</v>
      </c>
      <c r="F384" s="89" t="str">
        <f>IFERROR(VLOOKUP(C384,'Employees List'!$B$1:$G$999,2,0),"")</f>
        <v/>
      </c>
      <c r="G384" s="89" t="str">
        <f t="shared" si="23"/>
        <v>#DIV/0!</v>
      </c>
      <c r="H384" s="98"/>
      <c r="I384" s="89" t="str">
        <f>IFERROR(VLOOKUP(F384,'Employees List'!$C:$F,2,0),"")</f>
        <v/>
      </c>
      <c r="J384" s="93" t="str">
        <f>IFERROR(VLOOKUP(C384,'Employees List'!$B$2:$G$991,5,0),"")</f>
        <v/>
      </c>
      <c r="K384" s="95" t="str">
        <f>IFERROR(VLOOKUP(F384,'Employees List'!$C$1:$AB$991,5,0),"")</f>
        <v/>
      </c>
      <c r="L384" s="91">
        <f t="shared" si="3"/>
        <v>0</v>
      </c>
      <c r="M384" s="91">
        <f t="shared" si="4"/>
        <v>0</v>
      </c>
      <c r="N384" s="89" t="str">
        <f>IFERROR(VLOOKUP(B384,'Employees List'!$A$2:$H$991,8,0),"")</f>
        <v/>
      </c>
      <c r="O384" s="89" t="str">
        <f>IFERROR(VLOOKUP(D384,'Daily Attendance Report 24-25'!A348:BP999,5,0),"")</f>
        <v/>
      </c>
      <c r="P384" s="89" t="str">
        <f>IFERROR(VLOOKUP(E384,'Daily Attendance Report 24-25'!$A$1:$BO$617,5,0),"")</f>
        <v/>
      </c>
      <c r="Q384" s="89"/>
      <c r="R384" s="89"/>
      <c r="S384" s="89" t="str">
        <f t="shared" si="17"/>
        <v>#DIV/0!</v>
      </c>
      <c r="T384" s="89" t="str">
        <f t="shared" si="6"/>
        <v>#DIV/0!</v>
      </c>
      <c r="U384" s="89" t="str">
        <f t="shared" si="25"/>
        <v>#DIV/0!</v>
      </c>
      <c r="V384" s="89" t="str">
        <f t="shared" si="24"/>
        <v>#DIV/0!</v>
      </c>
      <c r="W384" s="89" t="str">
        <f t="shared" si="9"/>
        <v>#DIV/0!</v>
      </c>
      <c r="X384" s="89"/>
      <c r="Y384" s="89"/>
      <c r="Z384" s="89"/>
      <c r="AA384" s="89"/>
      <c r="AB384" s="89"/>
      <c r="AC384" s="89"/>
      <c r="AD384" s="89"/>
      <c r="AE384" s="89"/>
      <c r="AF384" s="89"/>
      <c r="AG384" s="89"/>
      <c r="AH384" s="89"/>
    </row>
    <row r="385">
      <c r="A385" s="8" t="s">
        <v>523</v>
      </c>
      <c r="B385" s="97"/>
      <c r="C385" s="8"/>
      <c r="D385" s="89" t="str">
        <f t="shared" si="1"/>
        <v/>
      </c>
      <c r="E385" s="89" t="str">
        <f t="shared" si="2"/>
        <v>OT Hours</v>
      </c>
      <c r="F385" s="89" t="str">
        <f>IFERROR(VLOOKUP(C385,'Employees List'!$B$1:$G$999,2,0),"")</f>
        <v/>
      </c>
      <c r="G385" s="89" t="str">
        <f t="shared" si="23"/>
        <v>#DIV/0!</v>
      </c>
      <c r="H385" s="98"/>
      <c r="I385" s="89" t="str">
        <f>IFERROR(VLOOKUP(F385,'Employees List'!$C:$F,2,0),"")</f>
        <v/>
      </c>
      <c r="J385" s="93" t="str">
        <f>IFERROR(VLOOKUP(C385,'Employees List'!$B$2:$G$991,5,0),"")</f>
        <v/>
      </c>
      <c r="K385" s="95" t="str">
        <f>IFERROR(VLOOKUP(F385,'Employees List'!$C$1:$AB$991,5,0),"")</f>
        <v/>
      </c>
      <c r="L385" s="91">
        <f t="shared" si="3"/>
        <v>0</v>
      </c>
      <c r="M385" s="91">
        <f t="shared" si="4"/>
        <v>0</v>
      </c>
      <c r="N385" s="89" t="str">
        <f>IFERROR(VLOOKUP(B385,'Employees List'!$A$2:$H$991,8,0),"")</f>
        <v/>
      </c>
      <c r="O385" s="89" t="str">
        <f>IFERROR(VLOOKUP(D385,'Daily Attendance Report 24-25'!A349:BP999,5,0),"")</f>
        <v/>
      </c>
      <c r="P385" s="89" t="str">
        <f>IFERROR(VLOOKUP(E385,'Daily Attendance Report 24-25'!$A$1:$BO$617,5,0),"")</f>
        <v/>
      </c>
      <c r="Q385" s="89"/>
      <c r="R385" s="89"/>
      <c r="S385" s="89" t="str">
        <f t="shared" si="17"/>
        <v>#DIV/0!</v>
      </c>
      <c r="T385" s="89" t="str">
        <f t="shared" si="6"/>
        <v>#DIV/0!</v>
      </c>
      <c r="U385" s="89" t="str">
        <f t="shared" si="25"/>
        <v>#DIV/0!</v>
      </c>
      <c r="V385" s="89" t="str">
        <f t="shared" si="24"/>
        <v>#DIV/0!</v>
      </c>
      <c r="W385" s="89" t="str">
        <f t="shared" si="9"/>
        <v>#DIV/0!</v>
      </c>
      <c r="X385" s="89"/>
      <c r="Y385" s="89"/>
      <c r="Z385" s="89"/>
      <c r="AA385" s="89"/>
      <c r="AB385" s="89"/>
      <c r="AC385" s="89"/>
      <c r="AD385" s="89"/>
      <c r="AE385" s="89"/>
      <c r="AF385" s="89"/>
      <c r="AG385" s="89"/>
      <c r="AH385" s="89"/>
    </row>
    <row r="386">
      <c r="A386" s="8" t="s">
        <v>524</v>
      </c>
      <c r="B386" s="97"/>
      <c r="C386" s="8"/>
      <c r="D386" s="89" t="str">
        <f t="shared" si="1"/>
        <v/>
      </c>
      <c r="E386" s="89" t="str">
        <f t="shared" si="2"/>
        <v>OT Hours</v>
      </c>
      <c r="F386" s="89" t="str">
        <f>IFERROR(VLOOKUP(C386,'Employees List'!$B$1:$G$999,2,0),"")</f>
        <v/>
      </c>
      <c r="G386" s="89" t="str">
        <f t="shared" si="23"/>
        <v>#DIV/0!</v>
      </c>
      <c r="H386" s="98"/>
      <c r="I386" s="89" t="str">
        <f>IFERROR(VLOOKUP(F386,'Employees List'!$C:$F,2,0),"")</f>
        <v/>
      </c>
      <c r="J386" s="93" t="str">
        <f>IFERROR(VLOOKUP(C386,'Employees List'!$B$2:$G$991,5,0),"")</f>
        <v/>
      </c>
      <c r="K386" s="95" t="str">
        <f>IFERROR(VLOOKUP(F386,'Employees List'!$C$1:$AB$991,5,0),"")</f>
        <v/>
      </c>
      <c r="L386" s="91">
        <f t="shared" si="3"/>
        <v>0</v>
      </c>
      <c r="M386" s="91">
        <f t="shared" si="4"/>
        <v>0</v>
      </c>
      <c r="N386" s="89" t="str">
        <f>IFERROR(VLOOKUP(B386,'Employees List'!$A$2:$H$991,8,0),"")</f>
        <v/>
      </c>
      <c r="O386" s="89" t="str">
        <f>IFERROR(VLOOKUP(D386,'Daily Attendance Report 24-25'!A350:BP999,5,0),"")</f>
        <v/>
      </c>
      <c r="P386" s="89" t="str">
        <f>IFERROR(VLOOKUP(E386,'Daily Attendance Report 24-25'!$A$1:$BO$617,5,0),"")</f>
        <v/>
      </c>
      <c r="Q386" s="89"/>
      <c r="R386" s="89"/>
      <c r="S386" s="89" t="str">
        <f t="shared" si="17"/>
        <v>#DIV/0!</v>
      </c>
      <c r="T386" s="89" t="str">
        <f t="shared" si="6"/>
        <v>#DIV/0!</v>
      </c>
      <c r="U386" s="89" t="str">
        <f t="shared" si="25"/>
        <v>#DIV/0!</v>
      </c>
      <c r="V386" s="89" t="str">
        <f t="shared" si="24"/>
        <v>#DIV/0!</v>
      </c>
      <c r="W386" s="89" t="str">
        <f t="shared" si="9"/>
        <v>#DIV/0!</v>
      </c>
      <c r="X386" s="89"/>
      <c r="Y386" s="89"/>
      <c r="Z386" s="89"/>
      <c r="AA386" s="89"/>
      <c r="AB386" s="89"/>
      <c r="AC386" s="89"/>
      <c r="AD386" s="89"/>
      <c r="AE386" s="89"/>
      <c r="AF386" s="89"/>
      <c r="AG386" s="89"/>
      <c r="AH386" s="89"/>
    </row>
    <row r="387">
      <c r="A387" s="8" t="s">
        <v>525</v>
      </c>
      <c r="B387" s="97"/>
      <c r="C387" s="8"/>
      <c r="D387" s="89" t="str">
        <f t="shared" si="1"/>
        <v/>
      </c>
      <c r="E387" s="89" t="str">
        <f t="shared" si="2"/>
        <v>OT Hours</v>
      </c>
      <c r="F387" s="89" t="str">
        <f>IFERROR(VLOOKUP(C387,'Employees List'!$B$1:$G$999,2,0),"")</f>
        <v/>
      </c>
      <c r="G387" s="89" t="str">
        <f t="shared" si="23"/>
        <v>#DIV/0!</v>
      </c>
      <c r="H387" s="98"/>
      <c r="I387" s="89" t="str">
        <f>IFERROR(VLOOKUP(F387,'Employees List'!$C:$F,2,0),"")</f>
        <v/>
      </c>
      <c r="J387" s="93" t="str">
        <f>IFERROR(VLOOKUP(C387,'Employees List'!$B$2:$G$991,5,0),"")</f>
        <v/>
      </c>
      <c r="K387" s="95" t="str">
        <f>IFERROR(VLOOKUP(F387,'Employees List'!$C$1:$AB$991,5,0),"")</f>
        <v/>
      </c>
      <c r="L387" s="91">
        <f t="shared" si="3"/>
        <v>0</v>
      </c>
      <c r="M387" s="91">
        <f t="shared" si="4"/>
        <v>0</v>
      </c>
      <c r="N387" s="89" t="str">
        <f>IFERROR(VLOOKUP(B387,'Employees List'!$A$2:$H$991,8,0),"")</f>
        <v/>
      </c>
      <c r="O387" s="89" t="str">
        <f>IFERROR(VLOOKUP(D387,'Daily Attendance Report 24-25'!A351:BP999,5,0),"")</f>
        <v/>
      </c>
      <c r="P387" s="89" t="str">
        <f>IFERROR(VLOOKUP(E387,'Daily Attendance Report 24-25'!$A$1:$BO$617,5,0),"")</f>
        <v/>
      </c>
      <c r="Q387" s="89"/>
      <c r="R387" s="89"/>
      <c r="S387" s="89" t="str">
        <f t="shared" si="17"/>
        <v>#DIV/0!</v>
      </c>
      <c r="T387" s="89" t="str">
        <f t="shared" si="6"/>
        <v>#DIV/0!</v>
      </c>
      <c r="U387" s="89" t="str">
        <f t="shared" si="25"/>
        <v>#DIV/0!</v>
      </c>
      <c r="V387" s="89" t="str">
        <f t="shared" si="24"/>
        <v>#DIV/0!</v>
      </c>
      <c r="W387" s="89" t="str">
        <f t="shared" si="9"/>
        <v>#DIV/0!</v>
      </c>
      <c r="X387" s="89"/>
      <c r="Y387" s="89"/>
      <c r="Z387" s="89"/>
      <c r="AA387" s="89"/>
      <c r="AB387" s="89"/>
      <c r="AC387" s="89"/>
      <c r="AD387" s="89"/>
      <c r="AE387" s="89"/>
      <c r="AF387" s="89"/>
      <c r="AG387" s="89"/>
      <c r="AH387" s="89"/>
    </row>
    <row r="388">
      <c r="A388" s="8" t="s">
        <v>526</v>
      </c>
      <c r="B388" s="97"/>
      <c r="C388" s="8"/>
      <c r="D388" s="89" t="str">
        <f t="shared" si="1"/>
        <v/>
      </c>
      <c r="E388" s="89" t="str">
        <f t="shared" si="2"/>
        <v>OT Hours</v>
      </c>
      <c r="F388" s="89" t="str">
        <f>IFERROR(VLOOKUP(C388,'Employees List'!$B$1:$G$999,2,0),"")</f>
        <v/>
      </c>
      <c r="G388" s="89" t="str">
        <f t="shared" si="23"/>
        <v>#DIV/0!</v>
      </c>
      <c r="H388" s="98"/>
      <c r="I388" s="89" t="str">
        <f>IFERROR(VLOOKUP(F388,'Employees List'!$C:$F,2,0),"")</f>
        <v/>
      </c>
      <c r="J388" s="93" t="str">
        <f>IFERROR(VLOOKUP(C388,'Employees List'!$B$2:$G$991,5,0),"")</f>
        <v/>
      </c>
      <c r="K388" s="95" t="str">
        <f>IFERROR(VLOOKUP(F388,'Employees List'!$C$1:$AB$991,5,0),"")</f>
        <v/>
      </c>
      <c r="L388" s="91">
        <f t="shared" si="3"/>
        <v>0</v>
      </c>
      <c r="M388" s="91">
        <f t="shared" si="4"/>
        <v>0</v>
      </c>
      <c r="N388" s="89" t="str">
        <f>IFERROR(VLOOKUP(B388,'Employees List'!$A$2:$H$991,8,0),"")</f>
        <v/>
      </c>
      <c r="O388" s="89" t="str">
        <f>IFERROR(VLOOKUP(D388,'Daily Attendance Report 24-25'!A352:BP999,5,0),"")</f>
        <v/>
      </c>
      <c r="P388" s="89" t="str">
        <f>IFERROR(VLOOKUP(E388,'Daily Attendance Report 24-25'!$A$1:$BO$617,5,0),"")</f>
        <v/>
      </c>
      <c r="Q388" s="89"/>
      <c r="R388" s="89"/>
      <c r="S388" s="89" t="str">
        <f t="shared" si="17"/>
        <v>#DIV/0!</v>
      </c>
      <c r="T388" s="89" t="str">
        <f t="shared" si="6"/>
        <v>#DIV/0!</v>
      </c>
      <c r="U388" s="89" t="str">
        <f t="shared" si="25"/>
        <v>#DIV/0!</v>
      </c>
      <c r="V388" s="89" t="str">
        <f t="shared" si="24"/>
        <v>#DIV/0!</v>
      </c>
      <c r="W388" s="89" t="str">
        <f t="shared" si="9"/>
        <v>#DIV/0!</v>
      </c>
      <c r="X388" s="89"/>
      <c r="Y388" s="89"/>
      <c r="Z388" s="89"/>
      <c r="AA388" s="89"/>
      <c r="AB388" s="89"/>
      <c r="AC388" s="89"/>
      <c r="AD388" s="89"/>
      <c r="AE388" s="89"/>
      <c r="AF388" s="89"/>
      <c r="AG388" s="89"/>
      <c r="AH388" s="89"/>
    </row>
    <row r="389">
      <c r="A389" s="8" t="s">
        <v>527</v>
      </c>
      <c r="B389" s="97"/>
      <c r="C389" s="8"/>
      <c r="D389" s="89" t="str">
        <f t="shared" si="1"/>
        <v/>
      </c>
      <c r="E389" s="89" t="str">
        <f t="shared" si="2"/>
        <v>OT Hours</v>
      </c>
      <c r="F389" s="89" t="str">
        <f>IFERROR(VLOOKUP(C389,'Employees List'!$B$1:$G$999,2,0),"")</f>
        <v/>
      </c>
      <c r="G389" s="89" t="str">
        <f t="shared" si="23"/>
        <v>#DIV/0!</v>
      </c>
      <c r="H389" s="98"/>
      <c r="I389" s="89" t="str">
        <f>IFERROR(VLOOKUP(F389,'Employees List'!$C:$F,2,0),"")</f>
        <v/>
      </c>
      <c r="J389" s="93" t="str">
        <f>IFERROR(VLOOKUP(C389,'Employees List'!$B$2:$G$991,5,0),"")</f>
        <v/>
      </c>
      <c r="K389" s="95" t="str">
        <f>IFERROR(VLOOKUP(F389,'Employees List'!$C$1:$AB$991,5,0),"")</f>
        <v/>
      </c>
      <c r="L389" s="91">
        <f t="shared" si="3"/>
        <v>0</v>
      </c>
      <c r="M389" s="91">
        <f t="shared" si="4"/>
        <v>0</v>
      </c>
      <c r="N389" s="89" t="str">
        <f>IFERROR(VLOOKUP(B389,'Employees List'!$A$2:$H$991,8,0),"")</f>
        <v/>
      </c>
      <c r="O389" s="89" t="str">
        <f>IFERROR(VLOOKUP(D389,'Daily Attendance Report 24-25'!A353:BP999,5,0),"")</f>
        <v/>
      </c>
      <c r="P389" s="89" t="str">
        <f>IFERROR(VLOOKUP(E389,'Daily Attendance Report 24-25'!$A$1:$BO$617,5,0),"")</f>
        <v/>
      </c>
      <c r="Q389" s="89"/>
      <c r="R389" s="89"/>
      <c r="S389" s="89" t="str">
        <f t="shared" si="17"/>
        <v>#DIV/0!</v>
      </c>
      <c r="T389" s="89" t="str">
        <f t="shared" si="6"/>
        <v>#DIV/0!</v>
      </c>
      <c r="U389" s="89" t="str">
        <f t="shared" si="25"/>
        <v>#DIV/0!</v>
      </c>
      <c r="V389" s="89" t="str">
        <f t="shared" si="24"/>
        <v>#DIV/0!</v>
      </c>
      <c r="W389" s="89" t="str">
        <f t="shared" si="9"/>
        <v>#DIV/0!</v>
      </c>
      <c r="X389" s="89"/>
      <c r="Y389" s="89"/>
      <c r="Z389" s="89"/>
      <c r="AA389" s="89"/>
      <c r="AB389" s="89"/>
      <c r="AC389" s="89"/>
      <c r="AD389" s="89"/>
      <c r="AE389" s="89"/>
      <c r="AF389" s="89"/>
      <c r="AG389" s="89"/>
      <c r="AH389" s="89"/>
    </row>
    <row r="390">
      <c r="A390" s="8" t="s">
        <v>528</v>
      </c>
      <c r="B390" s="97"/>
      <c r="C390" s="8"/>
      <c r="D390" s="89" t="str">
        <f t="shared" si="1"/>
        <v/>
      </c>
      <c r="E390" s="89" t="str">
        <f t="shared" si="2"/>
        <v>OT Hours</v>
      </c>
      <c r="F390" s="89" t="str">
        <f>IFERROR(VLOOKUP(C390,'Employees List'!$B$1:$G$999,2,0),"")</f>
        <v/>
      </c>
      <c r="G390" s="89" t="str">
        <f t="shared" si="23"/>
        <v>#DIV/0!</v>
      </c>
      <c r="H390" s="98"/>
      <c r="I390" s="89" t="str">
        <f>IFERROR(VLOOKUP(F390,'Employees List'!$C:$F,2,0),"")</f>
        <v/>
      </c>
      <c r="J390" s="93" t="str">
        <f>IFERROR(VLOOKUP(C390,'Employees List'!$B$2:$G$991,5,0),"")</f>
        <v/>
      </c>
      <c r="K390" s="95" t="str">
        <f>IFERROR(VLOOKUP(F390,'Employees List'!$C$1:$AB$991,5,0),"")</f>
        <v/>
      </c>
      <c r="L390" s="91">
        <f t="shared" si="3"/>
        <v>0</v>
      </c>
      <c r="M390" s="91">
        <f t="shared" si="4"/>
        <v>0</v>
      </c>
      <c r="N390" s="89" t="str">
        <f>IFERROR(VLOOKUP(B390,'Employees List'!$A$2:$H$991,8,0),"")</f>
        <v/>
      </c>
      <c r="O390" s="89" t="str">
        <f>IFERROR(VLOOKUP(D390,'Daily Attendance Report 24-25'!A354:BP999,5,0),"")</f>
        <v/>
      </c>
      <c r="P390" s="89" t="str">
        <f>IFERROR(VLOOKUP(E390,'Daily Attendance Report 24-25'!$A$1:$BO$617,5,0),"")</f>
        <v/>
      </c>
      <c r="Q390" s="89"/>
      <c r="R390" s="89"/>
      <c r="S390" s="89" t="str">
        <f t="shared" si="17"/>
        <v>#DIV/0!</v>
      </c>
      <c r="T390" s="89" t="str">
        <f t="shared" si="6"/>
        <v>#DIV/0!</v>
      </c>
      <c r="U390" s="89" t="str">
        <f t="shared" si="25"/>
        <v>#DIV/0!</v>
      </c>
      <c r="V390" s="89" t="str">
        <f t="shared" si="24"/>
        <v>#DIV/0!</v>
      </c>
      <c r="W390" s="89" t="str">
        <f t="shared" si="9"/>
        <v>#DIV/0!</v>
      </c>
      <c r="X390" s="89"/>
      <c r="Y390" s="89"/>
      <c r="Z390" s="89"/>
      <c r="AA390" s="89"/>
      <c r="AB390" s="89"/>
      <c r="AC390" s="89"/>
      <c r="AD390" s="89"/>
      <c r="AE390" s="89"/>
      <c r="AF390" s="89"/>
      <c r="AG390" s="89"/>
      <c r="AH390" s="89"/>
    </row>
    <row r="391">
      <c r="A391" s="8" t="s">
        <v>529</v>
      </c>
      <c r="B391" s="97"/>
      <c r="C391" s="8"/>
      <c r="D391" s="89" t="str">
        <f t="shared" si="1"/>
        <v/>
      </c>
      <c r="E391" s="89" t="str">
        <f t="shared" si="2"/>
        <v>OT Hours</v>
      </c>
      <c r="F391" s="89" t="str">
        <f>IFERROR(VLOOKUP(C391,'Employees List'!$B$1:$G$999,2,0),"")</f>
        <v/>
      </c>
      <c r="G391" s="89" t="str">
        <f t="shared" si="23"/>
        <v>#DIV/0!</v>
      </c>
      <c r="H391" s="98"/>
      <c r="I391" s="89" t="str">
        <f>IFERROR(VLOOKUP(F391,'Employees List'!$C:$F,2,0),"")</f>
        <v/>
      </c>
      <c r="J391" s="93" t="str">
        <f>IFERROR(VLOOKUP(C391,'Employees List'!$B$2:$G$991,5,0),"")</f>
        <v/>
      </c>
      <c r="K391" s="95" t="str">
        <f>IFERROR(VLOOKUP(F391,'Employees List'!$C$1:$AB$991,5,0),"")</f>
        <v/>
      </c>
      <c r="L391" s="91">
        <f t="shared" si="3"/>
        <v>0</v>
      </c>
      <c r="M391" s="91">
        <f t="shared" si="4"/>
        <v>0</v>
      </c>
      <c r="N391" s="89" t="str">
        <f>IFERROR(VLOOKUP(B391,'Employees List'!$A$2:$H$991,8,0),"")</f>
        <v/>
      </c>
      <c r="O391" s="89" t="str">
        <f>IFERROR(VLOOKUP(D391,'Daily Attendance Report 24-25'!A355:BP999,5,0),"")</f>
        <v/>
      </c>
      <c r="P391" s="89" t="str">
        <f>IFERROR(VLOOKUP(E391,'Daily Attendance Report 24-25'!$A$1:$BO$617,5,0),"")</f>
        <v/>
      </c>
      <c r="Q391" s="89"/>
      <c r="R391" s="89"/>
      <c r="S391" s="89" t="str">
        <f t="shared" si="17"/>
        <v>#DIV/0!</v>
      </c>
      <c r="T391" s="89" t="str">
        <f t="shared" si="6"/>
        <v>#DIV/0!</v>
      </c>
      <c r="U391" s="89" t="str">
        <f t="shared" si="25"/>
        <v>#DIV/0!</v>
      </c>
      <c r="V391" s="89" t="str">
        <f t="shared" si="24"/>
        <v>#DIV/0!</v>
      </c>
      <c r="W391" s="89" t="str">
        <f t="shared" si="9"/>
        <v>#DIV/0!</v>
      </c>
      <c r="X391" s="89"/>
      <c r="Y391" s="89"/>
      <c r="Z391" s="89"/>
      <c r="AA391" s="89"/>
      <c r="AB391" s="89"/>
      <c r="AC391" s="89"/>
      <c r="AD391" s="89"/>
      <c r="AE391" s="89"/>
      <c r="AF391" s="89"/>
      <c r="AG391" s="89"/>
      <c r="AH391" s="89"/>
    </row>
    <row r="392">
      <c r="A392" s="8" t="s">
        <v>530</v>
      </c>
      <c r="B392" s="97"/>
      <c r="C392" s="8"/>
      <c r="D392" s="89" t="str">
        <f t="shared" si="1"/>
        <v/>
      </c>
      <c r="E392" s="89" t="str">
        <f t="shared" si="2"/>
        <v>OT Hours</v>
      </c>
      <c r="F392" s="89" t="str">
        <f>IFERROR(VLOOKUP(C392,'Employees List'!$B$1:$G$999,2,0),"")</f>
        <v/>
      </c>
      <c r="G392" s="89" t="str">
        <f t="shared" si="23"/>
        <v>#DIV/0!</v>
      </c>
      <c r="H392" s="98"/>
      <c r="I392" s="89" t="str">
        <f>IFERROR(VLOOKUP(F392,'Employees List'!$C:$F,2,0),"")</f>
        <v/>
      </c>
      <c r="J392" s="93" t="str">
        <f>IFERROR(VLOOKUP(C392,'Employees List'!$B$2:$G$991,5,0),"")</f>
        <v/>
      </c>
      <c r="K392" s="95" t="str">
        <f>IFERROR(VLOOKUP(F392,'Employees List'!$C$1:$AB$991,5,0),"")</f>
        <v/>
      </c>
      <c r="L392" s="91">
        <f t="shared" si="3"/>
        <v>0</v>
      </c>
      <c r="M392" s="91">
        <f t="shared" si="4"/>
        <v>0</v>
      </c>
      <c r="N392" s="89" t="str">
        <f>IFERROR(VLOOKUP(B392,'Employees List'!$A$2:$H$991,8,0),"")</f>
        <v/>
      </c>
      <c r="O392" s="89" t="str">
        <f>IFERROR(VLOOKUP(D392,'Daily Attendance Report 24-25'!A356:BP999,5,0),"")</f>
        <v/>
      </c>
      <c r="P392" s="89" t="str">
        <f>IFERROR(VLOOKUP(E392,'Daily Attendance Report 24-25'!$A$1:$BO$617,5,0),"")</f>
        <v/>
      </c>
      <c r="Q392" s="89"/>
      <c r="R392" s="89"/>
      <c r="S392" s="89" t="str">
        <f t="shared" si="17"/>
        <v>#DIV/0!</v>
      </c>
      <c r="T392" s="89" t="str">
        <f t="shared" si="6"/>
        <v>#DIV/0!</v>
      </c>
      <c r="U392" s="89" t="str">
        <f t="shared" si="25"/>
        <v>#DIV/0!</v>
      </c>
      <c r="V392" s="89" t="str">
        <f t="shared" si="24"/>
        <v>#DIV/0!</v>
      </c>
      <c r="W392" s="89" t="str">
        <f t="shared" si="9"/>
        <v>#DIV/0!</v>
      </c>
      <c r="X392" s="89"/>
      <c r="Y392" s="89"/>
      <c r="Z392" s="89"/>
      <c r="AA392" s="89"/>
      <c r="AB392" s="89"/>
      <c r="AC392" s="89"/>
      <c r="AD392" s="89"/>
      <c r="AE392" s="89"/>
      <c r="AF392" s="89"/>
      <c r="AG392" s="89"/>
      <c r="AH392" s="89"/>
    </row>
    <row r="393">
      <c r="A393" s="8" t="s">
        <v>531</v>
      </c>
      <c r="B393" s="97"/>
      <c r="C393" s="8"/>
      <c r="D393" s="89" t="str">
        <f t="shared" si="1"/>
        <v/>
      </c>
      <c r="E393" s="89" t="str">
        <f t="shared" si="2"/>
        <v>OT Hours</v>
      </c>
      <c r="F393" s="89" t="str">
        <f>IFERROR(VLOOKUP(C393,'Employees List'!$B$1:$G$999,2,0),"")</f>
        <v/>
      </c>
      <c r="G393" s="89" t="str">
        <f t="shared" si="23"/>
        <v>#DIV/0!</v>
      </c>
      <c r="H393" s="98"/>
      <c r="I393" s="89" t="str">
        <f>IFERROR(VLOOKUP(F393,'Employees List'!$C:$F,2,0),"")</f>
        <v/>
      </c>
      <c r="J393" s="93" t="str">
        <f>IFERROR(VLOOKUP(C393,'Employees List'!$B$2:$G$991,5,0),"")</f>
        <v/>
      </c>
      <c r="K393" s="95" t="str">
        <f>IFERROR(VLOOKUP(F393,'Employees List'!$C$1:$AB$991,5,0),"")</f>
        <v/>
      </c>
      <c r="L393" s="91">
        <f t="shared" si="3"/>
        <v>0</v>
      </c>
      <c r="M393" s="91">
        <f t="shared" si="4"/>
        <v>0</v>
      </c>
      <c r="N393" s="89" t="str">
        <f>IFERROR(VLOOKUP(B393,'Employees List'!$A$2:$H$991,8,0),"")</f>
        <v/>
      </c>
      <c r="O393" s="89" t="str">
        <f>IFERROR(VLOOKUP(D393,'Daily Attendance Report 24-25'!A357:BP999,5,0),"")</f>
        <v/>
      </c>
      <c r="P393" s="89" t="str">
        <f>IFERROR(VLOOKUP(E393,'Daily Attendance Report 24-25'!$A$1:$BO$617,5,0),"")</f>
        <v/>
      </c>
      <c r="Q393" s="89"/>
      <c r="R393" s="89"/>
      <c r="S393" s="89" t="str">
        <f t="shared" si="17"/>
        <v>#DIV/0!</v>
      </c>
      <c r="T393" s="89" t="str">
        <f t="shared" si="6"/>
        <v>#DIV/0!</v>
      </c>
      <c r="U393" s="89" t="str">
        <f t="shared" si="25"/>
        <v>#DIV/0!</v>
      </c>
      <c r="V393" s="89" t="str">
        <f t="shared" si="24"/>
        <v>#DIV/0!</v>
      </c>
      <c r="W393" s="89" t="str">
        <f t="shared" si="9"/>
        <v>#DIV/0!</v>
      </c>
      <c r="X393" s="89"/>
      <c r="Y393" s="89"/>
      <c r="Z393" s="89"/>
      <c r="AA393" s="89"/>
      <c r="AB393" s="89"/>
      <c r="AC393" s="89"/>
      <c r="AD393" s="89"/>
      <c r="AE393" s="89"/>
      <c r="AF393" s="89"/>
      <c r="AG393" s="89"/>
      <c r="AH393" s="89"/>
    </row>
    <row r="394">
      <c r="A394" s="8" t="s">
        <v>532</v>
      </c>
      <c r="B394" s="97"/>
      <c r="C394" s="8"/>
      <c r="D394" s="89" t="str">
        <f t="shared" si="1"/>
        <v/>
      </c>
      <c r="E394" s="89" t="str">
        <f t="shared" si="2"/>
        <v>OT Hours</v>
      </c>
      <c r="F394" s="89" t="str">
        <f>IFERROR(VLOOKUP(C394,'Employees List'!$B$1:$G$999,2,0),"")</f>
        <v/>
      </c>
      <c r="G394" s="89" t="str">
        <f t="shared" si="23"/>
        <v>#DIV/0!</v>
      </c>
      <c r="H394" s="98"/>
      <c r="I394" s="89" t="str">
        <f>IFERROR(VLOOKUP(F394,'Employees List'!$C:$F,2,0),"")</f>
        <v/>
      </c>
      <c r="J394" s="93" t="str">
        <f>IFERROR(VLOOKUP(C394,'Employees List'!$B$2:$G$991,5,0),"")</f>
        <v/>
      </c>
      <c r="K394" s="95" t="str">
        <f>IFERROR(VLOOKUP(F394,'Employees List'!$C$1:$AB$991,5,0),"")</f>
        <v/>
      </c>
      <c r="L394" s="91">
        <f t="shared" si="3"/>
        <v>0</v>
      </c>
      <c r="M394" s="91">
        <f t="shared" si="4"/>
        <v>0</v>
      </c>
      <c r="N394" s="89" t="str">
        <f>IFERROR(VLOOKUP(B394,'Employees List'!$A$2:$H$991,8,0),"")</f>
        <v/>
      </c>
      <c r="O394" s="89" t="str">
        <f>IFERROR(VLOOKUP(D394,'Daily Attendance Report 24-25'!A358:BP999,5,0),"")</f>
        <v/>
      </c>
      <c r="P394" s="89" t="str">
        <f>IFERROR(VLOOKUP(E394,'Daily Attendance Report 24-25'!$A$1:$BO$617,5,0),"")</f>
        <v/>
      </c>
      <c r="Q394" s="89"/>
      <c r="R394" s="89"/>
      <c r="S394" s="89" t="str">
        <f t="shared" si="17"/>
        <v>#DIV/0!</v>
      </c>
      <c r="T394" s="89" t="str">
        <f t="shared" si="6"/>
        <v>#DIV/0!</v>
      </c>
      <c r="U394" s="89" t="str">
        <f t="shared" si="25"/>
        <v>#DIV/0!</v>
      </c>
      <c r="V394" s="89" t="str">
        <f t="shared" si="24"/>
        <v>#DIV/0!</v>
      </c>
      <c r="W394" s="89" t="str">
        <f t="shared" si="9"/>
        <v>#DIV/0!</v>
      </c>
      <c r="X394" s="89"/>
      <c r="Y394" s="89"/>
      <c r="Z394" s="89"/>
      <c r="AA394" s="89"/>
      <c r="AB394" s="89"/>
      <c r="AC394" s="89"/>
      <c r="AD394" s="89"/>
      <c r="AE394" s="89"/>
      <c r="AF394" s="89"/>
      <c r="AG394" s="89"/>
      <c r="AH394" s="89"/>
    </row>
    <row r="395">
      <c r="A395" s="8" t="s">
        <v>533</v>
      </c>
      <c r="B395" s="97"/>
      <c r="C395" s="8"/>
      <c r="D395" s="89" t="str">
        <f t="shared" si="1"/>
        <v/>
      </c>
      <c r="E395" s="89" t="str">
        <f t="shared" si="2"/>
        <v>OT Hours</v>
      </c>
      <c r="F395" s="89" t="str">
        <f>IFERROR(VLOOKUP(C395,'Employees List'!$B$1:$G$999,2,0),"")</f>
        <v/>
      </c>
      <c r="G395" s="89" t="str">
        <f t="shared" si="23"/>
        <v>#DIV/0!</v>
      </c>
      <c r="H395" s="98"/>
      <c r="I395" s="89" t="str">
        <f>IFERROR(VLOOKUP(F395,'Employees List'!$C:$F,2,0),"")</f>
        <v/>
      </c>
      <c r="J395" s="93" t="str">
        <f>IFERROR(VLOOKUP(C395,'Employees List'!$B$2:$G$991,5,0),"")</f>
        <v/>
      </c>
      <c r="K395" s="95" t="str">
        <f>IFERROR(VLOOKUP(F395,'Employees List'!$C$1:$AB$991,5,0),"")</f>
        <v/>
      </c>
      <c r="L395" s="91">
        <f t="shared" si="3"/>
        <v>0</v>
      </c>
      <c r="M395" s="91">
        <f t="shared" si="4"/>
        <v>0</v>
      </c>
      <c r="N395" s="89" t="str">
        <f>IFERROR(VLOOKUP(B395,'Employees List'!$A$2:$H$991,8,0),"")</f>
        <v/>
      </c>
      <c r="O395" s="89" t="str">
        <f>IFERROR(VLOOKUP(D395,'Daily Attendance Report 24-25'!A359:BP999,5,0),"")</f>
        <v/>
      </c>
      <c r="P395" s="89" t="str">
        <f>IFERROR(VLOOKUP(E395,'Daily Attendance Report 24-25'!$A$1:$BO$617,5,0),"")</f>
        <v/>
      </c>
      <c r="Q395" s="89"/>
      <c r="R395" s="89"/>
      <c r="S395" s="89" t="str">
        <f t="shared" si="17"/>
        <v>#DIV/0!</v>
      </c>
      <c r="T395" s="89" t="str">
        <f t="shared" si="6"/>
        <v>#DIV/0!</v>
      </c>
      <c r="U395" s="89" t="str">
        <f t="shared" si="25"/>
        <v>#DIV/0!</v>
      </c>
      <c r="V395" s="89" t="str">
        <f t="shared" si="24"/>
        <v>#DIV/0!</v>
      </c>
      <c r="W395" s="89" t="str">
        <f t="shared" si="9"/>
        <v>#DIV/0!</v>
      </c>
      <c r="X395" s="89"/>
      <c r="Y395" s="89"/>
      <c r="Z395" s="89"/>
      <c r="AA395" s="89"/>
      <c r="AB395" s="89"/>
      <c r="AC395" s="89"/>
      <c r="AD395" s="89"/>
      <c r="AE395" s="89"/>
      <c r="AF395" s="89"/>
      <c r="AG395" s="89"/>
      <c r="AH395" s="89"/>
    </row>
    <row r="396">
      <c r="A396" s="8" t="s">
        <v>534</v>
      </c>
      <c r="B396" s="97"/>
      <c r="C396" s="8"/>
      <c r="D396" s="89" t="str">
        <f t="shared" si="1"/>
        <v/>
      </c>
      <c r="E396" s="89" t="str">
        <f t="shared" si="2"/>
        <v>OT Hours</v>
      </c>
      <c r="F396" s="89" t="str">
        <f>IFERROR(VLOOKUP(C396,'Employees List'!$B$1:$G$999,2,0),"")</f>
        <v/>
      </c>
      <c r="G396" s="89" t="str">
        <f t="shared" si="23"/>
        <v>#DIV/0!</v>
      </c>
      <c r="H396" s="98"/>
      <c r="I396" s="89" t="str">
        <f>IFERROR(VLOOKUP(F396,'Employees List'!$C:$F,2,0),"")</f>
        <v/>
      </c>
      <c r="J396" s="93" t="str">
        <f>IFERROR(VLOOKUP(C396,'Employees List'!$B$2:$G$991,5,0),"")</f>
        <v/>
      </c>
      <c r="K396" s="95" t="str">
        <f>IFERROR(VLOOKUP(F396,'Employees List'!$C$1:$AB$991,5,0),"")</f>
        <v/>
      </c>
      <c r="L396" s="91">
        <f t="shared" si="3"/>
        <v>0</v>
      </c>
      <c r="M396" s="91">
        <f t="shared" si="4"/>
        <v>0</v>
      </c>
      <c r="N396" s="89" t="str">
        <f>IFERROR(VLOOKUP(B396,'Employees List'!$A$2:$H$991,8,0),"")</f>
        <v/>
      </c>
      <c r="O396" s="89" t="str">
        <f>IFERROR(VLOOKUP(D396,'Daily Attendance Report 24-25'!A360:BP999,5,0),"")</f>
        <v/>
      </c>
      <c r="P396" s="89" t="str">
        <f>IFERROR(VLOOKUP(E396,'Daily Attendance Report 24-25'!$A$1:$BO$617,5,0),"")</f>
        <v/>
      </c>
      <c r="Q396" s="89"/>
      <c r="R396" s="89"/>
      <c r="S396" s="89" t="str">
        <f t="shared" si="17"/>
        <v>#DIV/0!</v>
      </c>
      <c r="T396" s="89" t="str">
        <f t="shared" si="6"/>
        <v>#DIV/0!</v>
      </c>
      <c r="U396" s="89" t="str">
        <f t="shared" si="25"/>
        <v>#DIV/0!</v>
      </c>
      <c r="V396" s="89" t="str">
        <f t="shared" si="24"/>
        <v>#DIV/0!</v>
      </c>
      <c r="W396" s="89" t="str">
        <f t="shared" si="9"/>
        <v>#DIV/0!</v>
      </c>
      <c r="X396" s="89"/>
      <c r="Y396" s="89"/>
      <c r="Z396" s="89"/>
      <c r="AA396" s="89"/>
      <c r="AB396" s="89"/>
      <c r="AC396" s="89"/>
      <c r="AD396" s="89"/>
      <c r="AE396" s="89"/>
      <c r="AF396" s="89"/>
      <c r="AG396" s="89"/>
      <c r="AH396" s="89"/>
    </row>
    <row r="397">
      <c r="A397" s="8" t="s">
        <v>535</v>
      </c>
      <c r="B397" s="97"/>
      <c r="C397" s="8"/>
      <c r="D397" s="89" t="str">
        <f t="shared" si="1"/>
        <v/>
      </c>
      <c r="E397" s="89" t="str">
        <f t="shared" si="2"/>
        <v>OT Hours</v>
      </c>
      <c r="F397" s="89" t="str">
        <f>IFERROR(VLOOKUP(C397,'Employees List'!$B$1:$G$999,2,0),"")</f>
        <v/>
      </c>
      <c r="G397" s="89" t="str">
        <f t="shared" si="23"/>
        <v>#DIV/0!</v>
      </c>
      <c r="H397" s="98"/>
      <c r="I397" s="89" t="str">
        <f>IFERROR(VLOOKUP(F397,'Employees List'!$C:$F,2,0),"")</f>
        <v/>
      </c>
      <c r="J397" s="93" t="str">
        <f>IFERROR(VLOOKUP(C397,'Employees List'!$B$2:$G$991,5,0),"")</f>
        <v/>
      </c>
      <c r="K397" s="95" t="str">
        <f>IFERROR(VLOOKUP(F397,'Employees List'!$C$1:$AB$991,5,0),"")</f>
        <v/>
      </c>
      <c r="L397" s="91">
        <f t="shared" si="3"/>
        <v>0</v>
      </c>
      <c r="M397" s="91">
        <f t="shared" si="4"/>
        <v>0</v>
      </c>
      <c r="N397" s="89" t="str">
        <f>IFERROR(VLOOKUP(B397,'Employees List'!$A$2:$H$991,8,0),"")</f>
        <v/>
      </c>
      <c r="O397" s="89" t="str">
        <f>IFERROR(VLOOKUP(D397,'Daily Attendance Report 24-25'!A361:BP999,5,0),"")</f>
        <v/>
      </c>
      <c r="P397" s="89" t="str">
        <f>IFERROR(VLOOKUP(E397,'Daily Attendance Report 24-25'!$A$1:$BO$617,5,0),"")</f>
        <v/>
      </c>
      <c r="Q397" s="89"/>
      <c r="R397" s="89"/>
      <c r="S397" s="89" t="str">
        <f t="shared" si="17"/>
        <v>#DIV/0!</v>
      </c>
      <c r="T397" s="89" t="str">
        <f t="shared" si="6"/>
        <v>#DIV/0!</v>
      </c>
      <c r="U397" s="89" t="str">
        <f t="shared" si="25"/>
        <v>#DIV/0!</v>
      </c>
      <c r="V397" s="89" t="str">
        <f t="shared" si="24"/>
        <v>#DIV/0!</v>
      </c>
      <c r="W397" s="89" t="str">
        <f t="shared" si="9"/>
        <v>#DIV/0!</v>
      </c>
      <c r="X397" s="89"/>
      <c r="Y397" s="89"/>
      <c r="Z397" s="89"/>
      <c r="AA397" s="89"/>
      <c r="AB397" s="89"/>
      <c r="AC397" s="89"/>
      <c r="AD397" s="89"/>
      <c r="AE397" s="89"/>
      <c r="AF397" s="89"/>
      <c r="AG397" s="89"/>
      <c r="AH397" s="89"/>
    </row>
    <row r="398">
      <c r="A398" s="8" t="s">
        <v>536</v>
      </c>
      <c r="B398" s="97"/>
      <c r="C398" s="8"/>
      <c r="D398" s="89" t="str">
        <f t="shared" si="1"/>
        <v/>
      </c>
      <c r="E398" s="89" t="str">
        <f t="shared" si="2"/>
        <v>OT Hours</v>
      </c>
      <c r="F398" s="89" t="str">
        <f>IFERROR(VLOOKUP(C398,'Employees List'!$B$1:$G$999,2,0),"")</f>
        <v/>
      </c>
      <c r="G398" s="89" t="str">
        <f t="shared" si="23"/>
        <v>#DIV/0!</v>
      </c>
      <c r="H398" s="98"/>
      <c r="I398" s="89" t="str">
        <f>IFERROR(VLOOKUP(F398,'Employees List'!$C:$F,2,0),"")</f>
        <v/>
      </c>
      <c r="J398" s="93" t="str">
        <f>IFERROR(VLOOKUP(C398,'Employees List'!$B$2:$G$991,5,0),"")</f>
        <v/>
      </c>
      <c r="K398" s="95" t="str">
        <f>IFERROR(VLOOKUP(F398,'Employees List'!$C$1:$AB$991,5,0),"")</f>
        <v/>
      </c>
      <c r="L398" s="91">
        <f t="shared" si="3"/>
        <v>0</v>
      </c>
      <c r="M398" s="91">
        <f t="shared" si="4"/>
        <v>0</v>
      </c>
      <c r="N398" s="89" t="str">
        <f>IFERROR(VLOOKUP(B398,'Employees List'!$A$2:$H$991,8,0),"")</f>
        <v/>
      </c>
      <c r="O398" s="89" t="str">
        <f>IFERROR(VLOOKUP(D398,'Daily Attendance Report 24-25'!A362:BP999,5,0),"")</f>
        <v/>
      </c>
      <c r="P398" s="89" t="str">
        <f>IFERROR(VLOOKUP(E398,'Daily Attendance Report 24-25'!$A$1:$BO$617,5,0),"")</f>
        <v/>
      </c>
      <c r="Q398" s="89"/>
      <c r="R398" s="89"/>
      <c r="S398" s="89" t="str">
        <f t="shared" si="17"/>
        <v>#DIV/0!</v>
      </c>
      <c r="T398" s="89" t="str">
        <f t="shared" si="6"/>
        <v>#DIV/0!</v>
      </c>
      <c r="U398" s="89" t="str">
        <f t="shared" si="25"/>
        <v>#DIV/0!</v>
      </c>
      <c r="V398" s="89" t="str">
        <f t="shared" si="24"/>
        <v>#DIV/0!</v>
      </c>
      <c r="W398" s="89" t="str">
        <f t="shared" si="9"/>
        <v>#DIV/0!</v>
      </c>
      <c r="X398" s="89"/>
      <c r="Y398" s="89"/>
      <c r="Z398" s="89"/>
      <c r="AA398" s="89"/>
      <c r="AB398" s="89"/>
      <c r="AC398" s="89"/>
      <c r="AD398" s="89"/>
      <c r="AE398" s="89"/>
      <c r="AF398" s="89"/>
      <c r="AG398" s="89"/>
      <c r="AH398" s="89"/>
    </row>
    <row r="399">
      <c r="A399" s="8" t="s">
        <v>537</v>
      </c>
      <c r="B399" s="97"/>
      <c r="C399" s="8"/>
      <c r="D399" s="89" t="str">
        <f t="shared" si="1"/>
        <v/>
      </c>
      <c r="E399" s="89" t="str">
        <f t="shared" si="2"/>
        <v>OT Hours</v>
      </c>
      <c r="F399" s="89" t="str">
        <f>IFERROR(VLOOKUP(C399,'Employees List'!$B$1:$G$999,2,0),"")</f>
        <v/>
      </c>
      <c r="G399" s="89" t="str">
        <f t="shared" si="23"/>
        <v>#DIV/0!</v>
      </c>
      <c r="H399" s="98"/>
      <c r="I399" s="89" t="str">
        <f>IFERROR(VLOOKUP(F399,'Employees List'!$C:$F,2,0),"")</f>
        <v/>
      </c>
      <c r="J399" s="93" t="str">
        <f>IFERROR(VLOOKUP(C399,'Employees List'!$B$2:$G$991,5,0),"")</f>
        <v/>
      </c>
      <c r="K399" s="95" t="str">
        <f>IFERROR(VLOOKUP(F399,'Employees List'!$C$1:$AB$991,5,0),"")</f>
        <v/>
      </c>
      <c r="L399" s="91">
        <f t="shared" si="3"/>
        <v>0</v>
      </c>
      <c r="M399" s="91">
        <f t="shared" si="4"/>
        <v>0</v>
      </c>
      <c r="N399" s="89" t="str">
        <f>IFERROR(VLOOKUP(B399,'Employees List'!$A$2:$H$991,8,0),"")</f>
        <v/>
      </c>
      <c r="O399" s="89" t="str">
        <f>IFERROR(VLOOKUP(D399,'Daily Attendance Report 24-25'!A363:BP999,5,0),"")</f>
        <v/>
      </c>
      <c r="P399" s="89" t="str">
        <f>IFERROR(VLOOKUP(E399,'Daily Attendance Report 24-25'!$A$1:$BO$617,5,0),"")</f>
        <v/>
      </c>
      <c r="Q399" s="89"/>
      <c r="R399" s="89"/>
      <c r="S399" s="89" t="str">
        <f t="shared" si="17"/>
        <v>#DIV/0!</v>
      </c>
      <c r="T399" s="89" t="str">
        <f t="shared" si="6"/>
        <v>#DIV/0!</v>
      </c>
      <c r="U399" s="89" t="str">
        <f t="shared" si="25"/>
        <v>#DIV/0!</v>
      </c>
      <c r="V399" s="89" t="str">
        <f t="shared" si="24"/>
        <v>#DIV/0!</v>
      </c>
      <c r="W399" s="89" t="str">
        <f t="shared" si="9"/>
        <v>#DIV/0!</v>
      </c>
      <c r="X399" s="89"/>
      <c r="Y399" s="89"/>
      <c r="Z399" s="89"/>
      <c r="AA399" s="89"/>
      <c r="AB399" s="89"/>
      <c r="AC399" s="89"/>
      <c r="AD399" s="89"/>
      <c r="AE399" s="89"/>
      <c r="AF399" s="89"/>
      <c r="AG399" s="89"/>
      <c r="AH399" s="89"/>
    </row>
    <row r="400">
      <c r="A400" s="8" t="s">
        <v>538</v>
      </c>
      <c r="B400" s="97"/>
      <c r="C400" s="8"/>
      <c r="D400" s="89" t="str">
        <f t="shared" si="1"/>
        <v/>
      </c>
      <c r="E400" s="89" t="str">
        <f t="shared" si="2"/>
        <v>OT Hours</v>
      </c>
      <c r="F400" s="89" t="str">
        <f>IFERROR(VLOOKUP(C400,'Employees List'!$B$1:$G$999,2,0),"")</f>
        <v/>
      </c>
      <c r="G400" s="89" t="str">
        <f t="shared" si="23"/>
        <v>#DIV/0!</v>
      </c>
      <c r="H400" s="98"/>
      <c r="I400" s="89" t="str">
        <f>IFERROR(VLOOKUP(F400,'Employees List'!$C:$F,2,0),"")</f>
        <v/>
      </c>
      <c r="J400" s="93" t="str">
        <f>IFERROR(VLOOKUP(C400,'Employees List'!$B$2:$G$991,5,0),"")</f>
        <v/>
      </c>
      <c r="K400" s="95" t="str">
        <f>IFERROR(VLOOKUP(F400,'Employees List'!$C$1:$AB$991,5,0),"")</f>
        <v/>
      </c>
      <c r="L400" s="91">
        <f t="shared" si="3"/>
        <v>0</v>
      </c>
      <c r="M400" s="91">
        <f t="shared" si="4"/>
        <v>0</v>
      </c>
      <c r="N400" s="89" t="str">
        <f>IFERROR(VLOOKUP(B400,'Employees List'!$A$2:$H$991,8,0),"")</f>
        <v/>
      </c>
      <c r="O400" s="89" t="str">
        <f>IFERROR(VLOOKUP(D400,'Daily Attendance Report 24-25'!A364:BP999,5,0),"")</f>
        <v/>
      </c>
      <c r="P400" s="89" t="str">
        <f>IFERROR(VLOOKUP(E400,'Daily Attendance Report 24-25'!$A$1:$BO$617,5,0),"")</f>
        <v/>
      </c>
      <c r="Q400" s="89"/>
      <c r="R400" s="89"/>
      <c r="S400" s="89" t="str">
        <f t="shared" si="17"/>
        <v>#DIV/0!</v>
      </c>
      <c r="T400" s="89" t="str">
        <f t="shared" si="6"/>
        <v>#DIV/0!</v>
      </c>
      <c r="U400" s="89" t="str">
        <f t="shared" si="25"/>
        <v>#DIV/0!</v>
      </c>
      <c r="V400" s="89" t="str">
        <f t="shared" si="24"/>
        <v>#DIV/0!</v>
      </c>
      <c r="W400" s="89" t="str">
        <f t="shared" si="9"/>
        <v>#DIV/0!</v>
      </c>
      <c r="X400" s="89"/>
      <c r="Y400" s="89"/>
      <c r="Z400" s="89"/>
      <c r="AA400" s="89"/>
      <c r="AB400" s="89"/>
      <c r="AC400" s="89"/>
      <c r="AD400" s="89"/>
      <c r="AE400" s="89"/>
      <c r="AF400" s="89"/>
      <c r="AG400" s="89"/>
      <c r="AH400" s="89"/>
    </row>
    <row r="401">
      <c r="A401" s="8" t="s">
        <v>539</v>
      </c>
      <c r="B401" s="97"/>
      <c r="C401" s="8"/>
      <c r="D401" s="89" t="str">
        <f t="shared" si="1"/>
        <v/>
      </c>
      <c r="E401" s="89" t="str">
        <f t="shared" si="2"/>
        <v>OT Hours</v>
      </c>
      <c r="F401" s="89" t="str">
        <f>IFERROR(VLOOKUP(C401,'Employees List'!$B$1:$G$999,2,0),"")</f>
        <v/>
      </c>
      <c r="G401" s="89" t="str">
        <f t="shared" si="23"/>
        <v>#DIV/0!</v>
      </c>
      <c r="H401" s="98"/>
      <c r="I401" s="89" t="str">
        <f>IFERROR(VLOOKUP(F401,'Employees List'!$C:$F,2,0),"")</f>
        <v/>
      </c>
      <c r="J401" s="93" t="str">
        <f>IFERROR(VLOOKUP(C401,'Employees List'!$B$2:$G$991,5,0),"")</f>
        <v/>
      </c>
      <c r="K401" s="95" t="str">
        <f>IFERROR(VLOOKUP(F401,'Employees List'!$C$1:$AB$991,5,0),"")</f>
        <v/>
      </c>
      <c r="L401" s="91">
        <f t="shared" si="3"/>
        <v>0</v>
      </c>
      <c r="M401" s="91">
        <f t="shared" si="4"/>
        <v>0</v>
      </c>
      <c r="N401" s="89" t="str">
        <f>IFERROR(VLOOKUP(B401,'Employees List'!$A$2:$H$991,8,0),"")</f>
        <v/>
      </c>
      <c r="O401" s="89" t="str">
        <f>IFERROR(VLOOKUP(D401,'Daily Attendance Report 24-25'!A365:BP999,5,0),"")</f>
        <v/>
      </c>
      <c r="P401" s="89" t="str">
        <f>IFERROR(VLOOKUP(E401,'Daily Attendance Report 24-25'!$A$1:$BO$617,5,0),"")</f>
        <v/>
      </c>
      <c r="Q401" s="89"/>
      <c r="R401" s="89"/>
      <c r="S401" s="89" t="str">
        <f t="shared" si="17"/>
        <v>#DIV/0!</v>
      </c>
      <c r="T401" s="89" t="str">
        <f t="shared" si="6"/>
        <v>#DIV/0!</v>
      </c>
      <c r="U401" s="89" t="str">
        <f t="shared" si="25"/>
        <v>#DIV/0!</v>
      </c>
      <c r="V401" s="89" t="str">
        <f t="shared" si="24"/>
        <v>#DIV/0!</v>
      </c>
      <c r="W401" s="89" t="str">
        <f t="shared" si="9"/>
        <v>#DIV/0!</v>
      </c>
      <c r="X401" s="89"/>
      <c r="Y401" s="89"/>
      <c r="Z401" s="89"/>
      <c r="AA401" s="89"/>
      <c r="AB401" s="89"/>
      <c r="AC401" s="89"/>
      <c r="AD401" s="89"/>
      <c r="AE401" s="89"/>
      <c r="AF401" s="89"/>
      <c r="AG401" s="89"/>
      <c r="AH401" s="89"/>
    </row>
    <row r="402">
      <c r="A402" s="8" t="s">
        <v>540</v>
      </c>
      <c r="B402" s="97"/>
      <c r="C402" s="8"/>
      <c r="D402" s="89" t="str">
        <f t="shared" si="1"/>
        <v/>
      </c>
      <c r="E402" s="89" t="str">
        <f t="shared" si="2"/>
        <v>OT Hours</v>
      </c>
      <c r="F402" s="89" t="str">
        <f>IFERROR(VLOOKUP(C402,'Employees List'!$B$1:$G$999,2,0),"")</f>
        <v/>
      </c>
      <c r="G402" s="89" t="str">
        <f t="shared" si="23"/>
        <v>#DIV/0!</v>
      </c>
      <c r="H402" s="98"/>
      <c r="I402" s="89" t="str">
        <f>IFERROR(VLOOKUP(F402,'Employees List'!$C:$F,2,0),"")</f>
        <v/>
      </c>
      <c r="J402" s="93" t="str">
        <f>IFERROR(VLOOKUP(C402,'Employees List'!$B$2:$G$991,5,0),"")</f>
        <v/>
      </c>
      <c r="K402" s="95" t="str">
        <f>IFERROR(VLOOKUP(F402,'Employees List'!$C$1:$AB$991,5,0),"")</f>
        <v/>
      </c>
      <c r="L402" s="91">
        <f t="shared" si="3"/>
        <v>0</v>
      </c>
      <c r="M402" s="91">
        <f t="shared" si="4"/>
        <v>0</v>
      </c>
      <c r="N402" s="89" t="str">
        <f>IFERROR(VLOOKUP(B402,'Employees List'!$A$2:$H$991,8,0),"")</f>
        <v/>
      </c>
      <c r="O402" s="89" t="str">
        <f>IFERROR(VLOOKUP(D402,'Daily Attendance Report 24-25'!A366:BP999,5,0),"")</f>
        <v/>
      </c>
      <c r="P402" s="89" t="str">
        <f>IFERROR(VLOOKUP(E402,'Daily Attendance Report 24-25'!$A$1:$BO$617,5,0),"")</f>
        <v/>
      </c>
      <c r="Q402" s="89"/>
      <c r="R402" s="89"/>
      <c r="S402" s="89" t="str">
        <f t="shared" si="17"/>
        <v>#DIV/0!</v>
      </c>
      <c r="T402" s="89" t="str">
        <f t="shared" si="6"/>
        <v>#DIV/0!</v>
      </c>
      <c r="U402" s="89" t="str">
        <f t="shared" si="25"/>
        <v>#DIV/0!</v>
      </c>
      <c r="V402" s="89" t="str">
        <f t="shared" si="24"/>
        <v>#DIV/0!</v>
      </c>
      <c r="W402" s="89" t="str">
        <f t="shared" si="9"/>
        <v>#DIV/0!</v>
      </c>
      <c r="X402" s="89"/>
      <c r="Y402" s="89"/>
      <c r="Z402" s="89"/>
      <c r="AA402" s="89"/>
      <c r="AB402" s="89"/>
      <c r="AC402" s="89"/>
      <c r="AD402" s="89"/>
      <c r="AE402" s="89"/>
      <c r="AF402" s="89"/>
      <c r="AG402" s="89"/>
      <c r="AH402" s="89"/>
    </row>
    <row r="403">
      <c r="A403" s="8" t="s">
        <v>541</v>
      </c>
      <c r="B403" s="97"/>
      <c r="C403" s="8"/>
      <c r="D403" s="89" t="str">
        <f t="shared" si="1"/>
        <v/>
      </c>
      <c r="E403" s="89" t="str">
        <f t="shared" si="2"/>
        <v>OT Hours</v>
      </c>
      <c r="F403" s="89" t="str">
        <f>IFERROR(VLOOKUP(C403,'Employees List'!$B$1:$G$999,2,0),"")</f>
        <v/>
      </c>
      <c r="G403" s="89" t="str">
        <f t="shared" si="23"/>
        <v>#DIV/0!</v>
      </c>
      <c r="H403" s="98"/>
      <c r="I403" s="89" t="str">
        <f>IFERROR(VLOOKUP(F403,'Employees List'!$C:$F,2,0),"")</f>
        <v/>
      </c>
      <c r="J403" s="93" t="str">
        <f>IFERROR(VLOOKUP(C403,'Employees List'!$B$2:$G$991,5,0),"")</f>
        <v/>
      </c>
      <c r="K403" s="95" t="str">
        <f>IFERROR(VLOOKUP(F403,'Employees List'!$C$1:$AB$991,5,0),"")</f>
        <v/>
      </c>
      <c r="L403" s="91">
        <f t="shared" si="3"/>
        <v>0</v>
      </c>
      <c r="M403" s="91">
        <f t="shared" si="4"/>
        <v>0</v>
      </c>
      <c r="N403" s="89" t="str">
        <f>IFERROR(VLOOKUP(B403,'Employees List'!$A$2:$H$991,8,0),"")</f>
        <v/>
      </c>
      <c r="O403" s="89" t="str">
        <f>IFERROR(VLOOKUP(D403,'Daily Attendance Report 24-25'!A367:BP999,5,0),"")</f>
        <v/>
      </c>
      <c r="P403" s="89" t="str">
        <f>IFERROR(VLOOKUP(E403,'Daily Attendance Report 24-25'!$A$1:$BO$617,5,0),"")</f>
        <v/>
      </c>
      <c r="Q403" s="89"/>
      <c r="R403" s="89"/>
      <c r="S403" s="89" t="str">
        <f t="shared" si="17"/>
        <v>#DIV/0!</v>
      </c>
      <c r="T403" s="89" t="str">
        <f t="shared" si="6"/>
        <v>#DIV/0!</v>
      </c>
      <c r="U403" s="89" t="str">
        <f t="shared" si="25"/>
        <v>#DIV/0!</v>
      </c>
      <c r="V403" s="89" t="str">
        <f t="shared" si="24"/>
        <v>#DIV/0!</v>
      </c>
      <c r="W403" s="89" t="str">
        <f t="shared" si="9"/>
        <v>#DIV/0!</v>
      </c>
      <c r="X403" s="89"/>
      <c r="Y403" s="89"/>
      <c r="Z403" s="89"/>
      <c r="AA403" s="89"/>
      <c r="AB403" s="89"/>
      <c r="AC403" s="89"/>
      <c r="AD403" s="89"/>
      <c r="AE403" s="89"/>
      <c r="AF403" s="89"/>
      <c r="AG403" s="89"/>
      <c r="AH403" s="89"/>
    </row>
    <row r="404">
      <c r="A404" s="8" t="s">
        <v>542</v>
      </c>
      <c r="B404" s="97"/>
      <c r="C404" s="8"/>
      <c r="D404" s="89" t="str">
        <f t="shared" si="1"/>
        <v/>
      </c>
      <c r="E404" s="89" t="str">
        <f t="shared" si="2"/>
        <v>OT Hours</v>
      </c>
      <c r="F404" s="89" t="str">
        <f>IFERROR(VLOOKUP(C404,'Employees List'!$B$1:$G$999,2,0),"")</f>
        <v/>
      </c>
      <c r="G404" s="89" t="str">
        <f t="shared" si="23"/>
        <v>#DIV/0!</v>
      </c>
      <c r="H404" s="98"/>
      <c r="I404" s="89" t="str">
        <f>IFERROR(VLOOKUP(F404,'Employees List'!$C:$F,2,0),"")</f>
        <v/>
      </c>
      <c r="J404" s="93" t="str">
        <f>IFERROR(VLOOKUP(C404,'Employees List'!$B$2:$G$991,5,0),"")</f>
        <v/>
      </c>
      <c r="K404" s="95" t="str">
        <f>IFERROR(VLOOKUP(F404,'Employees List'!$C$1:$AB$991,5,0),"")</f>
        <v/>
      </c>
      <c r="L404" s="91">
        <f t="shared" si="3"/>
        <v>0</v>
      </c>
      <c r="M404" s="91">
        <f t="shared" si="4"/>
        <v>0</v>
      </c>
      <c r="N404" s="89" t="str">
        <f>IFERROR(VLOOKUP(B404,'Employees List'!$A$2:$H$991,8,0),"")</f>
        <v/>
      </c>
      <c r="O404" s="89" t="str">
        <f>IFERROR(VLOOKUP(D404,'Daily Attendance Report 24-25'!A368:BP999,5,0),"")</f>
        <v/>
      </c>
      <c r="P404" s="89" t="str">
        <f>IFERROR(VLOOKUP(E404,'Daily Attendance Report 24-25'!$A$1:$BO$617,5,0),"")</f>
        <v/>
      </c>
      <c r="Q404" s="89"/>
      <c r="R404" s="89"/>
      <c r="S404" s="89" t="str">
        <f t="shared" si="17"/>
        <v>#DIV/0!</v>
      </c>
      <c r="T404" s="89" t="str">
        <f t="shared" si="6"/>
        <v>#DIV/0!</v>
      </c>
      <c r="U404" s="89" t="str">
        <f t="shared" si="25"/>
        <v>#DIV/0!</v>
      </c>
      <c r="V404" s="89" t="str">
        <f t="shared" si="24"/>
        <v>#DIV/0!</v>
      </c>
      <c r="W404" s="89" t="str">
        <f t="shared" si="9"/>
        <v>#DIV/0!</v>
      </c>
      <c r="X404" s="89"/>
      <c r="Y404" s="89"/>
      <c r="Z404" s="89"/>
      <c r="AA404" s="89"/>
      <c r="AB404" s="89"/>
      <c r="AC404" s="89"/>
      <c r="AD404" s="89"/>
      <c r="AE404" s="89"/>
      <c r="AF404" s="89"/>
      <c r="AG404" s="89"/>
      <c r="AH404" s="89"/>
    </row>
    <row r="405">
      <c r="A405" s="8" t="s">
        <v>543</v>
      </c>
      <c r="B405" s="97"/>
      <c r="C405" s="8"/>
      <c r="D405" s="89" t="str">
        <f t="shared" si="1"/>
        <v/>
      </c>
      <c r="E405" s="89" t="str">
        <f t="shared" si="2"/>
        <v>OT Hours</v>
      </c>
      <c r="F405" s="89" t="str">
        <f>IFERROR(VLOOKUP(C405,'Employees List'!$B$1:$G$999,2,0),"")</f>
        <v/>
      </c>
      <c r="G405" s="89" t="str">
        <f t="shared" si="23"/>
        <v>#DIV/0!</v>
      </c>
      <c r="H405" s="98"/>
      <c r="I405" s="89" t="str">
        <f>IFERROR(VLOOKUP(F405,'Employees List'!$C:$F,2,0),"")</f>
        <v/>
      </c>
      <c r="J405" s="93" t="str">
        <f>IFERROR(VLOOKUP(C405,'Employees List'!$B$2:$G$991,5,0),"")</f>
        <v/>
      </c>
      <c r="K405" s="95" t="str">
        <f>IFERROR(VLOOKUP(F405,'Employees List'!$C$1:$AB$991,5,0),"")</f>
        <v/>
      </c>
      <c r="L405" s="91">
        <f t="shared" si="3"/>
        <v>0</v>
      </c>
      <c r="M405" s="91">
        <f t="shared" si="4"/>
        <v>0</v>
      </c>
      <c r="N405" s="89" t="str">
        <f>IFERROR(VLOOKUP(B405,'Employees List'!$A$2:$H$991,8,0),"")</f>
        <v/>
      </c>
      <c r="O405" s="89" t="str">
        <f>IFERROR(VLOOKUP(D405,'Daily Attendance Report 24-25'!A369:BP999,5,0),"")</f>
        <v/>
      </c>
      <c r="P405" s="89" t="str">
        <f>IFERROR(VLOOKUP(E405,'Daily Attendance Report 24-25'!$A$1:$BO$617,5,0),"")</f>
        <v/>
      </c>
      <c r="Q405" s="89"/>
      <c r="R405" s="89"/>
      <c r="S405" s="89" t="str">
        <f t="shared" si="17"/>
        <v>#DIV/0!</v>
      </c>
      <c r="T405" s="89" t="str">
        <f t="shared" si="6"/>
        <v>#DIV/0!</v>
      </c>
      <c r="U405" s="89" t="str">
        <f t="shared" si="25"/>
        <v>#DIV/0!</v>
      </c>
      <c r="V405" s="89" t="str">
        <f t="shared" si="24"/>
        <v>#DIV/0!</v>
      </c>
      <c r="W405" s="89" t="str">
        <f t="shared" si="9"/>
        <v>#DIV/0!</v>
      </c>
      <c r="X405" s="89"/>
      <c r="Y405" s="89"/>
      <c r="Z405" s="89"/>
      <c r="AA405" s="89"/>
      <c r="AB405" s="89"/>
      <c r="AC405" s="89"/>
      <c r="AD405" s="89"/>
      <c r="AE405" s="89"/>
      <c r="AF405" s="89"/>
      <c r="AG405" s="89"/>
      <c r="AH405" s="89"/>
    </row>
    <row r="406">
      <c r="A406" s="8" t="s">
        <v>544</v>
      </c>
      <c r="B406" s="97"/>
      <c r="C406" s="8"/>
      <c r="D406" s="89" t="str">
        <f t="shared" si="1"/>
        <v/>
      </c>
      <c r="E406" s="89" t="str">
        <f t="shared" si="2"/>
        <v>OT Hours</v>
      </c>
      <c r="F406" s="89" t="str">
        <f>IFERROR(VLOOKUP(C406,'Employees List'!$B$1:$G$999,2,0),"")</f>
        <v/>
      </c>
      <c r="G406" s="89" t="str">
        <f t="shared" si="23"/>
        <v>#DIV/0!</v>
      </c>
      <c r="H406" s="98"/>
      <c r="I406" s="89" t="str">
        <f>IFERROR(VLOOKUP(F406,'Employees List'!$C:$F,2,0),"")</f>
        <v/>
      </c>
      <c r="J406" s="93" t="str">
        <f>IFERROR(VLOOKUP(C406,'Employees List'!$B$2:$G$991,5,0),"")</f>
        <v/>
      </c>
      <c r="K406" s="95" t="str">
        <f>IFERROR(VLOOKUP(F406,'Employees List'!$C$1:$AB$991,5,0),"")</f>
        <v/>
      </c>
      <c r="L406" s="91">
        <f t="shared" si="3"/>
        <v>0</v>
      </c>
      <c r="M406" s="91">
        <f t="shared" si="4"/>
        <v>0</v>
      </c>
      <c r="N406" s="89" t="str">
        <f>IFERROR(VLOOKUP(B406,'Employees List'!$A$2:$H$991,8,0),"")</f>
        <v/>
      </c>
      <c r="O406" s="89" t="str">
        <f>IFERROR(VLOOKUP(D406,'Daily Attendance Report 24-25'!A370:BP999,5,0),"")</f>
        <v/>
      </c>
      <c r="P406" s="89" t="str">
        <f>IFERROR(VLOOKUP(E406,'Daily Attendance Report 24-25'!$A$1:$BO$617,5,0),"")</f>
        <v/>
      </c>
      <c r="Q406" s="89"/>
      <c r="R406" s="89"/>
      <c r="S406" s="89" t="str">
        <f t="shared" si="17"/>
        <v>#DIV/0!</v>
      </c>
      <c r="T406" s="89" t="str">
        <f t="shared" si="6"/>
        <v>#DIV/0!</v>
      </c>
      <c r="U406" s="89" t="str">
        <f t="shared" si="25"/>
        <v>#DIV/0!</v>
      </c>
      <c r="V406" s="89" t="str">
        <f t="shared" si="24"/>
        <v>#DIV/0!</v>
      </c>
      <c r="W406" s="89" t="str">
        <f t="shared" si="9"/>
        <v>#DIV/0!</v>
      </c>
      <c r="X406" s="89"/>
      <c r="Y406" s="89"/>
      <c r="Z406" s="89"/>
      <c r="AA406" s="89"/>
      <c r="AB406" s="89"/>
      <c r="AC406" s="89"/>
      <c r="AD406" s="89"/>
      <c r="AE406" s="89"/>
      <c r="AF406" s="89"/>
      <c r="AG406" s="89"/>
      <c r="AH406" s="89"/>
    </row>
    <row r="407">
      <c r="A407" s="8" t="s">
        <v>545</v>
      </c>
      <c r="B407" s="97"/>
      <c r="C407" s="8"/>
      <c r="D407" s="89" t="str">
        <f t="shared" si="1"/>
        <v/>
      </c>
      <c r="E407" s="89" t="str">
        <f t="shared" si="2"/>
        <v>OT Hours</v>
      </c>
      <c r="F407" s="89" t="str">
        <f>IFERROR(VLOOKUP(C407,'Employees List'!$B$1:$G$999,2,0),"")</f>
        <v/>
      </c>
      <c r="G407" s="89" t="str">
        <f t="shared" si="23"/>
        <v>#DIV/0!</v>
      </c>
      <c r="H407" s="98"/>
      <c r="I407" s="89" t="str">
        <f>IFERROR(VLOOKUP(F407,'Employees List'!$C:$F,2,0),"")</f>
        <v/>
      </c>
      <c r="J407" s="93" t="str">
        <f>IFERROR(VLOOKUP(C407,'Employees List'!$B$2:$G$991,5,0),"")</f>
        <v/>
      </c>
      <c r="K407" s="95" t="str">
        <f>IFERROR(VLOOKUP(F407,'Employees List'!$C$1:$AB$991,5,0),"")</f>
        <v/>
      </c>
      <c r="L407" s="91">
        <f t="shared" si="3"/>
        <v>0</v>
      </c>
      <c r="M407" s="91">
        <f t="shared" si="4"/>
        <v>0</v>
      </c>
      <c r="N407" s="89" t="str">
        <f>IFERROR(VLOOKUP(B407,'Employees List'!$A$2:$H$991,8,0),"")</f>
        <v/>
      </c>
      <c r="O407" s="89" t="str">
        <f>IFERROR(VLOOKUP(D407,'Daily Attendance Report 24-25'!A371:BP999,5,0),"")</f>
        <v/>
      </c>
      <c r="P407" s="89" t="str">
        <f>IFERROR(VLOOKUP(E407,'Daily Attendance Report 24-25'!$A$1:$BO$617,5,0),"")</f>
        <v/>
      </c>
      <c r="Q407" s="89"/>
      <c r="R407" s="89"/>
      <c r="S407" s="89" t="str">
        <f t="shared" si="17"/>
        <v>#DIV/0!</v>
      </c>
      <c r="T407" s="89" t="str">
        <f t="shared" si="6"/>
        <v>#DIV/0!</v>
      </c>
      <c r="U407" s="89" t="str">
        <f t="shared" si="25"/>
        <v>#DIV/0!</v>
      </c>
      <c r="V407" s="89" t="str">
        <f t="shared" si="24"/>
        <v>#DIV/0!</v>
      </c>
      <c r="W407" s="89" t="str">
        <f t="shared" si="9"/>
        <v>#DIV/0!</v>
      </c>
      <c r="X407" s="89"/>
      <c r="Y407" s="89"/>
      <c r="Z407" s="89"/>
      <c r="AA407" s="89"/>
      <c r="AB407" s="89"/>
      <c r="AC407" s="89"/>
      <c r="AD407" s="89"/>
      <c r="AE407" s="89"/>
      <c r="AF407" s="89"/>
      <c r="AG407" s="89"/>
      <c r="AH407" s="89"/>
    </row>
    <row r="408">
      <c r="A408" s="8" t="s">
        <v>546</v>
      </c>
      <c r="B408" s="97"/>
      <c r="C408" s="8"/>
      <c r="D408" s="89" t="str">
        <f t="shared" si="1"/>
        <v/>
      </c>
      <c r="E408" s="89" t="str">
        <f t="shared" si="2"/>
        <v>OT Hours</v>
      </c>
      <c r="F408" s="89" t="str">
        <f>IFERROR(VLOOKUP(C408,'Employees List'!$B$1:$G$999,2,0),"")</f>
        <v/>
      </c>
      <c r="G408" s="89" t="str">
        <f t="shared" si="23"/>
        <v>#DIV/0!</v>
      </c>
      <c r="H408" s="98"/>
      <c r="I408" s="89" t="str">
        <f>IFERROR(VLOOKUP(F408,'Employees List'!$C:$F,2,0),"")</f>
        <v/>
      </c>
      <c r="J408" s="93" t="str">
        <f>IFERROR(VLOOKUP(C408,'Employees List'!$B$2:$G$991,5,0),"")</f>
        <v/>
      </c>
      <c r="K408" s="95" t="str">
        <f>IFERROR(VLOOKUP(F408,'Employees List'!$C$1:$AB$991,5,0),"")</f>
        <v/>
      </c>
      <c r="L408" s="91">
        <f t="shared" si="3"/>
        <v>0</v>
      </c>
      <c r="M408" s="91">
        <f t="shared" si="4"/>
        <v>0</v>
      </c>
      <c r="N408" s="89" t="str">
        <f>IFERROR(VLOOKUP(B408,'Employees List'!$A$2:$H$991,8,0),"")</f>
        <v/>
      </c>
      <c r="O408" s="89" t="str">
        <f>IFERROR(VLOOKUP(D408,'Daily Attendance Report 24-25'!A372:BP999,5,0),"")</f>
        <v/>
      </c>
      <c r="P408" s="89" t="str">
        <f>IFERROR(VLOOKUP(E408,'Daily Attendance Report 24-25'!$A$1:$BO$617,5,0),"")</f>
        <v/>
      </c>
      <c r="Q408" s="89"/>
      <c r="R408" s="89"/>
      <c r="S408" s="89" t="str">
        <f t="shared" si="17"/>
        <v>#DIV/0!</v>
      </c>
      <c r="T408" s="89" t="str">
        <f t="shared" si="6"/>
        <v>#DIV/0!</v>
      </c>
      <c r="U408" s="89" t="str">
        <f t="shared" si="25"/>
        <v>#DIV/0!</v>
      </c>
      <c r="V408" s="89" t="str">
        <f t="shared" si="24"/>
        <v>#DIV/0!</v>
      </c>
      <c r="W408" s="89" t="str">
        <f t="shared" si="9"/>
        <v>#DIV/0!</v>
      </c>
      <c r="X408" s="89"/>
      <c r="Y408" s="89"/>
      <c r="Z408" s="89"/>
      <c r="AA408" s="89"/>
      <c r="AB408" s="89"/>
      <c r="AC408" s="89"/>
      <c r="AD408" s="89"/>
      <c r="AE408" s="89"/>
      <c r="AF408" s="89"/>
      <c r="AG408" s="89"/>
      <c r="AH408" s="89"/>
    </row>
    <row r="409">
      <c r="A409" s="8" t="s">
        <v>547</v>
      </c>
      <c r="B409" s="97"/>
      <c r="C409" s="8"/>
      <c r="D409" s="89" t="str">
        <f t="shared" si="1"/>
        <v/>
      </c>
      <c r="E409" s="89" t="str">
        <f t="shared" si="2"/>
        <v>OT Hours</v>
      </c>
      <c r="F409" s="89" t="str">
        <f>IFERROR(VLOOKUP(C409,'Employees List'!$B$1:$G$999,2,0),"")</f>
        <v/>
      </c>
      <c r="G409" s="89" t="str">
        <f t="shared" si="23"/>
        <v>#DIV/0!</v>
      </c>
      <c r="H409" s="98"/>
      <c r="I409" s="89" t="str">
        <f>IFERROR(VLOOKUP(F409,'Employees List'!$C:$F,2,0),"")</f>
        <v/>
      </c>
      <c r="J409" s="93" t="str">
        <f>IFERROR(VLOOKUP(C409,'Employees List'!$B$2:$G$991,5,0),"")</f>
        <v/>
      </c>
      <c r="K409" s="95" t="str">
        <f>IFERROR(VLOOKUP(F409,'Employees List'!$C$1:$AB$991,5,0),"")</f>
        <v/>
      </c>
      <c r="L409" s="91">
        <f t="shared" si="3"/>
        <v>0</v>
      </c>
      <c r="M409" s="91">
        <f t="shared" si="4"/>
        <v>0</v>
      </c>
      <c r="N409" s="89" t="str">
        <f>IFERROR(VLOOKUP(B409,'Employees List'!$A$2:$H$991,8,0),"")</f>
        <v/>
      </c>
      <c r="O409" s="89" t="str">
        <f>IFERROR(VLOOKUP(D409,'Daily Attendance Report 24-25'!A373:BP999,5,0),"")</f>
        <v/>
      </c>
      <c r="P409" s="89" t="str">
        <f>IFERROR(VLOOKUP(E409,'Daily Attendance Report 24-25'!$A$1:$BO$617,5,0),"")</f>
        <v/>
      </c>
      <c r="Q409" s="89"/>
      <c r="R409" s="89"/>
      <c r="S409" s="89" t="str">
        <f t="shared" si="17"/>
        <v>#DIV/0!</v>
      </c>
      <c r="T409" s="89" t="str">
        <f t="shared" si="6"/>
        <v>#DIV/0!</v>
      </c>
      <c r="U409" s="89" t="str">
        <f t="shared" si="25"/>
        <v>#DIV/0!</v>
      </c>
      <c r="V409" s="89" t="str">
        <f t="shared" si="24"/>
        <v>#DIV/0!</v>
      </c>
      <c r="W409" s="89" t="str">
        <f t="shared" si="9"/>
        <v>#DIV/0!</v>
      </c>
      <c r="X409" s="89"/>
      <c r="Y409" s="89"/>
      <c r="Z409" s="89"/>
      <c r="AA409" s="89"/>
      <c r="AB409" s="89"/>
      <c r="AC409" s="89"/>
      <c r="AD409" s="89"/>
      <c r="AE409" s="89"/>
      <c r="AF409" s="89"/>
      <c r="AG409" s="89"/>
      <c r="AH409" s="89"/>
    </row>
    <row r="410">
      <c r="A410" s="8" t="s">
        <v>548</v>
      </c>
      <c r="B410" s="97"/>
      <c r="C410" s="8"/>
      <c r="D410" s="89" t="str">
        <f t="shared" si="1"/>
        <v/>
      </c>
      <c r="E410" s="89" t="str">
        <f t="shared" si="2"/>
        <v>OT Hours</v>
      </c>
      <c r="F410" s="89" t="str">
        <f>IFERROR(VLOOKUP(C410,'Employees List'!$B$1:$G$999,2,0),"")</f>
        <v/>
      </c>
      <c r="G410" s="89" t="str">
        <f t="shared" si="23"/>
        <v>#DIV/0!</v>
      </c>
      <c r="H410" s="98"/>
      <c r="I410" s="89" t="str">
        <f>IFERROR(VLOOKUP(F410,'Employees List'!$C:$F,2,0),"")</f>
        <v/>
      </c>
      <c r="J410" s="93" t="str">
        <f>IFERROR(VLOOKUP(C410,'Employees List'!$B$2:$G$991,5,0),"")</f>
        <v/>
      </c>
      <c r="K410" s="95" t="str">
        <f>IFERROR(VLOOKUP(F410,'Employees List'!$C$1:$AB$991,5,0),"")</f>
        <v/>
      </c>
      <c r="L410" s="91">
        <f t="shared" si="3"/>
        <v>0</v>
      </c>
      <c r="M410" s="91">
        <f t="shared" si="4"/>
        <v>0</v>
      </c>
      <c r="N410" s="89" t="str">
        <f>IFERROR(VLOOKUP(B410,'Employees List'!$A$2:$H$991,8,0),"")</f>
        <v/>
      </c>
      <c r="O410" s="89" t="str">
        <f>IFERROR(VLOOKUP(D410,'Daily Attendance Report 24-25'!A374:BP999,5,0),"")</f>
        <v/>
      </c>
      <c r="P410" s="89" t="str">
        <f>IFERROR(VLOOKUP(E410,'Daily Attendance Report 24-25'!$A$1:$BO$617,5,0),"")</f>
        <v/>
      </c>
      <c r="Q410" s="89"/>
      <c r="R410" s="89"/>
      <c r="S410" s="89" t="str">
        <f t="shared" si="17"/>
        <v>#DIV/0!</v>
      </c>
      <c r="T410" s="89" t="str">
        <f t="shared" si="6"/>
        <v>#DIV/0!</v>
      </c>
      <c r="U410" s="89" t="str">
        <f t="shared" si="25"/>
        <v>#DIV/0!</v>
      </c>
      <c r="V410" s="89" t="str">
        <f t="shared" si="24"/>
        <v>#DIV/0!</v>
      </c>
      <c r="W410" s="89" t="str">
        <f t="shared" si="9"/>
        <v>#DIV/0!</v>
      </c>
      <c r="X410" s="89"/>
      <c r="Y410" s="89"/>
      <c r="Z410" s="89"/>
      <c r="AA410" s="89"/>
      <c r="AB410" s="89"/>
      <c r="AC410" s="89"/>
      <c r="AD410" s="89"/>
      <c r="AE410" s="89"/>
      <c r="AF410" s="89"/>
      <c r="AG410" s="89"/>
      <c r="AH410" s="89"/>
    </row>
    <row r="411">
      <c r="A411" s="8" t="s">
        <v>549</v>
      </c>
      <c r="B411" s="97"/>
      <c r="C411" s="8"/>
      <c r="D411" s="89" t="str">
        <f t="shared" si="1"/>
        <v/>
      </c>
      <c r="E411" s="89" t="str">
        <f t="shared" si="2"/>
        <v>OT Hours</v>
      </c>
      <c r="F411" s="89" t="str">
        <f>IFERROR(VLOOKUP(C411,'Employees List'!$B$1:$G$999,2,0),"")</f>
        <v/>
      </c>
      <c r="G411" s="89" t="str">
        <f t="shared" si="23"/>
        <v>#DIV/0!</v>
      </c>
      <c r="H411" s="98"/>
      <c r="I411" s="89" t="str">
        <f>IFERROR(VLOOKUP(F411,'Employees List'!$C:$F,2,0),"")</f>
        <v/>
      </c>
      <c r="J411" s="93" t="str">
        <f>IFERROR(VLOOKUP(C411,'Employees List'!$B$2:$G$991,5,0),"")</f>
        <v/>
      </c>
      <c r="K411" s="95" t="str">
        <f>IFERROR(VLOOKUP(F411,'Employees List'!$C$1:$AB$991,5,0),"")</f>
        <v/>
      </c>
      <c r="L411" s="91">
        <f t="shared" si="3"/>
        <v>0</v>
      </c>
      <c r="M411" s="91">
        <f t="shared" si="4"/>
        <v>0</v>
      </c>
      <c r="N411" s="89" t="str">
        <f>IFERROR(VLOOKUP(B411,'Employees List'!$A$2:$H$991,8,0),"")</f>
        <v/>
      </c>
      <c r="O411" s="89" t="str">
        <f>IFERROR(VLOOKUP(D411,'Daily Attendance Report 24-25'!A375:BP999,5,0),"")</f>
        <v/>
      </c>
      <c r="P411" s="89" t="str">
        <f>IFERROR(VLOOKUP(E411,'Daily Attendance Report 24-25'!$A$1:$BO$617,5,0),"")</f>
        <v/>
      </c>
      <c r="Q411" s="89"/>
      <c r="R411" s="89"/>
      <c r="S411" s="89" t="str">
        <f t="shared" si="17"/>
        <v>#DIV/0!</v>
      </c>
      <c r="T411" s="89" t="str">
        <f t="shared" si="6"/>
        <v>#DIV/0!</v>
      </c>
      <c r="U411" s="89" t="str">
        <f t="shared" si="25"/>
        <v>#DIV/0!</v>
      </c>
      <c r="V411" s="89" t="str">
        <f t="shared" si="24"/>
        <v>#DIV/0!</v>
      </c>
      <c r="W411" s="89" t="str">
        <f t="shared" si="9"/>
        <v>#DIV/0!</v>
      </c>
      <c r="X411" s="89"/>
      <c r="Y411" s="89"/>
      <c r="Z411" s="89"/>
      <c r="AA411" s="89"/>
      <c r="AB411" s="89"/>
      <c r="AC411" s="89"/>
      <c r="AD411" s="89"/>
      <c r="AE411" s="89"/>
      <c r="AF411" s="89"/>
      <c r="AG411" s="89"/>
      <c r="AH411" s="89"/>
    </row>
    <row r="412">
      <c r="A412" s="8" t="s">
        <v>550</v>
      </c>
      <c r="B412" s="97"/>
      <c r="C412" s="8"/>
      <c r="D412" s="89" t="str">
        <f t="shared" si="1"/>
        <v/>
      </c>
      <c r="E412" s="89" t="str">
        <f t="shared" si="2"/>
        <v>OT Hours</v>
      </c>
      <c r="F412" s="89" t="str">
        <f>IFERROR(VLOOKUP(C412,'Employees List'!$B$1:$G$999,2,0),"")</f>
        <v/>
      </c>
      <c r="G412" s="89" t="str">
        <f t="shared" si="23"/>
        <v>#DIV/0!</v>
      </c>
      <c r="H412" s="98"/>
      <c r="I412" s="89" t="str">
        <f>IFERROR(VLOOKUP(F412,'Employees List'!$C:$F,2,0),"")</f>
        <v/>
      </c>
      <c r="J412" s="93" t="str">
        <f>IFERROR(VLOOKUP(C412,'Employees List'!$B$2:$G$991,5,0),"")</f>
        <v/>
      </c>
      <c r="K412" s="95" t="str">
        <f>IFERROR(VLOOKUP(F412,'Employees List'!$C$1:$AB$991,5,0),"")</f>
        <v/>
      </c>
      <c r="L412" s="91">
        <f t="shared" si="3"/>
        <v>0</v>
      </c>
      <c r="M412" s="91">
        <f t="shared" si="4"/>
        <v>0</v>
      </c>
      <c r="N412" s="89" t="str">
        <f>IFERROR(VLOOKUP(B412,'Employees List'!$A$2:$H$991,8,0),"")</f>
        <v/>
      </c>
      <c r="O412" s="89" t="str">
        <f>IFERROR(VLOOKUP(D412,'Daily Attendance Report 24-25'!A376:BP999,5,0),"")</f>
        <v/>
      </c>
      <c r="P412" s="89" t="str">
        <f>IFERROR(VLOOKUP(E412,'Daily Attendance Report 24-25'!$A$1:$BO$617,5,0),"")</f>
        <v/>
      </c>
      <c r="Q412" s="89"/>
      <c r="R412" s="89"/>
      <c r="S412" s="89" t="str">
        <f t="shared" si="17"/>
        <v>#DIV/0!</v>
      </c>
      <c r="T412" s="89" t="str">
        <f t="shared" si="6"/>
        <v>#DIV/0!</v>
      </c>
      <c r="U412" s="89" t="str">
        <f t="shared" si="25"/>
        <v>#DIV/0!</v>
      </c>
      <c r="V412" s="89" t="str">
        <f t="shared" si="24"/>
        <v>#DIV/0!</v>
      </c>
      <c r="W412" s="89" t="str">
        <f t="shared" si="9"/>
        <v>#DIV/0!</v>
      </c>
      <c r="X412" s="89"/>
      <c r="Y412" s="89"/>
      <c r="Z412" s="89"/>
      <c r="AA412" s="89"/>
      <c r="AB412" s="89"/>
      <c r="AC412" s="89"/>
      <c r="AD412" s="89"/>
      <c r="AE412" s="89"/>
      <c r="AF412" s="89"/>
      <c r="AG412" s="89"/>
      <c r="AH412" s="89"/>
    </row>
    <row r="413">
      <c r="A413" s="8" t="s">
        <v>551</v>
      </c>
      <c r="B413" s="97"/>
      <c r="C413" s="8"/>
      <c r="D413" s="89" t="str">
        <f t="shared" si="1"/>
        <v/>
      </c>
      <c r="E413" s="89" t="str">
        <f t="shared" si="2"/>
        <v>OT Hours</v>
      </c>
      <c r="F413" s="89" t="str">
        <f>IFERROR(VLOOKUP(C413,'Employees List'!$B$1:$G$999,2,0),"")</f>
        <v/>
      </c>
      <c r="G413" s="89" t="str">
        <f t="shared" si="23"/>
        <v>#DIV/0!</v>
      </c>
      <c r="H413" s="98"/>
      <c r="I413" s="89" t="str">
        <f>IFERROR(VLOOKUP(F413,'Employees List'!$C:$F,2,0),"")</f>
        <v/>
      </c>
      <c r="J413" s="93" t="str">
        <f>IFERROR(VLOOKUP(C413,'Employees List'!$B$2:$G$991,5,0),"")</f>
        <v/>
      </c>
      <c r="K413" s="95" t="str">
        <f>IFERROR(VLOOKUP(F413,'Employees List'!$C$1:$AB$991,5,0),"")</f>
        <v/>
      </c>
      <c r="L413" s="91">
        <f t="shared" si="3"/>
        <v>0</v>
      </c>
      <c r="M413" s="91">
        <f t="shared" si="4"/>
        <v>0</v>
      </c>
      <c r="N413" s="89" t="str">
        <f>IFERROR(VLOOKUP(B413,'Employees List'!$A$2:$H$991,8,0),"")</f>
        <v/>
      </c>
      <c r="O413" s="89" t="str">
        <f>IFERROR(VLOOKUP(D413,'Daily Attendance Report 24-25'!A377:BP999,5,0),"")</f>
        <v/>
      </c>
      <c r="P413" s="89" t="str">
        <f>IFERROR(VLOOKUP(E413,'Daily Attendance Report 24-25'!$A$1:$BO$617,5,0),"")</f>
        <v/>
      </c>
      <c r="Q413" s="89"/>
      <c r="R413" s="89"/>
      <c r="S413" s="89" t="str">
        <f t="shared" si="17"/>
        <v>#DIV/0!</v>
      </c>
      <c r="T413" s="89" t="str">
        <f t="shared" si="6"/>
        <v>#DIV/0!</v>
      </c>
      <c r="U413" s="89" t="str">
        <f t="shared" si="25"/>
        <v>#DIV/0!</v>
      </c>
      <c r="V413" s="89" t="str">
        <f t="shared" si="24"/>
        <v>#DIV/0!</v>
      </c>
      <c r="W413" s="89" t="str">
        <f t="shared" si="9"/>
        <v>#DIV/0!</v>
      </c>
      <c r="X413" s="89"/>
      <c r="Y413" s="89"/>
      <c r="Z413" s="89"/>
      <c r="AA413" s="89"/>
      <c r="AB413" s="89"/>
      <c r="AC413" s="89"/>
      <c r="AD413" s="89"/>
      <c r="AE413" s="89"/>
      <c r="AF413" s="89"/>
      <c r="AG413" s="89"/>
      <c r="AH413" s="89"/>
    </row>
    <row r="414">
      <c r="A414" s="8" t="s">
        <v>552</v>
      </c>
      <c r="B414" s="97"/>
      <c r="C414" s="8"/>
      <c r="D414" s="89" t="str">
        <f t="shared" si="1"/>
        <v/>
      </c>
      <c r="E414" s="89" t="str">
        <f t="shared" si="2"/>
        <v>OT Hours</v>
      </c>
      <c r="F414" s="89" t="str">
        <f>IFERROR(VLOOKUP(C414,'Employees List'!$B$1:$G$999,2,0),"")</f>
        <v/>
      </c>
      <c r="G414" s="89" t="str">
        <f t="shared" si="23"/>
        <v>#DIV/0!</v>
      </c>
      <c r="H414" s="98"/>
      <c r="I414" s="89" t="str">
        <f>IFERROR(VLOOKUP(F414,'Employees List'!$C:$F,2,0),"")</f>
        <v/>
      </c>
      <c r="J414" s="93" t="str">
        <f>IFERROR(VLOOKUP(C414,'Employees List'!$B$2:$G$991,5,0),"")</f>
        <v/>
      </c>
      <c r="K414" s="95" t="str">
        <f>IFERROR(VLOOKUP(F414,'Employees List'!$C$1:$AB$991,5,0),"")</f>
        <v/>
      </c>
      <c r="L414" s="91">
        <f t="shared" si="3"/>
        <v>0</v>
      </c>
      <c r="M414" s="91">
        <f t="shared" si="4"/>
        <v>0</v>
      </c>
      <c r="N414" s="89" t="str">
        <f>IFERROR(VLOOKUP(B414,'Employees List'!$A$2:$H$991,8,0),"")</f>
        <v/>
      </c>
      <c r="O414" s="89" t="str">
        <f>IFERROR(VLOOKUP(D414,'Daily Attendance Report 24-25'!A378:BP999,5,0),"")</f>
        <v/>
      </c>
      <c r="P414" s="89" t="str">
        <f>IFERROR(VLOOKUP(E414,'Daily Attendance Report 24-25'!$A$1:$BO$617,5,0),"")</f>
        <v/>
      </c>
      <c r="Q414" s="89"/>
      <c r="R414" s="89"/>
      <c r="S414" s="89" t="str">
        <f t="shared" si="17"/>
        <v>#DIV/0!</v>
      </c>
      <c r="T414" s="89" t="str">
        <f t="shared" si="6"/>
        <v>#DIV/0!</v>
      </c>
      <c r="U414" s="89" t="str">
        <f t="shared" si="25"/>
        <v>#DIV/0!</v>
      </c>
      <c r="V414" s="89" t="str">
        <f t="shared" si="24"/>
        <v>#DIV/0!</v>
      </c>
      <c r="W414" s="89" t="str">
        <f t="shared" si="9"/>
        <v>#DIV/0!</v>
      </c>
      <c r="X414" s="89"/>
      <c r="Y414" s="89"/>
      <c r="Z414" s="89"/>
      <c r="AA414" s="89"/>
      <c r="AB414" s="89"/>
      <c r="AC414" s="89"/>
      <c r="AD414" s="89"/>
      <c r="AE414" s="89"/>
      <c r="AF414" s="89"/>
      <c r="AG414" s="89"/>
      <c r="AH414" s="89"/>
    </row>
    <row r="415">
      <c r="A415" s="8" t="s">
        <v>553</v>
      </c>
      <c r="B415" s="97"/>
      <c r="C415" s="8"/>
      <c r="D415" s="89" t="str">
        <f t="shared" si="1"/>
        <v/>
      </c>
      <c r="E415" s="89" t="str">
        <f t="shared" si="2"/>
        <v>OT Hours</v>
      </c>
      <c r="F415" s="89" t="str">
        <f>IFERROR(VLOOKUP(C415,'Employees List'!$B$1:$G$999,2,0),"")</f>
        <v/>
      </c>
      <c r="G415" s="89" t="str">
        <f t="shared" si="23"/>
        <v>#DIV/0!</v>
      </c>
      <c r="H415" s="98"/>
      <c r="I415" s="89" t="str">
        <f>IFERROR(VLOOKUP(F415,'Employees List'!$C:$F,2,0),"")</f>
        <v/>
      </c>
      <c r="J415" s="93" t="str">
        <f>IFERROR(VLOOKUP(C415,'Employees List'!$B$2:$G$991,5,0),"")</f>
        <v/>
      </c>
      <c r="K415" s="95" t="str">
        <f>IFERROR(VLOOKUP(F415,'Employees List'!$C$1:$AB$991,5,0),"")</f>
        <v/>
      </c>
      <c r="L415" s="91">
        <f t="shared" si="3"/>
        <v>0</v>
      </c>
      <c r="M415" s="91">
        <f t="shared" si="4"/>
        <v>0</v>
      </c>
      <c r="N415" s="89" t="str">
        <f>IFERROR(VLOOKUP(B415,'Employees List'!$A$2:$H$991,8,0),"")</f>
        <v/>
      </c>
      <c r="O415" s="89" t="str">
        <f>IFERROR(VLOOKUP(D415,'Daily Attendance Report 24-25'!A379:BP999,5,0),"")</f>
        <v/>
      </c>
      <c r="P415" s="89" t="str">
        <f>IFERROR(VLOOKUP(E415,'Daily Attendance Report 24-25'!$A$1:$BO$617,5,0),"")</f>
        <v/>
      </c>
      <c r="Q415" s="89"/>
      <c r="R415" s="89"/>
      <c r="S415" s="89" t="str">
        <f t="shared" si="17"/>
        <v>#DIV/0!</v>
      </c>
      <c r="T415" s="89" t="str">
        <f t="shared" si="6"/>
        <v>#DIV/0!</v>
      </c>
      <c r="U415" s="89" t="str">
        <f t="shared" si="25"/>
        <v>#DIV/0!</v>
      </c>
      <c r="V415" s="89" t="str">
        <f t="shared" si="24"/>
        <v>#DIV/0!</v>
      </c>
      <c r="W415" s="89" t="str">
        <f t="shared" si="9"/>
        <v>#DIV/0!</v>
      </c>
      <c r="X415" s="89"/>
      <c r="Y415" s="89"/>
      <c r="Z415" s="89"/>
      <c r="AA415" s="89"/>
      <c r="AB415" s="89"/>
      <c r="AC415" s="89"/>
      <c r="AD415" s="89"/>
      <c r="AE415" s="89"/>
      <c r="AF415" s="89"/>
      <c r="AG415" s="89"/>
      <c r="AH415" s="89"/>
    </row>
    <row r="416">
      <c r="A416" s="8" t="s">
        <v>554</v>
      </c>
      <c r="B416" s="97"/>
      <c r="C416" s="8"/>
      <c r="D416" s="89" t="str">
        <f t="shared" si="1"/>
        <v/>
      </c>
      <c r="E416" s="89" t="str">
        <f t="shared" si="2"/>
        <v>OT Hours</v>
      </c>
      <c r="F416" s="89" t="str">
        <f>IFERROR(VLOOKUP(C416,'Employees List'!$B$1:$G$999,2,0),"")</f>
        <v/>
      </c>
      <c r="G416" s="89" t="str">
        <f t="shared" si="23"/>
        <v>#DIV/0!</v>
      </c>
      <c r="H416" s="98"/>
      <c r="I416" s="89" t="str">
        <f>IFERROR(VLOOKUP(F416,'Employees List'!$C:$F,2,0),"")</f>
        <v/>
      </c>
      <c r="J416" s="93" t="str">
        <f>IFERROR(VLOOKUP(C416,'Employees List'!$B$2:$G$991,5,0),"")</f>
        <v/>
      </c>
      <c r="K416" s="95" t="str">
        <f>IFERROR(VLOOKUP(F416,'Employees List'!$C$1:$AB$991,5,0),"")</f>
        <v/>
      </c>
      <c r="L416" s="91">
        <f t="shared" si="3"/>
        <v>0</v>
      </c>
      <c r="M416" s="91">
        <f t="shared" si="4"/>
        <v>0</v>
      </c>
      <c r="N416" s="89" t="str">
        <f>IFERROR(VLOOKUP(B416,'Employees List'!$A$2:$H$991,8,0),"")</f>
        <v/>
      </c>
      <c r="O416" s="89" t="str">
        <f>IFERROR(VLOOKUP(D416,'Daily Attendance Report 24-25'!A380:BP999,5,0),"")</f>
        <v/>
      </c>
      <c r="P416" s="89" t="str">
        <f>IFERROR(VLOOKUP(E416,'Daily Attendance Report 24-25'!$A$1:$BO$617,5,0),"")</f>
        <v/>
      </c>
      <c r="Q416" s="89"/>
      <c r="R416" s="89"/>
      <c r="S416" s="89" t="str">
        <f t="shared" si="17"/>
        <v>#DIV/0!</v>
      </c>
      <c r="T416" s="89" t="str">
        <f t="shared" si="6"/>
        <v>#DIV/0!</v>
      </c>
      <c r="U416" s="89" t="str">
        <f t="shared" si="25"/>
        <v>#DIV/0!</v>
      </c>
      <c r="V416" s="89" t="str">
        <f t="shared" si="24"/>
        <v>#DIV/0!</v>
      </c>
      <c r="W416" s="89" t="str">
        <f t="shared" si="9"/>
        <v>#DIV/0!</v>
      </c>
      <c r="X416" s="89"/>
      <c r="Y416" s="89"/>
      <c r="Z416" s="89"/>
      <c r="AA416" s="89"/>
      <c r="AB416" s="89"/>
      <c r="AC416" s="89"/>
      <c r="AD416" s="89"/>
      <c r="AE416" s="89"/>
      <c r="AF416" s="89"/>
      <c r="AG416" s="89"/>
      <c r="AH416" s="89"/>
    </row>
    <row r="417">
      <c r="A417" s="8" t="s">
        <v>555</v>
      </c>
      <c r="B417" s="97"/>
      <c r="C417" s="8"/>
      <c r="D417" s="89" t="str">
        <f t="shared" si="1"/>
        <v/>
      </c>
      <c r="E417" s="89" t="str">
        <f t="shared" si="2"/>
        <v>OT Hours</v>
      </c>
      <c r="F417" s="89" t="str">
        <f>IFERROR(VLOOKUP(C417,'Employees List'!$B$1:$G$999,2,0),"")</f>
        <v/>
      </c>
      <c r="G417" s="89" t="str">
        <f t="shared" si="23"/>
        <v>#DIV/0!</v>
      </c>
      <c r="H417" s="98"/>
      <c r="I417" s="89" t="str">
        <f>IFERROR(VLOOKUP(F417,'Employees List'!$C:$F,2,0),"")</f>
        <v/>
      </c>
      <c r="J417" s="93" t="str">
        <f>IFERROR(VLOOKUP(C417,'Employees List'!$B$2:$G$991,5,0),"")</f>
        <v/>
      </c>
      <c r="K417" s="95" t="str">
        <f>IFERROR(VLOOKUP(F417,'Employees List'!$C$1:$AB$991,5,0),"")</f>
        <v/>
      </c>
      <c r="L417" s="91">
        <f t="shared" si="3"/>
        <v>0</v>
      </c>
      <c r="M417" s="91">
        <f t="shared" si="4"/>
        <v>0</v>
      </c>
      <c r="N417" s="89" t="str">
        <f>IFERROR(VLOOKUP(B417,'Employees List'!$A$2:$H$991,8,0),"")</f>
        <v/>
      </c>
      <c r="O417" s="89" t="str">
        <f>IFERROR(VLOOKUP(D417,'Daily Attendance Report 24-25'!A381:BP999,5,0),"")</f>
        <v/>
      </c>
      <c r="P417" s="89" t="str">
        <f>IFERROR(VLOOKUP(E417,'Daily Attendance Report 24-25'!$A$1:$BO$617,5,0),"")</f>
        <v/>
      </c>
      <c r="Q417" s="89"/>
      <c r="R417" s="89"/>
      <c r="S417" s="89" t="str">
        <f t="shared" si="17"/>
        <v>#DIV/0!</v>
      </c>
      <c r="T417" s="89" t="str">
        <f t="shared" si="6"/>
        <v>#DIV/0!</v>
      </c>
      <c r="U417" s="89" t="str">
        <f t="shared" si="25"/>
        <v>#DIV/0!</v>
      </c>
      <c r="V417" s="89" t="str">
        <f t="shared" si="24"/>
        <v>#DIV/0!</v>
      </c>
      <c r="W417" s="89" t="str">
        <f t="shared" si="9"/>
        <v>#DIV/0!</v>
      </c>
      <c r="X417" s="89"/>
      <c r="Y417" s="89"/>
      <c r="Z417" s="89"/>
      <c r="AA417" s="89"/>
      <c r="AB417" s="89"/>
      <c r="AC417" s="89"/>
      <c r="AD417" s="89"/>
      <c r="AE417" s="89"/>
      <c r="AF417" s="89"/>
      <c r="AG417" s="89"/>
      <c r="AH417" s="89"/>
    </row>
    <row r="418">
      <c r="A418" s="8" t="s">
        <v>556</v>
      </c>
      <c r="B418" s="97"/>
      <c r="C418" s="8"/>
      <c r="D418" s="89" t="str">
        <f t="shared" si="1"/>
        <v/>
      </c>
      <c r="E418" s="89" t="str">
        <f t="shared" si="2"/>
        <v>OT Hours</v>
      </c>
      <c r="F418" s="89" t="str">
        <f>IFERROR(VLOOKUP(C418,'Employees List'!$B$1:$G$999,2,0),"")</f>
        <v/>
      </c>
      <c r="G418" s="89" t="str">
        <f t="shared" si="23"/>
        <v>#DIV/0!</v>
      </c>
      <c r="H418" s="98"/>
      <c r="I418" s="89" t="str">
        <f>IFERROR(VLOOKUP(F418,'Employees List'!$C:$F,2,0),"")</f>
        <v/>
      </c>
      <c r="J418" s="93" t="str">
        <f>IFERROR(VLOOKUP(C418,'Employees List'!$B$2:$G$991,5,0),"")</f>
        <v/>
      </c>
      <c r="K418" s="95" t="str">
        <f>IFERROR(VLOOKUP(F418,'Employees List'!$C$1:$AB$991,5,0),"")</f>
        <v/>
      </c>
      <c r="L418" s="91">
        <f t="shared" si="3"/>
        <v>0</v>
      </c>
      <c r="M418" s="91">
        <f t="shared" si="4"/>
        <v>0</v>
      </c>
      <c r="N418" s="89" t="str">
        <f>IFERROR(VLOOKUP(B418,'Employees List'!$A$2:$H$991,8,0),"")</f>
        <v/>
      </c>
      <c r="O418" s="89" t="str">
        <f>IFERROR(VLOOKUP(D418,'Daily Attendance Report 24-25'!A382:BP999,5,0),"")</f>
        <v/>
      </c>
      <c r="P418" s="89" t="str">
        <f>IFERROR(VLOOKUP(E418,'Daily Attendance Report 24-25'!$A$1:$BO$617,5,0),"")</f>
        <v/>
      </c>
      <c r="Q418" s="89"/>
      <c r="R418" s="89"/>
      <c r="S418" s="89" t="str">
        <f t="shared" si="17"/>
        <v>#DIV/0!</v>
      </c>
      <c r="T418" s="89" t="str">
        <f t="shared" si="6"/>
        <v>#DIV/0!</v>
      </c>
      <c r="U418" s="89" t="str">
        <f t="shared" si="25"/>
        <v>#DIV/0!</v>
      </c>
      <c r="V418" s="89" t="str">
        <f t="shared" si="24"/>
        <v>#DIV/0!</v>
      </c>
      <c r="W418" s="89" t="str">
        <f t="shared" si="9"/>
        <v>#DIV/0!</v>
      </c>
      <c r="X418" s="89"/>
      <c r="Y418" s="89"/>
      <c r="Z418" s="89"/>
      <c r="AA418" s="89"/>
      <c r="AB418" s="89"/>
      <c r="AC418" s="89"/>
      <c r="AD418" s="89"/>
      <c r="AE418" s="89"/>
      <c r="AF418" s="89"/>
      <c r="AG418" s="89"/>
      <c r="AH418" s="89"/>
    </row>
    <row r="419">
      <c r="A419" s="8" t="s">
        <v>557</v>
      </c>
      <c r="B419" s="97"/>
      <c r="C419" s="8"/>
      <c r="D419" s="89" t="str">
        <f t="shared" si="1"/>
        <v/>
      </c>
      <c r="E419" s="89" t="str">
        <f t="shared" si="2"/>
        <v>OT Hours</v>
      </c>
      <c r="F419" s="89" t="str">
        <f>IFERROR(VLOOKUP(C419,'Employees List'!$B$1:$G$999,2,0),"")</f>
        <v/>
      </c>
      <c r="G419" s="89" t="str">
        <f t="shared" si="23"/>
        <v>#DIV/0!</v>
      </c>
      <c r="H419" s="98"/>
      <c r="I419" s="89" t="str">
        <f>IFERROR(VLOOKUP(F419,'Employees List'!$C:$F,2,0),"")</f>
        <v/>
      </c>
      <c r="J419" s="93" t="str">
        <f>IFERROR(VLOOKUP(C419,'Employees List'!$B$2:$G$991,5,0),"")</f>
        <v/>
      </c>
      <c r="K419" s="95" t="str">
        <f>IFERROR(VLOOKUP(F419,'Employees List'!$C$1:$AB$991,5,0),"")</f>
        <v/>
      </c>
      <c r="L419" s="91">
        <f t="shared" si="3"/>
        <v>0</v>
      </c>
      <c r="M419" s="91">
        <f t="shared" si="4"/>
        <v>0</v>
      </c>
      <c r="N419" s="89" t="str">
        <f>IFERROR(VLOOKUP(B419,'Employees List'!$A$2:$H$991,8,0),"")</f>
        <v/>
      </c>
      <c r="O419" s="89" t="str">
        <f>IFERROR(VLOOKUP(D419,'Daily Attendance Report 24-25'!A383:BP999,5,0),"")</f>
        <v/>
      </c>
      <c r="P419" s="89" t="str">
        <f>IFERROR(VLOOKUP(E419,'Daily Attendance Report 24-25'!$A$1:$BO$617,5,0),"")</f>
        <v/>
      </c>
      <c r="Q419" s="89"/>
      <c r="R419" s="89"/>
      <c r="S419" s="89" t="str">
        <f t="shared" si="17"/>
        <v>#DIV/0!</v>
      </c>
      <c r="T419" s="89" t="str">
        <f t="shared" si="6"/>
        <v>#DIV/0!</v>
      </c>
      <c r="U419" s="89" t="str">
        <f t="shared" si="25"/>
        <v>#DIV/0!</v>
      </c>
      <c r="V419" s="89" t="str">
        <f t="shared" si="24"/>
        <v>#DIV/0!</v>
      </c>
      <c r="W419" s="89" t="str">
        <f t="shared" si="9"/>
        <v>#DIV/0!</v>
      </c>
      <c r="X419" s="89"/>
      <c r="Y419" s="89"/>
      <c r="Z419" s="89"/>
      <c r="AA419" s="89"/>
      <c r="AB419" s="89"/>
      <c r="AC419" s="89"/>
      <c r="AD419" s="89"/>
      <c r="AE419" s="89"/>
      <c r="AF419" s="89"/>
      <c r="AG419" s="89"/>
      <c r="AH419" s="89"/>
    </row>
    <row r="420">
      <c r="A420" s="8" t="s">
        <v>558</v>
      </c>
      <c r="B420" s="97"/>
      <c r="C420" s="8"/>
      <c r="D420" s="89" t="str">
        <f t="shared" si="1"/>
        <v/>
      </c>
      <c r="E420" s="89" t="str">
        <f t="shared" si="2"/>
        <v>OT Hours</v>
      </c>
      <c r="F420" s="89" t="str">
        <f>IFERROR(VLOOKUP(C420,'Employees List'!$B$1:$G$999,2,0),"")</f>
        <v/>
      </c>
      <c r="G420" s="89" t="str">
        <f t="shared" si="23"/>
        <v>#DIV/0!</v>
      </c>
      <c r="H420" s="98"/>
      <c r="I420" s="89" t="str">
        <f>IFERROR(VLOOKUP(F420,'Employees List'!$C:$F,2,0),"")</f>
        <v/>
      </c>
      <c r="J420" s="93" t="str">
        <f>IFERROR(VLOOKUP(C420,'Employees List'!$B$2:$G$991,5,0),"")</f>
        <v/>
      </c>
      <c r="K420" s="95" t="str">
        <f>IFERROR(VLOOKUP(F420,'Employees List'!$C$1:$AB$991,5,0),"")</f>
        <v/>
      </c>
      <c r="L420" s="91">
        <f t="shared" si="3"/>
        <v>0</v>
      </c>
      <c r="M420" s="91">
        <f t="shared" si="4"/>
        <v>0</v>
      </c>
      <c r="N420" s="89" t="str">
        <f>IFERROR(VLOOKUP(B420,'Employees List'!$A$2:$H$991,8,0),"")</f>
        <v/>
      </c>
      <c r="O420" s="89" t="str">
        <f>IFERROR(VLOOKUP(D420,'Daily Attendance Report 24-25'!A384:BP999,5,0),"")</f>
        <v/>
      </c>
      <c r="P420" s="89" t="str">
        <f>IFERROR(VLOOKUP(E420,'Daily Attendance Report 24-25'!$A$1:$BO$617,5,0),"")</f>
        <v/>
      </c>
      <c r="Q420" s="89"/>
      <c r="R420" s="89"/>
      <c r="S420" s="89" t="str">
        <f t="shared" si="17"/>
        <v>#DIV/0!</v>
      </c>
      <c r="T420" s="89" t="str">
        <f t="shared" si="6"/>
        <v>#DIV/0!</v>
      </c>
      <c r="U420" s="89" t="str">
        <f t="shared" si="25"/>
        <v>#DIV/0!</v>
      </c>
      <c r="V420" s="89" t="str">
        <f t="shared" si="24"/>
        <v>#DIV/0!</v>
      </c>
      <c r="W420" s="89" t="str">
        <f t="shared" si="9"/>
        <v>#DIV/0!</v>
      </c>
      <c r="X420" s="89"/>
      <c r="Y420" s="89"/>
      <c r="Z420" s="89"/>
      <c r="AA420" s="89"/>
      <c r="AB420" s="89"/>
      <c r="AC420" s="89"/>
      <c r="AD420" s="89"/>
      <c r="AE420" s="89"/>
      <c r="AF420" s="89"/>
      <c r="AG420" s="89"/>
      <c r="AH420" s="89"/>
    </row>
    <row r="421">
      <c r="A421" s="8" t="s">
        <v>559</v>
      </c>
      <c r="B421" s="97"/>
      <c r="C421" s="8"/>
      <c r="D421" s="89" t="str">
        <f t="shared" si="1"/>
        <v/>
      </c>
      <c r="E421" s="89" t="str">
        <f t="shared" si="2"/>
        <v>OT Hours</v>
      </c>
      <c r="F421" s="89" t="str">
        <f>IFERROR(VLOOKUP(C421,'Employees List'!$B$1:$G$999,2,0),"")</f>
        <v/>
      </c>
      <c r="G421" s="89" t="str">
        <f t="shared" si="23"/>
        <v>#DIV/0!</v>
      </c>
      <c r="H421" s="98"/>
      <c r="I421" s="89" t="str">
        <f>IFERROR(VLOOKUP(F421,'Employees List'!$C:$F,2,0),"")</f>
        <v/>
      </c>
      <c r="J421" s="93" t="str">
        <f>IFERROR(VLOOKUP(C421,'Employees List'!$B$2:$G$991,5,0),"")</f>
        <v/>
      </c>
      <c r="K421" s="95" t="str">
        <f>IFERROR(VLOOKUP(F421,'Employees List'!$C$1:$AB$991,5,0),"")</f>
        <v/>
      </c>
      <c r="L421" s="91">
        <f t="shared" si="3"/>
        <v>0</v>
      </c>
      <c r="M421" s="91">
        <f t="shared" si="4"/>
        <v>0</v>
      </c>
      <c r="N421" s="89" t="str">
        <f>IFERROR(VLOOKUP(B421,'Employees List'!$A$2:$H$991,8,0),"")</f>
        <v/>
      </c>
      <c r="O421" s="89" t="str">
        <f>IFERROR(VLOOKUP(D421,'Daily Attendance Report 24-25'!A385:BP999,5,0),"")</f>
        <v/>
      </c>
      <c r="P421" s="89" t="str">
        <f>IFERROR(VLOOKUP(E421,'Daily Attendance Report 24-25'!$A$1:$BO$617,5,0),"")</f>
        <v/>
      </c>
      <c r="Q421" s="89"/>
      <c r="R421" s="89"/>
      <c r="S421" s="89" t="str">
        <f t="shared" si="17"/>
        <v>#DIV/0!</v>
      </c>
      <c r="T421" s="89" t="str">
        <f t="shared" si="6"/>
        <v>#DIV/0!</v>
      </c>
      <c r="U421" s="89" t="str">
        <f t="shared" si="25"/>
        <v>#DIV/0!</v>
      </c>
      <c r="V421" s="89" t="str">
        <f t="shared" si="24"/>
        <v>#DIV/0!</v>
      </c>
      <c r="W421" s="89" t="str">
        <f t="shared" si="9"/>
        <v>#DIV/0!</v>
      </c>
      <c r="X421" s="89"/>
      <c r="Y421" s="89"/>
      <c r="Z421" s="89"/>
      <c r="AA421" s="89"/>
      <c r="AB421" s="89"/>
      <c r="AC421" s="89"/>
      <c r="AD421" s="89"/>
      <c r="AE421" s="89"/>
      <c r="AF421" s="89"/>
      <c r="AG421" s="89"/>
      <c r="AH421" s="89"/>
    </row>
    <row r="422">
      <c r="A422" s="8" t="s">
        <v>560</v>
      </c>
      <c r="B422" s="97"/>
      <c r="C422" s="8"/>
      <c r="D422" s="89" t="str">
        <f t="shared" si="1"/>
        <v/>
      </c>
      <c r="E422" s="89" t="str">
        <f t="shared" si="2"/>
        <v>OT Hours</v>
      </c>
      <c r="F422" s="89" t="str">
        <f>IFERROR(VLOOKUP(C422,'Employees List'!$B$1:$G$999,2,0),"")</f>
        <v/>
      </c>
      <c r="G422" s="89" t="str">
        <f t="shared" si="23"/>
        <v>#DIV/0!</v>
      </c>
      <c r="H422" s="98"/>
      <c r="I422" s="89" t="str">
        <f>IFERROR(VLOOKUP(F422,'Employees List'!$C:$F,2,0),"")</f>
        <v/>
      </c>
      <c r="J422" s="93" t="str">
        <f>IFERROR(VLOOKUP(C422,'Employees List'!$B$2:$G$991,5,0),"")</f>
        <v/>
      </c>
      <c r="K422" s="95" t="str">
        <f>IFERROR(VLOOKUP(F422,'Employees List'!$C$1:$AB$991,5,0),"")</f>
        <v/>
      </c>
      <c r="L422" s="91">
        <f t="shared" si="3"/>
        <v>0</v>
      </c>
      <c r="M422" s="91">
        <f t="shared" si="4"/>
        <v>0</v>
      </c>
      <c r="N422" s="89" t="str">
        <f>IFERROR(VLOOKUP(B422,'Employees List'!$A$2:$H$991,8,0),"")</f>
        <v/>
      </c>
      <c r="O422" s="89" t="str">
        <f>IFERROR(VLOOKUP(D422,'Daily Attendance Report 24-25'!A386:BP999,5,0),"")</f>
        <v/>
      </c>
      <c r="P422" s="89" t="str">
        <f>IFERROR(VLOOKUP(E422,'Daily Attendance Report 24-25'!$A$1:$BO$617,5,0),"")</f>
        <v/>
      </c>
      <c r="Q422" s="89"/>
      <c r="R422" s="89"/>
      <c r="S422" s="89" t="str">
        <f t="shared" si="17"/>
        <v>#DIV/0!</v>
      </c>
      <c r="T422" s="89" t="str">
        <f t="shared" si="6"/>
        <v>#DIV/0!</v>
      </c>
      <c r="U422" s="89" t="str">
        <f t="shared" si="25"/>
        <v>#DIV/0!</v>
      </c>
      <c r="V422" s="89" t="str">
        <f t="shared" si="24"/>
        <v>#DIV/0!</v>
      </c>
      <c r="W422" s="89" t="str">
        <f t="shared" si="9"/>
        <v>#DIV/0!</v>
      </c>
      <c r="X422" s="89"/>
      <c r="Y422" s="89"/>
      <c r="Z422" s="89"/>
      <c r="AA422" s="89"/>
      <c r="AB422" s="89"/>
      <c r="AC422" s="89"/>
      <c r="AD422" s="89"/>
      <c r="AE422" s="89"/>
      <c r="AF422" s="89"/>
      <c r="AG422" s="89"/>
      <c r="AH422" s="89"/>
    </row>
    <row r="423">
      <c r="A423" s="8" t="s">
        <v>561</v>
      </c>
      <c r="B423" s="97"/>
      <c r="C423" s="8"/>
      <c r="D423" s="89" t="str">
        <f t="shared" si="1"/>
        <v/>
      </c>
      <c r="E423" s="89" t="str">
        <f t="shared" si="2"/>
        <v>OT Hours</v>
      </c>
      <c r="F423" s="89" t="str">
        <f>IFERROR(VLOOKUP(C423,'Employees List'!$B$1:$G$999,2,0),"")</f>
        <v/>
      </c>
      <c r="G423" s="89" t="str">
        <f t="shared" si="23"/>
        <v>#DIV/0!</v>
      </c>
      <c r="H423" s="98"/>
      <c r="I423" s="89" t="str">
        <f>IFERROR(VLOOKUP(F423,'Employees List'!$C:$F,2,0),"")</f>
        <v/>
      </c>
      <c r="J423" s="93" t="str">
        <f>IFERROR(VLOOKUP(C423,'Employees List'!$B$2:$G$991,5,0),"")</f>
        <v/>
      </c>
      <c r="K423" s="95" t="str">
        <f>IFERROR(VLOOKUP(F423,'Employees List'!$C$1:$AB$991,5,0),"")</f>
        <v/>
      </c>
      <c r="L423" s="91">
        <f t="shared" si="3"/>
        <v>0</v>
      </c>
      <c r="M423" s="91">
        <f t="shared" si="4"/>
        <v>0</v>
      </c>
      <c r="N423" s="89" t="str">
        <f>IFERROR(VLOOKUP(B423,'Employees List'!$A$2:$H$991,8,0),"")</f>
        <v/>
      </c>
      <c r="O423" s="89" t="str">
        <f>IFERROR(VLOOKUP(D423,'Daily Attendance Report 24-25'!A387:BP999,5,0),"")</f>
        <v/>
      </c>
      <c r="P423" s="89" t="str">
        <f>IFERROR(VLOOKUP(E423,'Daily Attendance Report 24-25'!$A$1:$BO$617,5,0),"")</f>
        <v/>
      </c>
      <c r="Q423" s="89"/>
      <c r="R423" s="89"/>
      <c r="S423" s="89" t="str">
        <f t="shared" si="17"/>
        <v>#DIV/0!</v>
      </c>
      <c r="T423" s="89" t="str">
        <f t="shared" si="6"/>
        <v>#DIV/0!</v>
      </c>
      <c r="U423" s="89" t="str">
        <f t="shared" si="25"/>
        <v>#DIV/0!</v>
      </c>
      <c r="V423" s="89" t="str">
        <f t="shared" si="24"/>
        <v>#DIV/0!</v>
      </c>
      <c r="W423" s="89" t="str">
        <f t="shared" si="9"/>
        <v>#DIV/0!</v>
      </c>
      <c r="X423" s="89"/>
      <c r="Y423" s="89"/>
      <c r="Z423" s="89"/>
      <c r="AA423" s="89"/>
      <c r="AB423" s="89"/>
      <c r="AC423" s="89"/>
      <c r="AD423" s="89"/>
      <c r="AE423" s="89"/>
      <c r="AF423" s="89"/>
      <c r="AG423" s="89"/>
      <c r="AH423" s="89"/>
    </row>
    <row r="424">
      <c r="A424" s="8" t="s">
        <v>562</v>
      </c>
      <c r="B424" s="97"/>
      <c r="C424" s="8"/>
      <c r="D424" s="89" t="str">
        <f t="shared" si="1"/>
        <v/>
      </c>
      <c r="E424" s="89" t="str">
        <f t="shared" si="2"/>
        <v>OT Hours</v>
      </c>
      <c r="F424" s="89" t="str">
        <f>IFERROR(VLOOKUP(C424,'Employees List'!$B$1:$G$999,2,0),"")</f>
        <v/>
      </c>
      <c r="G424" s="89" t="str">
        <f t="shared" si="23"/>
        <v>#DIV/0!</v>
      </c>
      <c r="H424" s="98"/>
      <c r="I424" s="89" t="str">
        <f>IFERROR(VLOOKUP(F424,'Employees List'!$C:$F,2,0),"")</f>
        <v/>
      </c>
      <c r="J424" s="93" t="str">
        <f>IFERROR(VLOOKUP(C424,'Employees List'!$B$2:$G$991,5,0),"")</f>
        <v/>
      </c>
      <c r="K424" s="95" t="str">
        <f>IFERROR(VLOOKUP(F424,'Employees List'!$C$1:$AB$991,5,0),"")</f>
        <v/>
      </c>
      <c r="L424" s="91">
        <f t="shared" si="3"/>
        <v>0</v>
      </c>
      <c r="M424" s="91">
        <f t="shared" si="4"/>
        <v>0</v>
      </c>
      <c r="N424" s="89" t="str">
        <f>IFERROR(VLOOKUP(B424,'Employees List'!$A$2:$H$991,8,0),"")</f>
        <v/>
      </c>
      <c r="O424" s="89" t="str">
        <f>IFERROR(VLOOKUP(D424,'Daily Attendance Report 24-25'!A388:BP999,5,0),"")</f>
        <v/>
      </c>
      <c r="P424" s="89" t="str">
        <f>IFERROR(VLOOKUP(E424,'Daily Attendance Report 24-25'!$A$1:$BO$617,5,0),"")</f>
        <v/>
      </c>
      <c r="Q424" s="89"/>
      <c r="R424" s="89"/>
      <c r="S424" s="89" t="str">
        <f t="shared" si="17"/>
        <v>#DIV/0!</v>
      </c>
      <c r="T424" s="89" t="str">
        <f t="shared" si="6"/>
        <v>#DIV/0!</v>
      </c>
      <c r="U424" s="89" t="str">
        <f t="shared" si="25"/>
        <v>#DIV/0!</v>
      </c>
      <c r="V424" s="89" t="str">
        <f t="shared" si="24"/>
        <v>#DIV/0!</v>
      </c>
      <c r="W424" s="89" t="str">
        <f t="shared" si="9"/>
        <v>#DIV/0!</v>
      </c>
      <c r="X424" s="89"/>
      <c r="Y424" s="89"/>
      <c r="Z424" s="89"/>
      <c r="AA424" s="89"/>
      <c r="AB424" s="89"/>
      <c r="AC424" s="89"/>
      <c r="AD424" s="89"/>
      <c r="AE424" s="89"/>
      <c r="AF424" s="89"/>
      <c r="AG424" s="89"/>
      <c r="AH424" s="89"/>
    </row>
    <row r="425">
      <c r="A425" s="8" t="s">
        <v>563</v>
      </c>
      <c r="B425" s="97"/>
      <c r="C425" s="8"/>
      <c r="D425" s="89" t="str">
        <f t="shared" si="1"/>
        <v/>
      </c>
      <c r="E425" s="89" t="str">
        <f t="shared" si="2"/>
        <v>OT Hours</v>
      </c>
      <c r="F425" s="89" t="str">
        <f>IFERROR(VLOOKUP(C425,'Employees List'!$B$1:$G$999,2,0),"")</f>
        <v/>
      </c>
      <c r="G425" s="89" t="str">
        <f t="shared" si="23"/>
        <v>#DIV/0!</v>
      </c>
      <c r="H425" s="98"/>
      <c r="I425" s="89" t="str">
        <f>IFERROR(VLOOKUP(F425,'Employees List'!$C:$F,2,0),"")</f>
        <v/>
      </c>
      <c r="J425" s="93" t="str">
        <f>IFERROR(VLOOKUP(C425,'Employees List'!$B$2:$G$991,5,0),"")</f>
        <v/>
      </c>
      <c r="K425" s="95" t="str">
        <f>IFERROR(VLOOKUP(F425,'Employees List'!$C$1:$AB$991,5,0),"")</f>
        <v/>
      </c>
      <c r="L425" s="91">
        <f t="shared" si="3"/>
        <v>0</v>
      </c>
      <c r="M425" s="91">
        <f t="shared" si="4"/>
        <v>0</v>
      </c>
      <c r="N425" s="89" t="str">
        <f>IFERROR(VLOOKUP(B425,'Employees List'!$A$2:$H$991,8,0),"")</f>
        <v/>
      </c>
      <c r="O425" s="89" t="str">
        <f>IFERROR(VLOOKUP(D425,'Daily Attendance Report 24-25'!A389:BP999,5,0),"")</f>
        <v/>
      </c>
      <c r="P425" s="89" t="str">
        <f>IFERROR(VLOOKUP(E425,'Daily Attendance Report 24-25'!$A$1:$BO$617,5,0),"")</f>
        <v/>
      </c>
      <c r="Q425" s="89"/>
      <c r="R425" s="89"/>
      <c r="S425" s="89" t="str">
        <f t="shared" si="17"/>
        <v>#DIV/0!</v>
      </c>
      <c r="T425" s="89" t="str">
        <f t="shared" si="6"/>
        <v>#DIV/0!</v>
      </c>
      <c r="U425" s="89" t="str">
        <f t="shared" si="25"/>
        <v>#DIV/0!</v>
      </c>
      <c r="V425" s="89" t="str">
        <f t="shared" si="24"/>
        <v>#DIV/0!</v>
      </c>
      <c r="W425" s="89" t="str">
        <f t="shared" si="9"/>
        <v>#DIV/0!</v>
      </c>
      <c r="X425" s="89"/>
      <c r="Y425" s="89"/>
      <c r="Z425" s="89"/>
      <c r="AA425" s="89"/>
      <c r="AB425" s="89"/>
      <c r="AC425" s="89"/>
      <c r="AD425" s="89"/>
      <c r="AE425" s="89"/>
      <c r="AF425" s="89"/>
      <c r="AG425" s="89"/>
      <c r="AH425" s="89"/>
    </row>
    <row r="426">
      <c r="A426" s="8" t="s">
        <v>564</v>
      </c>
      <c r="B426" s="97"/>
      <c r="C426" s="8"/>
      <c r="D426" s="89" t="str">
        <f t="shared" si="1"/>
        <v/>
      </c>
      <c r="E426" s="89" t="str">
        <f t="shared" si="2"/>
        <v>OT Hours</v>
      </c>
      <c r="F426" s="89" t="str">
        <f>IFERROR(VLOOKUP(C426,'Employees List'!$B$1:$G$999,2,0),"")</f>
        <v/>
      </c>
      <c r="G426" s="89" t="str">
        <f t="shared" si="23"/>
        <v>#DIV/0!</v>
      </c>
      <c r="H426" s="98"/>
      <c r="I426" s="89" t="str">
        <f>IFERROR(VLOOKUP(F426,'Employees List'!$C:$F,2,0),"")</f>
        <v/>
      </c>
      <c r="J426" s="93" t="str">
        <f>IFERROR(VLOOKUP(C426,'Employees List'!$B$2:$G$991,5,0),"")</f>
        <v/>
      </c>
      <c r="K426" s="95" t="str">
        <f>IFERROR(VLOOKUP(F426,'Employees List'!$C$1:$AB$991,5,0),"")</f>
        <v/>
      </c>
      <c r="L426" s="91">
        <f t="shared" si="3"/>
        <v>0</v>
      </c>
      <c r="M426" s="91">
        <f t="shared" si="4"/>
        <v>0</v>
      </c>
      <c r="N426" s="89" t="str">
        <f>IFERROR(VLOOKUP(B426,'Employees List'!$A$2:$H$991,8,0),"")</f>
        <v/>
      </c>
      <c r="O426" s="89" t="str">
        <f>IFERROR(VLOOKUP(D426,'Daily Attendance Report 24-25'!A390:BP999,5,0),"")</f>
        <v/>
      </c>
      <c r="P426" s="89" t="str">
        <f>IFERROR(VLOOKUP(E426,'Daily Attendance Report 24-25'!$A$1:$BO$617,5,0),"")</f>
        <v/>
      </c>
      <c r="Q426" s="89"/>
      <c r="R426" s="89"/>
      <c r="S426" s="89" t="str">
        <f t="shared" si="17"/>
        <v>#DIV/0!</v>
      </c>
      <c r="T426" s="89" t="str">
        <f t="shared" si="6"/>
        <v>#DIV/0!</v>
      </c>
      <c r="U426" s="89" t="str">
        <f t="shared" si="25"/>
        <v>#DIV/0!</v>
      </c>
      <c r="V426" s="89" t="str">
        <f t="shared" si="24"/>
        <v>#DIV/0!</v>
      </c>
      <c r="W426" s="89" t="str">
        <f t="shared" si="9"/>
        <v>#DIV/0!</v>
      </c>
      <c r="X426" s="89"/>
      <c r="Y426" s="89"/>
      <c r="Z426" s="89"/>
      <c r="AA426" s="89"/>
      <c r="AB426" s="89"/>
      <c r="AC426" s="89"/>
      <c r="AD426" s="89"/>
      <c r="AE426" s="89"/>
      <c r="AF426" s="89"/>
      <c r="AG426" s="89"/>
      <c r="AH426" s="89"/>
    </row>
    <row r="427">
      <c r="A427" s="8" t="s">
        <v>565</v>
      </c>
      <c r="B427" s="97"/>
      <c r="C427" s="8"/>
      <c r="D427" s="89" t="str">
        <f t="shared" si="1"/>
        <v/>
      </c>
      <c r="E427" s="89" t="str">
        <f t="shared" si="2"/>
        <v>OT Hours</v>
      </c>
      <c r="F427" s="89" t="str">
        <f>IFERROR(VLOOKUP(C427,'Employees List'!$B$1:$G$999,2,0),"")</f>
        <v/>
      </c>
      <c r="G427" s="89" t="str">
        <f t="shared" si="23"/>
        <v>#DIV/0!</v>
      </c>
      <c r="H427" s="98"/>
      <c r="I427" s="89" t="str">
        <f>IFERROR(VLOOKUP(F427,'Employees List'!$C:$F,2,0),"")</f>
        <v/>
      </c>
      <c r="J427" s="93" t="str">
        <f>IFERROR(VLOOKUP(C427,'Employees List'!$B$2:$G$991,5,0),"")</f>
        <v/>
      </c>
      <c r="K427" s="95" t="str">
        <f>IFERROR(VLOOKUP(F427,'Employees List'!$C$1:$AB$991,5,0),"")</f>
        <v/>
      </c>
      <c r="L427" s="91">
        <f t="shared" si="3"/>
        <v>0</v>
      </c>
      <c r="M427" s="91">
        <f t="shared" si="4"/>
        <v>0</v>
      </c>
      <c r="N427" s="89" t="str">
        <f>IFERROR(VLOOKUP(B427,'Employees List'!$A$2:$H$991,8,0),"")</f>
        <v/>
      </c>
      <c r="O427" s="89" t="str">
        <f>IFERROR(VLOOKUP(D427,'Daily Attendance Report 24-25'!A391:BP999,5,0),"")</f>
        <v/>
      </c>
      <c r="P427" s="89" t="str">
        <f>IFERROR(VLOOKUP(E427,'Daily Attendance Report 24-25'!$A$1:$BO$617,5,0),"")</f>
        <v/>
      </c>
      <c r="Q427" s="89"/>
      <c r="R427" s="89"/>
      <c r="S427" s="89" t="str">
        <f t="shared" si="17"/>
        <v>#DIV/0!</v>
      </c>
      <c r="T427" s="89" t="str">
        <f t="shared" si="6"/>
        <v>#DIV/0!</v>
      </c>
      <c r="U427" s="89" t="str">
        <f t="shared" si="25"/>
        <v>#DIV/0!</v>
      </c>
      <c r="V427" s="89" t="str">
        <f t="shared" si="24"/>
        <v>#DIV/0!</v>
      </c>
      <c r="W427" s="89" t="str">
        <f t="shared" si="9"/>
        <v>#DIV/0!</v>
      </c>
      <c r="X427" s="89"/>
      <c r="Y427" s="89"/>
      <c r="Z427" s="89"/>
      <c r="AA427" s="89"/>
      <c r="AB427" s="89"/>
      <c r="AC427" s="89"/>
      <c r="AD427" s="89"/>
      <c r="AE427" s="89"/>
      <c r="AF427" s="89"/>
      <c r="AG427" s="89"/>
      <c r="AH427" s="89"/>
    </row>
    <row r="428">
      <c r="A428" s="8" t="s">
        <v>566</v>
      </c>
      <c r="B428" s="97"/>
      <c r="C428" s="8"/>
      <c r="D428" s="89" t="str">
        <f t="shared" si="1"/>
        <v/>
      </c>
      <c r="E428" s="89" t="str">
        <f t="shared" si="2"/>
        <v>OT Hours</v>
      </c>
      <c r="F428" s="89" t="str">
        <f>IFERROR(VLOOKUP(C428,'Employees List'!$B$1:$G$999,2,0),"")</f>
        <v/>
      </c>
      <c r="G428" s="89" t="str">
        <f t="shared" si="23"/>
        <v>#DIV/0!</v>
      </c>
      <c r="H428" s="98"/>
      <c r="I428" s="89" t="str">
        <f>IFERROR(VLOOKUP(F428,'Employees List'!$C:$F,2,0),"")</f>
        <v/>
      </c>
      <c r="J428" s="93" t="str">
        <f>IFERROR(VLOOKUP(C428,'Employees List'!$B$2:$G$991,5,0),"")</f>
        <v/>
      </c>
      <c r="K428" s="95" t="str">
        <f>IFERROR(VLOOKUP(F428,'Employees List'!$C$1:$AB$991,5,0),"")</f>
        <v/>
      </c>
      <c r="L428" s="91">
        <f t="shared" si="3"/>
        <v>0</v>
      </c>
      <c r="M428" s="91">
        <f t="shared" si="4"/>
        <v>0</v>
      </c>
      <c r="N428" s="89" t="str">
        <f>IFERROR(VLOOKUP(B428,'Employees List'!$A$2:$H$991,8,0),"")</f>
        <v/>
      </c>
      <c r="O428" s="89" t="str">
        <f>IFERROR(VLOOKUP(D428,'Daily Attendance Report 24-25'!A392:BP999,5,0),"")</f>
        <v/>
      </c>
      <c r="P428" s="89" t="str">
        <f>IFERROR(VLOOKUP(E428,'Daily Attendance Report 24-25'!$A$1:$BO$617,5,0),"")</f>
        <v/>
      </c>
      <c r="Q428" s="89"/>
      <c r="R428" s="89"/>
      <c r="S428" s="89" t="str">
        <f t="shared" si="17"/>
        <v>#DIV/0!</v>
      </c>
      <c r="T428" s="89" t="str">
        <f t="shared" si="6"/>
        <v>#DIV/0!</v>
      </c>
      <c r="U428" s="89" t="str">
        <f t="shared" si="25"/>
        <v>#DIV/0!</v>
      </c>
      <c r="V428" s="89" t="str">
        <f t="shared" si="24"/>
        <v>#DIV/0!</v>
      </c>
      <c r="W428" s="89" t="str">
        <f t="shared" si="9"/>
        <v>#DIV/0!</v>
      </c>
      <c r="X428" s="89"/>
      <c r="Y428" s="89"/>
      <c r="Z428" s="89"/>
      <c r="AA428" s="89"/>
      <c r="AB428" s="89"/>
      <c r="AC428" s="89"/>
      <c r="AD428" s="89"/>
      <c r="AE428" s="89"/>
      <c r="AF428" s="89"/>
      <c r="AG428" s="89"/>
      <c r="AH428" s="89"/>
    </row>
    <row r="429">
      <c r="A429" s="8" t="s">
        <v>567</v>
      </c>
      <c r="B429" s="97"/>
      <c r="C429" s="8"/>
      <c r="D429" s="89" t="str">
        <f t="shared" si="1"/>
        <v/>
      </c>
      <c r="E429" s="89" t="str">
        <f t="shared" si="2"/>
        <v>OT Hours</v>
      </c>
      <c r="F429" s="89" t="str">
        <f>IFERROR(VLOOKUP(C429,'Employees List'!$B$1:$G$999,2,0),"")</f>
        <v/>
      </c>
      <c r="G429" s="89" t="str">
        <f t="shared" si="23"/>
        <v>#DIV/0!</v>
      </c>
      <c r="H429" s="98"/>
      <c r="I429" s="89" t="str">
        <f>IFERROR(VLOOKUP(F429,'Employees List'!$C:$F,2,0),"")</f>
        <v/>
      </c>
      <c r="J429" s="93" t="str">
        <f>IFERROR(VLOOKUP(C429,'Employees List'!$B$2:$G$991,5,0),"")</f>
        <v/>
      </c>
      <c r="K429" s="95" t="str">
        <f>IFERROR(VLOOKUP(F429,'Employees List'!$C$1:$AB$991,5,0),"")</f>
        <v/>
      </c>
      <c r="L429" s="91">
        <f t="shared" si="3"/>
        <v>0</v>
      </c>
      <c r="M429" s="91">
        <f t="shared" si="4"/>
        <v>0</v>
      </c>
      <c r="N429" s="89" t="str">
        <f>IFERROR(VLOOKUP(B429,'Employees List'!$A$2:$H$991,8,0),"")</f>
        <v/>
      </c>
      <c r="O429" s="89" t="str">
        <f>IFERROR(VLOOKUP(D429,'Daily Attendance Report 24-25'!A393:BP999,5,0),"")</f>
        <v/>
      </c>
      <c r="P429" s="89" t="str">
        <f>IFERROR(VLOOKUP(E429,'Daily Attendance Report 24-25'!$A$1:$BO$617,5,0),"")</f>
        <v/>
      </c>
      <c r="Q429" s="89"/>
      <c r="R429" s="89"/>
      <c r="S429" s="89" t="str">
        <f t="shared" si="17"/>
        <v>#DIV/0!</v>
      </c>
      <c r="T429" s="89" t="str">
        <f t="shared" si="6"/>
        <v>#DIV/0!</v>
      </c>
      <c r="U429" s="89" t="str">
        <f t="shared" si="25"/>
        <v>#DIV/0!</v>
      </c>
      <c r="V429" s="89" t="str">
        <f t="shared" si="24"/>
        <v>#DIV/0!</v>
      </c>
      <c r="W429" s="89" t="str">
        <f t="shared" si="9"/>
        <v>#DIV/0!</v>
      </c>
      <c r="X429" s="89"/>
      <c r="Y429" s="89"/>
      <c r="Z429" s="89"/>
      <c r="AA429" s="89"/>
      <c r="AB429" s="89"/>
      <c r="AC429" s="89"/>
      <c r="AD429" s="89"/>
      <c r="AE429" s="89"/>
      <c r="AF429" s="89"/>
      <c r="AG429" s="89"/>
      <c r="AH429" s="89"/>
    </row>
    <row r="430">
      <c r="A430" s="8" t="s">
        <v>568</v>
      </c>
      <c r="B430" s="97"/>
      <c r="C430" s="8"/>
      <c r="D430" s="89" t="str">
        <f t="shared" si="1"/>
        <v/>
      </c>
      <c r="E430" s="89" t="str">
        <f t="shared" si="2"/>
        <v>OT Hours</v>
      </c>
      <c r="F430" s="89" t="str">
        <f>IFERROR(VLOOKUP(C430,'Employees List'!$B$1:$G$999,2,0),"")</f>
        <v/>
      </c>
      <c r="G430" s="89" t="str">
        <f t="shared" si="23"/>
        <v>#DIV/0!</v>
      </c>
      <c r="H430" s="98"/>
      <c r="I430" s="89" t="str">
        <f>IFERROR(VLOOKUP(F430,'Employees List'!$C:$F,2,0),"")</f>
        <v/>
      </c>
      <c r="J430" s="93" t="str">
        <f>IFERROR(VLOOKUP(C430,'Employees List'!$B$2:$G$991,5,0),"")</f>
        <v/>
      </c>
      <c r="K430" s="95" t="str">
        <f>IFERROR(VLOOKUP(F430,'Employees List'!$C$1:$AB$991,5,0),"")</f>
        <v/>
      </c>
      <c r="L430" s="91">
        <f t="shared" si="3"/>
        <v>0</v>
      </c>
      <c r="M430" s="91">
        <f t="shared" si="4"/>
        <v>0</v>
      </c>
      <c r="N430" s="89" t="str">
        <f>IFERROR(VLOOKUP(B430,'Employees List'!$A$2:$H$991,8,0),"")</f>
        <v/>
      </c>
      <c r="O430" s="89" t="str">
        <f>IFERROR(VLOOKUP(D430,'Daily Attendance Report 24-25'!A394:BP999,5,0),"")</f>
        <v/>
      </c>
      <c r="P430" s="89" t="str">
        <f>IFERROR(VLOOKUP(E430,'Daily Attendance Report 24-25'!$A$1:$BO$617,5,0),"")</f>
        <v/>
      </c>
      <c r="Q430" s="89"/>
      <c r="R430" s="89"/>
      <c r="S430" s="89" t="str">
        <f t="shared" si="17"/>
        <v>#DIV/0!</v>
      </c>
      <c r="T430" s="89" t="str">
        <f t="shared" si="6"/>
        <v>#DIV/0!</v>
      </c>
      <c r="U430" s="89" t="str">
        <f t="shared" si="25"/>
        <v>#DIV/0!</v>
      </c>
      <c r="V430" s="89" t="str">
        <f t="shared" si="24"/>
        <v>#DIV/0!</v>
      </c>
      <c r="W430" s="89" t="str">
        <f t="shared" si="9"/>
        <v>#DIV/0!</v>
      </c>
      <c r="X430" s="89"/>
      <c r="Y430" s="89"/>
      <c r="Z430" s="89"/>
      <c r="AA430" s="89"/>
      <c r="AB430" s="89"/>
      <c r="AC430" s="89"/>
      <c r="AD430" s="89"/>
      <c r="AE430" s="89"/>
      <c r="AF430" s="89"/>
      <c r="AG430" s="89"/>
      <c r="AH430" s="89"/>
    </row>
    <row r="431">
      <c r="A431" s="8" t="s">
        <v>569</v>
      </c>
      <c r="B431" s="97"/>
      <c r="C431" s="8"/>
      <c r="D431" s="89" t="str">
        <f t="shared" si="1"/>
        <v/>
      </c>
      <c r="E431" s="89" t="str">
        <f t="shared" si="2"/>
        <v>OT Hours</v>
      </c>
      <c r="F431" s="89" t="str">
        <f>IFERROR(VLOOKUP(C431,'Employees List'!$B$1:$G$999,2,0),"")</f>
        <v/>
      </c>
      <c r="G431" s="89" t="str">
        <f t="shared" si="23"/>
        <v>#DIV/0!</v>
      </c>
      <c r="H431" s="98"/>
      <c r="I431" s="89" t="str">
        <f>IFERROR(VLOOKUP(F431,'Employees List'!$C:$F,2,0),"")</f>
        <v/>
      </c>
      <c r="J431" s="93" t="str">
        <f>IFERROR(VLOOKUP(C431,'Employees List'!$B$2:$G$991,5,0),"")</f>
        <v/>
      </c>
      <c r="K431" s="95" t="str">
        <f>IFERROR(VLOOKUP(F431,'Employees List'!$C$1:$AB$991,5,0),"")</f>
        <v/>
      </c>
      <c r="L431" s="91">
        <f t="shared" si="3"/>
        <v>0</v>
      </c>
      <c r="M431" s="91">
        <f t="shared" si="4"/>
        <v>0</v>
      </c>
      <c r="N431" s="89" t="str">
        <f>IFERROR(VLOOKUP(B431,'Employees List'!$A$2:$H$991,8,0),"")</f>
        <v/>
      </c>
      <c r="O431" s="89" t="str">
        <f>IFERROR(VLOOKUP(D431,'Daily Attendance Report 24-25'!A395:BP999,5,0),"")</f>
        <v/>
      </c>
      <c r="P431" s="89" t="str">
        <f>IFERROR(VLOOKUP(E431,'Daily Attendance Report 24-25'!$A$1:$BO$617,5,0),"")</f>
        <v/>
      </c>
      <c r="Q431" s="89"/>
      <c r="R431" s="89"/>
      <c r="S431" s="89" t="str">
        <f t="shared" si="17"/>
        <v>#DIV/0!</v>
      </c>
      <c r="T431" s="89" t="str">
        <f t="shared" si="6"/>
        <v>#DIV/0!</v>
      </c>
      <c r="U431" s="89" t="str">
        <f t="shared" si="25"/>
        <v>#DIV/0!</v>
      </c>
      <c r="V431" s="89" t="str">
        <f t="shared" si="24"/>
        <v>#DIV/0!</v>
      </c>
      <c r="W431" s="89" t="str">
        <f t="shared" si="9"/>
        <v>#DIV/0!</v>
      </c>
      <c r="X431" s="89"/>
      <c r="Y431" s="89"/>
      <c r="Z431" s="89"/>
      <c r="AA431" s="89"/>
      <c r="AB431" s="89"/>
      <c r="AC431" s="89"/>
      <c r="AD431" s="89"/>
      <c r="AE431" s="89"/>
      <c r="AF431" s="89"/>
      <c r="AG431" s="89"/>
      <c r="AH431" s="89"/>
    </row>
    <row r="432">
      <c r="A432" s="8" t="s">
        <v>570</v>
      </c>
      <c r="B432" s="97"/>
      <c r="C432" s="8"/>
      <c r="D432" s="89" t="str">
        <f t="shared" si="1"/>
        <v/>
      </c>
      <c r="E432" s="89" t="str">
        <f t="shared" si="2"/>
        <v>OT Hours</v>
      </c>
      <c r="F432" s="89" t="str">
        <f>IFERROR(VLOOKUP(C432,'Employees List'!$B$1:$G$999,2,0),"")</f>
        <v/>
      </c>
      <c r="G432" s="89" t="str">
        <f t="shared" si="23"/>
        <v>#DIV/0!</v>
      </c>
      <c r="H432" s="98"/>
      <c r="I432" s="89" t="str">
        <f>IFERROR(VLOOKUP(F432,'Employees List'!$C:$F,2,0),"")</f>
        <v/>
      </c>
      <c r="J432" s="93" t="str">
        <f>IFERROR(VLOOKUP(C432,'Employees List'!$B$2:$G$991,5,0),"")</f>
        <v/>
      </c>
      <c r="K432" s="95" t="str">
        <f>IFERROR(VLOOKUP(F432,'Employees List'!$C$1:$AB$991,5,0),"")</f>
        <v/>
      </c>
      <c r="L432" s="91">
        <f t="shared" si="3"/>
        <v>0</v>
      </c>
      <c r="M432" s="91">
        <f t="shared" si="4"/>
        <v>0</v>
      </c>
      <c r="N432" s="89" t="str">
        <f>IFERROR(VLOOKUP(B432,'Employees List'!$A$2:$H$991,8,0),"")</f>
        <v/>
      </c>
      <c r="O432" s="89" t="str">
        <f>IFERROR(VLOOKUP(D432,'Daily Attendance Report 24-25'!A396:BP999,5,0),"")</f>
        <v/>
      </c>
      <c r="P432" s="89" t="str">
        <f>IFERROR(VLOOKUP(E432,'Daily Attendance Report 24-25'!$A$1:$BO$617,5,0),"")</f>
        <v/>
      </c>
      <c r="Q432" s="89"/>
      <c r="R432" s="89"/>
      <c r="S432" s="89" t="str">
        <f t="shared" si="17"/>
        <v>#DIV/0!</v>
      </c>
      <c r="T432" s="89" t="str">
        <f t="shared" si="6"/>
        <v>#DIV/0!</v>
      </c>
      <c r="U432" s="89" t="str">
        <f t="shared" si="25"/>
        <v>#DIV/0!</v>
      </c>
      <c r="V432" s="89" t="str">
        <f t="shared" si="24"/>
        <v>#DIV/0!</v>
      </c>
      <c r="W432" s="89" t="str">
        <f t="shared" si="9"/>
        <v>#DIV/0!</v>
      </c>
      <c r="X432" s="89"/>
      <c r="Y432" s="89"/>
      <c r="Z432" s="89"/>
      <c r="AA432" s="89"/>
      <c r="AB432" s="89"/>
      <c r="AC432" s="89"/>
      <c r="AD432" s="89"/>
      <c r="AE432" s="89"/>
      <c r="AF432" s="89"/>
      <c r="AG432" s="89"/>
      <c r="AH432" s="89"/>
    </row>
    <row r="433">
      <c r="A433" s="8" t="s">
        <v>571</v>
      </c>
      <c r="B433" s="97"/>
      <c r="C433" s="8"/>
      <c r="D433" s="89" t="str">
        <f t="shared" si="1"/>
        <v/>
      </c>
      <c r="E433" s="89" t="str">
        <f t="shared" si="2"/>
        <v>OT Hours</v>
      </c>
      <c r="F433" s="89" t="str">
        <f>IFERROR(VLOOKUP(C433,'Employees List'!$B$1:$G$999,2,0),"")</f>
        <v/>
      </c>
      <c r="G433" s="89" t="str">
        <f t="shared" si="23"/>
        <v>#DIV/0!</v>
      </c>
      <c r="H433" s="98"/>
      <c r="I433" s="89" t="str">
        <f>IFERROR(VLOOKUP(F433,'Employees List'!$C:$F,2,0),"")</f>
        <v/>
      </c>
      <c r="J433" s="93" t="str">
        <f>IFERROR(VLOOKUP(C433,'Employees List'!$B$2:$G$991,5,0),"")</f>
        <v/>
      </c>
      <c r="K433" s="95" t="str">
        <f>IFERROR(VLOOKUP(F433,'Employees List'!$C$1:$AB$991,5,0),"")</f>
        <v/>
      </c>
      <c r="L433" s="91">
        <f t="shared" si="3"/>
        <v>0</v>
      </c>
      <c r="M433" s="91">
        <f t="shared" si="4"/>
        <v>0</v>
      </c>
      <c r="N433" s="89" t="str">
        <f>IFERROR(VLOOKUP(B433,'Employees List'!$A$2:$H$991,8,0),"")</f>
        <v/>
      </c>
      <c r="O433" s="89" t="str">
        <f>IFERROR(VLOOKUP(D433,'Daily Attendance Report 24-25'!A397:BP999,5,0),"")</f>
        <v/>
      </c>
      <c r="P433" s="89" t="str">
        <f>IFERROR(VLOOKUP(E433,'Daily Attendance Report 24-25'!$A$1:$BO$617,5,0),"")</f>
        <v/>
      </c>
      <c r="Q433" s="89"/>
      <c r="R433" s="89"/>
      <c r="S433" s="89" t="str">
        <f t="shared" si="17"/>
        <v>#DIV/0!</v>
      </c>
      <c r="T433" s="89" t="str">
        <f t="shared" si="6"/>
        <v>#DIV/0!</v>
      </c>
      <c r="U433" s="89" t="str">
        <f t="shared" si="25"/>
        <v>#DIV/0!</v>
      </c>
      <c r="V433" s="89" t="str">
        <f t="shared" si="24"/>
        <v>#DIV/0!</v>
      </c>
      <c r="W433" s="89" t="str">
        <f t="shared" si="9"/>
        <v>#DIV/0!</v>
      </c>
      <c r="X433" s="89"/>
      <c r="Y433" s="89"/>
      <c r="Z433" s="89"/>
      <c r="AA433" s="89"/>
      <c r="AB433" s="89"/>
      <c r="AC433" s="89"/>
      <c r="AD433" s="89"/>
      <c r="AE433" s="89"/>
      <c r="AF433" s="89"/>
      <c r="AG433" s="89"/>
      <c r="AH433" s="89"/>
    </row>
    <row r="434">
      <c r="A434" s="8" t="s">
        <v>572</v>
      </c>
      <c r="B434" s="97"/>
      <c r="C434" s="8"/>
      <c r="D434" s="89" t="str">
        <f t="shared" si="1"/>
        <v/>
      </c>
      <c r="E434" s="89" t="str">
        <f t="shared" si="2"/>
        <v>OT Hours</v>
      </c>
      <c r="F434" s="89" t="str">
        <f>IFERROR(VLOOKUP(C434,'Employees List'!$B$1:$G$999,2,0),"")</f>
        <v/>
      </c>
      <c r="G434" s="89" t="str">
        <f t="shared" si="23"/>
        <v>#DIV/0!</v>
      </c>
      <c r="H434" s="98"/>
      <c r="I434" s="89" t="str">
        <f>IFERROR(VLOOKUP(F434,'Employees List'!$C:$F,2,0),"")</f>
        <v/>
      </c>
      <c r="J434" s="93" t="str">
        <f>IFERROR(VLOOKUP(C434,'Employees List'!$B$2:$G$991,5,0),"")</f>
        <v/>
      </c>
      <c r="K434" s="95" t="str">
        <f>IFERROR(VLOOKUP(F434,'Employees List'!$C$1:$AB$991,5,0),"")</f>
        <v/>
      </c>
      <c r="L434" s="91">
        <f t="shared" si="3"/>
        <v>0</v>
      </c>
      <c r="M434" s="91">
        <f t="shared" si="4"/>
        <v>0</v>
      </c>
      <c r="N434" s="89" t="str">
        <f>IFERROR(VLOOKUP(B434,'Employees List'!$A$2:$H$991,8,0),"")</f>
        <v/>
      </c>
      <c r="O434" s="89" t="str">
        <f>IFERROR(VLOOKUP(D434,'Daily Attendance Report 24-25'!A398:BP999,5,0),"")</f>
        <v/>
      </c>
      <c r="P434" s="89" t="str">
        <f>IFERROR(VLOOKUP(E434,'Daily Attendance Report 24-25'!$A$1:$BO$617,5,0),"")</f>
        <v/>
      </c>
      <c r="Q434" s="89"/>
      <c r="R434" s="89"/>
      <c r="S434" s="89" t="str">
        <f t="shared" si="17"/>
        <v>#DIV/0!</v>
      </c>
      <c r="T434" s="89" t="str">
        <f t="shared" si="6"/>
        <v>#DIV/0!</v>
      </c>
      <c r="U434" s="89" t="str">
        <f t="shared" si="25"/>
        <v>#DIV/0!</v>
      </c>
      <c r="V434" s="89" t="str">
        <f t="shared" si="24"/>
        <v>#DIV/0!</v>
      </c>
      <c r="W434" s="89" t="str">
        <f t="shared" si="9"/>
        <v>#DIV/0!</v>
      </c>
      <c r="X434" s="89"/>
      <c r="Y434" s="89"/>
      <c r="Z434" s="89"/>
      <c r="AA434" s="89"/>
      <c r="AB434" s="89"/>
      <c r="AC434" s="89"/>
      <c r="AD434" s="89"/>
      <c r="AE434" s="89"/>
      <c r="AF434" s="89"/>
      <c r="AG434" s="89"/>
      <c r="AH434" s="89"/>
    </row>
    <row r="435">
      <c r="A435" s="8" t="s">
        <v>573</v>
      </c>
      <c r="B435" s="97"/>
      <c r="C435" s="8"/>
      <c r="D435" s="89" t="str">
        <f t="shared" si="1"/>
        <v/>
      </c>
      <c r="E435" s="89" t="str">
        <f t="shared" si="2"/>
        <v>OT Hours</v>
      </c>
      <c r="F435" s="89" t="str">
        <f>IFERROR(VLOOKUP(C435,'Employees List'!$B$1:$G$999,2,0),"")</f>
        <v/>
      </c>
      <c r="G435" s="89" t="str">
        <f t="shared" si="23"/>
        <v>#DIV/0!</v>
      </c>
      <c r="H435" s="98"/>
      <c r="I435" s="89" t="str">
        <f>IFERROR(VLOOKUP(F435,'Employees List'!$C:$F,2,0),"")</f>
        <v/>
      </c>
      <c r="J435" s="93" t="str">
        <f>IFERROR(VLOOKUP(C435,'Employees List'!$B$2:$G$991,5,0),"")</f>
        <v/>
      </c>
      <c r="K435" s="95" t="str">
        <f>IFERROR(VLOOKUP(F435,'Employees List'!$C$1:$AB$991,5,0),"")</f>
        <v/>
      </c>
      <c r="L435" s="91">
        <f t="shared" si="3"/>
        <v>0</v>
      </c>
      <c r="M435" s="91">
        <f t="shared" si="4"/>
        <v>0</v>
      </c>
      <c r="N435" s="89" t="str">
        <f>IFERROR(VLOOKUP(B435,'Employees List'!$A$2:$H$991,8,0),"")</f>
        <v/>
      </c>
      <c r="O435" s="89" t="str">
        <f>IFERROR(VLOOKUP(D435,'Daily Attendance Report 24-25'!A399:BP999,5,0),"")</f>
        <v/>
      </c>
      <c r="P435" s="89" t="str">
        <f>IFERROR(VLOOKUP(E435,'Daily Attendance Report 24-25'!$A$1:$BO$617,5,0),"")</f>
        <v/>
      </c>
      <c r="Q435" s="89"/>
      <c r="R435" s="89"/>
      <c r="S435" s="89" t="str">
        <f t="shared" si="17"/>
        <v>#DIV/0!</v>
      </c>
      <c r="T435" s="89" t="str">
        <f t="shared" si="6"/>
        <v>#DIV/0!</v>
      </c>
      <c r="U435" s="89" t="str">
        <f t="shared" si="25"/>
        <v>#DIV/0!</v>
      </c>
      <c r="V435" s="89" t="str">
        <f t="shared" si="24"/>
        <v>#DIV/0!</v>
      </c>
      <c r="W435" s="89" t="str">
        <f t="shared" si="9"/>
        <v>#DIV/0!</v>
      </c>
      <c r="X435" s="89"/>
      <c r="Y435" s="89"/>
      <c r="Z435" s="89"/>
      <c r="AA435" s="89"/>
      <c r="AB435" s="89"/>
      <c r="AC435" s="89"/>
      <c r="AD435" s="89"/>
      <c r="AE435" s="89"/>
      <c r="AF435" s="89"/>
      <c r="AG435" s="89"/>
      <c r="AH435" s="89"/>
    </row>
    <row r="436">
      <c r="A436" s="8" t="s">
        <v>574</v>
      </c>
      <c r="B436" s="97"/>
      <c r="C436" s="8"/>
      <c r="D436" s="89" t="str">
        <f t="shared" si="1"/>
        <v/>
      </c>
      <c r="E436" s="89" t="str">
        <f t="shared" si="2"/>
        <v>OT Hours</v>
      </c>
      <c r="F436" s="89" t="str">
        <f>IFERROR(VLOOKUP(C436,'Employees List'!$B$1:$G$999,2,0),"")</f>
        <v/>
      </c>
      <c r="G436" s="89" t="str">
        <f t="shared" si="23"/>
        <v>#DIV/0!</v>
      </c>
      <c r="H436" s="98"/>
      <c r="I436" s="89" t="str">
        <f>IFERROR(VLOOKUP(F436,'Employees List'!$C:$F,2,0),"")</f>
        <v/>
      </c>
      <c r="J436" s="93" t="str">
        <f>IFERROR(VLOOKUP(C436,'Employees List'!$B$2:$G$991,5,0),"")</f>
        <v/>
      </c>
      <c r="K436" s="95" t="str">
        <f>IFERROR(VLOOKUP(F436,'Employees List'!$C$1:$AB$991,5,0),"")</f>
        <v/>
      </c>
      <c r="L436" s="91">
        <f t="shared" si="3"/>
        <v>0</v>
      </c>
      <c r="M436" s="91">
        <f t="shared" si="4"/>
        <v>0</v>
      </c>
      <c r="N436" s="89" t="str">
        <f>IFERROR(VLOOKUP(B436,'Employees List'!$A$2:$H$991,8,0),"")</f>
        <v/>
      </c>
      <c r="O436" s="89" t="str">
        <f>IFERROR(VLOOKUP(D436,'Daily Attendance Report 24-25'!A400:BP999,5,0),"")</f>
        <v/>
      </c>
      <c r="P436" s="89" t="str">
        <f>IFERROR(VLOOKUP(E436,'Daily Attendance Report 24-25'!$A$1:$BO$617,5,0),"")</f>
        <v/>
      </c>
      <c r="Q436" s="89"/>
      <c r="R436" s="89"/>
      <c r="S436" s="89" t="str">
        <f t="shared" si="17"/>
        <v>#DIV/0!</v>
      </c>
      <c r="T436" s="89" t="str">
        <f t="shared" si="6"/>
        <v>#DIV/0!</v>
      </c>
      <c r="U436" s="89" t="str">
        <f t="shared" si="25"/>
        <v>#DIV/0!</v>
      </c>
      <c r="V436" s="89" t="str">
        <f t="shared" si="24"/>
        <v>#DIV/0!</v>
      </c>
      <c r="W436" s="89" t="str">
        <f t="shared" si="9"/>
        <v>#DIV/0!</v>
      </c>
      <c r="X436" s="89"/>
      <c r="Y436" s="89"/>
      <c r="Z436" s="89"/>
      <c r="AA436" s="89"/>
      <c r="AB436" s="89"/>
      <c r="AC436" s="89"/>
      <c r="AD436" s="89"/>
      <c r="AE436" s="89"/>
      <c r="AF436" s="89"/>
      <c r="AG436" s="89"/>
      <c r="AH436" s="89"/>
    </row>
    <row r="437">
      <c r="A437" s="8" t="s">
        <v>575</v>
      </c>
      <c r="B437" s="97"/>
      <c r="C437" s="8"/>
      <c r="D437" s="89" t="str">
        <f t="shared" si="1"/>
        <v/>
      </c>
      <c r="E437" s="89" t="str">
        <f t="shared" si="2"/>
        <v>OT Hours</v>
      </c>
      <c r="F437" s="89" t="str">
        <f>IFERROR(VLOOKUP(C437,'Employees List'!$B$1:$G$999,2,0),"")</f>
        <v/>
      </c>
      <c r="G437" s="89" t="str">
        <f t="shared" si="23"/>
        <v>#DIV/0!</v>
      </c>
      <c r="H437" s="98"/>
      <c r="I437" s="89" t="str">
        <f>IFERROR(VLOOKUP(F437,'Employees List'!$C:$F,2,0),"")</f>
        <v/>
      </c>
      <c r="J437" s="93" t="str">
        <f>IFERROR(VLOOKUP(C437,'Employees List'!$B$2:$G$991,5,0),"")</f>
        <v/>
      </c>
      <c r="K437" s="95" t="str">
        <f>IFERROR(VLOOKUP(F437,'Employees List'!$C$1:$AB$991,5,0),"")</f>
        <v/>
      </c>
      <c r="L437" s="91">
        <f t="shared" si="3"/>
        <v>0</v>
      </c>
      <c r="M437" s="91">
        <f t="shared" si="4"/>
        <v>0</v>
      </c>
      <c r="N437" s="89" t="str">
        <f>IFERROR(VLOOKUP(B437,'Employees List'!$A$2:$H$991,8,0),"")</f>
        <v/>
      </c>
      <c r="O437" s="89" t="str">
        <f>IFERROR(VLOOKUP(D437,'Daily Attendance Report 24-25'!A401:BP999,5,0),"")</f>
        <v/>
      </c>
      <c r="P437" s="89" t="str">
        <f>IFERROR(VLOOKUP(E437,'Daily Attendance Report 24-25'!$A$1:$BO$617,5,0),"")</f>
        <v/>
      </c>
      <c r="Q437" s="89"/>
      <c r="R437" s="89"/>
      <c r="S437" s="89" t="str">
        <f t="shared" si="17"/>
        <v>#DIV/0!</v>
      </c>
      <c r="T437" s="89" t="str">
        <f t="shared" si="6"/>
        <v>#DIV/0!</v>
      </c>
      <c r="U437" s="89" t="str">
        <f t="shared" si="25"/>
        <v>#DIV/0!</v>
      </c>
      <c r="V437" s="89" t="str">
        <f t="shared" si="24"/>
        <v>#DIV/0!</v>
      </c>
      <c r="W437" s="89" t="str">
        <f t="shared" si="9"/>
        <v>#DIV/0!</v>
      </c>
      <c r="X437" s="89"/>
      <c r="Y437" s="89"/>
      <c r="Z437" s="89"/>
      <c r="AA437" s="89"/>
      <c r="AB437" s="89"/>
      <c r="AC437" s="89"/>
      <c r="AD437" s="89"/>
      <c r="AE437" s="89"/>
      <c r="AF437" s="89"/>
      <c r="AG437" s="89"/>
      <c r="AH437" s="89"/>
    </row>
    <row r="438">
      <c r="A438" s="8" t="s">
        <v>576</v>
      </c>
      <c r="B438" s="97"/>
      <c r="C438" s="8"/>
      <c r="D438" s="89" t="str">
        <f t="shared" si="1"/>
        <v/>
      </c>
      <c r="E438" s="89" t="str">
        <f t="shared" si="2"/>
        <v>OT Hours</v>
      </c>
      <c r="F438" s="89" t="str">
        <f>IFERROR(VLOOKUP(C438,'Employees List'!$B$1:$G$999,2,0),"")</f>
        <v/>
      </c>
      <c r="G438" s="89" t="str">
        <f t="shared" si="23"/>
        <v>#DIV/0!</v>
      </c>
      <c r="H438" s="98"/>
      <c r="I438" s="89" t="str">
        <f>IFERROR(VLOOKUP(F438,'Employees List'!$C:$F,2,0),"")</f>
        <v/>
      </c>
      <c r="J438" s="93" t="str">
        <f>IFERROR(VLOOKUP(C438,'Employees List'!$B$2:$G$991,5,0),"")</f>
        <v/>
      </c>
      <c r="K438" s="95" t="str">
        <f>IFERROR(VLOOKUP(F438,'Employees List'!$C$1:$AB$991,5,0),"")</f>
        <v/>
      </c>
      <c r="L438" s="91">
        <f t="shared" si="3"/>
        <v>0</v>
      </c>
      <c r="M438" s="91">
        <f t="shared" si="4"/>
        <v>0</v>
      </c>
      <c r="N438" s="89" t="str">
        <f>IFERROR(VLOOKUP(B438,'Employees List'!$A$2:$H$991,8,0),"")</f>
        <v/>
      </c>
      <c r="O438" s="89" t="str">
        <f>IFERROR(VLOOKUP(D438,'Daily Attendance Report 24-25'!A402:BP999,5,0),"")</f>
        <v/>
      </c>
      <c r="P438" s="89" t="str">
        <f>IFERROR(VLOOKUP(E438,'Daily Attendance Report 24-25'!$A$1:$BO$617,5,0),"")</f>
        <v/>
      </c>
      <c r="Q438" s="89"/>
      <c r="R438" s="89"/>
      <c r="S438" s="89" t="str">
        <f t="shared" si="17"/>
        <v>#DIV/0!</v>
      </c>
      <c r="T438" s="89" t="str">
        <f t="shared" si="6"/>
        <v>#DIV/0!</v>
      </c>
      <c r="U438" s="89" t="str">
        <f t="shared" si="25"/>
        <v>#DIV/0!</v>
      </c>
      <c r="V438" s="89" t="str">
        <f t="shared" si="24"/>
        <v>#DIV/0!</v>
      </c>
      <c r="W438" s="89" t="str">
        <f t="shared" si="9"/>
        <v>#DIV/0!</v>
      </c>
      <c r="X438" s="89"/>
      <c r="Y438" s="89"/>
      <c r="Z438" s="89"/>
      <c r="AA438" s="89"/>
      <c r="AB438" s="89"/>
      <c r="AC438" s="89"/>
      <c r="AD438" s="89"/>
      <c r="AE438" s="89"/>
      <c r="AF438" s="89"/>
      <c r="AG438" s="89"/>
      <c r="AH438" s="89"/>
    </row>
    <row r="439">
      <c r="A439" s="8" t="s">
        <v>577</v>
      </c>
      <c r="B439" s="97"/>
      <c r="C439" s="8"/>
      <c r="D439" s="89" t="str">
        <f t="shared" si="1"/>
        <v/>
      </c>
      <c r="E439" s="89" t="str">
        <f t="shared" si="2"/>
        <v>OT Hours</v>
      </c>
      <c r="F439" s="89" t="str">
        <f>IFERROR(VLOOKUP(C439,'Employees List'!$B$1:$G$999,2,0),"")</f>
        <v/>
      </c>
      <c r="G439" s="89" t="str">
        <f t="shared" si="23"/>
        <v>#DIV/0!</v>
      </c>
      <c r="H439" s="98"/>
      <c r="I439" s="89" t="str">
        <f>IFERROR(VLOOKUP(F439,'Employees List'!$C:$F,2,0),"")</f>
        <v/>
      </c>
      <c r="J439" s="93" t="str">
        <f>IFERROR(VLOOKUP(C439,'Employees List'!$B$2:$G$991,5,0),"")</f>
        <v/>
      </c>
      <c r="K439" s="95" t="str">
        <f>IFERROR(VLOOKUP(F439,'Employees List'!$C$1:$AB$991,5,0),"")</f>
        <v/>
      </c>
      <c r="L439" s="91">
        <f t="shared" si="3"/>
        <v>0</v>
      </c>
      <c r="M439" s="91">
        <f t="shared" si="4"/>
        <v>0</v>
      </c>
      <c r="N439" s="89" t="str">
        <f>IFERROR(VLOOKUP(B439,'Employees List'!$A$2:$H$991,8,0),"")</f>
        <v/>
      </c>
      <c r="O439" s="89" t="str">
        <f>IFERROR(VLOOKUP(D439,'Daily Attendance Report 24-25'!A403:BP999,5,0),"")</f>
        <v/>
      </c>
      <c r="P439" s="89" t="str">
        <f>IFERROR(VLOOKUP(E439,'Daily Attendance Report 24-25'!$A$1:$BO$617,5,0),"")</f>
        <v/>
      </c>
      <c r="Q439" s="89"/>
      <c r="R439" s="89"/>
      <c r="S439" s="89" t="str">
        <f t="shared" si="17"/>
        <v>#DIV/0!</v>
      </c>
      <c r="T439" s="89" t="str">
        <f t="shared" si="6"/>
        <v>#DIV/0!</v>
      </c>
      <c r="U439" s="89" t="str">
        <f t="shared" si="25"/>
        <v>#DIV/0!</v>
      </c>
      <c r="V439" s="89" t="str">
        <f t="shared" si="24"/>
        <v>#DIV/0!</v>
      </c>
      <c r="W439" s="89" t="str">
        <f t="shared" si="9"/>
        <v>#DIV/0!</v>
      </c>
      <c r="X439" s="89"/>
      <c r="Y439" s="89"/>
      <c r="Z439" s="89"/>
      <c r="AA439" s="89"/>
      <c r="AB439" s="89"/>
      <c r="AC439" s="89"/>
      <c r="AD439" s="89"/>
      <c r="AE439" s="89"/>
      <c r="AF439" s="89"/>
      <c r="AG439" s="89"/>
      <c r="AH439" s="89"/>
    </row>
    <row r="440">
      <c r="A440" s="8" t="s">
        <v>578</v>
      </c>
      <c r="B440" s="97"/>
      <c r="C440" s="8"/>
      <c r="D440" s="89" t="str">
        <f t="shared" si="1"/>
        <v/>
      </c>
      <c r="E440" s="89" t="str">
        <f t="shared" si="2"/>
        <v>OT Hours</v>
      </c>
      <c r="F440" s="89" t="str">
        <f>IFERROR(VLOOKUP(C440,'Employees List'!$B$1:$G$999,2,0),"")</f>
        <v/>
      </c>
      <c r="G440" s="89" t="str">
        <f t="shared" si="23"/>
        <v>#DIV/0!</v>
      </c>
      <c r="H440" s="98"/>
      <c r="I440" s="89" t="str">
        <f>IFERROR(VLOOKUP(F440,'Employees List'!$C:$F,2,0),"")</f>
        <v/>
      </c>
      <c r="J440" s="93" t="str">
        <f>IFERROR(VLOOKUP(C440,'Employees List'!$B$2:$G$991,5,0),"")</f>
        <v/>
      </c>
      <c r="K440" s="95" t="str">
        <f>IFERROR(VLOOKUP(F440,'Employees List'!$C$1:$AB$991,5,0),"")</f>
        <v/>
      </c>
      <c r="L440" s="91">
        <f t="shared" si="3"/>
        <v>0</v>
      </c>
      <c r="M440" s="91">
        <f t="shared" si="4"/>
        <v>0</v>
      </c>
      <c r="N440" s="89" t="str">
        <f>IFERROR(VLOOKUP(B440,'Employees List'!$A$2:$H$991,8,0),"")</f>
        <v/>
      </c>
      <c r="O440" s="89" t="str">
        <f>IFERROR(VLOOKUP(D440,'Daily Attendance Report 24-25'!A404:BP999,5,0),"")</f>
        <v/>
      </c>
      <c r="P440" s="89" t="str">
        <f>IFERROR(VLOOKUP(E440,'Daily Attendance Report 24-25'!$A$1:$BO$617,5,0),"")</f>
        <v/>
      </c>
      <c r="Q440" s="89"/>
      <c r="R440" s="89"/>
      <c r="S440" s="89" t="str">
        <f t="shared" si="17"/>
        <v>#DIV/0!</v>
      </c>
      <c r="T440" s="89" t="str">
        <f t="shared" si="6"/>
        <v>#DIV/0!</v>
      </c>
      <c r="U440" s="89" t="str">
        <f t="shared" si="25"/>
        <v>#DIV/0!</v>
      </c>
      <c r="V440" s="89" t="str">
        <f t="shared" si="24"/>
        <v>#DIV/0!</v>
      </c>
      <c r="W440" s="89" t="str">
        <f t="shared" si="9"/>
        <v>#DIV/0!</v>
      </c>
      <c r="X440" s="89"/>
      <c r="Y440" s="89"/>
      <c r="Z440" s="89"/>
      <c r="AA440" s="89"/>
      <c r="AB440" s="89"/>
      <c r="AC440" s="89"/>
      <c r="AD440" s="89"/>
      <c r="AE440" s="89"/>
      <c r="AF440" s="89"/>
      <c r="AG440" s="89"/>
      <c r="AH440" s="89"/>
    </row>
    <row r="441">
      <c r="A441" s="8" t="s">
        <v>579</v>
      </c>
      <c r="B441" s="97"/>
      <c r="C441" s="8"/>
      <c r="D441" s="89" t="str">
        <f t="shared" si="1"/>
        <v/>
      </c>
      <c r="E441" s="89" t="str">
        <f t="shared" si="2"/>
        <v>OT Hours</v>
      </c>
      <c r="F441" s="89" t="str">
        <f>IFERROR(VLOOKUP(C441,'Employees List'!$B$1:$G$999,2,0),"")</f>
        <v/>
      </c>
      <c r="G441" s="89" t="str">
        <f t="shared" si="23"/>
        <v>#DIV/0!</v>
      </c>
      <c r="H441" s="98"/>
      <c r="I441" s="89" t="str">
        <f>IFERROR(VLOOKUP(F441,'Employees List'!$C:$F,2,0),"")</f>
        <v/>
      </c>
      <c r="J441" s="93" t="str">
        <f>IFERROR(VLOOKUP(C441,'Employees List'!$B$2:$G$991,5,0),"")</f>
        <v/>
      </c>
      <c r="K441" s="95" t="str">
        <f>IFERROR(VLOOKUP(F441,'Employees List'!$C$1:$AB$991,5,0),"")</f>
        <v/>
      </c>
      <c r="L441" s="91">
        <f t="shared" si="3"/>
        <v>0</v>
      </c>
      <c r="M441" s="91">
        <f t="shared" si="4"/>
        <v>0</v>
      </c>
      <c r="N441" s="89" t="str">
        <f>IFERROR(VLOOKUP(B441,'Employees List'!$A$2:$H$991,8,0),"")</f>
        <v/>
      </c>
      <c r="O441" s="89" t="str">
        <f>IFERROR(VLOOKUP(D441,'Daily Attendance Report 24-25'!A405:BP999,5,0),"")</f>
        <v/>
      </c>
      <c r="P441" s="89" t="str">
        <f>IFERROR(VLOOKUP(E441,'Daily Attendance Report 24-25'!$A$1:$BO$617,5,0),"")</f>
        <v/>
      </c>
      <c r="Q441" s="89"/>
      <c r="R441" s="89"/>
      <c r="S441" s="89" t="str">
        <f t="shared" si="17"/>
        <v>#DIV/0!</v>
      </c>
      <c r="T441" s="89" t="str">
        <f t="shared" si="6"/>
        <v>#DIV/0!</v>
      </c>
      <c r="U441" s="89" t="str">
        <f t="shared" si="25"/>
        <v>#DIV/0!</v>
      </c>
      <c r="V441" s="89" t="str">
        <f t="shared" si="24"/>
        <v>#DIV/0!</v>
      </c>
      <c r="W441" s="89" t="str">
        <f t="shared" si="9"/>
        <v>#DIV/0!</v>
      </c>
      <c r="X441" s="89"/>
      <c r="Y441" s="89"/>
      <c r="Z441" s="89"/>
      <c r="AA441" s="89"/>
      <c r="AB441" s="89"/>
      <c r="AC441" s="89"/>
      <c r="AD441" s="89"/>
      <c r="AE441" s="89"/>
      <c r="AF441" s="89"/>
      <c r="AG441" s="89"/>
      <c r="AH441" s="89"/>
    </row>
    <row r="442">
      <c r="A442" s="8" t="s">
        <v>580</v>
      </c>
      <c r="B442" s="97"/>
      <c r="C442" s="8"/>
      <c r="D442" s="89" t="str">
        <f t="shared" si="1"/>
        <v/>
      </c>
      <c r="E442" s="89" t="str">
        <f t="shared" si="2"/>
        <v>OT Hours</v>
      </c>
      <c r="F442" s="89" t="str">
        <f>IFERROR(VLOOKUP(C442,'Employees List'!$B$1:$G$999,2,0),"")</f>
        <v/>
      </c>
      <c r="G442" s="89" t="str">
        <f t="shared" si="23"/>
        <v>#DIV/0!</v>
      </c>
      <c r="H442" s="98"/>
      <c r="I442" s="89" t="str">
        <f>IFERROR(VLOOKUP(F442,'Employees List'!$C:$F,2,0),"")</f>
        <v/>
      </c>
      <c r="J442" s="93" t="str">
        <f>IFERROR(VLOOKUP(C442,'Employees List'!$B$2:$G$991,5,0),"")</f>
        <v/>
      </c>
      <c r="K442" s="95" t="str">
        <f>IFERROR(VLOOKUP(F442,'Employees List'!$C$1:$AB$991,5,0),"")</f>
        <v/>
      </c>
      <c r="L442" s="91">
        <f t="shared" si="3"/>
        <v>0</v>
      </c>
      <c r="M442" s="91">
        <f t="shared" si="4"/>
        <v>0</v>
      </c>
      <c r="N442" s="89" t="str">
        <f>IFERROR(VLOOKUP(B442,'Employees List'!$A$2:$H$991,8,0),"")</f>
        <v/>
      </c>
      <c r="O442" s="89" t="str">
        <f>IFERROR(VLOOKUP(D442,'Daily Attendance Report 24-25'!A406:BP999,5,0),"")</f>
        <v/>
      </c>
      <c r="P442" s="89" t="str">
        <f>IFERROR(VLOOKUP(E442,'Daily Attendance Report 24-25'!$A$1:$BO$617,5,0),"")</f>
        <v/>
      </c>
      <c r="Q442" s="89"/>
      <c r="R442" s="89"/>
      <c r="S442" s="89" t="str">
        <f t="shared" si="17"/>
        <v>#DIV/0!</v>
      </c>
      <c r="T442" s="89" t="str">
        <f t="shared" si="6"/>
        <v>#DIV/0!</v>
      </c>
      <c r="U442" s="89" t="str">
        <f t="shared" si="25"/>
        <v>#DIV/0!</v>
      </c>
      <c r="V442" s="89" t="str">
        <f t="shared" si="24"/>
        <v>#DIV/0!</v>
      </c>
      <c r="W442" s="89" t="str">
        <f t="shared" si="9"/>
        <v>#DIV/0!</v>
      </c>
      <c r="X442" s="89"/>
      <c r="Y442" s="89"/>
      <c r="Z442" s="89"/>
      <c r="AA442" s="89"/>
      <c r="AB442" s="89"/>
      <c r="AC442" s="89"/>
      <c r="AD442" s="89"/>
      <c r="AE442" s="89"/>
      <c r="AF442" s="89"/>
      <c r="AG442" s="89"/>
      <c r="AH442" s="89"/>
    </row>
    <row r="443">
      <c r="A443" s="8" t="s">
        <v>581</v>
      </c>
      <c r="B443" s="97"/>
      <c r="C443" s="8"/>
      <c r="D443" s="89" t="str">
        <f t="shared" si="1"/>
        <v/>
      </c>
      <c r="E443" s="89" t="str">
        <f t="shared" si="2"/>
        <v>OT Hours</v>
      </c>
      <c r="F443" s="89" t="str">
        <f>IFERROR(VLOOKUP(C443,'Employees List'!$B$1:$G$999,2,0),"")</f>
        <v/>
      </c>
      <c r="G443" s="89" t="str">
        <f t="shared" si="23"/>
        <v>#DIV/0!</v>
      </c>
      <c r="H443" s="98"/>
      <c r="I443" s="89" t="str">
        <f>IFERROR(VLOOKUP(F443,'Employees List'!$C:$F,2,0),"")</f>
        <v/>
      </c>
      <c r="J443" s="93" t="str">
        <f>IFERROR(VLOOKUP(C443,'Employees List'!$B$2:$G$991,5,0),"")</f>
        <v/>
      </c>
      <c r="K443" s="95" t="str">
        <f>IFERROR(VLOOKUP(F443,'Employees List'!$C$1:$AB$991,5,0),"")</f>
        <v/>
      </c>
      <c r="L443" s="91">
        <f t="shared" si="3"/>
        <v>0</v>
      </c>
      <c r="M443" s="91">
        <f t="shared" si="4"/>
        <v>0</v>
      </c>
      <c r="N443" s="89" t="str">
        <f>IFERROR(VLOOKUP(B443,'Employees List'!$A$2:$H$991,8,0),"")</f>
        <v/>
      </c>
      <c r="O443" s="89" t="str">
        <f>IFERROR(VLOOKUP(D443,'Daily Attendance Report 24-25'!A407:BP999,5,0),"")</f>
        <v/>
      </c>
      <c r="P443" s="89" t="str">
        <f>IFERROR(VLOOKUP(E443,'Daily Attendance Report 24-25'!$A$1:$BO$617,5,0),"")</f>
        <v/>
      </c>
      <c r="Q443" s="89"/>
      <c r="R443" s="89"/>
      <c r="S443" s="89" t="str">
        <f t="shared" si="17"/>
        <v>#DIV/0!</v>
      </c>
      <c r="T443" s="89" t="str">
        <f t="shared" si="6"/>
        <v>#DIV/0!</v>
      </c>
      <c r="U443" s="89" t="str">
        <f t="shared" si="25"/>
        <v>#DIV/0!</v>
      </c>
      <c r="V443" s="89" t="str">
        <f t="shared" si="24"/>
        <v>#DIV/0!</v>
      </c>
      <c r="W443" s="89" t="str">
        <f t="shared" si="9"/>
        <v>#DIV/0!</v>
      </c>
      <c r="X443" s="89"/>
      <c r="Y443" s="89"/>
      <c r="Z443" s="89"/>
      <c r="AA443" s="89"/>
      <c r="AB443" s="89"/>
      <c r="AC443" s="89"/>
      <c r="AD443" s="89"/>
      <c r="AE443" s="89"/>
      <c r="AF443" s="89"/>
      <c r="AG443" s="89"/>
      <c r="AH443" s="89"/>
    </row>
    <row r="444">
      <c r="A444" s="8" t="s">
        <v>582</v>
      </c>
      <c r="B444" s="97"/>
      <c r="C444" s="8"/>
      <c r="D444" s="89" t="str">
        <f t="shared" si="1"/>
        <v/>
      </c>
      <c r="E444" s="89" t="str">
        <f t="shared" si="2"/>
        <v>OT Hours</v>
      </c>
      <c r="F444" s="89" t="str">
        <f>IFERROR(VLOOKUP(C444,'Employees List'!$B$1:$G$999,2,0),"")</f>
        <v/>
      </c>
      <c r="G444" s="89" t="str">
        <f t="shared" si="23"/>
        <v>#DIV/0!</v>
      </c>
      <c r="H444" s="98"/>
      <c r="I444" s="89" t="str">
        <f>IFERROR(VLOOKUP(F444,'Employees List'!$C:$F,2,0),"")</f>
        <v/>
      </c>
      <c r="J444" s="93" t="str">
        <f>IFERROR(VLOOKUP(C444,'Employees List'!$B$2:$G$991,5,0),"")</f>
        <v/>
      </c>
      <c r="K444" s="95" t="str">
        <f>IFERROR(VLOOKUP(F444,'Employees List'!$C$1:$AB$991,5,0),"")</f>
        <v/>
      </c>
      <c r="L444" s="91">
        <f t="shared" si="3"/>
        <v>0</v>
      </c>
      <c r="M444" s="91">
        <f t="shared" si="4"/>
        <v>0</v>
      </c>
      <c r="N444" s="89" t="str">
        <f>IFERROR(VLOOKUP(B444,'Employees List'!$A$2:$H$991,8,0),"")</f>
        <v/>
      </c>
      <c r="O444" s="89" t="str">
        <f>IFERROR(VLOOKUP(D444,'Daily Attendance Report 24-25'!A408:BP999,5,0),"")</f>
        <v/>
      </c>
      <c r="P444" s="89" t="str">
        <f>IFERROR(VLOOKUP(E444,'Daily Attendance Report 24-25'!$A$1:$BO$617,5,0),"")</f>
        <v/>
      </c>
      <c r="Q444" s="89"/>
      <c r="R444" s="89"/>
      <c r="S444" s="89" t="str">
        <f t="shared" si="17"/>
        <v>#DIV/0!</v>
      </c>
      <c r="T444" s="89" t="str">
        <f t="shared" si="6"/>
        <v>#DIV/0!</v>
      </c>
      <c r="U444" s="89" t="str">
        <f t="shared" si="25"/>
        <v>#DIV/0!</v>
      </c>
      <c r="V444" s="89" t="str">
        <f t="shared" si="24"/>
        <v>#DIV/0!</v>
      </c>
      <c r="W444" s="89" t="str">
        <f t="shared" si="9"/>
        <v>#DIV/0!</v>
      </c>
      <c r="X444" s="89"/>
      <c r="Y444" s="89"/>
      <c r="Z444" s="89"/>
      <c r="AA444" s="89"/>
      <c r="AB444" s="89"/>
      <c r="AC444" s="89"/>
      <c r="AD444" s="89"/>
      <c r="AE444" s="89"/>
      <c r="AF444" s="89"/>
      <c r="AG444" s="89"/>
      <c r="AH444" s="89"/>
    </row>
    <row r="445">
      <c r="A445" s="8" t="s">
        <v>583</v>
      </c>
      <c r="B445" s="97"/>
      <c r="C445" s="8"/>
      <c r="D445" s="89" t="str">
        <f t="shared" si="1"/>
        <v/>
      </c>
      <c r="E445" s="89" t="str">
        <f t="shared" si="2"/>
        <v>OT Hours</v>
      </c>
      <c r="F445" s="89" t="str">
        <f>IFERROR(VLOOKUP(C445,'Employees List'!$B$1:$G$999,2,0),"")</f>
        <v/>
      </c>
      <c r="G445" s="89" t="str">
        <f t="shared" si="23"/>
        <v>#DIV/0!</v>
      </c>
      <c r="H445" s="98"/>
      <c r="I445" s="89" t="str">
        <f>IFERROR(VLOOKUP(F445,'Employees List'!$C:$F,2,0),"")</f>
        <v/>
      </c>
      <c r="J445" s="93" t="str">
        <f>IFERROR(VLOOKUP(C445,'Employees List'!$B$2:$G$991,5,0),"")</f>
        <v/>
      </c>
      <c r="K445" s="95" t="str">
        <f>IFERROR(VLOOKUP(F445,'Employees List'!$C$1:$AB$991,5,0),"")</f>
        <v/>
      </c>
      <c r="L445" s="91">
        <f t="shared" si="3"/>
        <v>0</v>
      </c>
      <c r="M445" s="91">
        <f t="shared" si="4"/>
        <v>0</v>
      </c>
      <c r="N445" s="89" t="str">
        <f>IFERROR(VLOOKUP(B445,'Employees List'!$A$2:$H$991,8,0),"")</f>
        <v/>
      </c>
      <c r="O445" s="89" t="str">
        <f>IFERROR(VLOOKUP(D445,'Daily Attendance Report 24-25'!A409:BP999,5,0),"")</f>
        <v/>
      </c>
      <c r="P445" s="89" t="str">
        <f>IFERROR(VLOOKUP(E445,'Daily Attendance Report 24-25'!$A$1:$BO$617,5,0),"")</f>
        <v/>
      </c>
      <c r="Q445" s="89"/>
      <c r="R445" s="89"/>
      <c r="S445" s="89" t="str">
        <f t="shared" si="17"/>
        <v>#DIV/0!</v>
      </c>
      <c r="T445" s="89" t="str">
        <f t="shared" si="6"/>
        <v>#DIV/0!</v>
      </c>
      <c r="U445" s="89" t="str">
        <f t="shared" si="25"/>
        <v>#DIV/0!</v>
      </c>
      <c r="V445" s="89" t="str">
        <f t="shared" si="24"/>
        <v>#DIV/0!</v>
      </c>
      <c r="W445" s="89" t="str">
        <f t="shared" si="9"/>
        <v>#DIV/0!</v>
      </c>
      <c r="X445" s="89"/>
      <c r="Y445" s="89"/>
      <c r="Z445" s="89"/>
      <c r="AA445" s="89"/>
      <c r="AB445" s="89"/>
      <c r="AC445" s="89"/>
      <c r="AD445" s="89"/>
      <c r="AE445" s="89"/>
      <c r="AF445" s="89"/>
      <c r="AG445" s="89"/>
      <c r="AH445" s="89"/>
    </row>
    <row r="446">
      <c r="A446" s="8" t="s">
        <v>584</v>
      </c>
      <c r="B446" s="97"/>
      <c r="C446" s="8"/>
      <c r="D446" s="89" t="str">
        <f t="shared" si="1"/>
        <v/>
      </c>
      <c r="E446" s="89" t="str">
        <f t="shared" si="2"/>
        <v>OT Hours</v>
      </c>
      <c r="F446" s="89" t="str">
        <f>IFERROR(VLOOKUP(C446,'Employees List'!$B$1:$G$999,2,0),"")</f>
        <v/>
      </c>
      <c r="G446" s="89" t="str">
        <f t="shared" si="23"/>
        <v>#DIV/0!</v>
      </c>
      <c r="H446" s="98"/>
      <c r="I446" s="89" t="str">
        <f>IFERROR(VLOOKUP(F446,'Employees List'!$C:$F,2,0),"")</f>
        <v/>
      </c>
      <c r="J446" s="93" t="str">
        <f>IFERROR(VLOOKUP(C446,'Employees List'!$B$2:$G$991,5,0),"")</f>
        <v/>
      </c>
      <c r="K446" s="95" t="str">
        <f>IFERROR(VLOOKUP(F446,'Employees List'!$C$1:$AB$991,5,0),"")</f>
        <v/>
      </c>
      <c r="L446" s="91">
        <f t="shared" si="3"/>
        <v>0</v>
      </c>
      <c r="M446" s="91">
        <f t="shared" si="4"/>
        <v>0</v>
      </c>
      <c r="N446" s="89" t="str">
        <f>IFERROR(VLOOKUP(B446,'Employees List'!$A$2:$H$991,8,0),"")</f>
        <v/>
      </c>
      <c r="O446" s="89" t="str">
        <f>IFERROR(VLOOKUP(D446,'Daily Attendance Report 24-25'!A410:BP999,5,0),"")</f>
        <v/>
      </c>
      <c r="P446" s="89" t="str">
        <f>IFERROR(VLOOKUP(E446,'Daily Attendance Report 24-25'!$A$1:$BO$617,5,0),"")</f>
        <v/>
      </c>
      <c r="Q446" s="89"/>
      <c r="R446" s="89"/>
      <c r="S446" s="89" t="str">
        <f t="shared" si="17"/>
        <v>#DIV/0!</v>
      </c>
      <c r="T446" s="89" t="str">
        <f t="shared" si="6"/>
        <v>#DIV/0!</v>
      </c>
      <c r="U446" s="89" t="str">
        <f t="shared" si="25"/>
        <v>#DIV/0!</v>
      </c>
      <c r="V446" s="89" t="str">
        <f t="shared" si="24"/>
        <v>#DIV/0!</v>
      </c>
      <c r="W446" s="89" t="str">
        <f t="shared" si="9"/>
        <v>#DIV/0!</v>
      </c>
      <c r="X446" s="89"/>
      <c r="Y446" s="89"/>
      <c r="Z446" s="89"/>
      <c r="AA446" s="89"/>
      <c r="AB446" s="89"/>
      <c r="AC446" s="89"/>
      <c r="AD446" s="89"/>
      <c r="AE446" s="89"/>
      <c r="AF446" s="89"/>
      <c r="AG446" s="89"/>
      <c r="AH446" s="89"/>
    </row>
    <row r="447">
      <c r="A447" s="8" t="s">
        <v>585</v>
      </c>
      <c r="B447" s="97"/>
      <c r="C447" s="8"/>
      <c r="D447" s="89" t="str">
        <f t="shared" si="1"/>
        <v/>
      </c>
      <c r="E447" s="89" t="str">
        <f t="shared" si="2"/>
        <v>OT Hours</v>
      </c>
      <c r="F447" s="89" t="str">
        <f>IFERROR(VLOOKUP(C447,'Employees List'!$B$1:$G$999,2,0),"")</f>
        <v/>
      </c>
      <c r="G447" s="89" t="str">
        <f t="shared" si="23"/>
        <v>#DIV/0!</v>
      </c>
      <c r="H447" s="98"/>
      <c r="I447" s="89" t="str">
        <f>IFERROR(VLOOKUP(F447,'Employees List'!$C:$F,2,0),"")</f>
        <v/>
      </c>
      <c r="J447" s="93" t="str">
        <f>IFERROR(VLOOKUP(C447,'Employees List'!$B$2:$G$991,5,0),"")</f>
        <v/>
      </c>
      <c r="K447" s="95" t="str">
        <f>IFERROR(VLOOKUP(F447,'Employees List'!$C$1:$AB$991,5,0),"")</f>
        <v/>
      </c>
      <c r="L447" s="91">
        <f t="shared" si="3"/>
        <v>0</v>
      </c>
      <c r="M447" s="91">
        <f t="shared" si="4"/>
        <v>0</v>
      </c>
      <c r="N447" s="89" t="str">
        <f>IFERROR(VLOOKUP(B447,'Employees List'!$A$2:$H$991,8,0),"")</f>
        <v/>
      </c>
      <c r="O447" s="89" t="str">
        <f>IFERROR(VLOOKUP(D447,'Daily Attendance Report 24-25'!A411:BP999,5,0),"")</f>
        <v/>
      </c>
      <c r="P447" s="89" t="str">
        <f>IFERROR(VLOOKUP(E447,'Daily Attendance Report 24-25'!$A$1:$BO$617,5,0),"")</f>
        <v/>
      </c>
      <c r="Q447" s="89"/>
      <c r="R447" s="89"/>
      <c r="S447" s="89" t="str">
        <f t="shared" si="17"/>
        <v>#DIV/0!</v>
      </c>
      <c r="T447" s="89" t="str">
        <f t="shared" si="6"/>
        <v>#DIV/0!</v>
      </c>
      <c r="U447" s="89" t="str">
        <f t="shared" si="25"/>
        <v>#DIV/0!</v>
      </c>
      <c r="V447" s="89" t="str">
        <f t="shared" si="24"/>
        <v>#DIV/0!</v>
      </c>
      <c r="W447" s="89" t="str">
        <f t="shared" si="9"/>
        <v>#DIV/0!</v>
      </c>
      <c r="X447" s="89"/>
      <c r="Y447" s="89"/>
      <c r="Z447" s="89"/>
      <c r="AA447" s="89"/>
      <c r="AB447" s="89"/>
      <c r="AC447" s="89"/>
      <c r="AD447" s="89"/>
      <c r="AE447" s="89"/>
      <c r="AF447" s="89"/>
      <c r="AG447" s="89"/>
      <c r="AH447" s="89"/>
    </row>
    <row r="448">
      <c r="A448" s="8" t="s">
        <v>586</v>
      </c>
      <c r="B448" s="97"/>
      <c r="C448" s="8"/>
      <c r="D448" s="89" t="str">
        <f t="shared" si="1"/>
        <v/>
      </c>
      <c r="E448" s="89" t="str">
        <f t="shared" si="2"/>
        <v>OT Hours</v>
      </c>
      <c r="F448" s="89" t="str">
        <f>IFERROR(VLOOKUP(C448,'Employees List'!$B$1:$G$999,2,0),"")</f>
        <v/>
      </c>
      <c r="G448" s="89" t="str">
        <f t="shared" si="23"/>
        <v>#DIV/0!</v>
      </c>
      <c r="H448" s="98"/>
      <c r="I448" s="89" t="str">
        <f>IFERROR(VLOOKUP(F448,'Employees List'!$C:$F,2,0),"")</f>
        <v/>
      </c>
      <c r="J448" s="93" t="str">
        <f>IFERROR(VLOOKUP(C448,'Employees List'!$B$2:$G$991,5,0),"")</f>
        <v/>
      </c>
      <c r="K448" s="95" t="str">
        <f>IFERROR(VLOOKUP(F448,'Employees List'!$C$1:$AB$991,5,0),"")</f>
        <v/>
      </c>
      <c r="L448" s="91">
        <f t="shared" si="3"/>
        <v>0</v>
      </c>
      <c r="M448" s="91">
        <f t="shared" si="4"/>
        <v>0</v>
      </c>
      <c r="N448" s="89" t="str">
        <f>IFERROR(VLOOKUP(B448,'Employees List'!$A$2:$H$991,8,0),"")</f>
        <v/>
      </c>
      <c r="O448" s="89" t="str">
        <f>IFERROR(VLOOKUP(D448,'Daily Attendance Report 24-25'!A412:BP999,5,0),"")</f>
        <v/>
      </c>
      <c r="P448" s="89" t="str">
        <f>IFERROR(VLOOKUP(E448,'Daily Attendance Report 24-25'!$A$1:$BO$617,5,0),"")</f>
        <v/>
      </c>
      <c r="Q448" s="89"/>
      <c r="R448" s="89"/>
      <c r="S448" s="89" t="str">
        <f t="shared" si="17"/>
        <v>#DIV/0!</v>
      </c>
      <c r="T448" s="89" t="str">
        <f t="shared" si="6"/>
        <v>#DIV/0!</v>
      </c>
      <c r="U448" s="89" t="str">
        <f t="shared" si="25"/>
        <v>#DIV/0!</v>
      </c>
      <c r="V448" s="89" t="str">
        <f t="shared" si="24"/>
        <v>#DIV/0!</v>
      </c>
      <c r="W448" s="89" t="str">
        <f t="shared" si="9"/>
        <v>#DIV/0!</v>
      </c>
      <c r="X448" s="89"/>
      <c r="Y448" s="89"/>
      <c r="Z448" s="89"/>
      <c r="AA448" s="89"/>
      <c r="AB448" s="89"/>
      <c r="AC448" s="89"/>
      <c r="AD448" s="89"/>
      <c r="AE448" s="89"/>
      <c r="AF448" s="89"/>
      <c r="AG448" s="89"/>
      <c r="AH448" s="89"/>
    </row>
    <row r="449">
      <c r="A449" s="8" t="s">
        <v>587</v>
      </c>
      <c r="B449" s="97"/>
      <c r="C449" s="8"/>
      <c r="D449" s="89" t="str">
        <f t="shared" si="1"/>
        <v/>
      </c>
      <c r="E449" s="89" t="str">
        <f t="shared" si="2"/>
        <v>OT Hours</v>
      </c>
      <c r="F449" s="89" t="str">
        <f>IFERROR(VLOOKUP(C449,'Employees List'!$B$1:$G$999,2,0),"")</f>
        <v/>
      </c>
      <c r="G449" s="89" t="str">
        <f t="shared" si="23"/>
        <v>#DIV/0!</v>
      </c>
      <c r="H449" s="98"/>
      <c r="I449" s="89" t="str">
        <f>IFERROR(VLOOKUP(F449,'Employees List'!$C:$F,2,0),"")</f>
        <v/>
      </c>
      <c r="J449" s="93" t="str">
        <f>IFERROR(VLOOKUP(C449,'Employees List'!$B$2:$G$991,5,0),"")</f>
        <v/>
      </c>
      <c r="K449" s="95" t="str">
        <f>IFERROR(VLOOKUP(F449,'Employees List'!$C$1:$AB$991,5,0),"")</f>
        <v/>
      </c>
      <c r="L449" s="91">
        <f t="shared" si="3"/>
        <v>0</v>
      </c>
      <c r="M449" s="91">
        <f t="shared" si="4"/>
        <v>0</v>
      </c>
      <c r="N449" s="89" t="str">
        <f>IFERROR(VLOOKUP(B449,'Employees List'!$A$2:$H$991,8,0),"")</f>
        <v/>
      </c>
      <c r="O449" s="89" t="str">
        <f>IFERROR(VLOOKUP(D449,'Daily Attendance Report 24-25'!A413:BP999,5,0),"")</f>
        <v/>
      </c>
      <c r="P449" s="89" t="str">
        <f>IFERROR(VLOOKUP(E449,'Daily Attendance Report 24-25'!$A$1:$BO$617,5,0),"")</f>
        <v/>
      </c>
      <c r="Q449" s="89"/>
      <c r="R449" s="89"/>
      <c r="S449" s="89" t="str">
        <f t="shared" si="17"/>
        <v>#DIV/0!</v>
      </c>
      <c r="T449" s="89" t="str">
        <f t="shared" si="6"/>
        <v>#DIV/0!</v>
      </c>
      <c r="U449" s="89" t="str">
        <f t="shared" si="25"/>
        <v>#DIV/0!</v>
      </c>
      <c r="V449" s="89" t="str">
        <f t="shared" si="24"/>
        <v>#DIV/0!</v>
      </c>
      <c r="W449" s="89" t="str">
        <f t="shared" si="9"/>
        <v>#DIV/0!</v>
      </c>
      <c r="X449" s="89"/>
      <c r="Y449" s="89"/>
      <c r="Z449" s="89"/>
      <c r="AA449" s="89"/>
      <c r="AB449" s="89"/>
      <c r="AC449" s="89"/>
      <c r="AD449" s="89"/>
      <c r="AE449" s="89"/>
      <c r="AF449" s="89"/>
      <c r="AG449" s="89"/>
      <c r="AH449" s="89"/>
    </row>
    <row r="450">
      <c r="A450" s="8" t="s">
        <v>588</v>
      </c>
      <c r="B450" s="97"/>
      <c r="C450" s="8"/>
      <c r="D450" s="89" t="str">
        <f t="shared" si="1"/>
        <v/>
      </c>
      <c r="E450" s="89" t="str">
        <f t="shared" si="2"/>
        <v>OT Hours</v>
      </c>
      <c r="F450" s="89" t="str">
        <f>IFERROR(VLOOKUP(C450,'Employees List'!$B$1:$G$999,2,0),"")</f>
        <v/>
      </c>
      <c r="G450" s="89" t="str">
        <f t="shared" si="23"/>
        <v>#DIV/0!</v>
      </c>
      <c r="H450" s="98"/>
      <c r="I450" s="89" t="str">
        <f>IFERROR(VLOOKUP(F450,'Employees List'!$C:$F,2,0),"")</f>
        <v/>
      </c>
      <c r="J450" s="93" t="str">
        <f>IFERROR(VLOOKUP(C450,'Employees List'!$B$2:$G$991,5,0),"")</f>
        <v/>
      </c>
      <c r="K450" s="95" t="str">
        <f>IFERROR(VLOOKUP(F450,'Employees List'!$C$1:$AB$991,5,0),"")</f>
        <v/>
      </c>
      <c r="L450" s="91">
        <f t="shared" si="3"/>
        <v>0</v>
      </c>
      <c r="M450" s="91">
        <f t="shared" si="4"/>
        <v>0</v>
      </c>
      <c r="N450" s="89" t="str">
        <f>IFERROR(VLOOKUP(B450,'Employees List'!$A$2:$H$991,8,0),"")</f>
        <v/>
      </c>
      <c r="O450" s="89" t="str">
        <f>IFERROR(VLOOKUP(D450,'Daily Attendance Report 24-25'!A414:BP999,5,0),"")</f>
        <v/>
      </c>
      <c r="P450" s="89" t="str">
        <f>IFERROR(VLOOKUP(E450,'Daily Attendance Report 24-25'!$A$1:$BO$617,5,0),"")</f>
        <v/>
      </c>
      <c r="Q450" s="89"/>
      <c r="R450" s="89"/>
      <c r="S450" s="89" t="str">
        <f t="shared" si="17"/>
        <v>#DIV/0!</v>
      </c>
      <c r="T450" s="89" t="str">
        <f t="shared" si="6"/>
        <v>#DIV/0!</v>
      </c>
      <c r="U450" s="89" t="str">
        <f t="shared" si="25"/>
        <v>#DIV/0!</v>
      </c>
      <c r="V450" s="89" t="str">
        <f t="shared" si="24"/>
        <v>#DIV/0!</v>
      </c>
      <c r="W450" s="89" t="str">
        <f t="shared" si="9"/>
        <v>#DIV/0!</v>
      </c>
      <c r="X450" s="89"/>
      <c r="Y450" s="89"/>
      <c r="Z450" s="89"/>
      <c r="AA450" s="89"/>
      <c r="AB450" s="89"/>
      <c r="AC450" s="89"/>
      <c r="AD450" s="89"/>
      <c r="AE450" s="89"/>
      <c r="AF450" s="89"/>
      <c r="AG450" s="89"/>
      <c r="AH450" s="89"/>
    </row>
    <row r="451">
      <c r="A451" s="8" t="s">
        <v>589</v>
      </c>
      <c r="B451" s="97"/>
      <c r="C451" s="8"/>
      <c r="D451" s="89" t="str">
        <f t="shared" si="1"/>
        <v/>
      </c>
      <c r="E451" s="89" t="str">
        <f t="shared" si="2"/>
        <v>OT Hours</v>
      </c>
      <c r="F451" s="89" t="str">
        <f>IFERROR(VLOOKUP(C451,'Employees List'!$B$1:$G$999,2,0),"")</f>
        <v/>
      </c>
      <c r="G451" s="89" t="str">
        <f t="shared" si="23"/>
        <v>#DIV/0!</v>
      </c>
      <c r="H451" s="98"/>
      <c r="I451" s="89" t="str">
        <f>IFERROR(VLOOKUP(F451,'Employees List'!$C:$F,2,0),"")</f>
        <v/>
      </c>
      <c r="J451" s="93" t="str">
        <f>IFERROR(VLOOKUP(C451,'Employees List'!$B$2:$G$991,5,0),"")</f>
        <v/>
      </c>
      <c r="K451" s="95" t="str">
        <f>IFERROR(VLOOKUP(F451,'Employees List'!$C$1:$AB$991,5,0),"")</f>
        <v/>
      </c>
      <c r="L451" s="91">
        <f t="shared" si="3"/>
        <v>0</v>
      </c>
      <c r="M451" s="91">
        <f t="shared" si="4"/>
        <v>0</v>
      </c>
      <c r="N451" s="89" t="str">
        <f>IFERROR(VLOOKUP(B451,'Employees List'!$A$2:$H$991,8,0),"")</f>
        <v/>
      </c>
      <c r="O451" s="89" t="str">
        <f>IFERROR(VLOOKUP(D451,'Daily Attendance Report 24-25'!A415:BP999,5,0),"")</f>
        <v/>
      </c>
      <c r="P451" s="89" t="str">
        <f>IFERROR(VLOOKUP(E451,'Daily Attendance Report 24-25'!$A$1:$BO$617,5,0),"")</f>
        <v/>
      </c>
      <c r="Q451" s="89"/>
      <c r="R451" s="89"/>
      <c r="S451" s="89" t="str">
        <f t="shared" si="17"/>
        <v>#DIV/0!</v>
      </c>
      <c r="T451" s="89" t="str">
        <f t="shared" si="6"/>
        <v>#DIV/0!</v>
      </c>
      <c r="U451" s="89" t="str">
        <f t="shared" si="25"/>
        <v>#DIV/0!</v>
      </c>
      <c r="V451" s="89" t="str">
        <f t="shared" si="24"/>
        <v>#DIV/0!</v>
      </c>
      <c r="W451" s="89" t="str">
        <f t="shared" si="9"/>
        <v>#DIV/0!</v>
      </c>
      <c r="X451" s="89"/>
      <c r="Y451" s="89"/>
      <c r="Z451" s="89"/>
      <c r="AA451" s="89"/>
      <c r="AB451" s="89"/>
      <c r="AC451" s="89"/>
      <c r="AD451" s="89"/>
      <c r="AE451" s="89"/>
      <c r="AF451" s="89"/>
      <c r="AG451" s="89"/>
      <c r="AH451" s="89"/>
    </row>
    <row r="452">
      <c r="A452" s="8" t="s">
        <v>590</v>
      </c>
      <c r="B452" s="97"/>
      <c r="C452" s="8"/>
      <c r="D452" s="89" t="str">
        <f t="shared" si="1"/>
        <v/>
      </c>
      <c r="E452" s="89" t="str">
        <f t="shared" si="2"/>
        <v>OT Hours</v>
      </c>
      <c r="F452" s="89" t="str">
        <f>IFERROR(VLOOKUP(C452,'Employees List'!$B$1:$G$999,2,0),"")</f>
        <v/>
      </c>
      <c r="G452" s="89" t="str">
        <f t="shared" si="23"/>
        <v>#DIV/0!</v>
      </c>
      <c r="H452" s="98"/>
      <c r="I452" s="89" t="str">
        <f>IFERROR(VLOOKUP(F452,'Employees List'!$C:$F,2,0),"")</f>
        <v/>
      </c>
      <c r="J452" s="93" t="str">
        <f>IFERROR(VLOOKUP(C452,'Employees List'!$B$2:$G$991,5,0),"")</f>
        <v/>
      </c>
      <c r="K452" s="95" t="str">
        <f>IFERROR(VLOOKUP(F452,'Employees List'!$C$1:$AB$991,5,0),"")</f>
        <v/>
      </c>
      <c r="L452" s="91">
        <f t="shared" si="3"/>
        <v>0</v>
      </c>
      <c r="M452" s="91">
        <f t="shared" si="4"/>
        <v>0</v>
      </c>
      <c r="N452" s="89" t="str">
        <f>IFERROR(VLOOKUP(B452,'Employees List'!$A$2:$H$991,8,0),"")</f>
        <v/>
      </c>
      <c r="O452" s="89" t="str">
        <f>IFERROR(VLOOKUP(D452,'Daily Attendance Report 24-25'!A416:BP999,5,0),"")</f>
        <v/>
      </c>
      <c r="P452" s="89" t="str">
        <f>IFERROR(VLOOKUP(E452,'Daily Attendance Report 24-25'!$A$1:$BO$617,5,0),"")</f>
        <v/>
      </c>
      <c r="Q452" s="89"/>
      <c r="R452" s="89"/>
      <c r="S452" s="89" t="str">
        <f t="shared" si="17"/>
        <v>#DIV/0!</v>
      </c>
      <c r="T452" s="89" t="str">
        <f t="shared" si="6"/>
        <v>#DIV/0!</v>
      </c>
      <c r="U452" s="89" t="str">
        <f t="shared" si="25"/>
        <v>#DIV/0!</v>
      </c>
      <c r="V452" s="89" t="str">
        <f t="shared" si="24"/>
        <v>#DIV/0!</v>
      </c>
      <c r="W452" s="89" t="str">
        <f t="shared" si="9"/>
        <v>#DIV/0!</v>
      </c>
      <c r="X452" s="89"/>
      <c r="Y452" s="89"/>
      <c r="Z452" s="89"/>
      <c r="AA452" s="89"/>
      <c r="AB452" s="89"/>
      <c r="AC452" s="89"/>
      <c r="AD452" s="89"/>
      <c r="AE452" s="89"/>
      <c r="AF452" s="89"/>
      <c r="AG452" s="89"/>
      <c r="AH452" s="89"/>
    </row>
    <row r="453">
      <c r="A453" s="8" t="s">
        <v>591</v>
      </c>
      <c r="B453" s="97"/>
      <c r="C453" s="8"/>
      <c r="D453" s="89" t="str">
        <f t="shared" si="1"/>
        <v/>
      </c>
      <c r="E453" s="89" t="str">
        <f t="shared" si="2"/>
        <v>OT Hours</v>
      </c>
      <c r="F453" s="89" t="str">
        <f>IFERROR(VLOOKUP(C453,'Employees List'!$B$1:$G$999,2,0),"")</f>
        <v/>
      </c>
      <c r="G453" s="89" t="str">
        <f t="shared" si="23"/>
        <v>#DIV/0!</v>
      </c>
      <c r="H453" s="98"/>
      <c r="I453" s="89" t="str">
        <f>IFERROR(VLOOKUP(F453,'Employees List'!$C:$F,2,0),"")</f>
        <v/>
      </c>
      <c r="J453" s="93" t="str">
        <f>IFERROR(VLOOKUP(C453,'Employees List'!$B$2:$G$991,5,0),"")</f>
        <v/>
      </c>
      <c r="K453" s="95" t="str">
        <f>IFERROR(VLOOKUP(F453,'Employees List'!$C$1:$AB$991,5,0),"")</f>
        <v/>
      </c>
      <c r="L453" s="91">
        <f t="shared" si="3"/>
        <v>0</v>
      </c>
      <c r="M453" s="91">
        <f t="shared" si="4"/>
        <v>0</v>
      </c>
      <c r="N453" s="89" t="str">
        <f>IFERROR(VLOOKUP(B453,'Employees List'!$A$2:$H$991,8,0),"")</f>
        <v/>
      </c>
      <c r="O453" s="89" t="str">
        <f>IFERROR(VLOOKUP(D453,'Daily Attendance Report 24-25'!A417:BP999,5,0),"")</f>
        <v/>
      </c>
      <c r="P453" s="89" t="str">
        <f>IFERROR(VLOOKUP(E453,'Daily Attendance Report 24-25'!$A$1:$BO$617,5,0),"")</f>
        <v/>
      </c>
      <c r="Q453" s="89"/>
      <c r="R453" s="89"/>
      <c r="S453" s="89" t="str">
        <f t="shared" si="17"/>
        <v>#DIV/0!</v>
      </c>
      <c r="T453" s="89" t="str">
        <f t="shared" si="6"/>
        <v>#DIV/0!</v>
      </c>
      <c r="U453" s="89" t="str">
        <f t="shared" si="25"/>
        <v>#DIV/0!</v>
      </c>
      <c r="V453" s="89" t="str">
        <f t="shared" si="24"/>
        <v>#DIV/0!</v>
      </c>
      <c r="W453" s="89" t="str">
        <f t="shared" si="9"/>
        <v>#DIV/0!</v>
      </c>
      <c r="X453" s="89"/>
      <c r="Y453" s="89"/>
      <c r="Z453" s="89"/>
      <c r="AA453" s="89"/>
      <c r="AB453" s="89"/>
      <c r="AC453" s="89"/>
      <c r="AD453" s="89"/>
      <c r="AE453" s="89"/>
      <c r="AF453" s="89"/>
      <c r="AG453" s="89"/>
      <c r="AH453" s="89"/>
    </row>
    <row r="454">
      <c r="A454" s="8" t="s">
        <v>592</v>
      </c>
      <c r="B454" s="97"/>
      <c r="C454" s="8"/>
      <c r="D454" s="89" t="str">
        <f t="shared" si="1"/>
        <v/>
      </c>
      <c r="E454" s="89" t="str">
        <f t="shared" si="2"/>
        <v>OT Hours</v>
      </c>
      <c r="F454" s="89" t="str">
        <f>IFERROR(VLOOKUP(C454,'Employees List'!$B$1:$G$999,2,0),"")</f>
        <v/>
      </c>
      <c r="G454" s="89" t="str">
        <f t="shared" si="23"/>
        <v>#DIV/0!</v>
      </c>
      <c r="H454" s="98"/>
      <c r="I454" s="89" t="str">
        <f>IFERROR(VLOOKUP(F454,'Employees List'!$C:$F,2,0),"")</f>
        <v/>
      </c>
      <c r="J454" s="93" t="str">
        <f>IFERROR(VLOOKUP(C454,'Employees List'!$B$2:$G$991,5,0),"")</f>
        <v/>
      </c>
      <c r="K454" s="95" t="str">
        <f>IFERROR(VLOOKUP(F454,'Employees List'!$C$1:$AB$991,5,0),"")</f>
        <v/>
      </c>
      <c r="L454" s="91">
        <f t="shared" si="3"/>
        <v>0</v>
      </c>
      <c r="M454" s="91">
        <f t="shared" si="4"/>
        <v>0</v>
      </c>
      <c r="N454" s="89" t="str">
        <f>IFERROR(VLOOKUP(B454,'Employees List'!$A$2:$H$991,8,0),"")</f>
        <v/>
      </c>
      <c r="O454" s="89" t="str">
        <f>IFERROR(VLOOKUP(D454,'Daily Attendance Report 24-25'!A418:BP999,5,0),"")</f>
        <v/>
      </c>
      <c r="P454" s="89" t="str">
        <f>IFERROR(VLOOKUP(E454,'Daily Attendance Report 24-25'!$A$1:$BO$617,5,0),"")</f>
        <v/>
      </c>
      <c r="Q454" s="89"/>
      <c r="R454" s="89"/>
      <c r="S454" s="89" t="str">
        <f t="shared" si="17"/>
        <v>#DIV/0!</v>
      </c>
      <c r="T454" s="89" t="str">
        <f t="shared" si="6"/>
        <v>#DIV/0!</v>
      </c>
      <c r="U454" s="89" t="str">
        <f t="shared" si="25"/>
        <v>#DIV/0!</v>
      </c>
      <c r="V454" s="89" t="str">
        <f t="shared" si="24"/>
        <v>#DIV/0!</v>
      </c>
      <c r="W454" s="89" t="str">
        <f t="shared" si="9"/>
        <v>#DIV/0!</v>
      </c>
      <c r="X454" s="89"/>
      <c r="Y454" s="89"/>
      <c r="Z454" s="89"/>
      <c r="AA454" s="89"/>
      <c r="AB454" s="89"/>
      <c r="AC454" s="89"/>
      <c r="AD454" s="89"/>
      <c r="AE454" s="89"/>
      <c r="AF454" s="89"/>
      <c r="AG454" s="89"/>
      <c r="AH454" s="89"/>
    </row>
    <row r="455">
      <c r="A455" s="8" t="s">
        <v>593</v>
      </c>
      <c r="B455" s="97"/>
      <c r="C455" s="8"/>
      <c r="D455" s="89" t="str">
        <f t="shared" si="1"/>
        <v/>
      </c>
      <c r="E455" s="89" t="str">
        <f t="shared" si="2"/>
        <v>OT Hours</v>
      </c>
      <c r="F455" s="89" t="str">
        <f>IFERROR(VLOOKUP(C455,'Employees List'!$B$1:$G$999,2,0),"")</f>
        <v/>
      </c>
      <c r="G455" s="89" t="str">
        <f t="shared" si="23"/>
        <v>#DIV/0!</v>
      </c>
      <c r="H455" s="98"/>
      <c r="I455" s="89" t="str">
        <f>IFERROR(VLOOKUP(F455,'Employees List'!$C:$F,2,0),"")</f>
        <v/>
      </c>
      <c r="J455" s="93" t="str">
        <f>IFERROR(VLOOKUP(C455,'Employees List'!$B$2:$G$991,5,0),"")</f>
        <v/>
      </c>
      <c r="K455" s="95" t="str">
        <f>IFERROR(VLOOKUP(F455,'Employees List'!$C$1:$AB$991,5,0),"")</f>
        <v/>
      </c>
      <c r="L455" s="91">
        <f t="shared" si="3"/>
        <v>0</v>
      </c>
      <c r="M455" s="91">
        <f t="shared" si="4"/>
        <v>0</v>
      </c>
      <c r="N455" s="89" t="str">
        <f>IFERROR(VLOOKUP(B455,'Employees List'!$A$2:$H$991,8,0),"")</f>
        <v/>
      </c>
      <c r="O455" s="89" t="str">
        <f>IFERROR(VLOOKUP(D455,'Daily Attendance Report 24-25'!A419:BP999,5,0),"")</f>
        <v/>
      </c>
      <c r="P455" s="89" t="str">
        <f>IFERROR(VLOOKUP(E455,'Daily Attendance Report 24-25'!$A$1:$BO$617,5,0),"")</f>
        <v/>
      </c>
      <c r="Q455" s="89"/>
      <c r="R455" s="89"/>
      <c r="S455" s="89" t="str">
        <f t="shared" si="17"/>
        <v>#DIV/0!</v>
      </c>
      <c r="T455" s="89" t="str">
        <f t="shared" si="6"/>
        <v>#DIV/0!</v>
      </c>
      <c r="U455" s="89" t="str">
        <f t="shared" si="25"/>
        <v>#DIV/0!</v>
      </c>
      <c r="V455" s="89" t="str">
        <f t="shared" si="24"/>
        <v>#DIV/0!</v>
      </c>
      <c r="W455" s="89" t="str">
        <f t="shared" si="9"/>
        <v>#DIV/0!</v>
      </c>
      <c r="X455" s="89"/>
      <c r="Y455" s="89"/>
      <c r="Z455" s="89"/>
      <c r="AA455" s="89"/>
      <c r="AB455" s="89"/>
      <c r="AC455" s="89"/>
      <c r="AD455" s="89"/>
      <c r="AE455" s="89"/>
      <c r="AF455" s="89"/>
      <c r="AG455" s="89"/>
      <c r="AH455" s="89"/>
    </row>
    <row r="456">
      <c r="A456" s="8" t="s">
        <v>594</v>
      </c>
      <c r="B456" s="97"/>
      <c r="C456" s="8"/>
      <c r="D456" s="89" t="str">
        <f t="shared" si="1"/>
        <v/>
      </c>
      <c r="E456" s="89" t="str">
        <f t="shared" si="2"/>
        <v>OT Hours</v>
      </c>
      <c r="F456" s="89" t="str">
        <f>IFERROR(VLOOKUP(C456,'Employees List'!$B$1:$G$999,2,0),"")</f>
        <v/>
      </c>
      <c r="G456" s="89" t="str">
        <f t="shared" si="23"/>
        <v>#DIV/0!</v>
      </c>
      <c r="H456" s="98"/>
      <c r="I456" s="89" t="str">
        <f>IFERROR(VLOOKUP(F456,'Employees List'!$C:$F,2,0),"")</f>
        <v/>
      </c>
      <c r="J456" s="93" t="str">
        <f>IFERROR(VLOOKUP(C456,'Employees List'!$B$2:$G$991,5,0),"")</f>
        <v/>
      </c>
      <c r="K456" s="95" t="str">
        <f>IFERROR(VLOOKUP(F456,'Employees List'!$C$1:$AB$991,5,0),"")</f>
        <v/>
      </c>
      <c r="L456" s="91">
        <f t="shared" si="3"/>
        <v>0</v>
      </c>
      <c r="M456" s="91">
        <f t="shared" si="4"/>
        <v>0</v>
      </c>
      <c r="N456" s="89" t="str">
        <f>IFERROR(VLOOKUP(B456,'Employees List'!$A$2:$H$991,8,0),"")</f>
        <v/>
      </c>
      <c r="O456" s="89" t="str">
        <f>IFERROR(VLOOKUP(D456,'Daily Attendance Report 24-25'!A420:BP999,5,0),"")</f>
        <v/>
      </c>
      <c r="P456" s="89" t="str">
        <f>IFERROR(VLOOKUP(E456,'Daily Attendance Report 24-25'!$A$1:$BO$617,5,0),"")</f>
        <v/>
      </c>
      <c r="Q456" s="89"/>
      <c r="R456" s="89"/>
      <c r="S456" s="89" t="str">
        <f t="shared" si="17"/>
        <v>#DIV/0!</v>
      </c>
      <c r="T456" s="89" t="str">
        <f t="shared" si="6"/>
        <v>#DIV/0!</v>
      </c>
      <c r="U456" s="89" t="str">
        <f t="shared" si="25"/>
        <v>#DIV/0!</v>
      </c>
      <c r="V456" s="89" t="str">
        <f t="shared" si="24"/>
        <v>#DIV/0!</v>
      </c>
      <c r="W456" s="89" t="str">
        <f t="shared" si="9"/>
        <v>#DIV/0!</v>
      </c>
      <c r="X456" s="89"/>
      <c r="Y456" s="89"/>
      <c r="Z456" s="89"/>
      <c r="AA456" s="89"/>
      <c r="AB456" s="89"/>
      <c r="AC456" s="89"/>
      <c r="AD456" s="89"/>
      <c r="AE456" s="89"/>
      <c r="AF456" s="89"/>
      <c r="AG456" s="89"/>
      <c r="AH456" s="89"/>
    </row>
    <row r="457">
      <c r="A457" s="8" t="s">
        <v>595</v>
      </c>
      <c r="B457" s="97"/>
      <c r="C457" s="8"/>
      <c r="D457" s="89" t="str">
        <f t="shared" si="1"/>
        <v/>
      </c>
      <c r="E457" s="89" t="str">
        <f t="shared" si="2"/>
        <v>OT Hours</v>
      </c>
      <c r="F457" s="89" t="str">
        <f>IFERROR(VLOOKUP(C457,'Employees List'!$B$1:$G$999,2,0),"")</f>
        <v/>
      </c>
      <c r="G457" s="89" t="str">
        <f t="shared" si="23"/>
        <v>#DIV/0!</v>
      </c>
      <c r="H457" s="98"/>
      <c r="I457" s="89" t="str">
        <f>IFERROR(VLOOKUP(F457,'Employees List'!$C:$F,2,0),"")</f>
        <v/>
      </c>
      <c r="J457" s="93" t="str">
        <f>IFERROR(VLOOKUP(C457,'Employees List'!$B$2:$G$991,5,0),"")</f>
        <v/>
      </c>
      <c r="K457" s="95" t="str">
        <f>IFERROR(VLOOKUP(F457,'Employees List'!$C$1:$AB$991,5,0),"")</f>
        <v/>
      </c>
      <c r="L457" s="91">
        <f t="shared" si="3"/>
        <v>0</v>
      </c>
      <c r="M457" s="91">
        <f t="shared" si="4"/>
        <v>0</v>
      </c>
      <c r="N457" s="89" t="str">
        <f>IFERROR(VLOOKUP(B457,'Employees List'!$A$2:$H$991,8,0),"")</f>
        <v/>
      </c>
      <c r="O457" s="89" t="str">
        <f>IFERROR(VLOOKUP(D457,'Daily Attendance Report 24-25'!A421:BP999,5,0),"")</f>
        <v/>
      </c>
      <c r="P457" s="89" t="str">
        <f>IFERROR(VLOOKUP(E457,'Daily Attendance Report 24-25'!$A$1:$BO$617,5,0),"")</f>
        <v/>
      </c>
      <c r="Q457" s="89"/>
      <c r="R457" s="89"/>
      <c r="S457" s="89" t="str">
        <f t="shared" si="17"/>
        <v>#DIV/0!</v>
      </c>
      <c r="T457" s="89" t="str">
        <f t="shared" si="6"/>
        <v>#DIV/0!</v>
      </c>
      <c r="U457" s="89" t="str">
        <f t="shared" si="25"/>
        <v>#DIV/0!</v>
      </c>
      <c r="V457" s="89" t="str">
        <f t="shared" si="24"/>
        <v>#DIV/0!</v>
      </c>
      <c r="W457" s="89" t="str">
        <f t="shared" si="9"/>
        <v>#DIV/0!</v>
      </c>
      <c r="X457" s="89"/>
      <c r="Y457" s="89"/>
      <c r="Z457" s="89"/>
      <c r="AA457" s="89"/>
      <c r="AB457" s="89"/>
      <c r="AC457" s="89"/>
      <c r="AD457" s="89"/>
      <c r="AE457" s="89"/>
      <c r="AF457" s="89"/>
      <c r="AG457" s="89"/>
      <c r="AH457" s="89"/>
    </row>
    <row r="458">
      <c r="A458" s="8" t="s">
        <v>596</v>
      </c>
      <c r="B458" s="97"/>
      <c r="C458" s="8"/>
      <c r="D458" s="89" t="str">
        <f t="shared" si="1"/>
        <v/>
      </c>
      <c r="E458" s="89" t="str">
        <f t="shared" si="2"/>
        <v>OT Hours</v>
      </c>
      <c r="F458" s="89" t="str">
        <f>IFERROR(VLOOKUP(C458,'Employees List'!$B$1:$G$999,2,0),"")</f>
        <v/>
      </c>
      <c r="G458" s="89" t="str">
        <f t="shared" si="23"/>
        <v>#DIV/0!</v>
      </c>
      <c r="H458" s="98"/>
      <c r="I458" s="89" t="str">
        <f>IFERROR(VLOOKUP(F458,'Employees List'!$C:$F,2,0),"")</f>
        <v/>
      </c>
      <c r="J458" s="93" t="str">
        <f>IFERROR(VLOOKUP(C458,'Employees List'!$B$2:$G$991,5,0),"")</f>
        <v/>
      </c>
      <c r="K458" s="95" t="str">
        <f>IFERROR(VLOOKUP(F458,'Employees List'!$C$1:$AB$991,5,0),"")</f>
        <v/>
      </c>
      <c r="L458" s="91">
        <f t="shared" si="3"/>
        <v>0</v>
      </c>
      <c r="M458" s="91">
        <f t="shared" si="4"/>
        <v>0</v>
      </c>
      <c r="N458" s="89" t="str">
        <f>IFERROR(VLOOKUP(B458,'Employees List'!$A$2:$H$991,8,0),"")</f>
        <v/>
      </c>
      <c r="O458" s="89" t="str">
        <f>IFERROR(VLOOKUP(D458,'Daily Attendance Report 24-25'!A422:BP999,5,0),"")</f>
        <v/>
      </c>
      <c r="P458" s="89" t="str">
        <f>IFERROR(VLOOKUP(E458,'Daily Attendance Report 24-25'!$A$1:$BO$617,5,0),"")</f>
        <v/>
      </c>
      <c r="Q458" s="89"/>
      <c r="R458" s="89"/>
      <c r="S458" s="89" t="str">
        <f t="shared" si="17"/>
        <v>#DIV/0!</v>
      </c>
      <c r="T458" s="89" t="str">
        <f t="shared" si="6"/>
        <v>#DIV/0!</v>
      </c>
      <c r="U458" s="89" t="str">
        <f t="shared" si="25"/>
        <v>#DIV/0!</v>
      </c>
      <c r="V458" s="89" t="str">
        <f t="shared" si="24"/>
        <v>#DIV/0!</v>
      </c>
      <c r="W458" s="89" t="str">
        <f t="shared" si="9"/>
        <v>#DIV/0!</v>
      </c>
      <c r="X458" s="89"/>
      <c r="Y458" s="89"/>
      <c r="Z458" s="89"/>
      <c r="AA458" s="89"/>
      <c r="AB458" s="89"/>
      <c r="AC458" s="89"/>
      <c r="AD458" s="89"/>
      <c r="AE458" s="89"/>
      <c r="AF458" s="89"/>
      <c r="AG458" s="89"/>
      <c r="AH458" s="89"/>
    </row>
    <row r="459">
      <c r="A459" s="8" t="s">
        <v>597</v>
      </c>
      <c r="B459" s="97"/>
      <c r="C459" s="8"/>
      <c r="D459" s="89" t="str">
        <f t="shared" si="1"/>
        <v/>
      </c>
      <c r="E459" s="89" t="str">
        <f t="shared" si="2"/>
        <v>OT Hours</v>
      </c>
      <c r="F459" s="89" t="str">
        <f>IFERROR(VLOOKUP(C459,'Employees List'!$B$1:$G$999,2,0),"")</f>
        <v/>
      </c>
      <c r="G459" s="89" t="str">
        <f t="shared" si="23"/>
        <v>#DIV/0!</v>
      </c>
      <c r="H459" s="98"/>
      <c r="I459" s="89" t="str">
        <f>IFERROR(VLOOKUP(F459,'Employees List'!$C:$F,2,0),"")</f>
        <v/>
      </c>
      <c r="J459" s="93" t="str">
        <f>IFERROR(VLOOKUP(C459,'Employees List'!$B$2:$G$991,5,0),"")</f>
        <v/>
      </c>
      <c r="K459" s="95" t="str">
        <f>IFERROR(VLOOKUP(F459,'Employees List'!$C$1:$AB$991,5,0),"")</f>
        <v/>
      </c>
      <c r="L459" s="91">
        <f t="shared" si="3"/>
        <v>0</v>
      </c>
      <c r="M459" s="91">
        <f t="shared" si="4"/>
        <v>0</v>
      </c>
      <c r="N459" s="89" t="str">
        <f>IFERROR(VLOOKUP(B459,'Employees List'!$A$2:$H$991,8,0),"")</f>
        <v/>
      </c>
      <c r="O459" s="89" t="str">
        <f>IFERROR(VLOOKUP(D459,'Daily Attendance Report 24-25'!A423:BP999,5,0),"")</f>
        <v/>
      </c>
      <c r="P459" s="89" t="str">
        <f>IFERROR(VLOOKUP(E459,'Daily Attendance Report 24-25'!$A$1:$BO$617,5,0),"")</f>
        <v/>
      </c>
      <c r="Q459" s="89"/>
      <c r="R459" s="89"/>
      <c r="S459" s="89" t="str">
        <f t="shared" si="17"/>
        <v>#DIV/0!</v>
      </c>
      <c r="T459" s="89" t="str">
        <f t="shared" si="6"/>
        <v>#DIV/0!</v>
      </c>
      <c r="U459" s="89" t="str">
        <f t="shared" si="25"/>
        <v>#DIV/0!</v>
      </c>
      <c r="V459" s="89" t="str">
        <f t="shared" si="24"/>
        <v>#DIV/0!</v>
      </c>
      <c r="W459" s="89" t="str">
        <f t="shared" si="9"/>
        <v>#DIV/0!</v>
      </c>
      <c r="X459" s="89"/>
      <c r="Y459" s="89"/>
      <c r="Z459" s="89"/>
      <c r="AA459" s="89"/>
      <c r="AB459" s="89"/>
      <c r="AC459" s="89"/>
      <c r="AD459" s="89"/>
      <c r="AE459" s="89"/>
      <c r="AF459" s="89"/>
      <c r="AG459" s="89"/>
      <c r="AH459" s="89"/>
    </row>
    <row r="460">
      <c r="A460" s="8" t="s">
        <v>598</v>
      </c>
      <c r="B460" s="97"/>
      <c r="C460" s="8"/>
      <c r="D460" s="89" t="str">
        <f t="shared" si="1"/>
        <v/>
      </c>
      <c r="E460" s="89" t="str">
        <f t="shared" si="2"/>
        <v>OT Hours</v>
      </c>
      <c r="F460" s="89" t="str">
        <f>IFERROR(VLOOKUP(C460,'Employees List'!$B$1:$G$999,2,0),"")</f>
        <v/>
      </c>
      <c r="G460" s="89" t="str">
        <f t="shared" si="23"/>
        <v>#DIV/0!</v>
      </c>
      <c r="H460" s="98"/>
      <c r="I460" s="89" t="str">
        <f>IFERROR(VLOOKUP(F460,'Employees List'!$C:$F,2,0),"")</f>
        <v/>
      </c>
      <c r="J460" s="93" t="str">
        <f>IFERROR(VLOOKUP(C460,'Employees List'!$B$2:$G$991,5,0),"")</f>
        <v/>
      </c>
      <c r="K460" s="95" t="str">
        <f>IFERROR(VLOOKUP(F460,'Employees List'!$C$1:$AB$991,5,0),"")</f>
        <v/>
      </c>
      <c r="L460" s="91">
        <f t="shared" si="3"/>
        <v>0</v>
      </c>
      <c r="M460" s="91">
        <f t="shared" si="4"/>
        <v>0</v>
      </c>
      <c r="N460" s="89" t="str">
        <f>IFERROR(VLOOKUP(B460,'Employees List'!$A$2:$H$991,8,0),"")</f>
        <v/>
      </c>
      <c r="O460" s="89" t="str">
        <f>IFERROR(VLOOKUP(D460,'Daily Attendance Report 24-25'!A424:BP999,5,0),"")</f>
        <v/>
      </c>
      <c r="P460" s="89" t="str">
        <f>IFERROR(VLOOKUP(E460,'Daily Attendance Report 24-25'!$A$1:$BO$617,5,0),"")</f>
        <v/>
      </c>
      <c r="Q460" s="89"/>
      <c r="R460" s="89"/>
      <c r="S460" s="89" t="str">
        <f t="shared" si="17"/>
        <v>#DIV/0!</v>
      </c>
      <c r="T460" s="89" t="str">
        <f t="shared" si="6"/>
        <v>#DIV/0!</v>
      </c>
      <c r="U460" s="89" t="str">
        <f t="shared" si="25"/>
        <v>#DIV/0!</v>
      </c>
      <c r="V460" s="89" t="str">
        <f t="shared" si="24"/>
        <v>#DIV/0!</v>
      </c>
      <c r="W460" s="89" t="str">
        <f t="shared" si="9"/>
        <v>#DIV/0!</v>
      </c>
      <c r="X460" s="89"/>
      <c r="Y460" s="89"/>
      <c r="Z460" s="89"/>
      <c r="AA460" s="89"/>
      <c r="AB460" s="89"/>
      <c r="AC460" s="89"/>
      <c r="AD460" s="89"/>
      <c r="AE460" s="89"/>
      <c r="AF460" s="89"/>
      <c r="AG460" s="89"/>
      <c r="AH460" s="89"/>
    </row>
    <row r="461">
      <c r="A461" s="8" t="s">
        <v>599</v>
      </c>
      <c r="B461" s="97"/>
      <c r="C461" s="8"/>
      <c r="D461" s="89" t="str">
        <f t="shared" si="1"/>
        <v/>
      </c>
      <c r="E461" s="89" t="str">
        <f t="shared" si="2"/>
        <v>OT Hours</v>
      </c>
      <c r="F461" s="89" t="str">
        <f>IFERROR(VLOOKUP(C461,'Employees List'!$B$1:$G$999,2,0),"")</f>
        <v/>
      </c>
      <c r="G461" s="89" t="str">
        <f t="shared" si="23"/>
        <v>#DIV/0!</v>
      </c>
      <c r="H461" s="98"/>
      <c r="I461" s="89" t="str">
        <f>IFERROR(VLOOKUP(F461,'Employees List'!$C:$F,2,0),"")</f>
        <v/>
      </c>
      <c r="J461" s="93" t="str">
        <f>IFERROR(VLOOKUP(C461,'Employees List'!$B$2:$G$991,5,0),"")</f>
        <v/>
      </c>
      <c r="K461" s="95" t="str">
        <f>IFERROR(VLOOKUP(F461,'Employees List'!$C$1:$AB$991,5,0),"")</f>
        <v/>
      </c>
      <c r="L461" s="91">
        <f t="shared" si="3"/>
        <v>0</v>
      </c>
      <c r="M461" s="91">
        <f t="shared" si="4"/>
        <v>0</v>
      </c>
      <c r="N461" s="89" t="str">
        <f>IFERROR(VLOOKUP(B461,'Employees List'!$A$2:$H$991,8,0),"")</f>
        <v/>
      </c>
      <c r="O461" s="89" t="str">
        <f>IFERROR(VLOOKUP(D461,'Daily Attendance Report 24-25'!A425:BP999,5,0),"")</f>
        <v/>
      </c>
      <c r="P461" s="89" t="str">
        <f>IFERROR(VLOOKUP(E461,'Daily Attendance Report 24-25'!$A$1:$BO$617,5,0),"")</f>
        <v/>
      </c>
      <c r="Q461" s="89"/>
      <c r="R461" s="89"/>
      <c r="S461" s="89" t="str">
        <f t="shared" si="17"/>
        <v>#DIV/0!</v>
      </c>
      <c r="T461" s="89" t="str">
        <f t="shared" si="6"/>
        <v>#DIV/0!</v>
      </c>
      <c r="U461" s="89" t="str">
        <f t="shared" si="25"/>
        <v>#DIV/0!</v>
      </c>
      <c r="V461" s="89" t="str">
        <f t="shared" si="24"/>
        <v>#DIV/0!</v>
      </c>
      <c r="W461" s="89" t="str">
        <f t="shared" si="9"/>
        <v>#DIV/0!</v>
      </c>
      <c r="X461" s="89"/>
      <c r="Y461" s="89"/>
      <c r="Z461" s="89"/>
      <c r="AA461" s="89"/>
      <c r="AB461" s="89"/>
      <c r="AC461" s="89"/>
      <c r="AD461" s="89"/>
      <c r="AE461" s="89"/>
      <c r="AF461" s="89"/>
      <c r="AG461" s="89"/>
      <c r="AH461" s="89"/>
    </row>
    <row r="462">
      <c r="A462" s="8" t="s">
        <v>600</v>
      </c>
      <c r="B462" s="97"/>
      <c r="C462" s="8"/>
      <c r="D462" s="89" t="str">
        <f t="shared" si="1"/>
        <v/>
      </c>
      <c r="E462" s="89" t="str">
        <f t="shared" si="2"/>
        <v>OT Hours</v>
      </c>
      <c r="F462" s="89" t="str">
        <f>IFERROR(VLOOKUP(C462,'Employees List'!$B$1:$G$999,2,0),"")</f>
        <v/>
      </c>
      <c r="G462" s="89" t="str">
        <f t="shared" si="23"/>
        <v>#DIV/0!</v>
      </c>
      <c r="H462" s="98"/>
      <c r="I462" s="89" t="str">
        <f>IFERROR(VLOOKUP(F462,'Employees List'!$C:$F,2,0),"")</f>
        <v/>
      </c>
      <c r="J462" s="93" t="str">
        <f>IFERROR(VLOOKUP(C462,'Employees List'!$B$2:$G$991,5,0),"")</f>
        <v/>
      </c>
      <c r="K462" s="95" t="str">
        <f>IFERROR(VLOOKUP(F462,'Employees List'!$C$1:$AB$991,5,0),"")</f>
        <v/>
      </c>
      <c r="L462" s="91">
        <f t="shared" si="3"/>
        <v>0</v>
      </c>
      <c r="M462" s="91">
        <f t="shared" si="4"/>
        <v>0</v>
      </c>
      <c r="N462" s="89" t="str">
        <f>IFERROR(VLOOKUP(B462,'Employees List'!$A$2:$H$991,8,0),"")</f>
        <v/>
      </c>
      <c r="O462" s="89" t="str">
        <f>IFERROR(VLOOKUP(D462,'Daily Attendance Report 24-25'!A426:BP999,5,0),"")</f>
        <v/>
      </c>
      <c r="P462" s="89" t="str">
        <f>IFERROR(VLOOKUP(E462,'Daily Attendance Report 24-25'!$A$1:$BO$617,5,0),"")</f>
        <v/>
      </c>
      <c r="Q462" s="89"/>
      <c r="R462" s="89"/>
      <c r="S462" s="89" t="str">
        <f t="shared" si="17"/>
        <v>#DIV/0!</v>
      </c>
      <c r="T462" s="89" t="str">
        <f t="shared" si="6"/>
        <v>#DIV/0!</v>
      </c>
      <c r="U462" s="89" t="str">
        <f t="shared" si="25"/>
        <v>#DIV/0!</v>
      </c>
      <c r="V462" s="89" t="str">
        <f t="shared" si="24"/>
        <v>#DIV/0!</v>
      </c>
      <c r="W462" s="89" t="str">
        <f t="shared" si="9"/>
        <v>#DIV/0!</v>
      </c>
      <c r="X462" s="89"/>
      <c r="Y462" s="89"/>
      <c r="Z462" s="89"/>
      <c r="AA462" s="89"/>
      <c r="AB462" s="89"/>
      <c r="AC462" s="89"/>
      <c r="AD462" s="89"/>
      <c r="AE462" s="89"/>
      <c r="AF462" s="89"/>
      <c r="AG462" s="89"/>
      <c r="AH462" s="89"/>
    </row>
    <row r="463">
      <c r="A463" s="8" t="s">
        <v>601</v>
      </c>
      <c r="B463" s="97"/>
      <c r="C463" s="8"/>
      <c r="D463" s="89" t="str">
        <f t="shared" si="1"/>
        <v/>
      </c>
      <c r="E463" s="89" t="str">
        <f t="shared" si="2"/>
        <v>OT Hours</v>
      </c>
      <c r="F463" s="89" t="str">
        <f>IFERROR(VLOOKUP(C463,'Employees List'!$B$1:$G$999,2,0),"")</f>
        <v/>
      </c>
      <c r="G463" s="89" t="str">
        <f t="shared" si="23"/>
        <v>#DIV/0!</v>
      </c>
      <c r="H463" s="98"/>
      <c r="I463" s="89" t="str">
        <f>IFERROR(VLOOKUP(F463,'Employees List'!$C:$F,2,0),"")</f>
        <v/>
      </c>
      <c r="J463" s="93" t="str">
        <f>IFERROR(VLOOKUP(C463,'Employees List'!$B$2:$G$991,5,0),"")</f>
        <v/>
      </c>
      <c r="K463" s="95" t="str">
        <f>IFERROR(VLOOKUP(F463,'Employees List'!$C$1:$AB$991,5,0),"")</f>
        <v/>
      </c>
      <c r="L463" s="91">
        <f t="shared" si="3"/>
        <v>0</v>
      </c>
      <c r="M463" s="91">
        <f t="shared" si="4"/>
        <v>0</v>
      </c>
      <c r="N463" s="89" t="str">
        <f>IFERROR(VLOOKUP(B463,'Employees List'!$A$2:$H$991,8,0),"")</f>
        <v/>
      </c>
      <c r="O463" s="89" t="str">
        <f>IFERROR(VLOOKUP(D463,'Daily Attendance Report 24-25'!A427:BP999,5,0),"")</f>
        <v/>
      </c>
      <c r="P463" s="89" t="str">
        <f>IFERROR(VLOOKUP(E463,'Daily Attendance Report 24-25'!$A$1:$BO$617,5,0),"")</f>
        <v/>
      </c>
      <c r="Q463" s="89"/>
      <c r="R463" s="89"/>
      <c r="S463" s="89" t="str">
        <f t="shared" si="17"/>
        <v>#DIV/0!</v>
      </c>
      <c r="T463" s="89" t="str">
        <f t="shared" si="6"/>
        <v>#DIV/0!</v>
      </c>
      <c r="U463" s="89" t="str">
        <f t="shared" si="25"/>
        <v>#DIV/0!</v>
      </c>
      <c r="V463" s="89" t="str">
        <f t="shared" si="24"/>
        <v>#DIV/0!</v>
      </c>
      <c r="W463" s="89" t="str">
        <f t="shared" si="9"/>
        <v>#DIV/0!</v>
      </c>
      <c r="X463" s="89"/>
      <c r="Y463" s="89"/>
      <c r="Z463" s="89"/>
      <c r="AA463" s="89"/>
      <c r="AB463" s="89"/>
      <c r="AC463" s="89"/>
      <c r="AD463" s="89"/>
      <c r="AE463" s="89"/>
      <c r="AF463" s="89"/>
      <c r="AG463" s="89"/>
      <c r="AH463" s="89"/>
    </row>
    <row r="464">
      <c r="A464" s="8" t="s">
        <v>602</v>
      </c>
      <c r="B464" s="97"/>
      <c r="C464" s="8"/>
      <c r="D464" s="89" t="str">
        <f t="shared" si="1"/>
        <v/>
      </c>
      <c r="E464" s="89" t="str">
        <f t="shared" si="2"/>
        <v>OT Hours</v>
      </c>
      <c r="F464" s="89" t="str">
        <f>IFERROR(VLOOKUP(C464,'Employees List'!$B$1:$G$999,2,0),"")</f>
        <v/>
      </c>
      <c r="G464" s="89" t="str">
        <f t="shared" si="23"/>
        <v>#DIV/0!</v>
      </c>
      <c r="H464" s="98"/>
      <c r="I464" s="89" t="str">
        <f>IFERROR(VLOOKUP(F464,'Employees List'!$C:$F,2,0),"")</f>
        <v/>
      </c>
      <c r="J464" s="93" t="str">
        <f>IFERROR(VLOOKUP(C464,'Employees List'!$B$2:$G$991,5,0),"")</f>
        <v/>
      </c>
      <c r="K464" s="95" t="str">
        <f>IFERROR(VLOOKUP(F464,'Employees List'!$C$1:$AB$991,5,0),"")</f>
        <v/>
      </c>
      <c r="L464" s="91">
        <f t="shared" si="3"/>
        <v>0</v>
      </c>
      <c r="M464" s="91">
        <f t="shared" si="4"/>
        <v>0</v>
      </c>
      <c r="N464" s="89" t="str">
        <f>IFERROR(VLOOKUP(B464,'Employees List'!$A$2:$H$991,8,0),"")</f>
        <v/>
      </c>
      <c r="O464" s="89" t="str">
        <f>IFERROR(VLOOKUP(D464,'Daily Attendance Report 24-25'!A428:BP999,5,0),"")</f>
        <v/>
      </c>
      <c r="P464" s="89" t="str">
        <f>IFERROR(VLOOKUP(E464,'Daily Attendance Report 24-25'!$A$1:$BO$617,5,0),"")</f>
        <v/>
      </c>
      <c r="Q464" s="89"/>
      <c r="R464" s="89"/>
      <c r="S464" s="89" t="str">
        <f t="shared" si="17"/>
        <v>#DIV/0!</v>
      </c>
      <c r="T464" s="89" t="str">
        <f t="shared" si="6"/>
        <v>#DIV/0!</v>
      </c>
      <c r="U464" s="89" t="str">
        <f t="shared" si="25"/>
        <v>#DIV/0!</v>
      </c>
      <c r="V464" s="89" t="str">
        <f t="shared" si="24"/>
        <v>#DIV/0!</v>
      </c>
      <c r="W464" s="89" t="str">
        <f t="shared" si="9"/>
        <v>#DIV/0!</v>
      </c>
      <c r="X464" s="89"/>
      <c r="Y464" s="89"/>
      <c r="Z464" s="89"/>
      <c r="AA464" s="89"/>
      <c r="AB464" s="89"/>
      <c r="AC464" s="89"/>
      <c r="AD464" s="89"/>
      <c r="AE464" s="89"/>
      <c r="AF464" s="89"/>
      <c r="AG464" s="89"/>
      <c r="AH464" s="89"/>
    </row>
    <row r="465">
      <c r="A465" s="8" t="s">
        <v>603</v>
      </c>
      <c r="B465" s="97"/>
      <c r="C465" s="8"/>
      <c r="D465" s="89" t="str">
        <f t="shared" si="1"/>
        <v/>
      </c>
      <c r="E465" s="89" t="str">
        <f t="shared" si="2"/>
        <v>OT Hours</v>
      </c>
      <c r="F465" s="89" t="str">
        <f>IFERROR(VLOOKUP(C465,'Employees List'!$B$1:$G$999,2,0),"")</f>
        <v/>
      </c>
      <c r="G465" s="89" t="str">
        <f t="shared" si="23"/>
        <v>#DIV/0!</v>
      </c>
      <c r="H465" s="98"/>
      <c r="I465" s="89" t="str">
        <f>IFERROR(VLOOKUP(F465,'Employees List'!$C:$F,2,0),"")</f>
        <v/>
      </c>
      <c r="J465" s="93" t="str">
        <f>IFERROR(VLOOKUP(C465,'Employees List'!$B$2:$G$991,5,0),"")</f>
        <v/>
      </c>
      <c r="K465" s="95" t="str">
        <f>IFERROR(VLOOKUP(F465,'Employees List'!$C$1:$AB$991,5,0),"")</f>
        <v/>
      </c>
      <c r="L465" s="91">
        <f t="shared" si="3"/>
        <v>0</v>
      </c>
      <c r="M465" s="91">
        <f t="shared" si="4"/>
        <v>0</v>
      </c>
      <c r="N465" s="89" t="str">
        <f>IFERROR(VLOOKUP(B465,'Employees List'!$A$2:$H$991,8,0),"")</f>
        <v/>
      </c>
      <c r="O465" s="89" t="str">
        <f>IFERROR(VLOOKUP(D465,'Daily Attendance Report 24-25'!A429:BP999,5,0),"")</f>
        <v/>
      </c>
      <c r="P465" s="89" t="str">
        <f>IFERROR(VLOOKUP(E465,'Daily Attendance Report 24-25'!$A$1:$BO$617,5,0),"")</f>
        <v/>
      </c>
      <c r="Q465" s="89"/>
      <c r="R465" s="89"/>
      <c r="S465" s="89" t="str">
        <f t="shared" si="17"/>
        <v>#DIV/0!</v>
      </c>
      <c r="T465" s="89" t="str">
        <f t="shared" si="6"/>
        <v>#DIV/0!</v>
      </c>
      <c r="U465" s="89" t="str">
        <f t="shared" si="25"/>
        <v>#DIV/0!</v>
      </c>
      <c r="V465" s="89" t="str">
        <f t="shared" si="24"/>
        <v>#DIV/0!</v>
      </c>
      <c r="W465" s="89" t="str">
        <f t="shared" si="9"/>
        <v>#DIV/0!</v>
      </c>
      <c r="X465" s="89"/>
      <c r="Y465" s="89"/>
      <c r="Z465" s="89"/>
      <c r="AA465" s="89"/>
      <c r="AB465" s="89"/>
      <c r="AC465" s="89"/>
      <c r="AD465" s="89"/>
      <c r="AE465" s="89"/>
      <c r="AF465" s="89"/>
      <c r="AG465" s="89"/>
      <c r="AH465" s="89"/>
    </row>
    <row r="466">
      <c r="A466" s="8" t="s">
        <v>604</v>
      </c>
      <c r="B466" s="97"/>
      <c r="C466" s="8"/>
      <c r="D466" s="89" t="str">
        <f t="shared" si="1"/>
        <v/>
      </c>
      <c r="E466" s="89" t="str">
        <f t="shared" si="2"/>
        <v>OT Hours</v>
      </c>
      <c r="F466" s="89" t="str">
        <f>IFERROR(VLOOKUP(C466,'Employees List'!$B$1:$G$999,2,0),"")</f>
        <v/>
      </c>
      <c r="G466" s="89" t="str">
        <f t="shared" si="23"/>
        <v>#DIV/0!</v>
      </c>
      <c r="H466" s="98"/>
      <c r="I466" s="89" t="str">
        <f>IFERROR(VLOOKUP(F466,'Employees List'!$C:$F,2,0),"")</f>
        <v/>
      </c>
      <c r="J466" s="93" t="str">
        <f>IFERROR(VLOOKUP(C466,'Employees List'!$B$2:$G$991,5,0),"")</f>
        <v/>
      </c>
      <c r="K466" s="95" t="str">
        <f>IFERROR(VLOOKUP(F466,'Employees List'!$C$1:$AB$991,5,0),"")</f>
        <v/>
      </c>
      <c r="L466" s="91">
        <f t="shared" si="3"/>
        <v>0</v>
      </c>
      <c r="M466" s="91">
        <f t="shared" si="4"/>
        <v>0</v>
      </c>
      <c r="N466" s="89" t="str">
        <f>IFERROR(VLOOKUP(B466,'Employees List'!$A$2:$H$991,8,0),"")</f>
        <v/>
      </c>
      <c r="O466" s="89" t="str">
        <f>IFERROR(VLOOKUP(D466,'Daily Attendance Report 24-25'!A430:BP999,5,0),"")</f>
        <v/>
      </c>
      <c r="P466" s="89" t="str">
        <f>IFERROR(VLOOKUP(E466,'Daily Attendance Report 24-25'!$A$1:$BO$617,5,0),"")</f>
        <v/>
      </c>
      <c r="Q466" s="89"/>
      <c r="R466" s="89"/>
      <c r="S466" s="89" t="str">
        <f t="shared" si="17"/>
        <v>#DIV/0!</v>
      </c>
      <c r="T466" s="89" t="str">
        <f t="shared" si="6"/>
        <v>#DIV/0!</v>
      </c>
      <c r="U466" s="89" t="str">
        <f t="shared" si="25"/>
        <v>#DIV/0!</v>
      </c>
      <c r="V466" s="89" t="str">
        <f t="shared" si="24"/>
        <v>#DIV/0!</v>
      </c>
      <c r="W466" s="89" t="str">
        <f t="shared" si="9"/>
        <v>#DIV/0!</v>
      </c>
      <c r="X466" s="89"/>
      <c r="Y466" s="89"/>
      <c r="Z466" s="89"/>
      <c r="AA466" s="89"/>
      <c r="AB466" s="89"/>
      <c r="AC466" s="89"/>
      <c r="AD466" s="89"/>
      <c r="AE466" s="89"/>
      <c r="AF466" s="89"/>
      <c r="AG466" s="89"/>
      <c r="AH466" s="89"/>
    </row>
    <row r="467">
      <c r="A467" s="8" t="s">
        <v>605</v>
      </c>
      <c r="B467" s="97"/>
      <c r="C467" s="8"/>
      <c r="D467" s="89" t="str">
        <f t="shared" si="1"/>
        <v/>
      </c>
      <c r="E467" s="89" t="str">
        <f t="shared" si="2"/>
        <v>OT Hours</v>
      </c>
      <c r="F467" s="89" t="str">
        <f>IFERROR(VLOOKUP(C467,'Employees List'!$B$1:$G$999,2,0),"")</f>
        <v/>
      </c>
      <c r="G467" s="89" t="str">
        <f t="shared" si="23"/>
        <v>#DIV/0!</v>
      </c>
      <c r="H467" s="98"/>
      <c r="I467" s="89" t="str">
        <f>IFERROR(VLOOKUP(F467,'Employees List'!$C:$F,2,0),"")</f>
        <v/>
      </c>
      <c r="J467" s="93" t="str">
        <f>IFERROR(VLOOKUP(C467,'Employees List'!$B$2:$G$991,5,0),"")</f>
        <v/>
      </c>
      <c r="K467" s="95" t="str">
        <f>IFERROR(VLOOKUP(F467,'Employees List'!$C$1:$AB$991,5,0),"")</f>
        <v/>
      </c>
      <c r="L467" s="91">
        <f t="shared" si="3"/>
        <v>0</v>
      </c>
      <c r="M467" s="91">
        <f t="shared" si="4"/>
        <v>0</v>
      </c>
      <c r="N467" s="89" t="str">
        <f>IFERROR(VLOOKUP(B467,'Employees List'!$A$2:$H$991,8,0),"")</f>
        <v/>
      </c>
      <c r="O467" s="89" t="str">
        <f>IFERROR(VLOOKUP(D467,'Daily Attendance Report 24-25'!A431:BP999,5,0),"")</f>
        <v/>
      </c>
      <c r="P467" s="89" t="str">
        <f>IFERROR(VLOOKUP(E467,'Daily Attendance Report 24-25'!$A$1:$BO$617,5,0),"")</f>
        <v/>
      </c>
      <c r="Q467" s="89"/>
      <c r="R467" s="89"/>
      <c r="S467" s="89" t="str">
        <f t="shared" si="17"/>
        <v>#DIV/0!</v>
      </c>
      <c r="T467" s="89" t="str">
        <f t="shared" si="6"/>
        <v>#DIV/0!</v>
      </c>
      <c r="U467" s="89" t="str">
        <f t="shared" si="25"/>
        <v>#DIV/0!</v>
      </c>
      <c r="V467" s="89" t="str">
        <f t="shared" si="24"/>
        <v>#DIV/0!</v>
      </c>
      <c r="W467" s="89" t="str">
        <f t="shared" si="9"/>
        <v>#DIV/0!</v>
      </c>
      <c r="X467" s="89"/>
      <c r="Y467" s="89"/>
      <c r="Z467" s="89"/>
      <c r="AA467" s="89"/>
      <c r="AB467" s="89"/>
      <c r="AC467" s="89"/>
      <c r="AD467" s="89"/>
      <c r="AE467" s="89"/>
      <c r="AF467" s="89"/>
      <c r="AG467" s="89"/>
      <c r="AH467" s="89"/>
    </row>
    <row r="468">
      <c r="A468" s="8" t="s">
        <v>606</v>
      </c>
      <c r="B468" s="97"/>
      <c r="C468" s="8"/>
      <c r="D468" s="89" t="str">
        <f t="shared" si="1"/>
        <v/>
      </c>
      <c r="E468" s="89" t="str">
        <f t="shared" si="2"/>
        <v>OT Hours</v>
      </c>
      <c r="F468" s="89" t="str">
        <f>IFERROR(VLOOKUP(C468,'Employees List'!$B$1:$G$999,2,0),"")</f>
        <v/>
      </c>
      <c r="G468" s="89" t="str">
        <f t="shared" si="23"/>
        <v>#DIV/0!</v>
      </c>
      <c r="H468" s="98"/>
      <c r="I468" s="89" t="str">
        <f>IFERROR(VLOOKUP(F468,'Employees List'!$C:$F,2,0),"")</f>
        <v/>
      </c>
      <c r="J468" s="93" t="str">
        <f>IFERROR(VLOOKUP(C468,'Employees List'!$B$2:$G$991,5,0),"")</f>
        <v/>
      </c>
      <c r="K468" s="95" t="str">
        <f>IFERROR(VLOOKUP(F468,'Employees List'!$C$1:$AB$991,5,0),"")</f>
        <v/>
      </c>
      <c r="L468" s="91">
        <f t="shared" si="3"/>
        <v>0</v>
      </c>
      <c r="M468" s="91">
        <f t="shared" si="4"/>
        <v>0</v>
      </c>
      <c r="N468" s="89" t="str">
        <f>IFERROR(VLOOKUP(B468,'Employees List'!$A$2:$H$991,8,0),"")</f>
        <v/>
      </c>
      <c r="O468" s="89" t="str">
        <f>IFERROR(VLOOKUP(D468,'Daily Attendance Report 24-25'!A432:BP999,5,0),"")</f>
        <v/>
      </c>
      <c r="P468" s="89" t="str">
        <f>IFERROR(VLOOKUP(E468,'Daily Attendance Report 24-25'!$A$1:$BO$617,5,0),"")</f>
        <v/>
      </c>
      <c r="Q468" s="89"/>
      <c r="R468" s="89"/>
      <c r="S468" s="89" t="str">
        <f t="shared" si="17"/>
        <v>#DIV/0!</v>
      </c>
      <c r="T468" s="89" t="str">
        <f t="shared" si="6"/>
        <v>#DIV/0!</v>
      </c>
      <c r="U468" s="89" t="str">
        <f t="shared" si="25"/>
        <v>#DIV/0!</v>
      </c>
      <c r="V468" s="89" t="str">
        <f t="shared" si="24"/>
        <v>#DIV/0!</v>
      </c>
      <c r="W468" s="89" t="str">
        <f t="shared" si="9"/>
        <v>#DIV/0!</v>
      </c>
      <c r="X468" s="89"/>
      <c r="Y468" s="89"/>
      <c r="Z468" s="89"/>
      <c r="AA468" s="89"/>
      <c r="AB468" s="89"/>
      <c r="AC468" s="89"/>
      <c r="AD468" s="89"/>
      <c r="AE468" s="89"/>
      <c r="AF468" s="89"/>
      <c r="AG468" s="89"/>
      <c r="AH468" s="89"/>
    </row>
    <row r="469">
      <c r="A469" s="8" t="s">
        <v>607</v>
      </c>
      <c r="B469" s="97"/>
      <c r="C469" s="8"/>
      <c r="D469" s="89" t="str">
        <f t="shared" si="1"/>
        <v/>
      </c>
      <c r="E469" s="89" t="str">
        <f t="shared" si="2"/>
        <v>OT Hours</v>
      </c>
      <c r="F469" s="89" t="str">
        <f>IFERROR(VLOOKUP(C469,'Employees List'!$B$1:$G$999,2,0),"")</f>
        <v/>
      </c>
      <c r="G469" s="89" t="str">
        <f t="shared" si="23"/>
        <v>#DIV/0!</v>
      </c>
      <c r="H469" s="98"/>
      <c r="I469" s="89" t="str">
        <f>IFERROR(VLOOKUP(F469,'Employees List'!$C:$F,2,0),"")</f>
        <v/>
      </c>
      <c r="J469" s="93" t="str">
        <f>IFERROR(VLOOKUP(C469,'Employees List'!$B$2:$G$991,5,0),"")</f>
        <v/>
      </c>
      <c r="K469" s="95" t="str">
        <f>IFERROR(VLOOKUP(F469,'Employees List'!$C$1:$AB$991,5,0),"")</f>
        <v/>
      </c>
      <c r="L469" s="91">
        <f t="shared" si="3"/>
        <v>0</v>
      </c>
      <c r="M469" s="91">
        <f t="shared" si="4"/>
        <v>0</v>
      </c>
      <c r="N469" s="89" t="str">
        <f>IFERROR(VLOOKUP(B469,'Employees List'!$A$2:$H$991,8,0),"")</f>
        <v/>
      </c>
      <c r="O469" s="89" t="str">
        <f>IFERROR(VLOOKUP(D469,'Daily Attendance Report 24-25'!A433:BP999,5,0),"")</f>
        <v/>
      </c>
      <c r="P469" s="89" t="str">
        <f>IFERROR(VLOOKUP(E469,'Daily Attendance Report 24-25'!$A$1:$BO$617,5,0),"")</f>
        <v/>
      </c>
      <c r="Q469" s="89"/>
      <c r="R469" s="89"/>
      <c r="S469" s="89" t="str">
        <f t="shared" si="17"/>
        <v>#DIV/0!</v>
      </c>
      <c r="T469" s="89" t="str">
        <f t="shared" si="6"/>
        <v>#DIV/0!</v>
      </c>
      <c r="U469" s="89" t="str">
        <f t="shared" si="25"/>
        <v>#DIV/0!</v>
      </c>
      <c r="V469" s="89" t="str">
        <f t="shared" si="24"/>
        <v>#DIV/0!</v>
      </c>
      <c r="W469" s="89" t="str">
        <f t="shared" si="9"/>
        <v>#DIV/0!</v>
      </c>
      <c r="X469" s="89"/>
      <c r="Y469" s="89"/>
      <c r="Z469" s="89"/>
      <c r="AA469" s="89"/>
      <c r="AB469" s="89"/>
      <c r="AC469" s="89"/>
      <c r="AD469" s="89"/>
      <c r="AE469" s="89"/>
      <c r="AF469" s="89"/>
      <c r="AG469" s="89"/>
      <c r="AH469" s="89"/>
    </row>
    <row r="470">
      <c r="A470" s="8" t="s">
        <v>608</v>
      </c>
      <c r="B470" s="97"/>
      <c r="C470" s="8"/>
      <c r="D470" s="89" t="str">
        <f t="shared" si="1"/>
        <v/>
      </c>
      <c r="E470" s="89" t="str">
        <f t="shared" si="2"/>
        <v>OT Hours</v>
      </c>
      <c r="F470" s="89" t="str">
        <f>IFERROR(VLOOKUP(C470,'Employees List'!$B$1:$G$999,2,0),"")</f>
        <v/>
      </c>
      <c r="G470" s="89" t="str">
        <f t="shared" si="23"/>
        <v>#DIV/0!</v>
      </c>
      <c r="H470" s="98"/>
      <c r="I470" s="89" t="str">
        <f>IFERROR(VLOOKUP(F470,'Employees List'!$C:$F,2,0),"")</f>
        <v/>
      </c>
      <c r="J470" s="93" t="str">
        <f>IFERROR(VLOOKUP(C470,'Employees List'!$B$2:$G$991,5,0),"")</f>
        <v/>
      </c>
      <c r="K470" s="95" t="str">
        <f>IFERROR(VLOOKUP(F470,'Employees List'!$C$1:$AB$991,5,0),"")</f>
        <v/>
      </c>
      <c r="L470" s="91">
        <f t="shared" si="3"/>
        <v>0</v>
      </c>
      <c r="M470" s="91">
        <f t="shared" si="4"/>
        <v>0</v>
      </c>
      <c r="N470" s="89" t="str">
        <f>IFERROR(VLOOKUP(B470,'Employees List'!$A$2:$H$991,8,0),"")</f>
        <v/>
      </c>
      <c r="O470" s="89" t="str">
        <f>IFERROR(VLOOKUP(D470,'Daily Attendance Report 24-25'!A434:BP999,5,0),"")</f>
        <v/>
      </c>
      <c r="P470" s="89" t="str">
        <f>IFERROR(VLOOKUP(E470,'Daily Attendance Report 24-25'!$A$1:$BO$617,5,0),"")</f>
        <v/>
      </c>
      <c r="Q470" s="89"/>
      <c r="R470" s="89"/>
      <c r="S470" s="89" t="str">
        <f t="shared" si="17"/>
        <v>#DIV/0!</v>
      </c>
      <c r="T470" s="89" t="str">
        <f t="shared" si="6"/>
        <v>#DIV/0!</v>
      </c>
      <c r="U470" s="89" t="str">
        <f t="shared" si="25"/>
        <v>#DIV/0!</v>
      </c>
      <c r="V470" s="89" t="str">
        <f t="shared" si="24"/>
        <v>#DIV/0!</v>
      </c>
      <c r="W470" s="89" t="str">
        <f t="shared" si="9"/>
        <v>#DIV/0!</v>
      </c>
      <c r="X470" s="89"/>
      <c r="Y470" s="89"/>
      <c r="Z470" s="89"/>
      <c r="AA470" s="89"/>
      <c r="AB470" s="89"/>
      <c r="AC470" s="89"/>
      <c r="AD470" s="89"/>
      <c r="AE470" s="89"/>
      <c r="AF470" s="89"/>
      <c r="AG470" s="89"/>
      <c r="AH470" s="89"/>
    </row>
    <row r="471">
      <c r="A471" s="8" t="s">
        <v>609</v>
      </c>
      <c r="B471" s="97"/>
      <c r="C471" s="8"/>
      <c r="D471" s="89" t="str">
        <f t="shared" si="1"/>
        <v/>
      </c>
      <c r="E471" s="89" t="str">
        <f t="shared" si="2"/>
        <v>OT Hours</v>
      </c>
      <c r="F471" s="89" t="str">
        <f>IFERROR(VLOOKUP(C471,'Employees List'!$B$1:$G$999,2,0),"")</f>
        <v/>
      </c>
      <c r="G471" s="89" t="str">
        <f t="shared" si="23"/>
        <v>#DIV/0!</v>
      </c>
      <c r="H471" s="98"/>
      <c r="I471" s="89" t="str">
        <f>IFERROR(VLOOKUP(F471,'Employees List'!$C:$F,2,0),"")</f>
        <v/>
      </c>
      <c r="J471" s="93" t="str">
        <f>IFERROR(VLOOKUP(C471,'Employees List'!$B$2:$G$991,5,0),"")</f>
        <v/>
      </c>
      <c r="K471" s="95" t="str">
        <f>IFERROR(VLOOKUP(F471,'Employees List'!$C$1:$AB$991,5,0),"")</f>
        <v/>
      </c>
      <c r="L471" s="91">
        <f t="shared" si="3"/>
        <v>0</v>
      </c>
      <c r="M471" s="91">
        <f t="shared" si="4"/>
        <v>0</v>
      </c>
      <c r="N471" s="89" t="str">
        <f>IFERROR(VLOOKUP(B471,'Employees List'!$A$2:$H$991,8,0),"")</f>
        <v/>
      </c>
      <c r="O471" s="89" t="str">
        <f>IFERROR(VLOOKUP(D471,'Daily Attendance Report 24-25'!A435:BP999,5,0),"")</f>
        <v/>
      </c>
      <c r="P471" s="89" t="str">
        <f>IFERROR(VLOOKUP(E471,'Daily Attendance Report 24-25'!$A$1:$BO$617,5,0),"")</f>
        <v/>
      </c>
      <c r="Q471" s="89"/>
      <c r="R471" s="89"/>
      <c r="S471" s="89" t="str">
        <f t="shared" si="17"/>
        <v>#DIV/0!</v>
      </c>
      <c r="T471" s="89" t="str">
        <f t="shared" si="6"/>
        <v>#DIV/0!</v>
      </c>
      <c r="U471" s="89" t="str">
        <f t="shared" si="25"/>
        <v>#DIV/0!</v>
      </c>
      <c r="V471" s="89" t="str">
        <f t="shared" si="24"/>
        <v>#DIV/0!</v>
      </c>
      <c r="W471" s="89" t="str">
        <f t="shared" si="9"/>
        <v>#DIV/0!</v>
      </c>
      <c r="X471" s="89"/>
      <c r="Y471" s="89"/>
      <c r="Z471" s="89"/>
      <c r="AA471" s="89"/>
      <c r="AB471" s="89"/>
      <c r="AC471" s="89"/>
      <c r="AD471" s="89"/>
      <c r="AE471" s="89"/>
      <c r="AF471" s="89"/>
      <c r="AG471" s="89"/>
      <c r="AH471" s="89"/>
    </row>
    <row r="472">
      <c r="A472" s="8" t="s">
        <v>610</v>
      </c>
      <c r="B472" s="97"/>
      <c r="C472" s="8"/>
      <c r="D472" s="89" t="str">
        <f t="shared" si="1"/>
        <v/>
      </c>
      <c r="E472" s="89" t="str">
        <f t="shared" si="2"/>
        <v>OT Hours</v>
      </c>
      <c r="F472" s="89" t="str">
        <f>IFERROR(VLOOKUP(C472,'Employees List'!$B$1:$G$999,2,0),"")</f>
        <v/>
      </c>
      <c r="G472" s="89" t="str">
        <f t="shared" si="23"/>
        <v>#DIV/0!</v>
      </c>
      <c r="H472" s="98"/>
      <c r="I472" s="89" t="str">
        <f>IFERROR(VLOOKUP(F472,'Employees List'!$C:$F,2,0),"")</f>
        <v/>
      </c>
      <c r="J472" s="93" t="str">
        <f>IFERROR(VLOOKUP(C472,'Employees List'!$B$2:$G$991,5,0),"")</f>
        <v/>
      </c>
      <c r="K472" s="95" t="str">
        <f>IFERROR(VLOOKUP(F472,'Employees List'!$C$1:$AB$991,5,0),"")</f>
        <v/>
      </c>
      <c r="L472" s="91">
        <f t="shared" si="3"/>
        <v>0</v>
      </c>
      <c r="M472" s="91">
        <f t="shared" si="4"/>
        <v>0</v>
      </c>
      <c r="N472" s="89" t="str">
        <f>IFERROR(VLOOKUP(B472,'Employees List'!$A$2:$H$991,8,0),"")</f>
        <v/>
      </c>
      <c r="O472" s="89" t="str">
        <f>IFERROR(VLOOKUP(D472,'Daily Attendance Report 24-25'!A436:BP999,5,0),"")</f>
        <v/>
      </c>
      <c r="P472" s="89" t="str">
        <f>IFERROR(VLOOKUP(E472,'Daily Attendance Report 24-25'!$A$1:$BO$617,5,0),"")</f>
        <v/>
      </c>
      <c r="Q472" s="89"/>
      <c r="R472" s="89"/>
      <c r="S472" s="89" t="str">
        <f t="shared" si="17"/>
        <v>#DIV/0!</v>
      </c>
      <c r="T472" s="89" t="str">
        <f t="shared" si="6"/>
        <v>#DIV/0!</v>
      </c>
      <c r="U472" s="89" t="str">
        <f t="shared" si="25"/>
        <v>#DIV/0!</v>
      </c>
      <c r="V472" s="89" t="str">
        <f t="shared" si="24"/>
        <v>#DIV/0!</v>
      </c>
      <c r="W472" s="89" t="str">
        <f t="shared" si="9"/>
        <v>#DIV/0!</v>
      </c>
      <c r="X472" s="89"/>
      <c r="Y472" s="89"/>
      <c r="Z472" s="89"/>
      <c r="AA472" s="89"/>
      <c r="AB472" s="89"/>
      <c r="AC472" s="89"/>
      <c r="AD472" s="89"/>
      <c r="AE472" s="89"/>
      <c r="AF472" s="89"/>
      <c r="AG472" s="89"/>
      <c r="AH472" s="89"/>
    </row>
    <row r="473">
      <c r="A473" s="8" t="s">
        <v>611</v>
      </c>
      <c r="B473" s="97"/>
      <c r="C473" s="8"/>
      <c r="D473" s="89" t="str">
        <f t="shared" si="1"/>
        <v/>
      </c>
      <c r="E473" s="89" t="str">
        <f t="shared" si="2"/>
        <v>OT Hours</v>
      </c>
      <c r="F473" s="89" t="str">
        <f>IFERROR(VLOOKUP(C473,'Employees List'!$B$1:$G$999,2,0),"")</f>
        <v/>
      </c>
      <c r="G473" s="89" t="str">
        <f t="shared" si="23"/>
        <v>#DIV/0!</v>
      </c>
      <c r="H473" s="98"/>
      <c r="I473" s="89" t="str">
        <f>IFERROR(VLOOKUP(F473,'Employees List'!$C:$F,2,0),"")</f>
        <v/>
      </c>
      <c r="J473" s="93" t="str">
        <f>IFERROR(VLOOKUP(C473,'Employees List'!$B$2:$G$991,5,0),"")</f>
        <v/>
      </c>
      <c r="K473" s="95" t="str">
        <f>IFERROR(VLOOKUP(F473,'Employees List'!$C$1:$AB$991,5,0),"")</f>
        <v/>
      </c>
      <c r="L473" s="91">
        <f t="shared" si="3"/>
        <v>0</v>
      </c>
      <c r="M473" s="91">
        <f t="shared" si="4"/>
        <v>0</v>
      </c>
      <c r="N473" s="89" t="str">
        <f>IFERROR(VLOOKUP(B473,'Employees List'!$A$2:$H$991,8,0),"")</f>
        <v/>
      </c>
      <c r="O473" s="89" t="str">
        <f>IFERROR(VLOOKUP(D473,'Daily Attendance Report 24-25'!A437:BP999,5,0),"")</f>
        <v/>
      </c>
      <c r="P473" s="89" t="str">
        <f>IFERROR(VLOOKUP(E473,'Daily Attendance Report 24-25'!$A$1:$BO$617,5,0),"")</f>
        <v/>
      </c>
      <c r="Q473" s="89"/>
      <c r="R473" s="89"/>
      <c r="S473" s="89" t="str">
        <f t="shared" si="17"/>
        <v>#DIV/0!</v>
      </c>
      <c r="T473" s="89" t="str">
        <f t="shared" si="6"/>
        <v>#DIV/0!</v>
      </c>
      <c r="U473" s="89" t="str">
        <f t="shared" si="25"/>
        <v>#DIV/0!</v>
      </c>
      <c r="V473" s="89" t="str">
        <f t="shared" si="24"/>
        <v>#DIV/0!</v>
      </c>
      <c r="W473" s="89" t="str">
        <f t="shared" si="9"/>
        <v>#DIV/0!</v>
      </c>
      <c r="X473" s="89"/>
      <c r="Y473" s="89"/>
      <c r="Z473" s="89"/>
      <c r="AA473" s="89"/>
      <c r="AB473" s="89"/>
      <c r="AC473" s="89"/>
      <c r="AD473" s="89"/>
      <c r="AE473" s="89"/>
      <c r="AF473" s="89"/>
      <c r="AG473" s="89"/>
      <c r="AH473" s="89"/>
    </row>
    <row r="474">
      <c r="A474" s="8" t="s">
        <v>612</v>
      </c>
      <c r="B474" s="97"/>
      <c r="C474" s="8"/>
      <c r="D474" s="89" t="str">
        <f t="shared" si="1"/>
        <v/>
      </c>
      <c r="E474" s="89" t="str">
        <f t="shared" si="2"/>
        <v>OT Hours</v>
      </c>
      <c r="F474" s="89" t="str">
        <f>IFERROR(VLOOKUP(C474,'Employees List'!$B$1:$G$999,2,0),"")</f>
        <v/>
      </c>
      <c r="G474" s="89" t="str">
        <f t="shared" si="23"/>
        <v>#DIV/0!</v>
      </c>
      <c r="H474" s="98"/>
      <c r="I474" s="89" t="str">
        <f>IFERROR(VLOOKUP(F474,'Employees List'!$C:$F,2,0),"")</f>
        <v/>
      </c>
      <c r="J474" s="93" t="str">
        <f>IFERROR(VLOOKUP(C474,'Employees List'!$B$2:$G$991,5,0),"")</f>
        <v/>
      </c>
      <c r="K474" s="95" t="str">
        <f>IFERROR(VLOOKUP(F474,'Employees List'!$C$1:$AB$991,5,0),"")</f>
        <v/>
      </c>
      <c r="L474" s="91">
        <f t="shared" si="3"/>
        <v>0</v>
      </c>
      <c r="M474" s="91">
        <f t="shared" si="4"/>
        <v>0</v>
      </c>
      <c r="N474" s="89" t="str">
        <f>IFERROR(VLOOKUP(B474,'Employees List'!$A$2:$H$991,8,0),"")</f>
        <v/>
      </c>
      <c r="O474" s="89" t="str">
        <f>IFERROR(VLOOKUP(D474,'Daily Attendance Report 24-25'!A438:BP999,5,0),"")</f>
        <v/>
      </c>
      <c r="P474" s="89" t="str">
        <f>IFERROR(VLOOKUP(E474,'Daily Attendance Report 24-25'!$A$1:$BO$617,5,0),"")</f>
        <v/>
      </c>
      <c r="Q474" s="89"/>
      <c r="R474" s="89"/>
      <c r="S474" s="89" t="str">
        <f t="shared" si="17"/>
        <v>#DIV/0!</v>
      </c>
      <c r="T474" s="89" t="str">
        <f t="shared" si="6"/>
        <v>#DIV/0!</v>
      </c>
      <c r="U474" s="89" t="str">
        <f t="shared" si="25"/>
        <v>#DIV/0!</v>
      </c>
      <c r="V474" s="89" t="str">
        <f t="shared" si="24"/>
        <v>#DIV/0!</v>
      </c>
      <c r="W474" s="89" t="str">
        <f t="shared" si="9"/>
        <v>#DIV/0!</v>
      </c>
      <c r="X474" s="89"/>
      <c r="Y474" s="89"/>
      <c r="Z474" s="89"/>
      <c r="AA474" s="89"/>
      <c r="AB474" s="89"/>
      <c r="AC474" s="89"/>
      <c r="AD474" s="89"/>
      <c r="AE474" s="89"/>
      <c r="AF474" s="89"/>
      <c r="AG474" s="89"/>
      <c r="AH474" s="89"/>
    </row>
    <row r="475">
      <c r="A475" s="8" t="s">
        <v>613</v>
      </c>
      <c r="B475" s="97"/>
      <c r="C475" s="8"/>
      <c r="D475" s="89" t="str">
        <f t="shared" si="1"/>
        <v/>
      </c>
      <c r="E475" s="89" t="str">
        <f t="shared" si="2"/>
        <v>OT Hours</v>
      </c>
      <c r="F475" s="89" t="str">
        <f>IFERROR(VLOOKUP(C475,'Employees List'!$B$1:$G$999,2,0),"")</f>
        <v/>
      </c>
      <c r="G475" s="89" t="str">
        <f t="shared" si="23"/>
        <v>#DIV/0!</v>
      </c>
      <c r="H475" s="98"/>
      <c r="I475" s="89" t="str">
        <f>IFERROR(VLOOKUP(F475,'Employees List'!$C:$F,2,0),"")</f>
        <v/>
      </c>
      <c r="J475" s="93" t="str">
        <f>IFERROR(VLOOKUP(C475,'Employees List'!$B$2:$G$991,5,0),"")</f>
        <v/>
      </c>
      <c r="K475" s="95" t="str">
        <f>IFERROR(VLOOKUP(F475,'Employees List'!$C$1:$AB$991,5,0),"")</f>
        <v/>
      </c>
      <c r="L475" s="91">
        <f t="shared" si="3"/>
        <v>0</v>
      </c>
      <c r="M475" s="91">
        <f t="shared" si="4"/>
        <v>0</v>
      </c>
      <c r="N475" s="89" t="str">
        <f>IFERROR(VLOOKUP(B475,'Employees List'!$A$2:$H$991,8,0),"")</f>
        <v/>
      </c>
      <c r="O475" s="89" t="str">
        <f>IFERROR(VLOOKUP(D475,'Daily Attendance Report 24-25'!A439:BP999,5,0),"")</f>
        <v/>
      </c>
      <c r="P475" s="89" t="str">
        <f>IFERROR(VLOOKUP(E475,'Daily Attendance Report 24-25'!$A$1:$BO$617,5,0),"")</f>
        <v/>
      </c>
      <c r="Q475" s="89"/>
      <c r="R475" s="89"/>
      <c r="S475" s="89" t="str">
        <f t="shared" si="17"/>
        <v>#DIV/0!</v>
      </c>
      <c r="T475" s="89" t="str">
        <f t="shared" si="6"/>
        <v>#DIV/0!</v>
      </c>
      <c r="U475" s="89" t="str">
        <f t="shared" si="25"/>
        <v>#DIV/0!</v>
      </c>
      <c r="V475" s="89" t="str">
        <f t="shared" si="24"/>
        <v>#DIV/0!</v>
      </c>
      <c r="W475" s="89" t="str">
        <f t="shared" si="9"/>
        <v>#DIV/0!</v>
      </c>
      <c r="X475" s="89"/>
      <c r="Y475" s="89"/>
      <c r="Z475" s="89"/>
      <c r="AA475" s="89"/>
      <c r="AB475" s="89"/>
      <c r="AC475" s="89"/>
      <c r="AD475" s="89"/>
      <c r="AE475" s="89"/>
      <c r="AF475" s="89"/>
      <c r="AG475" s="89"/>
      <c r="AH475" s="89"/>
    </row>
    <row r="476">
      <c r="A476" s="8" t="s">
        <v>614</v>
      </c>
      <c r="B476" s="97"/>
      <c r="C476" s="8"/>
      <c r="D476" s="89" t="str">
        <f t="shared" si="1"/>
        <v/>
      </c>
      <c r="E476" s="89" t="str">
        <f t="shared" si="2"/>
        <v>OT Hours</v>
      </c>
      <c r="F476" s="89" t="str">
        <f>IFERROR(VLOOKUP(C476,'Employees List'!$B$1:$G$999,2,0),"")</f>
        <v/>
      </c>
      <c r="G476" s="89" t="str">
        <f t="shared" si="23"/>
        <v>#DIV/0!</v>
      </c>
      <c r="H476" s="98"/>
      <c r="I476" s="89" t="str">
        <f>IFERROR(VLOOKUP(F476,'Employees List'!$C:$F,2,0),"")</f>
        <v/>
      </c>
      <c r="J476" s="93" t="str">
        <f>IFERROR(VLOOKUP(C476,'Employees List'!$B$2:$G$991,5,0),"")</f>
        <v/>
      </c>
      <c r="K476" s="95" t="str">
        <f>IFERROR(VLOOKUP(F476,'Employees List'!$C$1:$AB$991,5,0),"")</f>
        <v/>
      </c>
      <c r="L476" s="91">
        <f t="shared" si="3"/>
        <v>0</v>
      </c>
      <c r="M476" s="91">
        <f t="shared" si="4"/>
        <v>0</v>
      </c>
      <c r="N476" s="89" t="str">
        <f>IFERROR(VLOOKUP(B476,'Employees List'!$A$2:$H$991,8,0),"")</f>
        <v/>
      </c>
      <c r="O476" s="89" t="str">
        <f>IFERROR(VLOOKUP(D476,'Daily Attendance Report 24-25'!A440:BP999,5,0),"")</f>
        <v/>
      </c>
      <c r="P476" s="89" t="str">
        <f>IFERROR(VLOOKUP(E476,'Daily Attendance Report 24-25'!$A$1:$BO$617,5,0),"")</f>
        <v/>
      </c>
      <c r="Q476" s="89"/>
      <c r="R476" s="89"/>
      <c r="S476" s="89" t="str">
        <f t="shared" si="17"/>
        <v>#DIV/0!</v>
      </c>
      <c r="T476" s="89" t="str">
        <f t="shared" si="6"/>
        <v>#DIV/0!</v>
      </c>
      <c r="U476" s="89" t="str">
        <f t="shared" si="25"/>
        <v>#DIV/0!</v>
      </c>
      <c r="V476" s="89" t="str">
        <f t="shared" si="24"/>
        <v>#DIV/0!</v>
      </c>
      <c r="W476" s="89" t="str">
        <f t="shared" si="9"/>
        <v>#DIV/0!</v>
      </c>
      <c r="X476" s="89"/>
      <c r="Y476" s="89"/>
      <c r="Z476" s="89"/>
      <c r="AA476" s="89"/>
      <c r="AB476" s="89"/>
      <c r="AC476" s="89"/>
      <c r="AD476" s="89"/>
      <c r="AE476" s="89"/>
      <c r="AF476" s="89"/>
      <c r="AG476" s="89"/>
      <c r="AH476" s="89"/>
    </row>
    <row r="477">
      <c r="A477" s="8" t="s">
        <v>615</v>
      </c>
      <c r="B477" s="97"/>
      <c r="C477" s="8"/>
      <c r="D477" s="89" t="str">
        <f t="shared" si="1"/>
        <v/>
      </c>
      <c r="E477" s="89" t="str">
        <f t="shared" si="2"/>
        <v>OT Hours</v>
      </c>
      <c r="F477" s="89" t="str">
        <f>IFERROR(VLOOKUP(C477,'Employees List'!$B$1:$G$999,2,0),"")</f>
        <v/>
      </c>
      <c r="G477" s="89" t="str">
        <f t="shared" si="23"/>
        <v>#DIV/0!</v>
      </c>
      <c r="H477" s="98"/>
      <c r="I477" s="89" t="str">
        <f>IFERROR(VLOOKUP(F477,'Employees List'!$C:$F,2,0),"")</f>
        <v/>
      </c>
      <c r="J477" s="93" t="str">
        <f>IFERROR(VLOOKUP(C477,'Employees List'!$B$2:$G$991,5,0),"")</f>
        <v/>
      </c>
      <c r="K477" s="95" t="str">
        <f>IFERROR(VLOOKUP(F477,'Employees List'!$C$1:$AB$991,5,0),"")</f>
        <v/>
      </c>
      <c r="L477" s="91">
        <f t="shared" si="3"/>
        <v>0</v>
      </c>
      <c r="M477" s="91">
        <f t="shared" si="4"/>
        <v>0</v>
      </c>
      <c r="N477" s="89" t="str">
        <f>IFERROR(VLOOKUP(B477,'Employees List'!$A$2:$H$991,8,0),"")</f>
        <v/>
      </c>
      <c r="O477" s="89" t="str">
        <f>IFERROR(VLOOKUP(D477,'Daily Attendance Report 24-25'!A441:BP999,5,0),"")</f>
        <v/>
      </c>
      <c r="P477" s="89" t="str">
        <f>IFERROR(VLOOKUP(E477,'Daily Attendance Report 24-25'!$A$1:$BO$617,5,0),"")</f>
        <v/>
      </c>
      <c r="Q477" s="89"/>
      <c r="R477" s="89"/>
      <c r="S477" s="89" t="str">
        <f t="shared" si="17"/>
        <v>#DIV/0!</v>
      </c>
      <c r="T477" s="89" t="str">
        <f t="shared" si="6"/>
        <v>#DIV/0!</v>
      </c>
      <c r="U477" s="89" t="str">
        <f t="shared" si="25"/>
        <v>#DIV/0!</v>
      </c>
      <c r="V477" s="89" t="str">
        <f t="shared" si="24"/>
        <v>#DIV/0!</v>
      </c>
      <c r="W477" s="89" t="str">
        <f t="shared" si="9"/>
        <v>#DIV/0!</v>
      </c>
      <c r="X477" s="89"/>
      <c r="Y477" s="89"/>
      <c r="Z477" s="89"/>
      <c r="AA477" s="89"/>
      <c r="AB477" s="89"/>
      <c r="AC477" s="89"/>
      <c r="AD477" s="89"/>
      <c r="AE477" s="89"/>
      <c r="AF477" s="89"/>
      <c r="AG477" s="89"/>
      <c r="AH477" s="89"/>
    </row>
    <row r="478">
      <c r="A478" s="8" t="s">
        <v>616</v>
      </c>
      <c r="B478" s="97"/>
      <c r="C478" s="8"/>
      <c r="D478" s="89" t="str">
        <f t="shared" si="1"/>
        <v/>
      </c>
      <c r="E478" s="89" t="str">
        <f t="shared" si="2"/>
        <v>OT Hours</v>
      </c>
      <c r="F478" s="89" t="str">
        <f>IFERROR(VLOOKUP(C478,'Employees List'!$B$1:$G$999,2,0),"")</f>
        <v/>
      </c>
      <c r="G478" s="89" t="str">
        <f t="shared" si="23"/>
        <v>#DIV/0!</v>
      </c>
      <c r="H478" s="98"/>
      <c r="I478" s="89" t="str">
        <f>IFERROR(VLOOKUP(F478,'Employees List'!$C:$F,2,0),"")</f>
        <v/>
      </c>
      <c r="J478" s="93" t="str">
        <f>IFERROR(VLOOKUP(C478,'Employees List'!$B$2:$G$991,5,0),"")</f>
        <v/>
      </c>
      <c r="K478" s="95" t="str">
        <f>IFERROR(VLOOKUP(F478,'Employees List'!$C$1:$AB$991,5,0),"")</f>
        <v/>
      </c>
      <c r="L478" s="91">
        <f t="shared" si="3"/>
        <v>0</v>
      </c>
      <c r="M478" s="91">
        <f t="shared" si="4"/>
        <v>0</v>
      </c>
      <c r="N478" s="89" t="str">
        <f>IFERROR(VLOOKUP(B478,'Employees List'!$A$2:$H$991,8,0),"")</f>
        <v/>
      </c>
      <c r="O478" s="89" t="str">
        <f>IFERROR(VLOOKUP(D478,'Daily Attendance Report 24-25'!A442:BP999,5,0),"")</f>
        <v/>
      </c>
      <c r="P478" s="89" t="str">
        <f>IFERROR(VLOOKUP(E478,'Daily Attendance Report 24-25'!$A$1:$BO$617,5,0),"")</f>
        <v/>
      </c>
      <c r="Q478" s="89"/>
      <c r="R478" s="89"/>
      <c r="S478" s="89" t="str">
        <f t="shared" si="17"/>
        <v>#DIV/0!</v>
      </c>
      <c r="T478" s="89" t="str">
        <f t="shared" si="6"/>
        <v>#DIV/0!</v>
      </c>
      <c r="U478" s="89" t="str">
        <f t="shared" si="25"/>
        <v>#DIV/0!</v>
      </c>
      <c r="V478" s="89" t="str">
        <f t="shared" si="24"/>
        <v>#DIV/0!</v>
      </c>
      <c r="W478" s="89" t="str">
        <f t="shared" si="9"/>
        <v>#DIV/0!</v>
      </c>
      <c r="X478" s="89"/>
      <c r="Y478" s="89"/>
      <c r="Z478" s="89"/>
      <c r="AA478" s="89"/>
      <c r="AB478" s="89"/>
      <c r="AC478" s="89"/>
      <c r="AD478" s="89"/>
      <c r="AE478" s="89"/>
      <c r="AF478" s="89"/>
      <c r="AG478" s="89"/>
      <c r="AH478" s="89"/>
    </row>
    <row r="479">
      <c r="A479" s="8" t="s">
        <v>617</v>
      </c>
      <c r="B479" s="97"/>
      <c r="C479" s="8"/>
      <c r="D479" s="89" t="str">
        <f t="shared" si="1"/>
        <v/>
      </c>
      <c r="E479" s="89" t="str">
        <f t="shared" si="2"/>
        <v>OT Hours</v>
      </c>
      <c r="F479" s="89" t="str">
        <f>IFERROR(VLOOKUP(C479,'Employees List'!$B$1:$G$999,2,0),"")</f>
        <v/>
      </c>
      <c r="G479" s="89" t="str">
        <f t="shared" si="23"/>
        <v>#DIV/0!</v>
      </c>
      <c r="H479" s="98"/>
      <c r="I479" s="89" t="str">
        <f>IFERROR(VLOOKUP(F479,'Employees List'!$C:$F,2,0),"")</f>
        <v/>
      </c>
      <c r="J479" s="93" t="str">
        <f>IFERROR(VLOOKUP(C479,'Employees List'!$B$2:$G$991,5,0),"")</f>
        <v/>
      </c>
      <c r="K479" s="95" t="str">
        <f>IFERROR(VLOOKUP(F479,'Employees List'!$C$1:$AB$991,5,0),"")</f>
        <v/>
      </c>
      <c r="L479" s="91">
        <f t="shared" si="3"/>
        <v>0</v>
      </c>
      <c r="M479" s="91">
        <f t="shared" si="4"/>
        <v>0</v>
      </c>
      <c r="N479" s="89" t="str">
        <f>IFERROR(VLOOKUP(B479,'Employees List'!$A$2:$H$991,8,0),"")</f>
        <v/>
      </c>
      <c r="O479" s="89" t="str">
        <f>IFERROR(VLOOKUP(D479,'Daily Attendance Report 24-25'!A443:BP999,5,0),"")</f>
        <v/>
      </c>
      <c r="P479" s="89" t="str">
        <f>IFERROR(VLOOKUP(E479,'Daily Attendance Report 24-25'!$A$1:$BO$617,5,0),"")</f>
        <v/>
      </c>
      <c r="Q479" s="89"/>
      <c r="R479" s="89"/>
      <c r="S479" s="89" t="str">
        <f t="shared" si="17"/>
        <v>#DIV/0!</v>
      </c>
      <c r="T479" s="89" t="str">
        <f t="shared" si="6"/>
        <v>#DIV/0!</v>
      </c>
      <c r="U479" s="89" t="str">
        <f t="shared" si="25"/>
        <v>#DIV/0!</v>
      </c>
      <c r="V479" s="89" t="str">
        <f t="shared" si="24"/>
        <v>#DIV/0!</v>
      </c>
      <c r="W479" s="89" t="str">
        <f t="shared" si="9"/>
        <v>#DIV/0!</v>
      </c>
      <c r="X479" s="89"/>
      <c r="Y479" s="89"/>
      <c r="Z479" s="89"/>
      <c r="AA479" s="89"/>
      <c r="AB479" s="89"/>
      <c r="AC479" s="89"/>
      <c r="AD479" s="89"/>
      <c r="AE479" s="89"/>
      <c r="AF479" s="89"/>
      <c r="AG479" s="89"/>
      <c r="AH479" s="89"/>
    </row>
    <row r="480">
      <c r="A480" s="8" t="s">
        <v>618</v>
      </c>
      <c r="B480" s="97"/>
      <c r="C480" s="8"/>
      <c r="D480" s="89" t="str">
        <f t="shared" si="1"/>
        <v/>
      </c>
      <c r="E480" s="89" t="str">
        <f t="shared" si="2"/>
        <v>OT Hours</v>
      </c>
      <c r="F480" s="89" t="str">
        <f>IFERROR(VLOOKUP(C480,'Employees List'!$B$1:$G$999,2,0),"")</f>
        <v/>
      </c>
      <c r="G480" s="89" t="str">
        <f t="shared" si="23"/>
        <v>#DIV/0!</v>
      </c>
      <c r="H480" s="98"/>
      <c r="I480" s="89" t="str">
        <f>IFERROR(VLOOKUP(F480,'Employees List'!$C:$F,2,0),"")</f>
        <v/>
      </c>
      <c r="J480" s="93" t="str">
        <f>IFERROR(VLOOKUP(C480,'Employees List'!$B$2:$G$991,5,0),"")</f>
        <v/>
      </c>
      <c r="K480" s="95" t="str">
        <f>IFERROR(VLOOKUP(F480,'Employees List'!$C$1:$AB$991,5,0),"")</f>
        <v/>
      </c>
      <c r="L480" s="91">
        <f t="shared" si="3"/>
        <v>0</v>
      </c>
      <c r="M480" s="91">
        <f t="shared" si="4"/>
        <v>0</v>
      </c>
      <c r="N480" s="89" t="str">
        <f>IFERROR(VLOOKUP(B480,'Employees List'!$A$2:$H$991,8,0),"")</f>
        <v/>
      </c>
      <c r="O480" s="89" t="str">
        <f>IFERROR(VLOOKUP(D480,'Daily Attendance Report 24-25'!A444:BP999,5,0),"")</f>
        <v/>
      </c>
      <c r="P480" s="89" t="str">
        <f>IFERROR(VLOOKUP(E480,'Daily Attendance Report 24-25'!$A$1:$BO$617,5,0),"")</f>
        <v/>
      </c>
      <c r="Q480" s="89"/>
      <c r="R480" s="89"/>
      <c r="S480" s="89" t="str">
        <f t="shared" si="17"/>
        <v>#DIV/0!</v>
      </c>
      <c r="T480" s="89" t="str">
        <f t="shared" si="6"/>
        <v>#DIV/0!</v>
      </c>
      <c r="U480" s="89" t="str">
        <f t="shared" si="25"/>
        <v>#DIV/0!</v>
      </c>
      <c r="V480" s="89" t="str">
        <f t="shared" si="24"/>
        <v>#DIV/0!</v>
      </c>
      <c r="W480" s="89" t="str">
        <f t="shared" si="9"/>
        <v>#DIV/0!</v>
      </c>
      <c r="X480" s="89"/>
      <c r="Y480" s="89"/>
      <c r="Z480" s="89"/>
      <c r="AA480" s="89"/>
      <c r="AB480" s="89"/>
      <c r="AC480" s="89"/>
      <c r="AD480" s="89"/>
      <c r="AE480" s="89"/>
      <c r="AF480" s="89"/>
      <c r="AG480" s="89"/>
      <c r="AH480" s="89"/>
    </row>
    <row r="481">
      <c r="A481" s="8" t="s">
        <v>619</v>
      </c>
      <c r="B481" s="97"/>
      <c r="C481" s="8"/>
      <c r="D481" s="89" t="str">
        <f t="shared" si="1"/>
        <v/>
      </c>
      <c r="E481" s="89" t="str">
        <f t="shared" si="2"/>
        <v>OT Hours</v>
      </c>
      <c r="F481" s="89" t="str">
        <f>IFERROR(VLOOKUP(C481,'Employees List'!$B$1:$G$999,2,0),"")</f>
        <v/>
      </c>
      <c r="G481" s="89" t="str">
        <f t="shared" si="23"/>
        <v>#DIV/0!</v>
      </c>
      <c r="H481" s="98"/>
      <c r="I481" s="89" t="str">
        <f>IFERROR(VLOOKUP(F481,'Employees List'!$C:$F,2,0),"")</f>
        <v/>
      </c>
      <c r="J481" s="93" t="str">
        <f>IFERROR(VLOOKUP(C481,'Employees List'!$B$2:$G$991,5,0),"")</f>
        <v/>
      </c>
      <c r="K481" s="95" t="str">
        <f>IFERROR(VLOOKUP(F481,'Employees List'!$C$1:$AB$991,5,0),"")</f>
        <v/>
      </c>
      <c r="L481" s="91">
        <f t="shared" si="3"/>
        <v>0</v>
      </c>
      <c r="M481" s="91">
        <f t="shared" si="4"/>
        <v>0</v>
      </c>
      <c r="N481" s="89" t="str">
        <f>IFERROR(VLOOKUP(B481,'Employees List'!$A$2:$H$991,8,0),"")</f>
        <v/>
      </c>
      <c r="O481" s="89" t="str">
        <f>IFERROR(VLOOKUP(D481,'Daily Attendance Report 24-25'!A445:BP999,5,0),"")</f>
        <v/>
      </c>
      <c r="P481" s="89" t="str">
        <f>IFERROR(VLOOKUP(E481,'Daily Attendance Report 24-25'!$A$1:$BO$617,5,0),"")</f>
        <v/>
      </c>
      <c r="Q481" s="89"/>
      <c r="R481" s="89"/>
      <c r="S481" s="89" t="str">
        <f t="shared" si="17"/>
        <v>#DIV/0!</v>
      </c>
      <c r="T481" s="89" t="str">
        <f t="shared" si="6"/>
        <v>#DIV/0!</v>
      </c>
      <c r="U481" s="89" t="str">
        <f t="shared" si="25"/>
        <v>#DIV/0!</v>
      </c>
      <c r="V481" s="89" t="str">
        <f t="shared" si="24"/>
        <v>#DIV/0!</v>
      </c>
      <c r="W481" s="89" t="str">
        <f t="shared" si="9"/>
        <v>#DIV/0!</v>
      </c>
      <c r="X481" s="89"/>
      <c r="Y481" s="89"/>
      <c r="Z481" s="89"/>
      <c r="AA481" s="89"/>
      <c r="AB481" s="89"/>
      <c r="AC481" s="89"/>
      <c r="AD481" s="89"/>
      <c r="AE481" s="89"/>
      <c r="AF481" s="89"/>
      <c r="AG481" s="89"/>
      <c r="AH481" s="89"/>
    </row>
    <row r="482">
      <c r="A482" s="8" t="s">
        <v>620</v>
      </c>
      <c r="B482" s="97"/>
      <c r="C482" s="8"/>
      <c r="D482" s="89" t="str">
        <f t="shared" si="1"/>
        <v/>
      </c>
      <c r="E482" s="89" t="str">
        <f t="shared" si="2"/>
        <v>OT Hours</v>
      </c>
      <c r="F482" s="89" t="str">
        <f>IFERROR(VLOOKUP(C482,'Employees List'!$B$1:$G$999,2,0),"")</f>
        <v/>
      </c>
      <c r="G482" s="89" t="str">
        <f t="shared" si="23"/>
        <v>#DIV/0!</v>
      </c>
      <c r="H482" s="98"/>
      <c r="I482" s="89" t="str">
        <f>IFERROR(VLOOKUP(F482,'Employees List'!$C:$F,2,0),"")</f>
        <v/>
      </c>
      <c r="J482" s="93" t="str">
        <f>IFERROR(VLOOKUP(C482,'Employees List'!$B$2:$G$991,5,0),"")</f>
        <v/>
      </c>
      <c r="K482" s="95" t="str">
        <f>IFERROR(VLOOKUP(F482,'Employees List'!$C$1:$AB$991,5,0),"")</f>
        <v/>
      </c>
      <c r="L482" s="91">
        <f t="shared" si="3"/>
        <v>0</v>
      </c>
      <c r="M482" s="91">
        <f t="shared" si="4"/>
        <v>0</v>
      </c>
      <c r="N482" s="89" t="str">
        <f>IFERROR(VLOOKUP(B482,'Employees List'!$A$2:$H$991,8,0),"")</f>
        <v/>
      </c>
      <c r="O482" s="89" t="str">
        <f>IFERROR(VLOOKUP(D482,'Daily Attendance Report 24-25'!A446:BP999,5,0),"")</f>
        <v/>
      </c>
      <c r="P482" s="89" t="str">
        <f>IFERROR(VLOOKUP(E482,'Daily Attendance Report 24-25'!$A$1:$BO$617,5,0),"")</f>
        <v/>
      </c>
      <c r="Q482" s="89"/>
      <c r="R482" s="89"/>
      <c r="S482" s="89" t="str">
        <f t="shared" si="17"/>
        <v>#DIV/0!</v>
      </c>
      <c r="T482" s="89" t="str">
        <f t="shared" si="6"/>
        <v>#DIV/0!</v>
      </c>
      <c r="U482" s="89" t="str">
        <f t="shared" si="25"/>
        <v>#DIV/0!</v>
      </c>
      <c r="V482" s="89" t="str">
        <f t="shared" si="24"/>
        <v>#DIV/0!</v>
      </c>
      <c r="W482" s="89" t="str">
        <f t="shared" si="9"/>
        <v>#DIV/0!</v>
      </c>
      <c r="X482" s="89"/>
      <c r="Y482" s="89"/>
      <c r="Z482" s="89"/>
      <c r="AA482" s="89"/>
      <c r="AB482" s="89"/>
      <c r="AC482" s="89"/>
      <c r="AD482" s="89"/>
      <c r="AE482" s="89"/>
      <c r="AF482" s="89"/>
      <c r="AG482" s="89"/>
      <c r="AH482" s="89"/>
    </row>
    <row r="483">
      <c r="A483" s="8" t="s">
        <v>621</v>
      </c>
      <c r="B483" s="97"/>
      <c r="C483" s="8"/>
      <c r="D483" s="89" t="str">
        <f t="shared" si="1"/>
        <v/>
      </c>
      <c r="E483" s="89" t="str">
        <f t="shared" si="2"/>
        <v>OT Hours</v>
      </c>
      <c r="F483" s="89" t="str">
        <f>IFERROR(VLOOKUP(C483,'Employees List'!$B$1:$G$999,2,0),"")</f>
        <v/>
      </c>
      <c r="G483" s="89" t="str">
        <f t="shared" si="23"/>
        <v>#DIV/0!</v>
      </c>
      <c r="H483" s="98"/>
      <c r="I483" s="89" t="str">
        <f>IFERROR(VLOOKUP(F483,'Employees List'!$C:$F,2,0),"")</f>
        <v/>
      </c>
      <c r="J483" s="93" t="str">
        <f>IFERROR(VLOOKUP(C483,'Employees List'!$B$2:$G$991,5,0),"")</f>
        <v/>
      </c>
      <c r="K483" s="95" t="str">
        <f>IFERROR(VLOOKUP(F483,'Employees List'!$C$1:$AB$991,5,0),"")</f>
        <v/>
      </c>
      <c r="L483" s="91">
        <f t="shared" si="3"/>
        <v>0</v>
      </c>
      <c r="M483" s="91">
        <f t="shared" si="4"/>
        <v>0</v>
      </c>
      <c r="N483" s="89" t="str">
        <f>IFERROR(VLOOKUP(B483,'Employees List'!$A$2:$H$991,8,0),"")</f>
        <v/>
      </c>
      <c r="O483" s="89" t="str">
        <f>IFERROR(VLOOKUP(D483,'Daily Attendance Report 24-25'!A447:BP999,5,0),"")</f>
        <v/>
      </c>
      <c r="P483" s="89" t="str">
        <f>IFERROR(VLOOKUP(E483,'Daily Attendance Report 24-25'!$A$1:$BO$617,5,0),"")</f>
        <v/>
      </c>
      <c r="Q483" s="89"/>
      <c r="R483" s="89"/>
      <c r="S483" s="89" t="str">
        <f t="shared" si="17"/>
        <v>#DIV/0!</v>
      </c>
      <c r="T483" s="89" t="str">
        <f t="shared" si="6"/>
        <v>#DIV/0!</v>
      </c>
      <c r="U483" s="89" t="str">
        <f t="shared" si="25"/>
        <v>#DIV/0!</v>
      </c>
      <c r="V483" s="89" t="str">
        <f t="shared" si="24"/>
        <v>#DIV/0!</v>
      </c>
      <c r="W483" s="89" t="str">
        <f t="shared" si="9"/>
        <v>#DIV/0!</v>
      </c>
      <c r="X483" s="89"/>
      <c r="Y483" s="89"/>
      <c r="Z483" s="89"/>
      <c r="AA483" s="89"/>
      <c r="AB483" s="89"/>
      <c r="AC483" s="89"/>
      <c r="AD483" s="89"/>
      <c r="AE483" s="89"/>
      <c r="AF483" s="89"/>
      <c r="AG483" s="89"/>
      <c r="AH483" s="89"/>
    </row>
    <row r="484">
      <c r="A484" s="8" t="s">
        <v>622</v>
      </c>
      <c r="B484" s="97"/>
      <c r="C484" s="8"/>
      <c r="D484" s="89" t="str">
        <f t="shared" si="1"/>
        <v/>
      </c>
      <c r="E484" s="89" t="str">
        <f t="shared" si="2"/>
        <v>OT Hours</v>
      </c>
      <c r="F484" s="89" t="str">
        <f>IFERROR(VLOOKUP(C484,'Employees List'!$B$1:$G$999,2,0),"")</f>
        <v/>
      </c>
      <c r="G484" s="89" t="str">
        <f t="shared" si="23"/>
        <v>#DIV/0!</v>
      </c>
      <c r="H484" s="98"/>
      <c r="I484" s="89" t="str">
        <f>IFERROR(VLOOKUP(F484,'Employees List'!$C:$F,2,0),"")</f>
        <v/>
      </c>
      <c r="J484" s="93" t="str">
        <f>IFERROR(VLOOKUP(C484,'Employees List'!$B$2:$G$991,5,0),"")</f>
        <v/>
      </c>
      <c r="K484" s="95" t="str">
        <f>IFERROR(VLOOKUP(F484,'Employees List'!$C$1:$AB$991,5,0),"")</f>
        <v/>
      </c>
      <c r="L484" s="91">
        <f t="shared" si="3"/>
        <v>0</v>
      </c>
      <c r="M484" s="91">
        <f t="shared" si="4"/>
        <v>0</v>
      </c>
      <c r="N484" s="89" t="str">
        <f>IFERROR(VLOOKUP(B484,'Employees List'!$A$2:$H$991,8,0),"")</f>
        <v/>
      </c>
      <c r="O484" s="89" t="str">
        <f>IFERROR(VLOOKUP(D484,'Daily Attendance Report 24-25'!A448:BP999,5,0),"")</f>
        <v/>
      </c>
      <c r="P484" s="89" t="str">
        <f>IFERROR(VLOOKUP(E484,'Daily Attendance Report 24-25'!$A$1:$BO$617,5,0),"")</f>
        <v/>
      </c>
      <c r="Q484" s="89"/>
      <c r="R484" s="89"/>
      <c r="S484" s="89" t="str">
        <f t="shared" si="17"/>
        <v>#DIV/0!</v>
      </c>
      <c r="T484" s="89" t="str">
        <f t="shared" si="6"/>
        <v>#DIV/0!</v>
      </c>
      <c r="U484" s="89" t="str">
        <f t="shared" si="25"/>
        <v>#DIV/0!</v>
      </c>
      <c r="V484" s="89" t="str">
        <f t="shared" si="24"/>
        <v>#DIV/0!</v>
      </c>
      <c r="W484" s="89" t="str">
        <f t="shared" si="9"/>
        <v>#DIV/0!</v>
      </c>
      <c r="X484" s="89"/>
      <c r="Y484" s="89"/>
      <c r="Z484" s="89"/>
      <c r="AA484" s="89"/>
      <c r="AB484" s="89"/>
      <c r="AC484" s="89"/>
      <c r="AD484" s="89"/>
      <c r="AE484" s="89"/>
      <c r="AF484" s="89"/>
      <c r="AG484" s="89"/>
      <c r="AH484" s="89"/>
    </row>
    <row r="485">
      <c r="A485" s="8" t="s">
        <v>623</v>
      </c>
      <c r="B485" s="97"/>
      <c r="C485" s="8"/>
      <c r="D485" s="89" t="str">
        <f t="shared" si="1"/>
        <v/>
      </c>
      <c r="E485" s="89" t="str">
        <f t="shared" si="2"/>
        <v>OT Hours</v>
      </c>
      <c r="F485" s="89" t="str">
        <f>IFERROR(VLOOKUP(C485,'Employees List'!$B$1:$G$999,2,0),"")</f>
        <v/>
      </c>
      <c r="G485" s="89" t="str">
        <f t="shared" si="23"/>
        <v>#DIV/0!</v>
      </c>
      <c r="H485" s="98"/>
      <c r="I485" s="89" t="str">
        <f>IFERROR(VLOOKUP(F485,'Employees List'!$C:$F,2,0),"")</f>
        <v/>
      </c>
      <c r="J485" s="93" t="str">
        <f>IFERROR(VLOOKUP(C485,'Employees List'!$B$2:$G$991,5,0),"")</f>
        <v/>
      </c>
      <c r="K485" s="95" t="str">
        <f>IFERROR(VLOOKUP(F485,'Employees List'!$C$1:$AB$991,5,0),"")</f>
        <v/>
      </c>
      <c r="L485" s="91">
        <f t="shared" si="3"/>
        <v>0</v>
      </c>
      <c r="M485" s="91">
        <f t="shared" si="4"/>
        <v>0</v>
      </c>
      <c r="N485" s="89" t="str">
        <f>IFERROR(VLOOKUP(B485,'Employees List'!$A$2:$H$991,8,0),"")</f>
        <v/>
      </c>
      <c r="O485" s="89" t="str">
        <f>IFERROR(VLOOKUP(D485,'Daily Attendance Report 24-25'!A449:BP999,5,0),"")</f>
        <v/>
      </c>
      <c r="P485" s="89" t="str">
        <f>IFERROR(VLOOKUP(E485,'Daily Attendance Report 24-25'!$A$1:$BO$617,5,0),"")</f>
        <v/>
      </c>
      <c r="Q485" s="89"/>
      <c r="R485" s="89"/>
      <c r="S485" s="89" t="str">
        <f t="shared" si="17"/>
        <v>#DIV/0!</v>
      </c>
      <c r="T485" s="89" t="str">
        <f t="shared" si="6"/>
        <v>#DIV/0!</v>
      </c>
      <c r="U485" s="89" t="str">
        <f t="shared" si="25"/>
        <v>#DIV/0!</v>
      </c>
      <c r="V485" s="89" t="str">
        <f t="shared" si="24"/>
        <v>#DIV/0!</v>
      </c>
      <c r="W485" s="89" t="str">
        <f t="shared" si="9"/>
        <v>#DIV/0!</v>
      </c>
      <c r="X485" s="89"/>
      <c r="Y485" s="89"/>
      <c r="Z485" s="89"/>
      <c r="AA485" s="89"/>
      <c r="AB485" s="89"/>
      <c r="AC485" s="89"/>
      <c r="AD485" s="89"/>
      <c r="AE485" s="89"/>
      <c r="AF485" s="89"/>
      <c r="AG485" s="89"/>
      <c r="AH485" s="89"/>
    </row>
    <row r="486">
      <c r="A486" s="8" t="s">
        <v>624</v>
      </c>
      <c r="B486" s="97"/>
      <c r="C486" s="8"/>
      <c r="D486" s="89" t="str">
        <f t="shared" si="1"/>
        <v/>
      </c>
      <c r="E486" s="89" t="str">
        <f t="shared" si="2"/>
        <v>OT Hours</v>
      </c>
      <c r="F486" s="89" t="str">
        <f>IFERROR(VLOOKUP(C486,'Employees List'!$B$1:$G$999,2,0),"")</f>
        <v/>
      </c>
      <c r="G486" s="89" t="str">
        <f t="shared" si="23"/>
        <v>#DIV/0!</v>
      </c>
      <c r="H486" s="98"/>
      <c r="I486" s="89" t="str">
        <f>IFERROR(VLOOKUP(F486,'Employees List'!$C:$F,2,0),"")</f>
        <v/>
      </c>
      <c r="J486" s="93" t="str">
        <f>IFERROR(VLOOKUP(C486,'Employees List'!$B$2:$G$991,5,0),"")</f>
        <v/>
      </c>
      <c r="K486" s="95" t="str">
        <f>IFERROR(VLOOKUP(F486,'Employees List'!$C$1:$AB$991,5,0),"")</f>
        <v/>
      </c>
      <c r="L486" s="91">
        <f t="shared" si="3"/>
        <v>0</v>
      </c>
      <c r="M486" s="91">
        <f t="shared" si="4"/>
        <v>0</v>
      </c>
      <c r="N486" s="89" t="str">
        <f>IFERROR(VLOOKUP(B486,'Employees List'!$A$2:$H$991,8,0),"")</f>
        <v/>
      </c>
      <c r="O486" s="89" t="str">
        <f>IFERROR(VLOOKUP(D486,'Daily Attendance Report 24-25'!A450:BP999,5,0),"")</f>
        <v/>
      </c>
      <c r="P486" s="89" t="str">
        <f>IFERROR(VLOOKUP(E486,'Daily Attendance Report 24-25'!$A$1:$BO$617,5,0),"")</f>
        <v/>
      </c>
      <c r="Q486" s="89"/>
      <c r="R486" s="89"/>
      <c r="S486" s="89" t="str">
        <f t="shared" si="17"/>
        <v>#DIV/0!</v>
      </c>
      <c r="T486" s="89" t="str">
        <f t="shared" si="6"/>
        <v>#DIV/0!</v>
      </c>
      <c r="U486" s="89" t="str">
        <f t="shared" si="25"/>
        <v>#DIV/0!</v>
      </c>
      <c r="V486" s="89" t="str">
        <f t="shared" si="24"/>
        <v>#DIV/0!</v>
      </c>
      <c r="W486" s="89" t="str">
        <f t="shared" si="9"/>
        <v>#DIV/0!</v>
      </c>
      <c r="X486" s="89"/>
      <c r="Y486" s="89"/>
      <c r="Z486" s="89"/>
      <c r="AA486" s="89"/>
      <c r="AB486" s="89"/>
      <c r="AC486" s="89"/>
      <c r="AD486" s="89"/>
      <c r="AE486" s="89"/>
      <c r="AF486" s="89"/>
      <c r="AG486" s="89"/>
      <c r="AH486" s="89"/>
    </row>
    <row r="487">
      <c r="A487" s="8" t="s">
        <v>625</v>
      </c>
      <c r="B487" s="97"/>
      <c r="C487" s="8"/>
      <c r="D487" s="89" t="str">
        <f t="shared" si="1"/>
        <v/>
      </c>
      <c r="E487" s="89" t="str">
        <f t="shared" si="2"/>
        <v>OT Hours</v>
      </c>
      <c r="F487" s="89" t="str">
        <f>IFERROR(VLOOKUP(C487,'Employees List'!$B$1:$G$999,2,0),"")</f>
        <v/>
      </c>
      <c r="G487" s="89" t="str">
        <f t="shared" si="23"/>
        <v>#DIV/0!</v>
      </c>
      <c r="H487" s="98"/>
      <c r="I487" s="89" t="str">
        <f>IFERROR(VLOOKUP(F487,'Employees List'!$C:$F,2,0),"")</f>
        <v/>
      </c>
      <c r="J487" s="93" t="str">
        <f>IFERROR(VLOOKUP(C487,'Employees List'!$B$2:$G$991,5,0),"")</f>
        <v/>
      </c>
      <c r="K487" s="95" t="str">
        <f>IFERROR(VLOOKUP(F487,'Employees List'!$C$1:$AB$991,5,0),"")</f>
        <v/>
      </c>
      <c r="L487" s="91">
        <f t="shared" si="3"/>
        <v>0</v>
      </c>
      <c r="M487" s="91">
        <f t="shared" si="4"/>
        <v>0</v>
      </c>
      <c r="N487" s="89" t="str">
        <f>IFERROR(VLOOKUP(B487,'Employees List'!$A$2:$H$991,8,0),"")</f>
        <v/>
      </c>
      <c r="O487" s="89" t="str">
        <f>IFERROR(VLOOKUP(D487,'Daily Attendance Report 24-25'!A451:BP999,5,0),"")</f>
        <v/>
      </c>
      <c r="P487" s="89" t="str">
        <f>IFERROR(VLOOKUP(E487,'Daily Attendance Report 24-25'!$A$1:$BO$617,5,0),"")</f>
        <v/>
      </c>
      <c r="Q487" s="89"/>
      <c r="R487" s="89"/>
      <c r="S487" s="89" t="str">
        <f t="shared" si="17"/>
        <v>#DIV/0!</v>
      </c>
      <c r="T487" s="89" t="str">
        <f t="shared" si="6"/>
        <v>#DIV/0!</v>
      </c>
      <c r="U487" s="89" t="str">
        <f t="shared" si="25"/>
        <v>#DIV/0!</v>
      </c>
      <c r="V487" s="89" t="str">
        <f t="shared" si="24"/>
        <v>#DIV/0!</v>
      </c>
      <c r="W487" s="89" t="str">
        <f t="shared" si="9"/>
        <v>#DIV/0!</v>
      </c>
      <c r="X487" s="89"/>
      <c r="Y487" s="89"/>
      <c r="Z487" s="89"/>
      <c r="AA487" s="89"/>
      <c r="AB487" s="89"/>
      <c r="AC487" s="89"/>
      <c r="AD487" s="89"/>
      <c r="AE487" s="89"/>
      <c r="AF487" s="89"/>
      <c r="AG487" s="89"/>
      <c r="AH487" s="89"/>
    </row>
    <row r="488">
      <c r="A488" s="8" t="s">
        <v>626</v>
      </c>
      <c r="B488" s="97"/>
      <c r="C488" s="8"/>
      <c r="D488" s="89" t="str">
        <f t="shared" si="1"/>
        <v/>
      </c>
      <c r="E488" s="89" t="str">
        <f t="shared" si="2"/>
        <v>OT Hours</v>
      </c>
      <c r="F488" s="89" t="str">
        <f>IFERROR(VLOOKUP(C488,'Employees List'!$B$1:$G$999,2,0),"")</f>
        <v/>
      </c>
      <c r="G488" s="89" t="str">
        <f t="shared" si="23"/>
        <v>#DIV/0!</v>
      </c>
      <c r="H488" s="98"/>
      <c r="I488" s="89" t="str">
        <f>IFERROR(VLOOKUP(F488,'Employees List'!$C:$F,2,0),"")</f>
        <v/>
      </c>
      <c r="J488" s="93" t="str">
        <f>IFERROR(VLOOKUP(C488,'Employees List'!$B$2:$G$991,5,0),"")</f>
        <v/>
      </c>
      <c r="K488" s="95" t="str">
        <f>IFERROR(VLOOKUP(F488,'Employees List'!$C$1:$AB$991,5,0),"")</f>
        <v/>
      </c>
      <c r="L488" s="91">
        <f t="shared" si="3"/>
        <v>0</v>
      </c>
      <c r="M488" s="91">
        <f t="shared" si="4"/>
        <v>0</v>
      </c>
      <c r="N488" s="89" t="str">
        <f>IFERROR(VLOOKUP(B488,'Employees List'!$A$2:$H$991,8,0),"")</f>
        <v/>
      </c>
      <c r="O488" s="89" t="str">
        <f>IFERROR(VLOOKUP(D488,'Daily Attendance Report 24-25'!A452:BP999,5,0),"")</f>
        <v/>
      </c>
      <c r="P488" s="89" t="str">
        <f>IFERROR(VLOOKUP(E488,'Daily Attendance Report 24-25'!$A$1:$BO$617,5,0),"")</f>
        <v/>
      </c>
      <c r="Q488" s="89"/>
      <c r="R488" s="89"/>
      <c r="S488" s="89" t="str">
        <f t="shared" si="17"/>
        <v>#DIV/0!</v>
      </c>
      <c r="T488" s="89" t="str">
        <f t="shared" si="6"/>
        <v>#DIV/0!</v>
      </c>
      <c r="U488" s="89" t="str">
        <f t="shared" si="25"/>
        <v>#DIV/0!</v>
      </c>
      <c r="V488" s="89" t="str">
        <f t="shared" si="24"/>
        <v>#DIV/0!</v>
      </c>
      <c r="W488" s="89" t="str">
        <f t="shared" si="9"/>
        <v>#DIV/0!</v>
      </c>
      <c r="X488" s="89"/>
      <c r="Y488" s="89"/>
      <c r="Z488" s="89"/>
      <c r="AA488" s="89"/>
      <c r="AB488" s="89"/>
      <c r="AC488" s="89"/>
      <c r="AD488" s="89"/>
      <c r="AE488" s="89"/>
      <c r="AF488" s="89"/>
      <c r="AG488" s="89"/>
      <c r="AH488" s="89"/>
    </row>
    <row r="489">
      <c r="A489" s="8" t="s">
        <v>627</v>
      </c>
      <c r="B489" s="97"/>
      <c r="C489" s="8"/>
      <c r="D489" s="89" t="str">
        <f t="shared" si="1"/>
        <v/>
      </c>
      <c r="E489" s="89" t="str">
        <f t="shared" si="2"/>
        <v>OT Hours</v>
      </c>
      <c r="F489" s="89" t="str">
        <f>IFERROR(VLOOKUP(C489,'Employees List'!$B$1:$G$999,2,0),"")</f>
        <v/>
      </c>
      <c r="G489" s="89" t="str">
        <f t="shared" si="23"/>
        <v>#DIV/0!</v>
      </c>
      <c r="H489" s="98"/>
      <c r="I489" s="89" t="str">
        <f>IFERROR(VLOOKUP(F489,'Employees List'!$C:$F,2,0),"")</f>
        <v/>
      </c>
      <c r="J489" s="93" t="str">
        <f>IFERROR(VLOOKUP(C489,'Employees List'!$B$2:$G$991,5,0),"")</f>
        <v/>
      </c>
      <c r="K489" s="95" t="str">
        <f>IFERROR(VLOOKUP(F489,'Employees List'!$C$1:$AB$991,5,0),"")</f>
        <v/>
      </c>
      <c r="L489" s="91">
        <f t="shared" si="3"/>
        <v>0</v>
      </c>
      <c r="M489" s="91">
        <f t="shared" si="4"/>
        <v>0</v>
      </c>
      <c r="N489" s="89" t="str">
        <f>IFERROR(VLOOKUP(B489,'Employees List'!$A$2:$H$991,8,0),"")</f>
        <v/>
      </c>
      <c r="O489" s="89" t="str">
        <f>IFERROR(VLOOKUP(D489,'Daily Attendance Report 24-25'!A453:BP999,5,0),"")</f>
        <v/>
      </c>
      <c r="P489" s="89" t="str">
        <f>IFERROR(VLOOKUP(E489,'Daily Attendance Report 24-25'!$A$1:$BO$617,5,0),"")</f>
        <v/>
      </c>
      <c r="Q489" s="89"/>
      <c r="R489" s="89"/>
      <c r="S489" s="89" t="str">
        <f t="shared" si="17"/>
        <v>#DIV/0!</v>
      </c>
      <c r="T489" s="89" t="str">
        <f t="shared" si="6"/>
        <v>#DIV/0!</v>
      </c>
      <c r="U489" s="89" t="str">
        <f t="shared" si="25"/>
        <v>#DIV/0!</v>
      </c>
      <c r="V489" s="89" t="str">
        <f t="shared" si="24"/>
        <v>#DIV/0!</v>
      </c>
      <c r="W489" s="89" t="str">
        <f t="shared" si="9"/>
        <v>#DIV/0!</v>
      </c>
      <c r="X489" s="89"/>
      <c r="Y489" s="89"/>
      <c r="Z489" s="89"/>
      <c r="AA489" s="89"/>
      <c r="AB489" s="89"/>
      <c r="AC489" s="89"/>
      <c r="AD489" s="89"/>
      <c r="AE489" s="89"/>
      <c r="AF489" s="89"/>
      <c r="AG489" s="89"/>
      <c r="AH489" s="89"/>
    </row>
    <row r="490">
      <c r="A490" s="8" t="s">
        <v>628</v>
      </c>
      <c r="B490" s="97"/>
      <c r="C490" s="8"/>
      <c r="D490" s="89" t="str">
        <f t="shared" si="1"/>
        <v/>
      </c>
      <c r="E490" s="89" t="str">
        <f t="shared" si="2"/>
        <v>OT Hours</v>
      </c>
      <c r="F490" s="89" t="str">
        <f>IFERROR(VLOOKUP(C490,'Employees List'!$B$1:$G$999,2,0),"")</f>
        <v/>
      </c>
      <c r="G490" s="89" t="str">
        <f t="shared" si="23"/>
        <v>#DIV/0!</v>
      </c>
      <c r="H490" s="98"/>
      <c r="I490" s="89" t="str">
        <f>IFERROR(VLOOKUP(F490,'Employees List'!$C:$F,2,0),"")</f>
        <v/>
      </c>
      <c r="J490" s="93" t="str">
        <f>IFERROR(VLOOKUP(C490,'Employees List'!$B$2:$G$991,5,0),"")</f>
        <v/>
      </c>
      <c r="K490" s="95" t="str">
        <f>IFERROR(VLOOKUP(F490,'Employees List'!$C$1:$AB$991,5,0),"")</f>
        <v/>
      </c>
      <c r="L490" s="91">
        <f t="shared" si="3"/>
        <v>0</v>
      </c>
      <c r="M490" s="91">
        <f t="shared" si="4"/>
        <v>0</v>
      </c>
      <c r="N490" s="89" t="str">
        <f>IFERROR(VLOOKUP(B490,'Employees List'!$A$2:$H$991,8,0),"")</f>
        <v/>
      </c>
      <c r="O490" s="89" t="str">
        <f>IFERROR(VLOOKUP(D490,'Daily Attendance Report 24-25'!A454:BP999,5,0),"")</f>
        <v/>
      </c>
      <c r="P490" s="89" t="str">
        <f>IFERROR(VLOOKUP(E490,'Daily Attendance Report 24-25'!$A$1:$BO$617,5,0),"")</f>
        <v/>
      </c>
      <c r="Q490" s="89"/>
      <c r="R490" s="89"/>
      <c r="S490" s="89" t="str">
        <f t="shared" si="17"/>
        <v>#DIV/0!</v>
      </c>
      <c r="T490" s="89" t="str">
        <f t="shared" si="6"/>
        <v>#DIV/0!</v>
      </c>
      <c r="U490" s="89" t="str">
        <f t="shared" si="25"/>
        <v>#DIV/0!</v>
      </c>
      <c r="V490" s="89" t="str">
        <f t="shared" si="24"/>
        <v>#DIV/0!</v>
      </c>
      <c r="W490" s="89" t="str">
        <f t="shared" si="9"/>
        <v>#DIV/0!</v>
      </c>
      <c r="X490" s="89"/>
      <c r="Y490" s="89"/>
      <c r="Z490" s="89"/>
      <c r="AA490" s="89"/>
      <c r="AB490" s="89"/>
      <c r="AC490" s="89"/>
      <c r="AD490" s="89"/>
      <c r="AE490" s="89"/>
      <c r="AF490" s="89"/>
      <c r="AG490" s="89"/>
      <c r="AH490" s="89"/>
    </row>
    <row r="491">
      <c r="A491" s="8" t="s">
        <v>629</v>
      </c>
      <c r="B491" s="97"/>
      <c r="C491" s="8"/>
      <c r="D491" s="89" t="str">
        <f t="shared" si="1"/>
        <v/>
      </c>
      <c r="E491" s="89" t="str">
        <f t="shared" si="2"/>
        <v>OT Hours</v>
      </c>
      <c r="F491" s="89" t="str">
        <f>IFERROR(VLOOKUP(C491,'Employees List'!$B$1:$G$999,2,0),"")</f>
        <v/>
      </c>
      <c r="G491" s="89" t="str">
        <f t="shared" si="23"/>
        <v>#DIV/0!</v>
      </c>
      <c r="H491" s="98"/>
      <c r="I491" s="89" t="str">
        <f>IFERROR(VLOOKUP(F491,'Employees List'!$C:$F,2,0),"")</f>
        <v/>
      </c>
      <c r="J491" s="93" t="str">
        <f>IFERROR(VLOOKUP(C491,'Employees List'!$B$2:$G$991,5,0),"")</f>
        <v/>
      </c>
      <c r="K491" s="95" t="str">
        <f>IFERROR(VLOOKUP(F491,'Employees List'!$C$1:$AB$991,5,0),"")</f>
        <v/>
      </c>
      <c r="L491" s="91">
        <f t="shared" si="3"/>
        <v>0</v>
      </c>
      <c r="M491" s="91">
        <f t="shared" si="4"/>
        <v>0</v>
      </c>
      <c r="N491" s="89" t="str">
        <f>IFERROR(VLOOKUP(B491,'Employees List'!$A$2:$H$991,8,0),"")</f>
        <v/>
      </c>
      <c r="O491" s="89" t="str">
        <f>IFERROR(VLOOKUP(D491,'Daily Attendance Report 24-25'!A455:BP999,5,0),"")</f>
        <v/>
      </c>
      <c r="P491" s="89" t="str">
        <f>IFERROR(VLOOKUP(E491,'Daily Attendance Report 24-25'!$A$1:$BO$617,5,0),"")</f>
        <v/>
      </c>
      <c r="Q491" s="89"/>
      <c r="R491" s="89"/>
      <c r="S491" s="89" t="str">
        <f t="shared" si="17"/>
        <v>#DIV/0!</v>
      </c>
      <c r="T491" s="89" t="str">
        <f t="shared" si="6"/>
        <v>#DIV/0!</v>
      </c>
      <c r="U491" s="89" t="str">
        <f t="shared" si="25"/>
        <v>#DIV/0!</v>
      </c>
      <c r="V491" s="89" t="str">
        <f t="shared" si="24"/>
        <v>#DIV/0!</v>
      </c>
      <c r="W491" s="89" t="str">
        <f t="shared" si="9"/>
        <v>#DIV/0!</v>
      </c>
      <c r="X491" s="89"/>
      <c r="Y491" s="89"/>
      <c r="Z491" s="89"/>
      <c r="AA491" s="89"/>
      <c r="AB491" s="89"/>
      <c r="AC491" s="89"/>
      <c r="AD491" s="89"/>
      <c r="AE491" s="89"/>
      <c r="AF491" s="89"/>
      <c r="AG491" s="89"/>
      <c r="AH491" s="89"/>
    </row>
    <row r="492">
      <c r="A492" s="8" t="s">
        <v>630</v>
      </c>
      <c r="B492" s="97"/>
      <c r="C492" s="8"/>
      <c r="D492" s="89" t="str">
        <f t="shared" si="1"/>
        <v/>
      </c>
      <c r="E492" s="89" t="str">
        <f t="shared" si="2"/>
        <v>OT Hours</v>
      </c>
      <c r="F492" s="89" t="str">
        <f>IFERROR(VLOOKUP(C492,'Employees List'!$B$1:$G$999,2,0),"")</f>
        <v/>
      </c>
      <c r="G492" s="89" t="str">
        <f t="shared" si="23"/>
        <v>#DIV/0!</v>
      </c>
      <c r="H492" s="98"/>
      <c r="I492" s="89" t="str">
        <f>IFERROR(VLOOKUP(F492,'Employees List'!$C:$F,2,0),"")</f>
        <v/>
      </c>
      <c r="J492" s="93" t="str">
        <f>IFERROR(VLOOKUP(C492,'Employees List'!$B$2:$G$991,5,0),"")</f>
        <v/>
      </c>
      <c r="K492" s="95" t="str">
        <f>IFERROR(VLOOKUP(F492,'Employees List'!$C$1:$AB$991,5,0),"")</f>
        <v/>
      </c>
      <c r="L492" s="91">
        <f t="shared" si="3"/>
        <v>0</v>
      </c>
      <c r="M492" s="91">
        <f t="shared" si="4"/>
        <v>0</v>
      </c>
      <c r="N492" s="89" t="str">
        <f>IFERROR(VLOOKUP(B492,'Employees List'!$A$2:$H$991,8,0),"")</f>
        <v/>
      </c>
      <c r="O492" s="89" t="str">
        <f>IFERROR(VLOOKUP(D492,'Daily Attendance Report 24-25'!A456:BP999,5,0),"")</f>
        <v/>
      </c>
      <c r="P492" s="89" t="str">
        <f>IFERROR(VLOOKUP(E492,'Daily Attendance Report 24-25'!$A$1:$BO$617,5,0),"")</f>
        <v/>
      </c>
      <c r="Q492" s="89"/>
      <c r="R492" s="89"/>
      <c r="S492" s="89" t="str">
        <f t="shared" si="17"/>
        <v>#DIV/0!</v>
      </c>
      <c r="T492" s="89" t="str">
        <f t="shared" si="6"/>
        <v>#DIV/0!</v>
      </c>
      <c r="U492" s="89" t="str">
        <f t="shared" si="25"/>
        <v>#DIV/0!</v>
      </c>
      <c r="V492" s="89" t="str">
        <f t="shared" si="24"/>
        <v>#DIV/0!</v>
      </c>
      <c r="W492" s="89" t="str">
        <f t="shared" si="9"/>
        <v>#DIV/0!</v>
      </c>
      <c r="X492" s="89"/>
      <c r="Y492" s="89"/>
      <c r="Z492" s="89"/>
      <c r="AA492" s="89"/>
      <c r="AB492" s="89"/>
      <c r="AC492" s="89"/>
      <c r="AD492" s="89"/>
      <c r="AE492" s="89"/>
      <c r="AF492" s="89"/>
      <c r="AG492" s="89"/>
      <c r="AH492" s="89"/>
    </row>
    <row r="493">
      <c r="A493" s="8" t="s">
        <v>631</v>
      </c>
      <c r="B493" s="97"/>
      <c r="C493" s="8"/>
      <c r="D493" s="89" t="str">
        <f t="shared" si="1"/>
        <v/>
      </c>
      <c r="E493" s="89" t="str">
        <f t="shared" si="2"/>
        <v>OT Hours</v>
      </c>
      <c r="F493" s="89" t="str">
        <f>IFERROR(VLOOKUP(C493,'Employees List'!$B$1:$G$999,2,0),"")</f>
        <v/>
      </c>
      <c r="G493" s="89" t="str">
        <f t="shared" si="23"/>
        <v>#DIV/0!</v>
      </c>
      <c r="H493" s="98"/>
      <c r="I493" s="89" t="str">
        <f>IFERROR(VLOOKUP(F493,'Employees List'!$C:$F,2,0),"")</f>
        <v/>
      </c>
      <c r="J493" s="93" t="str">
        <f>IFERROR(VLOOKUP(C493,'Employees List'!$B$2:$G$991,5,0),"")</f>
        <v/>
      </c>
      <c r="K493" s="95" t="str">
        <f>IFERROR(VLOOKUP(F493,'Employees List'!$C$1:$AB$991,5,0),"")</f>
        <v/>
      </c>
      <c r="L493" s="91">
        <f t="shared" si="3"/>
        <v>0</v>
      </c>
      <c r="M493" s="91">
        <f t="shared" si="4"/>
        <v>0</v>
      </c>
      <c r="N493" s="89" t="str">
        <f>IFERROR(VLOOKUP(B493,'Employees List'!$A$2:$H$991,8,0),"")</f>
        <v/>
      </c>
      <c r="O493" s="89" t="str">
        <f>IFERROR(VLOOKUP(D493,'Daily Attendance Report 24-25'!A457:BP999,5,0),"")</f>
        <v/>
      </c>
      <c r="P493" s="89" t="str">
        <f>IFERROR(VLOOKUP(E493,'Daily Attendance Report 24-25'!$A$1:$BO$617,5,0),"")</f>
        <v/>
      </c>
      <c r="Q493" s="89"/>
      <c r="R493" s="89"/>
      <c r="S493" s="89" t="str">
        <f t="shared" si="17"/>
        <v>#DIV/0!</v>
      </c>
      <c r="T493" s="89" t="str">
        <f t="shared" si="6"/>
        <v>#DIV/0!</v>
      </c>
      <c r="U493" s="89" t="str">
        <f t="shared" si="25"/>
        <v>#DIV/0!</v>
      </c>
      <c r="V493" s="89" t="str">
        <f t="shared" si="24"/>
        <v>#DIV/0!</v>
      </c>
      <c r="W493" s="89" t="str">
        <f t="shared" si="9"/>
        <v>#DIV/0!</v>
      </c>
      <c r="X493" s="89"/>
      <c r="Y493" s="89"/>
      <c r="Z493" s="89"/>
      <c r="AA493" s="89"/>
      <c r="AB493" s="89"/>
      <c r="AC493" s="89"/>
      <c r="AD493" s="89"/>
      <c r="AE493" s="89"/>
      <c r="AF493" s="89"/>
      <c r="AG493" s="89"/>
      <c r="AH493" s="89"/>
    </row>
    <row r="494">
      <c r="A494" s="8" t="s">
        <v>632</v>
      </c>
      <c r="B494" s="97"/>
      <c r="C494" s="8"/>
      <c r="D494" s="89" t="str">
        <f t="shared" si="1"/>
        <v/>
      </c>
      <c r="E494" s="89" t="str">
        <f t="shared" si="2"/>
        <v>OT Hours</v>
      </c>
      <c r="F494" s="89" t="str">
        <f>IFERROR(VLOOKUP(C494,'Employees List'!$B$1:$G$999,2,0),"")</f>
        <v/>
      </c>
      <c r="G494" s="89" t="str">
        <f t="shared" si="23"/>
        <v>#DIV/0!</v>
      </c>
      <c r="H494" s="98"/>
      <c r="I494" s="89" t="str">
        <f>IFERROR(VLOOKUP(F494,'Employees List'!$C:$F,2,0),"")</f>
        <v/>
      </c>
      <c r="J494" s="93" t="str">
        <f>IFERROR(VLOOKUP(C494,'Employees List'!$B$2:$G$991,5,0),"")</f>
        <v/>
      </c>
      <c r="K494" s="95" t="str">
        <f>IFERROR(VLOOKUP(F494,'Employees List'!$C$1:$AB$991,5,0),"")</f>
        <v/>
      </c>
      <c r="L494" s="91">
        <f t="shared" si="3"/>
        <v>0</v>
      </c>
      <c r="M494" s="91">
        <f t="shared" si="4"/>
        <v>0</v>
      </c>
      <c r="N494" s="89" t="str">
        <f>IFERROR(VLOOKUP(B494,'Employees List'!$A$2:$H$991,8,0),"")</f>
        <v/>
      </c>
      <c r="O494" s="89" t="str">
        <f>IFERROR(VLOOKUP(D494,'Daily Attendance Report 24-25'!A458:BP999,5,0),"")</f>
        <v/>
      </c>
      <c r="P494" s="89" t="str">
        <f>IFERROR(VLOOKUP(E494,'Daily Attendance Report 24-25'!$A$1:$BO$617,5,0),"")</f>
        <v/>
      </c>
      <c r="Q494" s="89"/>
      <c r="R494" s="89"/>
      <c r="S494" s="89" t="str">
        <f t="shared" si="17"/>
        <v>#DIV/0!</v>
      </c>
      <c r="T494" s="89" t="str">
        <f t="shared" si="6"/>
        <v>#DIV/0!</v>
      </c>
      <c r="U494" s="89" t="str">
        <f t="shared" si="25"/>
        <v>#DIV/0!</v>
      </c>
      <c r="V494" s="89" t="str">
        <f t="shared" si="24"/>
        <v>#DIV/0!</v>
      </c>
      <c r="W494" s="89" t="str">
        <f t="shared" si="9"/>
        <v>#DIV/0!</v>
      </c>
      <c r="X494" s="89"/>
      <c r="Y494" s="89"/>
      <c r="Z494" s="89"/>
      <c r="AA494" s="89"/>
      <c r="AB494" s="89"/>
      <c r="AC494" s="89"/>
      <c r="AD494" s="89"/>
      <c r="AE494" s="89"/>
      <c r="AF494" s="89"/>
      <c r="AG494" s="89"/>
      <c r="AH494" s="89"/>
    </row>
    <row r="495">
      <c r="A495" s="8" t="s">
        <v>633</v>
      </c>
      <c r="B495" s="97"/>
      <c r="C495" s="8"/>
      <c r="D495" s="89" t="str">
        <f t="shared" si="1"/>
        <v/>
      </c>
      <c r="E495" s="89" t="str">
        <f t="shared" si="2"/>
        <v>OT Hours</v>
      </c>
      <c r="F495" s="89" t="str">
        <f>IFERROR(VLOOKUP(C495,'Employees List'!$B$1:$G$999,2,0),"")</f>
        <v/>
      </c>
      <c r="G495" s="89" t="str">
        <f t="shared" si="23"/>
        <v>#DIV/0!</v>
      </c>
      <c r="H495" s="98"/>
      <c r="I495" s="89" t="str">
        <f>IFERROR(VLOOKUP(F495,'Employees List'!$C:$F,2,0),"")</f>
        <v/>
      </c>
      <c r="J495" s="93" t="str">
        <f>IFERROR(VLOOKUP(C495,'Employees List'!$B$2:$G$991,5,0),"")</f>
        <v/>
      </c>
      <c r="K495" s="95" t="str">
        <f>IFERROR(VLOOKUP(F495,'Employees List'!$C$1:$AB$991,5,0),"")</f>
        <v/>
      </c>
      <c r="L495" s="91">
        <f t="shared" si="3"/>
        <v>0</v>
      </c>
      <c r="M495" s="91">
        <f t="shared" si="4"/>
        <v>0</v>
      </c>
      <c r="N495" s="89" t="str">
        <f>IFERROR(VLOOKUP(B495,'Employees List'!$A$2:$H$991,8,0),"")</f>
        <v/>
      </c>
      <c r="O495" s="89" t="str">
        <f>IFERROR(VLOOKUP(D495,'Daily Attendance Report 24-25'!A459:BP999,5,0),"")</f>
        <v/>
      </c>
      <c r="P495" s="89" t="str">
        <f>IFERROR(VLOOKUP(E495,'Daily Attendance Report 24-25'!$A$1:$BO$617,5,0),"")</f>
        <v/>
      </c>
      <c r="Q495" s="89"/>
      <c r="R495" s="89"/>
      <c r="S495" s="89" t="str">
        <f t="shared" si="17"/>
        <v>#DIV/0!</v>
      </c>
      <c r="T495" s="89" t="str">
        <f t="shared" si="6"/>
        <v>#DIV/0!</v>
      </c>
      <c r="U495" s="89" t="str">
        <f t="shared" si="25"/>
        <v>#DIV/0!</v>
      </c>
      <c r="V495" s="89" t="str">
        <f t="shared" si="24"/>
        <v>#DIV/0!</v>
      </c>
      <c r="W495" s="89" t="str">
        <f t="shared" si="9"/>
        <v>#DIV/0!</v>
      </c>
      <c r="X495" s="89"/>
      <c r="Y495" s="89"/>
      <c r="Z495" s="89"/>
      <c r="AA495" s="89"/>
      <c r="AB495" s="89"/>
      <c r="AC495" s="89"/>
      <c r="AD495" s="89"/>
      <c r="AE495" s="89"/>
      <c r="AF495" s="89"/>
      <c r="AG495" s="89"/>
      <c r="AH495" s="89"/>
    </row>
    <row r="496">
      <c r="A496" s="8" t="s">
        <v>634</v>
      </c>
      <c r="B496" s="97"/>
      <c r="C496" s="8"/>
      <c r="D496" s="89" t="str">
        <f t="shared" si="1"/>
        <v/>
      </c>
      <c r="E496" s="89" t="str">
        <f t="shared" si="2"/>
        <v>OT Hours</v>
      </c>
      <c r="F496" s="89" t="str">
        <f>IFERROR(VLOOKUP(C496,'Employees List'!$B$1:$G$999,2,0),"")</f>
        <v/>
      </c>
      <c r="G496" s="89" t="str">
        <f t="shared" si="23"/>
        <v>#DIV/0!</v>
      </c>
      <c r="H496" s="98"/>
      <c r="I496" s="89" t="str">
        <f>IFERROR(VLOOKUP(F496,'Employees List'!$C:$F,2,0),"")</f>
        <v/>
      </c>
      <c r="J496" s="93" t="str">
        <f>IFERROR(VLOOKUP(C496,'Employees List'!$B$2:$G$991,5,0),"")</f>
        <v/>
      </c>
      <c r="K496" s="95" t="str">
        <f>IFERROR(VLOOKUP(F496,'Employees List'!$C$1:$AB$991,5,0),"")</f>
        <v/>
      </c>
      <c r="L496" s="91">
        <f t="shared" si="3"/>
        <v>0</v>
      </c>
      <c r="M496" s="91">
        <f t="shared" si="4"/>
        <v>0</v>
      </c>
      <c r="N496" s="89" t="str">
        <f>IFERROR(VLOOKUP(B496,'Employees List'!$A$2:$H$991,8,0),"")</f>
        <v/>
      </c>
      <c r="O496" s="89" t="str">
        <f>IFERROR(VLOOKUP(D496,'Daily Attendance Report 24-25'!A460:BP999,5,0),"")</f>
        <v/>
      </c>
      <c r="P496" s="89" t="str">
        <f>IFERROR(VLOOKUP(E496,'Daily Attendance Report 24-25'!$A$1:$BO$617,5,0),"")</f>
        <v/>
      </c>
      <c r="Q496" s="89"/>
      <c r="R496" s="89"/>
      <c r="S496" s="89" t="str">
        <f t="shared" si="17"/>
        <v>#DIV/0!</v>
      </c>
      <c r="T496" s="89" t="str">
        <f t="shared" si="6"/>
        <v>#DIV/0!</v>
      </c>
      <c r="U496" s="89" t="str">
        <f t="shared" si="25"/>
        <v>#DIV/0!</v>
      </c>
      <c r="V496" s="89" t="str">
        <f t="shared" si="24"/>
        <v>#DIV/0!</v>
      </c>
      <c r="W496" s="89" t="str">
        <f t="shared" si="9"/>
        <v>#DIV/0!</v>
      </c>
      <c r="X496" s="89"/>
      <c r="Y496" s="89"/>
      <c r="Z496" s="89"/>
      <c r="AA496" s="89"/>
      <c r="AB496" s="89"/>
      <c r="AC496" s="89"/>
      <c r="AD496" s="89"/>
      <c r="AE496" s="89"/>
      <c r="AF496" s="89"/>
      <c r="AG496" s="89"/>
      <c r="AH496" s="89"/>
    </row>
    <row r="497">
      <c r="A497" s="8" t="s">
        <v>635</v>
      </c>
      <c r="B497" s="97"/>
      <c r="C497" s="8"/>
      <c r="D497" s="89" t="str">
        <f t="shared" si="1"/>
        <v/>
      </c>
      <c r="E497" s="89" t="str">
        <f t="shared" si="2"/>
        <v>OT Hours</v>
      </c>
      <c r="F497" s="89" t="str">
        <f>IFERROR(VLOOKUP(C497,'Employees List'!$B$1:$G$999,2,0),"")</f>
        <v/>
      </c>
      <c r="G497" s="89" t="str">
        <f t="shared" si="23"/>
        <v>#DIV/0!</v>
      </c>
      <c r="H497" s="98"/>
      <c r="I497" s="89" t="str">
        <f>IFERROR(VLOOKUP(F497,'Employees List'!$C:$F,2,0),"")</f>
        <v/>
      </c>
      <c r="J497" s="93" t="str">
        <f>IFERROR(VLOOKUP(C497,'Employees List'!$B$2:$G$991,5,0),"")</f>
        <v/>
      </c>
      <c r="K497" s="95" t="str">
        <f>IFERROR(VLOOKUP(F497,'Employees List'!$C$1:$AB$991,5,0),"")</f>
        <v/>
      </c>
      <c r="L497" s="91">
        <f t="shared" si="3"/>
        <v>0</v>
      </c>
      <c r="M497" s="91">
        <f t="shared" si="4"/>
        <v>0</v>
      </c>
      <c r="N497" s="89" t="str">
        <f>IFERROR(VLOOKUP(B497,'Employees List'!$A$2:$H$991,8,0),"")</f>
        <v/>
      </c>
      <c r="O497" s="89" t="str">
        <f>IFERROR(VLOOKUP(D497,'Daily Attendance Report 24-25'!A461:BP999,5,0),"")</f>
        <v/>
      </c>
      <c r="P497" s="89" t="str">
        <f>IFERROR(VLOOKUP(E497,'Daily Attendance Report 24-25'!$A$1:$BO$617,5,0),"")</f>
        <v/>
      </c>
      <c r="Q497" s="89"/>
      <c r="R497" s="89"/>
      <c r="S497" s="89" t="str">
        <f t="shared" si="17"/>
        <v>#DIV/0!</v>
      </c>
      <c r="T497" s="89" t="str">
        <f t="shared" si="6"/>
        <v>#DIV/0!</v>
      </c>
      <c r="U497" s="89" t="str">
        <f t="shared" si="25"/>
        <v>#DIV/0!</v>
      </c>
      <c r="V497" s="89" t="str">
        <f t="shared" si="24"/>
        <v>#DIV/0!</v>
      </c>
      <c r="W497" s="89" t="str">
        <f t="shared" si="9"/>
        <v>#DIV/0!</v>
      </c>
      <c r="X497" s="89"/>
      <c r="Y497" s="89"/>
      <c r="Z497" s="89"/>
      <c r="AA497" s="89"/>
      <c r="AB497" s="89"/>
      <c r="AC497" s="89"/>
      <c r="AD497" s="89"/>
      <c r="AE497" s="89"/>
      <c r="AF497" s="89"/>
      <c r="AG497" s="89"/>
      <c r="AH497" s="89"/>
    </row>
    <row r="498">
      <c r="A498" s="8" t="s">
        <v>636</v>
      </c>
      <c r="B498" s="97"/>
      <c r="C498" s="8"/>
      <c r="D498" s="89" t="str">
        <f t="shared" si="1"/>
        <v/>
      </c>
      <c r="E498" s="89" t="str">
        <f t="shared" si="2"/>
        <v>OT Hours</v>
      </c>
      <c r="F498" s="89" t="str">
        <f>IFERROR(VLOOKUP(C498,'Employees List'!$B$1:$G$999,2,0),"")</f>
        <v/>
      </c>
      <c r="G498" s="89" t="str">
        <f t="shared" si="23"/>
        <v>#DIV/0!</v>
      </c>
      <c r="H498" s="98"/>
      <c r="I498" s="89" t="str">
        <f>IFERROR(VLOOKUP(F498,'Employees List'!$C:$F,2,0),"")</f>
        <v/>
      </c>
      <c r="J498" s="93" t="str">
        <f>IFERROR(VLOOKUP(C498,'Employees List'!$B$2:$G$991,5,0),"")</f>
        <v/>
      </c>
      <c r="K498" s="95" t="str">
        <f>IFERROR(VLOOKUP(F498,'Employees List'!$C$1:$AB$991,5,0),"")</f>
        <v/>
      </c>
      <c r="L498" s="91">
        <f t="shared" si="3"/>
        <v>0</v>
      </c>
      <c r="M498" s="91">
        <f t="shared" si="4"/>
        <v>0</v>
      </c>
      <c r="N498" s="89" t="str">
        <f>IFERROR(VLOOKUP(B498,'Employees List'!$A$2:$H$991,8,0),"")</f>
        <v/>
      </c>
      <c r="O498" s="89" t="str">
        <f>IFERROR(VLOOKUP(D498,'Daily Attendance Report 24-25'!A462:BP999,5,0),"")</f>
        <v/>
      </c>
      <c r="P498" s="89" t="str">
        <f>IFERROR(VLOOKUP(E498,'Daily Attendance Report 24-25'!$A$1:$BO$617,5,0),"")</f>
        <v/>
      </c>
      <c r="Q498" s="89"/>
      <c r="R498" s="89"/>
      <c r="S498" s="89" t="str">
        <f t="shared" si="17"/>
        <v>#DIV/0!</v>
      </c>
      <c r="T498" s="89" t="str">
        <f t="shared" si="6"/>
        <v>#DIV/0!</v>
      </c>
      <c r="U498" s="89" t="str">
        <f t="shared" si="25"/>
        <v>#DIV/0!</v>
      </c>
      <c r="V498" s="89" t="str">
        <f t="shared" si="24"/>
        <v>#DIV/0!</v>
      </c>
      <c r="W498" s="89" t="str">
        <f t="shared" si="9"/>
        <v>#DIV/0!</v>
      </c>
      <c r="X498" s="89"/>
      <c r="Y498" s="89"/>
      <c r="Z498" s="89"/>
      <c r="AA498" s="89"/>
      <c r="AB498" s="89"/>
      <c r="AC498" s="89"/>
      <c r="AD498" s="89"/>
      <c r="AE498" s="89"/>
      <c r="AF498" s="89"/>
      <c r="AG498" s="89"/>
      <c r="AH498" s="89"/>
    </row>
    <row r="499">
      <c r="A499" s="8" t="s">
        <v>637</v>
      </c>
      <c r="B499" s="97"/>
      <c r="C499" s="8"/>
      <c r="D499" s="89" t="str">
        <f t="shared" si="1"/>
        <v/>
      </c>
      <c r="E499" s="89" t="str">
        <f t="shared" si="2"/>
        <v>OT Hours</v>
      </c>
      <c r="F499" s="89" t="str">
        <f>IFERROR(VLOOKUP(C499,'Employees List'!$B$1:$G$999,2,0),"")</f>
        <v/>
      </c>
      <c r="G499" s="89" t="str">
        <f t="shared" si="23"/>
        <v>#DIV/0!</v>
      </c>
      <c r="H499" s="98"/>
      <c r="I499" s="89" t="str">
        <f>IFERROR(VLOOKUP(F499,'Employees List'!$C:$F,2,0),"")</f>
        <v/>
      </c>
      <c r="J499" s="93" t="str">
        <f>IFERROR(VLOOKUP(C499,'Employees List'!$B$2:$G$991,5,0),"")</f>
        <v/>
      </c>
      <c r="K499" s="95" t="str">
        <f>IFERROR(VLOOKUP(F499,'Employees List'!$C$1:$AB$991,5,0),"")</f>
        <v/>
      </c>
      <c r="L499" s="91">
        <f t="shared" si="3"/>
        <v>0</v>
      </c>
      <c r="M499" s="91">
        <f t="shared" si="4"/>
        <v>0</v>
      </c>
      <c r="N499" s="89" t="str">
        <f>IFERROR(VLOOKUP(B499,'Employees List'!$A$2:$H$991,8,0),"")</f>
        <v/>
      </c>
      <c r="O499" s="89" t="str">
        <f>IFERROR(VLOOKUP(D499,'Daily Attendance Report 24-25'!A463:BP999,5,0),"")</f>
        <v/>
      </c>
      <c r="P499" s="89" t="str">
        <f>IFERROR(VLOOKUP(E499,'Daily Attendance Report 24-25'!$A$1:$BO$617,5,0),"")</f>
        <v/>
      </c>
      <c r="Q499" s="89"/>
      <c r="R499" s="89"/>
      <c r="S499" s="89" t="str">
        <f t="shared" si="17"/>
        <v>#DIV/0!</v>
      </c>
      <c r="T499" s="89" t="str">
        <f t="shared" si="6"/>
        <v>#DIV/0!</v>
      </c>
      <c r="U499" s="89" t="str">
        <f t="shared" si="25"/>
        <v>#DIV/0!</v>
      </c>
      <c r="V499" s="89" t="str">
        <f t="shared" si="24"/>
        <v>#DIV/0!</v>
      </c>
      <c r="W499" s="89" t="str">
        <f t="shared" si="9"/>
        <v>#DIV/0!</v>
      </c>
      <c r="X499" s="89"/>
      <c r="Y499" s="89"/>
      <c r="Z499" s="89"/>
      <c r="AA499" s="89"/>
      <c r="AB499" s="89"/>
      <c r="AC499" s="89"/>
      <c r="AD499" s="89"/>
      <c r="AE499" s="89"/>
      <c r="AF499" s="89"/>
      <c r="AG499" s="89"/>
      <c r="AH499" s="89"/>
    </row>
    <row r="500">
      <c r="A500" s="8" t="s">
        <v>638</v>
      </c>
      <c r="B500" s="97"/>
      <c r="C500" s="8"/>
      <c r="D500" s="89" t="str">
        <f t="shared" si="1"/>
        <v/>
      </c>
      <c r="E500" s="89" t="str">
        <f t="shared" si="2"/>
        <v>OT Hours</v>
      </c>
      <c r="F500" s="89" t="str">
        <f>IFERROR(VLOOKUP(C500,'Employees List'!$B$1:$G$999,2,0),"")</f>
        <v/>
      </c>
      <c r="G500" s="89" t="str">
        <f t="shared" si="23"/>
        <v>#DIV/0!</v>
      </c>
      <c r="H500" s="98"/>
      <c r="I500" s="89" t="str">
        <f>IFERROR(VLOOKUP(F500,'Employees List'!$C:$F,2,0),"")</f>
        <v/>
      </c>
      <c r="J500" s="93" t="str">
        <f>IFERROR(VLOOKUP(C500,'Employees List'!$B$2:$G$991,5,0),"")</f>
        <v/>
      </c>
      <c r="K500" s="95" t="str">
        <f>IFERROR(VLOOKUP(F500,'Employees List'!$C$1:$AB$991,5,0),"")</f>
        <v/>
      </c>
      <c r="L500" s="91">
        <f t="shared" si="3"/>
        <v>0</v>
      </c>
      <c r="M500" s="91">
        <f t="shared" si="4"/>
        <v>0</v>
      </c>
      <c r="N500" s="89" t="str">
        <f>IFERROR(VLOOKUP(B500,'Employees List'!$A$2:$H$991,8,0),"")</f>
        <v/>
      </c>
      <c r="O500" s="89" t="str">
        <f>IFERROR(VLOOKUP(D500,'Daily Attendance Report 24-25'!A464:BP999,5,0),"")</f>
        <v/>
      </c>
      <c r="P500" s="89" t="str">
        <f>IFERROR(VLOOKUP(E500,'Daily Attendance Report 24-25'!$A$1:$BO$617,5,0),"")</f>
        <v/>
      </c>
      <c r="Q500" s="89"/>
      <c r="R500" s="89"/>
      <c r="S500" s="89" t="str">
        <f t="shared" si="17"/>
        <v>#DIV/0!</v>
      </c>
      <c r="T500" s="89" t="str">
        <f t="shared" si="6"/>
        <v>#DIV/0!</v>
      </c>
      <c r="U500" s="89" t="str">
        <f t="shared" si="25"/>
        <v>#DIV/0!</v>
      </c>
      <c r="V500" s="89" t="str">
        <f t="shared" si="24"/>
        <v>#DIV/0!</v>
      </c>
      <c r="W500" s="89" t="str">
        <f t="shared" si="9"/>
        <v>#DIV/0!</v>
      </c>
      <c r="X500" s="89"/>
      <c r="Y500" s="89"/>
      <c r="Z500" s="89"/>
      <c r="AA500" s="89"/>
      <c r="AB500" s="89"/>
      <c r="AC500" s="89"/>
      <c r="AD500" s="89"/>
      <c r="AE500" s="89"/>
      <c r="AF500" s="89"/>
      <c r="AG500" s="89"/>
      <c r="AH500" s="89"/>
    </row>
    <row r="501">
      <c r="A501" s="8" t="s">
        <v>639</v>
      </c>
      <c r="B501" s="97"/>
      <c r="C501" s="8"/>
      <c r="D501" s="89" t="str">
        <f t="shared" si="1"/>
        <v/>
      </c>
      <c r="E501" s="89" t="str">
        <f t="shared" si="2"/>
        <v>OT Hours</v>
      </c>
      <c r="F501" s="89" t="str">
        <f>IFERROR(VLOOKUP(C501,'Employees List'!$B$1:$G$999,2,0),"")</f>
        <v/>
      </c>
      <c r="G501" s="89" t="str">
        <f t="shared" si="23"/>
        <v>#DIV/0!</v>
      </c>
      <c r="H501" s="98"/>
      <c r="I501" s="89" t="str">
        <f>IFERROR(VLOOKUP(F501,'Employees List'!$C:$F,2,0),"")</f>
        <v/>
      </c>
      <c r="J501" s="93" t="str">
        <f>IFERROR(VLOOKUP(C501,'Employees List'!$B$2:$G$991,5,0),"")</f>
        <v/>
      </c>
      <c r="K501" s="95" t="str">
        <f>IFERROR(VLOOKUP(F501,'Employees List'!$C$1:$AB$991,5,0),"")</f>
        <v/>
      </c>
      <c r="L501" s="91">
        <f t="shared" si="3"/>
        <v>0</v>
      </c>
      <c r="M501" s="91">
        <f t="shared" si="4"/>
        <v>0</v>
      </c>
      <c r="N501" s="89" t="str">
        <f>IFERROR(VLOOKUP(B501,'Employees List'!$A$2:$H$991,8,0),"")</f>
        <v/>
      </c>
      <c r="O501" s="89" t="str">
        <f>IFERROR(VLOOKUP(D501,'Daily Attendance Report 24-25'!A465:BP999,5,0),"")</f>
        <v/>
      </c>
      <c r="P501" s="89" t="str">
        <f>IFERROR(VLOOKUP(E501,'Daily Attendance Report 24-25'!$A$1:$BO$617,5,0),"")</f>
        <v/>
      </c>
      <c r="Q501" s="89"/>
      <c r="R501" s="89"/>
      <c r="S501" s="89" t="str">
        <f t="shared" si="17"/>
        <v>#DIV/0!</v>
      </c>
      <c r="T501" s="89" t="str">
        <f t="shared" si="6"/>
        <v>#DIV/0!</v>
      </c>
      <c r="U501" s="89" t="str">
        <f t="shared" si="25"/>
        <v>#DIV/0!</v>
      </c>
      <c r="V501" s="89" t="str">
        <f t="shared" si="24"/>
        <v>#DIV/0!</v>
      </c>
      <c r="W501" s="89" t="str">
        <f t="shared" si="9"/>
        <v>#DIV/0!</v>
      </c>
      <c r="X501" s="89"/>
      <c r="Y501" s="89"/>
      <c r="Z501" s="89"/>
      <c r="AA501" s="89"/>
      <c r="AB501" s="89"/>
      <c r="AC501" s="89"/>
      <c r="AD501" s="89"/>
      <c r="AE501" s="89"/>
      <c r="AF501" s="89"/>
      <c r="AG501" s="89"/>
      <c r="AH501" s="89"/>
    </row>
    <row r="502">
      <c r="A502" s="8" t="s">
        <v>640</v>
      </c>
      <c r="B502" s="97"/>
      <c r="C502" s="8"/>
      <c r="D502" s="89" t="str">
        <f t="shared" si="1"/>
        <v/>
      </c>
      <c r="E502" s="89" t="str">
        <f t="shared" si="2"/>
        <v>OT Hours</v>
      </c>
      <c r="F502" s="89" t="str">
        <f>IFERROR(VLOOKUP(C502,'Employees List'!$B$1:$G$999,2,0),"")</f>
        <v/>
      </c>
      <c r="G502" s="89" t="str">
        <f t="shared" si="23"/>
        <v>#DIV/0!</v>
      </c>
      <c r="H502" s="98"/>
      <c r="I502" s="89" t="str">
        <f>IFERROR(VLOOKUP(F502,'Employees List'!$C:$F,2,0),"")</f>
        <v/>
      </c>
      <c r="J502" s="93" t="str">
        <f>IFERROR(VLOOKUP(C502,'Employees List'!$B$2:$G$991,5,0),"")</f>
        <v/>
      </c>
      <c r="K502" s="95" t="str">
        <f>IFERROR(VLOOKUP(F502,'Employees List'!$C$1:$AB$991,5,0),"")</f>
        <v/>
      </c>
      <c r="L502" s="91">
        <f t="shared" si="3"/>
        <v>0</v>
      </c>
      <c r="M502" s="91">
        <f t="shared" si="4"/>
        <v>0</v>
      </c>
      <c r="N502" s="89" t="str">
        <f>IFERROR(VLOOKUP(B502,'Employees List'!$A$2:$H$991,8,0),"")</f>
        <v/>
      </c>
      <c r="O502" s="89" t="str">
        <f>IFERROR(VLOOKUP(D502,'Daily Attendance Report 24-25'!A466:BP999,5,0),"")</f>
        <v/>
      </c>
      <c r="P502" s="89" t="str">
        <f>IFERROR(VLOOKUP(E502,'Daily Attendance Report 24-25'!$A$1:$BO$617,5,0),"")</f>
        <v/>
      </c>
      <c r="Q502" s="89"/>
      <c r="R502" s="89"/>
      <c r="S502" s="89" t="str">
        <f t="shared" si="17"/>
        <v>#DIV/0!</v>
      </c>
      <c r="T502" s="89" t="str">
        <f t="shared" si="6"/>
        <v>#DIV/0!</v>
      </c>
      <c r="U502" s="89" t="str">
        <f t="shared" si="25"/>
        <v>#DIV/0!</v>
      </c>
      <c r="V502" s="89" t="str">
        <f t="shared" si="24"/>
        <v>#DIV/0!</v>
      </c>
      <c r="W502" s="89" t="str">
        <f t="shared" si="9"/>
        <v>#DIV/0!</v>
      </c>
      <c r="X502" s="89"/>
      <c r="Y502" s="89"/>
      <c r="Z502" s="89"/>
      <c r="AA502" s="89"/>
      <c r="AB502" s="89"/>
      <c r="AC502" s="89"/>
      <c r="AD502" s="89"/>
      <c r="AE502" s="89"/>
      <c r="AF502" s="89"/>
      <c r="AG502" s="89"/>
      <c r="AH502" s="89"/>
    </row>
    <row r="503">
      <c r="A503" s="8" t="s">
        <v>641</v>
      </c>
      <c r="B503" s="97"/>
      <c r="C503" s="8"/>
      <c r="D503" s="89" t="str">
        <f t="shared" si="1"/>
        <v/>
      </c>
      <c r="E503" s="89" t="str">
        <f t="shared" si="2"/>
        <v>OT Hours</v>
      </c>
      <c r="F503" s="89" t="str">
        <f>IFERROR(VLOOKUP(C503,'Employees List'!$B$1:$G$999,2,0),"")</f>
        <v/>
      </c>
      <c r="G503" s="89" t="str">
        <f t="shared" si="23"/>
        <v>#DIV/0!</v>
      </c>
      <c r="H503" s="98"/>
      <c r="I503" s="89" t="str">
        <f>IFERROR(VLOOKUP(F503,'Employees List'!$C:$F,2,0),"")</f>
        <v/>
      </c>
      <c r="J503" s="93" t="str">
        <f>IFERROR(VLOOKUP(C503,'Employees List'!$B$2:$G$991,5,0),"")</f>
        <v/>
      </c>
      <c r="K503" s="95" t="str">
        <f>IFERROR(VLOOKUP(F503,'Employees List'!$C$1:$AB$991,5,0),"")</f>
        <v/>
      </c>
      <c r="L503" s="91">
        <f t="shared" si="3"/>
        <v>0</v>
      </c>
      <c r="M503" s="91">
        <f t="shared" si="4"/>
        <v>0</v>
      </c>
      <c r="N503" s="89" t="str">
        <f>IFERROR(VLOOKUP(B503,'Employees List'!$A$2:$H$991,8,0),"")</f>
        <v/>
      </c>
      <c r="O503" s="89" t="str">
        <f>IFERROR(VLOOKUP(D503,'Daily Attendance Report 24-25'!A467:BP999,5,0),"")</f>
        <v/>
      </c>
      <c r="P503" s="89" t="str">
        <f>IFERROR(VLOOKUP(E503,'Daily Attendance Report 24-25'!$A$1:$BO$617,5,0),"")</f>
        <v/>
      </c>
      <c r="Q503" s="89"/>
      <c r="R503" s="89"/>
      <c r="S503" s="89" t="str">
        <f t="shared" si="17"/>
        <v>#DIV/0!</v>
      </c>
      <c r="T503" s="89" t="str">
        <f t="shared" si="6"/>
        <v>#DIV/0!</v>
      </c>
      <c r="U503" s="89" t="str">
        <f t="shared" si="25"/>
        <v>#DIV/0!</v>
      </c>
      <c r="V503" s="89" t="str">
        <f t="shared" si="24"/>
        <v>#DIV/0!</v>
      </c>
      <c r="W503" s="89" t="str">
        <f t="shared" si="9"/>
        <v>#DIV/0!</v>
      </c>
      <c r="X503" s="89"/>
      <c r="Y503" s="89"/>
      <c r="Z503" s="89"/>
      <c r="AA503" s="89"/>
      <c r="AB503" s="89"/>
      <c r="AC503" s="89"/>
      <c r="AD503" s="89"/>
      <c r="AE503" s="89"/>
      <c r="AF503" s="89"/>
      <c r="AG503" s="89"/>
      <c r="AH503" s="89"/>
    </row>
    <row r="504">
      <c r="A504" s="8" t="s">
        <v>642</v>
      </c>
      <c r="B504" s="97"/>
      <c r="C504" s="8"/>
      <c r="D504" s="89" t="str">
        <f t="shared" si="1"/>
        <v/>
      </c>
      <c r="E504" s="89" t="str">
        <f t="shared" si="2"/>
        <v>OT Hours</v>
      </c>
      <c r="F504" s="89" t="str">
        <f>IFERROR(VLOOKUP(C504,'Employees List'!$B$1:$G$999,2,0),"")</f>
        <v/>
      </c>
      <c r="G504" s="89" t="str">
        <f t="shared" si="23"/>
        <v>#DIV/0!</v>
      </c>
      <c r="H504" s="98"/>
      <c r="I504" s="89" t="str">
        <f>IFERROR(VLOOKUP(F504,'Employees List'!$C:$F,2,0),"")</f>
        <v/>
      </c>
      <c r="J504" s="93" t="str">
        <f>IFERROR(VLOOKUP(C504,'Employees List'!$B$2:$G$991,5,0),"")</f>
        <v/>
      </c>
      <c r="K504" s="95" t="str">
        <f>IFERROR(VLOOKUP(F504,'Employees List'!$C$1:$AB$991,5,0),"")</f>
        <v/>
      </c>
      <c r="L504" s="91">
        <f t="shared" si="3"/>
        <v>0</v>
      </c>
      <c r="M504" s="91">
        <f t="shared" si="4"/>
        <v>0</v>
      </c>
      <c r="N504" s="89" t="str">
        <f>IFERROR(VLOOKUP(B504,'Employees List'!$A$2:$H$991,8,0),"")</f>
        <v/>
      </c>
      <c r="O504" s="89" t="str">
        <f>IFERROR(VLOOKUP(D504,'Daily Attendance Report 24-25'!A468:BP999,5,0),"")</f>
        <v/>
      </c>
      <c r="P504" s="89" t="str">
        <f>IFERROR(VLOOKUP(E504,'Daily Attendance Report 24-25'!$A$1:$BO$617,5,0),"")</f>
        <v/>
      </c>
      <c r="Q504" s="89"/>
      <c r="R504" s="89"/>
      <c r="S504" s="89" t="str">
        <f t="shared" si="17"/>
        <v>#DIV/0!</v>
      </c>
      <c r="T504" s="89" t="str">
        <f t="shared" si="6"/>
        <v>#DIV/0!</v>
      </c>
      <c r="U504" s="89" t="str">
        <f t="shared" si="25"/>
        <v>#DIV/0!</v>
      </c>
      <c r="V504" s="89" t="str">
        <f t="shared" si="24"/>
        <v>#DIV/0!</v>
      </c>
      <c r="W504" s="89" t="str">
        <f t="shared" si="9"/>
        <v>#DIV/0!</v>
      </c>
      <c r="X504" s="89"/>
      <c r="Y504" s="89"/>
      <c r="Z504" s="89"/>
      <c r="AA504" s="89"/>
      <c r="AB504" s="89"/>
      <c r="AC504" s="89"/>
      <c r="AD504" s="89"/>
      <c r="AE504" s="89"/>
      <c r="AF504" s="89"/>
      <c r="AG504" s="89"/>
      <c r="AH504" s="89"/>
    </row>
    <row r="505">
      <c r="A505" s="8" t="s">
        <v>643</v>
      </c>
      <c r="B505" s="97"/>
      <c r="C505" s="8"/>
      <c r="D505" s="89" t="str">
        <f t="shared" si="1"/>
        <v/>
      </c>
      <c r="E505" s="89" t="str">
        <f t="shared" si="2"/>
        <v>OT Hours</v>
      </c>
      <c r="F505" s="89" t="str">
        <f>IFERROR(VLOOKUP(C505,'Employees List'!$B$1:$G$999,2,0),"")</f>
        <v/>
      </c>
      <c r="G505" s="89" t="str">
        <f t="shared" si="23"/>
        <v>#DIV/0!</v>
      </c>
      <c r="H505" s="98"/>
      <c r="I505" s="89" t="str">
        <f>IFERROR(VLOOKUP(F505,'Employees List'!$C:$F,2,0),"")</f>
        <v/>
      </c>
      <c r="J505" s="93" t="str">
        <f>IFERROR(VLOOKUP(C505,'Employees List'!$B$2:$G$991,5,0),"")</f>
        <v/>
      </c>
      <c r="K505" s="95" t="str">
        <f>IFERROR(VLOOKUP(F505,'Employees List'!$C$1:$AB$991,5,0),"")</f>
        <v/>
      </c>
      <c r="L505" s="91">
        <f t="shared" si="3"/>
        <v>0</v>
      </c>
      <c r="M505" s="91">
        <f t="shared" si="4"/>
        <v>0</v>
      </c>
      <c r="N505" s="89" t="str">
        <f>IFERROR(VLOOKUP(B505,'Employees List'!$A$2:$H$991,8,0),"")</f>
        <v/>
      </c>
      <c r="O505" s="89" t="str">
        <f>IFERROR(VLOOKUP(D505,'Daily Attendance Report 24-25'!A469:BP999,5,0),"")</f>
        <v/>
      </c>
      <c r="P505" s="89" t="str">
        <f>IFERROR(VLOOKUP(E505,'Daily Attendance Report 24-25'!$A$1:$BO$617,5,0),"")</f>
        <v/>
      </c>
      <c r="Q505" s="89"/>
      <c r="R505" s="89"/>
      <c r="S505" s="89" t="str">
        <f t="shared" si="17"/>
        <v>#DIV/0!</v>
      </c>
      <c r="T505" s="89" t="str">
        <f t="shared" si="6"/>
        <v>#DIV/0!</v>
      </c>
      <c r="U505" s="89" t="str">
        <f t="shared" si="25"/>
        <v>#DIV/0!</v>
      </c>
      <c r="V505" s="89" t="str">
        <f t="shared" si="24"/>
        <v>#DIV/0!</v>
      </c>
      <c r="W505" s="89" t="str">
        <f t="shared" si="9"/>
        <v>#DIV/0!</v>
      </c>
      <c r="X505" s="89"/>
      <c r="Y505" s="89"/>
      <c r="Z505" s="89"/>
      <c r="AA505" s="89"/>
      <c r="AB505" s="89"/>
      <c r="AC505" s="89"/>
      <c r="AD505" s="89"/>
      <c r="AE505" s="89"/>
      <c r="AF505" s="89"/>
      <c r="AG505" s="89"/>
      <c r="AH505" s="89"/>
    </row>
    <row r="506">
      <c r="A506" s="8" t="s">
        <v>644</v>
      </c>
      <c r="B506" s="97"/>
      <c r="C506" s="8"/>
      <c r="D506" s="89" t="str">
        <f t="shared" si="1"/>
        <v/>
      </c>
      <c r="E506" s="89" t="str">
        <f t="shared" si="2"/>
        <v>OT Hours</v>
      </c>
      <c r="F506" s="89" t="str">
        <f>IFERROR(VLOOKUP(C506,'Employees List'!$B$1:$G$999,2,0),"")</f>
        <v/>
      </c>
      <c r="G506" s="89" t="str">
        <f t="shared" si="23"/>
        <v>#DIV/0!</v>
      </c>
      <c r="H506" s="98"/>
      <c r="I506" s="89" t="str">
        <f>IFERROR(VLOOKUP(F506,'Employees List'!$C:$F,2,0),"")</f>
        <v/>
      </c>
      <c r="J506" s="93" t="str">
        <f>IFERROR(VLOOKUP(C506,'Employees List'!$B$2:$G$991,5,0),"")</f>
        <v/>
      </c>
      <c r="K506" s="95" t="str">
        <f>IFERROR(VLOOKUP(F506,'Employees List'!$C$1:$AB$991,5,0),"")</f>
        <v/>
      </c>
      <c r="L506" s="91">
        <f t="shared" si="3"/>
        <v>0</v>
      </c>
      <c r="M506" s="91">
        <f t="shared" si="4"/>
        <v>0</v>
      </c>
      <c r="N506" s="89" t="str">
        <f>IFERROR(VLOOKUP(B506,'Employees List'!$A$2:$H$991,8,0),"")</f>
        <v/>
      </c>
      <c r="O506" s="89" t="str">
        <f>IFERROR(VLOOKUP(D506,'Daily Attendance Report 24-25'!A470:BP999,5,0),"")</f>
        <v/>
      </c>
      <c r="P506" s="89" t="str">
        <f>IFERROR(VLOOKUP(E506,'Daily Attendance Report 24-25'!$A$1:$BO$617,5,0),"")</f>
        <v/>
      </c>
      <c r="Q506" s="89"/>
      <c r="R506" s="89"/>
      <c r="S506" s="89" t="str">
        <f t="shared" si="17"/>
        <v>#DIV/0!</v>
      </c>
      <c r="T506" s="89" t="str">
        <f t="shared" si="6"/>
        <v>#DIV/0!</v>
      </c>
      <c r="U506" s="89" t="str">
        <f t="shared" si="25"/>
        <v>#DIV/0!</v>
      </c>
      <c r="V506" s="89" t="str">
        <f t="shared" si="24"/>
        <v>#DIV/0!</v>
      </c>
      <c r="W506" s="89" t="str">
        <f t="shared" si="9"/>
        <v>#DIV/0!</v>
      </c>
      <c r="X506" s="89"/>
      <c r="Y506" s="89"/>
      <c r="Z506" s="89"/>
      <c r="AA506" s="89"/>
      <c r="AB506" s="89"/>
      <c r="AC506" s="89"/>
      <c r="AD506" s="89"/>
      <c r="AE506" s="89"/>
      <c r="AF506" s="89"/>
      <c r="AG506" s="89"/>
      <c r="AH506" s="89"/>
    </row>
    <row r="507">
      <c r="A507" s="8" t="s">
        <v>645</v>
      </c>
      <c r="B507" s="97"/>
      <c r="C507" s="8"/>
      <c r="D507" s="89" t="str">
        <f t="shared" si="1"/>
        <v/>
      </c>
      <c r="E507" s="89" t="str">
        <f t="shared" si="2"/>
        <v>OT Hours</v>
      </c>
      <c r="F507" s="89" t="str">
        <f>IFERROR(VLOOKUP(C507,'Employees List'!$B$1:$G$999,2,0),"")</f>
        <v/>
      </c>
      <c r="G507" s="89" t="str">
        <f t="shared" si="23"/>
        <v>#DIV/0!</v>
      </c>
      <c r="H507" s="98"/>
      <c r="I507" s="89" t="str">
        <f>IFERROR(VLOOKUP(F507,'Employees List'!$C:$F,2,0),"")</f>
        <v/>
      </c>
      <c r="J507" s="93" t="str">
        <f>IFERROR(VLOOKUP(C507,'Employees List'!$B$2:$G$991,5,0),"")</f>
        <v/>
      </c>
      <c r="K507" s="95" t="str">
        <f>IFERROR(VLOOKUP(F507,'Employees List'!$C$1:$AB$991,5,0),"")</f>
        <v/>
      </c>
      <c r="L507" s="91">
        <f t="shared" si="3"/>
        <v>0</v>
      </c>
      <c r="M507" s="91">
        <f t="shared" si="4"/>
        <v>0</v>
      </c>
      <c r="N507" s="89" t="str">
        <f>IFERROR(VLOOKUP(B507,'Employees List'!$A$2:$H$991,8,0),"")</f>
        <v/>
      </c>
      <c r="O507" s="89" t="str">
        <f>IFERROR(VLOOKUP(D507,'Daily Attendance Report 24-25'!A471:BP999,5,0),"")</f>
        <v/>
      </c>
      <c r="P507" s="89" t="str">
        <f>IFERROR(VLOOKUP(E507,'Daily Attendance Report 24-25'!$A$1:$BO$617,5,0),"")</f>
        <v/>
      </c>
      <c r="Q507" s="89"/>
      <c r="R507" s="89"/>
      <c r="S507" s="89" t="str">
        <f t="shared" si="17"/>
        <v>#DIV/0!</v>
      </c>
      <c r="T507" s="89" t="str">
        <f t="shared" si="6"/>
        <v>#DIV/0!</v>
      </c>
      <c r="U507" s="89" t="str">
        <f t="shared" si="25"/>
        <v>#DIV/0!</v>
      </c>
      <c r="V507" s="89" t="str">
        <f t="shared" si="24"/>
        <v>#DIV/0!</v>
      </c>
      <c r="W507" s="89" t="str">
        <f t="shared" si="9"/>
        <v>#DIV/0!</v>
      </c>
      <c r="X507" s="89"/>
      <c r="Y507" s="89"/>
      <c r="Z507" s="89"/>
      <c r="AA507" s="89"/>
      <c r="AB507" s="89"/>
      <c r="AC507" s="89"/>
      <c r="AD507" s="89"/>
      <c r="AE507" s="89"/>
      <c r="AF507" s="89"/>
      <c r="AG507" s="89"/>
      <c r="AH507" s="89"/>
    </row>
    <row r="508">
      <c r="A508" s="8" t="s">
        <v>646</v>
      </c>
      <c r="B508" s="97"/>
      <c r="C508" s="8"/>
      <c r="D508" s="89" t="str">
        <f t="shared" si="1"/>
        <v/>
      </c>
      <c r="E508" s="89" t="str">
        <f t="shared" si="2"/>
        <v>OT Hours</v>
      </c>
      <c r="F508" s="89" t="str">
        <f>IFERROR(VLOOKUP(C508,'Employees List'!$B$1:$G$999,2,0),"")</f>
        <v/>
      </c>
      <c r="G508" s="89" t="str">
        <f t="shared" si="23"/>
        <v>#DIV/0!</v>
      </c>
      <c r="H508" s="98"/>
      <c r="I508" s="89" t="str">
        <f>IFERROR(VLOOKUP(F508,'Employees List'!$C:$F,2,0),"")</f>
        <v/>
      </c>
      <c r="J508" s="93" t="str">
        <f>IFERROR(VLOOKUP(C508,'Employees List'!$B$2:$G$991,5,0),"")</f>
        <v/>
      </c>
      <c r="K508" s="95" t="str">
        <f>IFERROR(VLOOKUP(F508,'Employees List'!$C$1:$AB$991,5,0),"")</f>
        <v/>
      </c>
      <c r="L508" s="91">
        <f t="shared" si="3"/>
        <v>0</v>
      </c>
      <c r="M508" s="91">
        <f t="shared" si="4"/>
        <v>0</v>
      </c>
      <c r="N508" s="89" t="str">
        <f>IFERROR(VLOOKUP(B508,'Employees List'!$A$2:$H$991,8,0),"")</f>
        <v/>
      </c>
      <c r="O508" s="89" t="str">
        <f>IFERROR(VLOOKUP(D508,'Daily Attendance Report 24-25'!A472:BP999,5,0),"")</f>
        <v/>
      </c>
      <c r="P508" s="89" t="str">
        <f>IFERROR(VLOOKUP(E508,'Daily Attendance Report 24-25'!$A$1:$BO$617,5,0),"")</f>
        <v/>
      </c>
      <c r="Q508" s="89"/>
      <c r="R508" s="89"/>
      <c r="S508" s="89" t="str">
        <f t="shared" si="17"/>
        <v>#DIV/0!</v>
      </c>
      <c r="T508" s="89" t="str">
        <f t="shared" si="6"/>
        <v>#DIV/0!</v>
      </c>
      <c r="U508" s="89" t="str">
        <f t="shared" si="25"/>
        <v>#DIV/0!</v>
      </c>
      <c r="V508" s="89" t="str">
        <f t="shared" si="24"/>
        <v>#DIV/0!</v>
      </c>
      <c r="W508" s="89" t="str">
        <f t="shared" si="9"/>
        <v>#DIV/0!</v>
      </c>
      <c r="X508" s="89"/>
      <c r="Y508" s="89"/>
      <c r="Z508" s="89"/>
      <c r="AA508" s="89"/>
      <c r="AB508" s="89"/>
      <c r="AC508" s="89"/>
      <c r="AD508" s="89"/>
      <c r="AE508" s="89"/>
      <c r="AF508" s="89"/>
      <c r="AG508" s="89"/>
      <c r="AH508" s="89"/>
    </row>
    <row r="509">
      <c r="A509" s="8" t="s">
        <v>647</v>
      </c>
      <c r="B509" s="97"/>
      <c r="C509" s="8"/>
      <c r="D509" s="89" t="str">
        <f t="shared" si="1"/>
        <v/>
      </c>
      <c r="E509" s="89" t="str">
        <f t="shared" si="2"/>
        <v>OT Hours</v>
      </c>
      <c r="F509" s="89" t="str">
        <f>IFERROR(VLOOKUP(C509,'Employees List'!$B$1:$G$999,2,0),"")</f>
        <v/>
      </c>
      <c r="G509" s="89" t="str">
        <f t="shared" si="23"/>
        <v>#DIV/0!</v>
      </c>
      <c r="H509" s="98"/>
      <c r="I509" s="89" t="str">
        <f>IFERROR(VLOOKUP(F509,'Employees List'!$C:$F,2,0),"")</f>
        <v/>
      </c>
      <c r="J509" s="93" t="str">
        <f>IFERROR(VLOOKUP(C509,'Employees List'!$B$2:$G$991,5,0),"")</f>
        <v/>
      </c>
      <c r="K509" s="95" t="str">
        <f>IFERROR(VLOOKUP(F509,'Employees List'!$C$1:$AB$991,5,0),"")</f>
        <v/>
      </c>
      <c r="L509" s="91">
        <f t="shared" si="3"/>
        <v>0</v>
      </c>
      <c r="M509" s="91">
        <f t="shared" si="4"/>
        <v>0</v>
      </c>
      <c r="N509" s="89" t="str">
        <f>IFERROR(VLOOKUP(B509,'Employees List'!$A$2:$H$991,8,0),"")</f>
        <v/>
      </c>
      <c r="O509" s="89" t="str">
        <f>IFERROR(VLOOKUP(D509,'Daily Attendance Report 24-25'!A473:BP999,5,0),"")</f>
        <v/>
      </c>
      <c r="P509" s="89" t="str">
        <f>IFERROR(VLOOKUP(E509,'Daily Attendance Report 24-25'!$A$1:$BO$617,5,0),"")</f>
        <v/>
      </c>
      <c r="Q509" s="89"/>
      <c r="R509" s="89"/>
      <c r="S509" s="89" t="str">
        <f t="shared" si="17"/>
        <v>#DIV/0!</v>
      </c>
      <c r="T509" s="89" t="str">
        <f t="shared" si="6"/>
        <v>#DIV/0!</v>
      </c>
      <c r="U509" s="89" t="str">
        <f t="shared" si="25"/>
        <v>#DIV/0!</v>
      </c>
      <c r="V509" s="89" t="str">
        <f t="shared" si="24"/>
        <v>#DIV/0!</v>
      </c>
      <c r="W509" s="89" t="str">
        <f t="shared" si="9"/>
        <v>#DIV/0!</v>
      </c>
      <c r="X509" s="89"/>
      <c r="Y509" s="89"/>
      <c r="Z509" s="89"/>
      <c r="AA509" s="89"/>
      <c r="AB509" s="89"/>
      <c r="AC509" s="89"/>
      <c r="AD509" s="89"/>
      <c r="AE509" s="89"/>
      <c r="AF509" s="89"/>
      <c r="AG509" s="89"/>
      <c r="AH509" s="89"/>
    </row>
    <row r="510">
      <c r="A510" s="8" t="s">
        <v>648</v>
      </c>
      <c r="B510" s="97"/>
      <c r="C510" s="8"/>
      <c r="D510" s="89" t="str">
        <f t="shared" si="1"/>
        <v/>
      </c>
      <c r="E510" s="89" t="str">
        <f t="shared" si="2"/>
        <v>OT Hours</v>
      </c>
      <c r="F510" s="89" t="str">
        <f>IFERROR(VLOOKUP(C510,'Employees List'!$B$1:$G$999,2,0),"")</f>
        <v/>
      </c>
      <c r="G510" s="89" t="str">
        <f t="shared" si="23"/>
        <v>#DIV/0!</v>
      </c>
      <c r="H510" s="98"/>
      <c r="I510" s="89" t="str">
        <f>IFERROR(VLOOKUP(F510,'Employees List'!$C:$F,2,0),"")</f>
        <v/>
      </c>
      <c r="J510" s="93" t="str">
        <f>IFERROR(VLOOKUP(C510,'Employees List'!$B$2:$G$991,5,0),"")</f>
        <v/>
      </c>
      <c r="K510" s="95" t="str">
        <f>IFERROR(VLOOKUP(F510,'Employees List'!$C$1:$AB$991,5,0),"")</f>
        <v/>
      </c>
      <c r="L510" s="91">
        <f t="shared" si="3"/>
        <v>0</v>
      </c>
      <c r="M510" s="91">
        <f t="shared" si="4"/>
        <v>0</v>
      </c>
      <c r="N510" s="89" t="str">
        <f>IFERROR(VLOOKUP(B510,'Employees List'!$A$2:$H$991,8,0),"")</f>
        <v/>
      </c>
      <c r="O510" s="89" t="str">
        <f>IFERROR(VLOOKUP(D510,'Daily Attendance Report 24-25'!A474:BP999,5,0),"")</f>
        <v/>
      </c>
      <c r="P510" s="89" t="str">
        <f>IFERROR(VLOOKUP(E510,'Daily Attendance Report 24-25'!$A$1:$BO$617,5,0),"")</f>
        <v/>
      </c>
      <c r="Q510" s="89"/>
      <c r="R510" s="89"/>
      <c r="S510" s="89" t="str">
        <f t="shared" si="17"/>
        <v>#DIV/0!</v>
      </c>
      <c r="T510" s="89" t="str">
        <f t="shared" si="6"/>
        <v>#DIV/0!</v>
      </c>
      <c r="U510" s="89" t="str">
        <f t="shared" si="25"/>
        <v>#DIV/0!</v>
      </c>
      <c r="V510" s="89" t="str">
        <f t="shared" si="24"/>
        <v>#DIV/0!</v>
      </c>
      <c r="W510" s="89" t="str">
        <f t="shared" si="9"/>
        <v>#DIV/0!</v>
      </c>
      <c r="X510" s="89"/>
      <c r="Y510" s="89"/>
      <c r="Z510" s="89"/>
      <c r="AA510" s="89"/>
      <c r="AB510" s="89"/>
      <c r="AC510" s="89"/>
      <c r="AD510" s="89"/>
      <c r="AE510" s="89"/>
      <c r="AF510" s="89"/>
      <c r="AG510" s="89"/>
      <c r="AH510" s="89"/>
    </row>
    <row r="511">
      <c r="A511" s="8" t="s">
        <v>649</v>
      </c>
      <c r="B511" s="97"/>
      <c r="C511" s="8"/>
      <c r="D511" s="89" t="str">
        <f t="shared" si="1"/>
        <v/>
      </c>
      <c r="E511" s="89" t="str">
        <f t="shared" si="2"/>
        <v>OT Hours</v>
      </c>
      <c r="F511" s="89" t="str">
        <f>IFERROR(VLOOKUP(C511,'Employees List'!$B$1:$G$999,2,0),"")</f>
        <v/>
      </c>
      <c r="G511" s="89" t="str">
        <f t="shared" si="23"/>
        <v>#DIV/0!</v>
      </c>
      <c r="H511" s="98"/>
      <c r="I511" s="89" t="str">
        <f>IFERROR(VLOOKUP(F511,'Employees List'!$C:$F,2,0),"")</f>
        <v/>
      </c>
      <c r="J511" s="93" t="str">
        <f>IFERROR(VLOOKUP(C511,'Employees List'!$B$2:$G$991,5,0),"")</f>
        <v/>
      </c>
      <c r="K511" s="95" t="str">
        <f>IFERROR(VLOOKUP(F511,'Employees List'!$C$1:$AB$991,5,0),"")</f>
        <v/>
      </c>
      <c r="L511" s="91">
        <f t="shared" si="3"/>
        <v>0</v>
      </c>
      <c r="M511" s="91">
        <f t="shared" si="4"/>
        <v>0</v>
      </c>
      <c r="N511" s="89" t="str">
        <f>IFERROR(VLOOKUP(B511,'Employees List'!$A$2:$H$991,8,0),"")</f>
        <v/>
      </c>
      <c r="O511" s="89" t="str">
        <f>IFERROR(VLOOKUP(D511,'Daily Attendance Report 24-25'!A475:BP999,5,0),"")</f>
        <v/>
      </c>
      <c r="P511" s="89" t="str">
        <f>IFERROR(VLOOKUP(E511,'Daily Attendance Report 24-25'!$A$1:$BO$617,5,0),"")</f>
        <v/>
      </c>
      <c r="Q511" s="89"/>
      <c r="R511" s="89"/>
      <c r="S511" s="89" t="str">
        <f t="shared" si="17"/>
        <v>#DIV/0!</v>
      </c>
      <c r="T511" s="89" t="str">
        <f t="shared" si="6"/>
        <v>#DIV/0!</v>
      </c>
      <c r="U511" s="89" t="str">
        <f t="shared" si="25"/>
        <v>#DIV/0!</v>
      </c>
      <c r="V511" s="89" t="str">
        <f t="shared" si="24"/>
        <v>#DIV/0!</v>
      </c>
      <c r="W511" s="89" t="str">
        <f t="shared" si="9"/>
        <v>#DIV/0!</v>
      </c>
      <c r="X511" s="89"/>
      <c r="Y511" s="89"/>
      <c r="Z511" s="89"/>
      <c r="AA511" s="89"/>
      <c r="AB511" s="89"/>
      <c r="AC511" s="89"/>
      <c r="AD511" s="89"/>
      <c r="AE511" s="89"/>
      <c r="AF511" s="89"/>
      <c r="AG511" s="89"/>
      <c r="AH511" s="89"/>
    </row>
    <row r="512">
      <c r="A512" s="8" t="s">
        <v>650</v>
      </c>
      <c r="B512" s="97"/>
      <c r="C512" s="8"/>
      <c r="D512" s="89" t="str">
        <f t="shared" si="1"/>
        <v/>
      </c>
      <c r="E512" s="89" t="str">
        <f t="shared" si="2"/>
        <v>OT Hours</v>
      </c>
      <c r="F512" s="89" t="str">
        <f>IFERROR(VLOOKUP(C512,'Employees List'!$B$1:$G$999,2,0),"")</f>
        <v/>
      </c>
      <c r="G512" s="89" t="str">
        <f t="shared" si="23"/>
        <v>#DIV/0!</v>
      </c>
      <c r="H512" s="98"/>
      <c r="I512" s="89" t="str">
        <f>IFERROR(VLOOKUP(F512,'Employees List'!$C:$F,2,0),"")</f>
        <v/>
      </c>
      <c r="J512" s="93" t="str">
        <f>IFERROR(VLOOKUP(C512,'Employees List'!$B$2:$G$991,5,0),"")</f>
        <v/>
      </c>
      <c r="K512" s="95" t="str">
        <f>IFERROR(VLOOKUP(F512,'Employees List'!$C$1:$AB$991,5,0),"")</f>
        <v/>
      </c>
      <c r="L512" s="91">
        <f t="shared" si="3"/>
        <v>0</v>
      </c>
      <c r="M512" s="91">
        <f t="shared" si="4"/>
        <v>0</v>
      </c>
      <c r="N512" s="89" t="str">
        <f>IFERROR(VLOOKUP(B512,'Employees List'!$A$2:$H$991,8,0),"")</f>
        <v/>
      </c>
      <c r="O512" s="89" t="str">
        <f>IFERROR(VLOOKUP(D512,'Daily Attendance Report 24-25'!A476:BP999,5,0),"")</f>
        <v/>
      </c>
      <c r="P512" s="89" t="str">
        <f>IFERROR(VLOOKUP(E512,'Daily Attendance Report 24-25'!$A$1:$BO$617,5,0),"")</f>
        <v/>
      </c>
      <c r="Q512" s="89"/>
      <c r="R512" s="89"/>
      <c r="S512" s="89" t="str">
        <f t="shared" si="17"/>
        <v>#DIV/0!</v>
      </c>
      <c r="T512" s="89" t="str">
        <f t="shared" si="6"/>
        <v>#DIV/0!</v>
      </c>
      <c r="U512" s="89" t="str">
        <f t="shared" si="25"/>
        <v>#DIV/0!</v>
      </c>
      <c r="V512" s="89" t="str">
        <f t="shared" si="24"/>
        <v>#DIV/0!</v>
      </c>
      <c r="W512" s="89" t="str">
        <f t="shared" si="9"/>
        <v>#DIV/0!</v>
      </c>
      <c r="X512" s="89"/>
      <c r="Y512" s="89"/>
      <c r="Z512" s="89"/>
      <c r="AA512" s="89"/>
      <c r="AB512" s="89"/>
      <c r="AC512" s="89"/>
      <c r="AD512" s="89"/>
      <c r="AE512" s="89"/>
      <c r="AF512" s="89"/>
      <c r="AG512" s="89"/>
      <c r="AH512" s="89"/>
    </row>
    <row r="513">
      <c r="A513" s="8" t="s">
        <v>651</v>
      </c>
      <c r="B513" s="97"/>
      <c r="C513" s="8"/>
      <c r="D513" s="89" t="str">
        <f t="shared" si="1"/>
        <v/>
      </c>
      <c r="E513" s="89" t="str">
        <f t="shared" si="2"/>
        <v>OT Hours</v>
      </c>
      <c r="F513" s="89" t="str">
        <f>IFERROR(VLOOKUP(C513,'Employees List'!$B$1:$G$999,2,0),"")</f>
        <v/>
      </c>
      <c r="G513" s="89" t="str">
        <f t="shared" si="23"/>
        <v>#DIV/0!</v>
      </c>
      <c r="H513" s="98"/>
      <c r="I513" s="89" t="str">
        <f>IFERROR(VLOOKUP(F513,'Employees List'!$C:$F,2,0),"")</f>
        <v/>
      </c>
      <c r="J513" s="93" t="str">
        <f>IFERROR(VLOOKUP(C513,'Employees List'!$B$2:$G$991,5,0),"")</f>
        <v/>
      </c>
      <c r="K513" s="95" t="str">
        <f>IFERROR(VLOOKUP(F513,'Employees List'!$C$1:$AB$991,5,0),"")</f>
        <v/>
      </c>
      <c r="L513" s="91">
        <f t="shared" si="3"/>
        <v>0</v>
      </c>
      <c r="M513" s="91">
        <f t="shared" si="4"/>
        <v>0</v>
      </c>
      <c r="N513" s="89" t="str">
        <f>IFERROR(VLOOKUP(B513,'Employees List'!$A$2:$H$991,8,0),"")</f>
        <v/>
      </c>
      <c r="O513" s="89" t="str">
        <f>IFERROR(VLOOKUP(D513,'Daily Attendance Report 24-25'!A477:BP999,5,0),"")</f>
        <v/>
      </c>
      <c r="P513" s="89" t="str">
        <f>IFERROR(VLOOKUP(E513,'Daily Attendance Report 24-25'!$A$1:$BO$617,5,0),"")</f>
        <v/>
      </c>
      <c r="Q513" s="89"/>
      <c r="R513" s="89"/>
      <c r="S513" s="89" t="str">
        <f t="shared" si="17"/>
        <v>#DIV/0!</v>
      </c>
      <c r="T513" s="89" t="str">
        <f t="shared" si="6"/>
        <v>#DIV/0!</v>
      </c>
      <c r="U513" s="89" t="str">
        <f t="shared" si="25"/>
        <v>#DIV/0!</v>
      </c>
      <c r="V513" s="89" t="str">
        <f t="shared" si="24"/>
        <v>#DIV/0!</v>
      </c>
      <c r="W513" s="89" t="str">
        <f t="shared" si="9"/>
        <v>#DIV/0!</v>
      </c>
      <c r="X513" s="89"/>
      <c r="Y513" s="89"/>
      <c r="Z513" s="89"/>
      <c r="AA513" s="89"/>
      <c r="AB513" s="89"/>
      <c r="AC513" s="89"/>
      <c r="AD513" s="89"/>
      <c r="AE513" s="89"/>
      <c r="AF513" s="89"/>
      <c r="AG513" s="89"/>
      <c r="AH513" s="89"/>
    </row>
    <row r="514">
      <c r="A514" s="8" t="s">
        <v>652</v>
      </c>
      <c r="B514" s="97"/>
      <c r="C514" s="8"/>
      <c r="D514" s="89" t="str">
        <f t="shared" si="1"/>
        <v/>
      </c>
      <c r="E514" s="89" t="str">
        <f t="shared" si="2"/>
        <v>OT Hours</v>
      </c>
      <c r="F514" s="89" t="str">
        <f>IFERROR(VLOOKUP(C514,'Employees List'!$B$1:$G$999,2,0),"")</f>
        <v/>
      </c>
      <c r="G514" s="89" t="str">
        <f t="shared" si="23"/>
        <v>#DIV/0!</v>
      </c>
      <c r="H514" s="98"/>
      <c r="I514" s="89" t="str">
        <f>IFERROR(VLOOKUP(F514,'Employees List'!$C:$F,2,0),"")</f>
        <v/>
      </c>
      <c r="J514" s="93" t="str">
        <f>IFERROR(VLOOKUP(C514,'Employees List'!$B$2:$G$991,5,0),"")</f>
        <v/>
      </c>
      <c r="K514" s="95" t="str">
        <f>IFERROR(VLOOKUP(F514,'Employees List'!$C$1:$AB$991,5,0),"")</f>
        <v/>
      </c>
      <c r="L514" s="91">
        <f t="shared" si="3"/>
        <v>0</v>
      </c>
      <c r="M514" s="91">
        <f t="shared" si="4"/>
        <v>0</v>
      </c>
      <c r="N514" s="89" t="str">
        <f>IFERROR(VLOOKUP(B514,'Employees List'!$A$2:$H$991,8,0),"")</f>
        <v/>
      </c>
      <c r="O514" s="89" t="str">
        <f>IFERROR(VLOOKUP(D514,'Daily Attendance Report 24-25'!A478:BP999,5,0),"")</f>
        <v/>
      </c>
      <c r="P514" s="89" t="str">
        <f>IFERROR(VLOOKUP(E514,'Daily Attendance Report 24-25'!$A$1:$BO$617,5,0),"")</f>
        <v/>
      </c>
      <c r="Q514" s="89"/>
      <c r="R514" s="89"/>
      <c r="S514" s="89" t="str">
        <f t="shared" si="17"/>
        <v>#DIV/0!</v>
      </c>
      <c r="T514" s="89" t="str">
        <f t="shared" si="6"/>
        <v>#DIV/0!</v>
      </c>
      <c r="U514" s="89" t="str">
        <f t="shared" si="25"/>
        <v>#DIV/0!</v>
      </c>
      <c r="V514" s="89" t="str">
        <f t="shared" si="24"/>
        <v>#DIV/0!</v>
      </c>
      <c r="W514" s="89" t="str">
        <f t="shared" si="9"/>
        <v>#DIV/0!</v>
      </c>
      <c r="X514" s="89"/>
      <c r="Y514" s="89"/>
      <c r="Z514" s="89"/>
      <c r="AA514" s="89"/>
      <c r="AB514" s="89"/>
      <c r="AC514" s="89"/>
      <c r="AD514" s="89"/>
      <c r="AE514" s="89"/>
      <c r="AF514" s="89"/>
      <c r="AG514" s="89"/>
      <c r="AH514" s="89"/>
    </row>
    <row r="515">
      <c r="A515" s="8" t="s">
        <v>653</v>
      </c>
      <c r="B515" s="97"/>
      <c r="C515" s="8"/>
      <c r="D515" s="89" t="str">
        <f t="shared" si="1"/>
        <v/>
      </c>
      <c r="E515" s="89" t="str">
        <f t="shared" si="2"/>
        <v>OT Hours</v>
      </c>
      <c r="F515" s="89" t="str">
        <f>IFERROR(VLOOKUP(C515,'Employees List'!$B$1:$G$999,2,0),"")</f>
        <v/>
      </c>
      <c r="G515" s="89" t="str">
        <f t="shared" si="23"/>
        <v>#DIV/0!</v>
      </c>
      <c r="H515" s="98"/>
      <c r="I515" s="89" t="str">
        <f>IFERROR(VLOOKUP(F515,'Employees List'!$C:$F,2,0),"")</f>
        <v/>
      </c>
      <c r="J515" s="93" t="str">
        <f>IFERROR(VLOOKUP(C515,'Employees List'!$B$2:$G$991,5,0),"")</f>
        <v/>
      </c>
      <c r="K515" s="95" t="str">
        <f>IFERROR(VLOOKUP(F515,'Employees List'!$C$1:$AB$991,5,0),"")</f>
        <v/>
      </c>
      <c r="L515" s="91">
        <f t="shared" si="3"/>
        <v>0</v>
      </c>
      <c r="M515" s="91">
        <f t="shared" si="4"/>
        <v>0</v>
      </c>
      <c r="N515" s="89" t="str">
        <f>IFERROR(VLOOKUP(B515,'Employees List'!$A$2:$H$991,8,0),"")</f>
        <v/>
      </c>
      <c r="O515" s="89" t="str">
        <f>IFERROR(VLOOKUP(D515,'Daily Attendance Report 24-25'!A479:BP999,5,0),"")</f>
        <v/>
      </c>
      <c r="P515" s="89" t="str">
        <f>IFERROR(VLOOKUP(E515,'Daily Attendance Report 24-25'!$A$1:$BO$617,5,0),"")</f>
        <v/>
      </c>
      <c r="Q515" s="89"/>
      <c r="R515" s="89"/>
      <c r="S515" s="89" t="str">
        <f t="shared" si="17"/>
        <v>#DIV/0!</v>
      </c>
      <c r="T515" s="89" t="str">
        <f t="shared" si="6"/>
        <v>#DIV/0!</v>
      </c>
      <c r="U515" s="89" t="str">
        <f t="shared" si="25"/>
        <v>#DIV/0!</v>
      </c>
      <c r="V515" s="89" t="str">
        <f t="shared" si="24"/>
        <v>#DIV/0!</v>
      </c>
      <c r="W515" s="89" t="str">
        <f t="shared" si="9"/>
        <v>#DIV/0!</v>
      </c>
      <c r="X515" s="89"/>
      <c r="Y515" s="89"/>
      <c r="Z515" s="89"/>
      <c r="AA515" s="89"/>
      <c r="AB515" s="89"/>
      <c r="AC515" s="89"/>
      <c r="AD515" s="89"/>
      <c r="AE515" s="89"/>
      <c r="AF515" s="89"/>
      <c r="AG515" s="89"/>
      <c r="AH515" s="89"/>
    </row>
    <row r="516">
      <c r="A516" s="8" t="s">
        <v>654</v>
      </c>
      <c r="B516" s="97"/>
      <c r="C516" s="8"/>
      <c r="D516" s="89" t="str">
        <f t="shared" si="1"/>
        <v/>
      </c>
      <c r="E516" s="89" t="str">
        <f t="shared" si="2"/>
        <v>OT Hours</v>
      </c>
      <c r="F516" s="89" t="str">
        <f>IFERROR(VLOOKUP(C516,'Employees List'!$B$1:$G$999,2,0),"")</f>
        <v/>
      </c>
      <c r="G516" s="89" t="str">
        <f t="shared" si="23"/>
        <v>#DIV/0!</v>
      </c>
      <c r="H516" s="98"/>
      <c r="I516" s="89" t="str">
        <f>IFERROR(VLOOKUP(F516,'Employees List'!$C:$F,2,0),"")</f>
        <v/>
      </c>
      <c r="J516" s="93" t="str">
        <f>IFERROR(VLOOKUP(C516,'Employees List'!$B$2:$G$991,5,0),"")</f>
        <v/>
      </c>
      <c r="K516" s="95" t="str">
        <f>IFERROR(VLOOKUP(F516,'Employees List'!$C$1:$AB$991,5,0),"")</f>
        <v/>
      </c>
      <c r="L516" s="91">
        <f t="shared" si="3"/>
        <v>0</v>
      </c>
      <c r="M516" s="91">
        <f t="shared" si="4"/>
        <v>0</v>
      </c>
      <c r="N516" s="89" t="str">
        <f>IFERROR(VLOOKUP(B516,'Employees List'!$A$2:$H$991,8,0),"")</f>
        <v/>
      </c>
      <c r="O516" s="89" t="str">
        <f>IFERROR(VLOOKUP(D516,'Daily Attendance Report 24-25'!A480:BP999,5,0),"")</f>
        <v/>
      </c>
      <c r="P516" s="89" t="str">
        <f>IFERROR(VLOOKUP(E516,'Daily Attendance Report 24-25'!$A$1:$BO$617,5,0),"")</f>
        <v/>
      </c>
      <c r="Q516" s="89"/>
      <c r="R516" s="89"/>
      <c r="S516" s="89" t="str">
        <f t="shared" si="17"/>
        <v>#DIV/0!</v>
      </c>
      <c r="T516" s="89" t="str">
        <f t="shared" si="6"/>
        <v>#DIV/0!</v>
      </c>
      <c r="U516" s="89" t="str">
        <f t="shared" si="25"/>
        <v>#DIV/0!</v>
      </c>
      <c r="V516" s="89" t="str">
        <f t="shared" si="24"/>
        <v>#DIV/0!</v>
      </c>
      <c r="W516" s="89" t="str">
        <f t="shared" si="9"/>
        <v>#DIV/0!</v>
      </c>
      <c r="X516" s="89"/>
      <c r="Y516" s="89"/>
      <c r="Z516" s="89"/>
      <c r="AA516" s="89"/>
      <c r="AB516" s="89"/>
      <c r="AC516" s="89"/>
      <c r="AD516" s="89"/>
      <c r="AE516" s="89"/>
      <c r="AF516" s="89"/>
      <c r="AG516" s="89"/>
      <c r="AH516" s="89"/>
    </row>
    <row r="517">
      <c r="A517" s="8" t="s">
        <v>655</v>
      </c>
      <c r="B517" s="97"/>
      <c r="C517" s="8"/>
      <c r="D517" s="89" t="str">
        <f t="shared" si="1"/>
        <v/>
      </c>
      <c r="E517" s="89" t="str">
        <f t="shared" si="2"/>
        <v>OT Hours</v>
      </c>
      <c r="F517" s="89" t="str">
        <f>IFERROR(VLOOKUP(C517,'Employees List'!$B$1:$G$999,2,0),"")</f>
        <v/>
      </c>
      <c r="G517" s="89" t="str">
        <f t="shared" si="23"/>
        <v>#DIV/0!</v>
      </c>
      <c r="H517" s="98"/>
      <c r="I517" s="89" t="str">
        <f>IFERROR(VLOOKUP(F517,'Employees List'!$C:$F,2,0),"")</f>
        <v/>
      </c>
      <c r="J517" s="93" t="str">
        <f>IFERROR(VLOOKUP(C517,'Employees List'!$B$2:$G$991,5,0),"")</f>
        <v/>
      </c>
      <c r="K517" s="95" t="str">
        <f>IFERROR(VLOOKUP(F517,'Employees List'!$C$1:$AB$991,5,0),"")</f>
        <v/>
      </c>
      <c r="L517" s="91">
        <f t="shared" si="3"/>
        <v>0</v>
      </c>
      <c r="M517" s="91">
        <f t="shared" si="4"/>
        <v>0</v>
      </c>
      <c r="N517" s="89" t="str">
        <f>IFERROR(VLOOKUP(B517,'Employees List'!$A$2:$H$991,8,0),"")</f>
        <v/>
      </c>
      <c r="O517" s="89" t="str">
        <f>IFERROR(VLOOKUP(D517,'Daily Attendance Report 24-25'!A481:BP999,5,0),"")</f>
        <v/>
      </c>
      <c r="P517" s="89" t="str">
        <f>IFERROR(VLOOKUP(E517,'Daily Attendance Report 24-25'!$A$1:$BO$617,5,0),"")</f>
        <v/>
      </c>
      <c r="Q517" s="89"/>
      <c r="R517" s="89"/>
      <c r="S517" s="89" t="str">
        <f t="shared" si="17"/>
        <v>#DIV/0!</v>
      </c>
      <c r="T517" s="89" t="str">
        <f t="shared" si="6"/>
        <v>#DIV/0!</v>
      </c>
      <c r="U517" s="89" t="str">
        <f t="shared" si="25"/>
        <v>#DIV/0!</v>
      </c>
      <c r="V517" s="89" t="str">
        <f t="shared" si="24"/>
        <v>#DIV/0!</v>
      </c>
      <c r="W517" s="89" t="str">
        <f t="shared" si="9"/>
        <v>#DIV/0!</v>
      </c>
      <c r="X517" s="89"/>
      <c r="Y517" s="89"/>
      <c r="Z517" s="89"/>
      <c r="AA517" s="89"/>
      <c r="AB517" s="89"/>
      <c r="AC517" s="89"/>
      <c r="AD517" s="89"/>
      <c r="AE517" s="89"/>
      <c r="AF517" s="89"/>
      <c r="AG517" s="89"/>
      <c r="AH517" s="89"/>
    </row>
    <row r="518">
      <c r="A518" s="8" t="s">
        <v>656</v>
      </c>
      <c r="B518" s="97"/>
      <c r="C518" s="8"/>
      <c r="D518" s="89" t="str">
        <f t="shared" si="1"/>
        <v/>
      </c>
      <c r="E518" s="89" t="str">
        <f t="shared" si="2"/>
        <v>OT Hours</v>
      </c>
      <c r="F518" s="89" t="str">
        <f>IFERROR(VLOOKUP(C518,'Employees List'!$B$1:$G$999,2,0),"")</f>
        <v/>
      </c>
      <c r="G518" s="89" t="str">
        <f t="shared" si="23"/>
        <v>#DIV/0!</v>
      </c>
      <c r="H518" s="98"/>
      <c r="I518" s="89" t="str">
        <f>IFERROR(VLOOKUP(F518,'Employees List'!$C:$F,2,0),"")</f>
        <v/>
      </c>
      <c r="J518" s="93" t="str">
        <f>IFERROR(VLOOKUP(C518,'Employees List'!$B$2:$G$991,5,0),"")</f>
        <v/>
      </c>
      <c r="K518" s="95" t="str">
        <f>IFERROR(VLOOKUP(F518,'Employees List'!$C$1:$AB$991,5,0),"")</f>
        <v/>
      </c>
      <c r="L518" s="91">
        <f t="shared" si="3"/>
        <v>0</v>
      </c>
      <c r="M518" s="91">
        <f t="shared" si="4"/>
        <v>0</v>
      </c>
      <c r="N518" s="89" t="str">
        <f>IFERROR(VLOOKUP(B518,'Employees List'!$A$2:$H$991,8,0),"")</f>
        <v/>
      </c>
      <c r="O518" s="89" t="str">
        <f>IFERROR(VLOOKUP(D518,'Daily Attendance Report 24-25'!A482:BP999,5,0),"")</f>
        <v/>
      </c>
      <c r="P518" s="89" t="str">
        <f>IFERROR(VLOOKUP(E518,'Daily Attendance Report 24-25'!$A$1:$BO$617,5,0),"")</f>
        <v/>
      </c>
      <c r="Q518" s="89"/>
      <c r="R518" s="89"/>
      <c r="S518" s="89" t="str">
        <f t="shared" si="17"/>
        <v>#DIV/0!</v>
      </c>
      <c r="T518" s="89" t="str">
        <f t="shared" si="6"/>
        <v>#DIV/0!</v>
      </c>
      <c r="U518" s="89" t="str">
        <f t="shared" si="25"/>
        <v>#DIV/0!</v>
      </c>
      <c r="V518" s="89" t="str">
        <f t="shared" si="24"/>
        <v>#DIV/0!</v>
      </c>
      <c r="W518" s="89" t="str">
        <f t="shared" si="9"/>
        <v>#DIV/0!</v>
      </c>
      <c r="X518" s="89"/>
      <c r="Y518" s="89"/>
      <c r="Z518" s="89"/>
      <c r="AA518" s="89"/>
      <c r="AB518" s="89"/>
      <c r="AC518" s="89"/>
      <c r="AD518" s="89"/>
      <c r="AE518" s="89"/>
      <c r="AF518" s="89"/>
      <c r="AG518" s="89"/>
      <c r="AH518" s="89"/>
    </row>
    <row r="519">
      <c r="A519" s="8" t="s">
        <v>657</v>
      </c>
      <c r="B519" s="97"/>
      <c r="C519" s="8"/>
      <c r="D519" s="89" t="str">
        <f t="shared" si="1"/>
        <v/>
      </c>
      <c r="E519" s="89" t="str">
        <f t="shared" si="2"/>
        <v>OT Hours</v>
      </c>
      <c r="F519" s="89" t="str">
        <f>IFERROR(VLOOKUP(C519,'Employees List'!$B$1:$G$999,2,0),"")</f>
        <v/>
      </c>
      <c r="G519" s="89" t="str">
        <f t="shared" si="23"/>
        <v>#DIV/0!</v>
      </c>
      <c r="H519" s="98"/>
      <c r="I519" s="89" t="str">
        <f>IFERROR(VLOOKUP(F519,'Employees List'!$C:$F,2,0),"")</f>
        <v/>
      </c>
      <c r="J519" s="93" t="str">
        <f>IFERROR(VLOOKUP(C519,'Employees List'!$B$2:$G$991,5,0),"")</f>
        <v/>
      </c>
      <c r="K519" s="95" t="str">
        <f>IFERROR(VLOOKUP(F519,'Employees List'!$C$1:$AB$991,5,0),"")</f>
        <v/>
      </c>
      <c r="L519" s="91">
        <f t="shared" si="3"/>
        <v>0</v>
      </c>
      <c r="M519" s="91">
        <f t="shared" si="4"/>
        <v>0</v>
      </c>
      <c r="N519" s="89" t="str">
        <f>IFERROR(VLOOKUP(B519,'Employees List'!$A$2:$H$991,8,0),"")</f>
        <v/>
      </c>
      <c r="O519" s="89" t="str">
        <f>IFERROR(VLOOKUP(D519,'Daily Attendance Report 24-25'!A483:BP999,5,0),"")</f>
        <v/>
      </c>
      <c r="P519" s="89" t="str">
        <f>IFERROR(VLOOKUP(E519,'Daily Attendance Report 24-25'!$A$1:$BO$617,5,0),"")</f>
        <v/>
      </c>
      <c r="Q519" s="89"/>
      <c r="R519" s="89"/>
      <c r="S519" s="89" t="str">
        <f t="shared" si="17"/>
        <v>#DIV/0!</v>
      </c>
      <c r="T519" s="89" t="str">
        <f t="shared" si="6"/>
        <v>#DIV/0!</v>
      </c>
      <c r="U519" s="89" t="str">
        <f t="shared" si="25"/>
        <v>#DIV/0!</v>
      </c>
      <c r="V519" s="89" t="str">
        <f t="shared" si="24"/>
        <v>#DIV/0!</v>
      </c>
      <c r="W519" s="89" t="str">
        <f t="shared" si="9"/>
        <v>#DIV/0!</v>
      </c>
      <c r="X519" s="89"/>
      <c r="Y519" s="89"/>
      <c r="Z519" s="89"/>
      <c r="AA519" s="89"/>
      <c r="AB519" s="89"/>
      <c r="AC519" s="89"/>
      <c r="AD519" s="89"/>
      <c r="AE519" s="89"/>
      <c r="AF519" s="89"/>
      <c r="AG519" s="89"/>
      <c r="AH519" s="89"/>
    </row>
    <row r="520">
      <c r="A520" s="8" t="s">
        <v>658</v>
      </c>
      <c r="B520" s="97"/>
      <c r="C520" s="8"/>
      <c r="D520" s="89" t="str">
        <f t="shared" si="1"/>
        <v/>
      </c>
      <c r="E520" s="89" t="str">
        <f t="shared" si="2"/>
        <v>OT Hours</v>
      </c>
      <c r="F520" s="89" t="str">
        <f>IFERROR(VLOOKUP(C520,'Employees List'!$B$1:$G$999,2,0),"")</f>
        <v/>
      </c>
      <c r="G520" s="89" t="str">
        <f t="shared" si="23"/>
        <v>#DIV/0!</v>
      </c>
      <c r="H520" s="98"/>
      <c r="I520" s="89" t="str">
        <f>IFERROR(VLOOKUP(F520,'Employees List'!$C:$F,2,0),"")</f>
        <v/>
      </c>
      <c r="J520" s="93" t="str">
        <f>IFERROR(VLOOKUP(C520,'Employees List'!$B$2:$G$991,5,0),"")</f>
        <v/>
      </c>
      <c r="K520" s="95" t="str">
        <f>IFERROR(VLOOKUP(F520,'Employees List'!$C$1:$AB$991,5,0),"")</f>
        <v/>
      </c>
      <c r="L520" s="91">
        <f t="shared" si="3"/>
        <v>0</v>
      </c>
      <c r="M520" s="91">
        <f t="shared" si="4"/>
        <v>0</v>
      </c>
      <c r="N520" s="89" t="str">
        <f>IFERROR(VLOOKUP(B520,'Employees List'!$A$2:$H$991,8,0),"")</f>
        <v/>
      </c>
      <c r="O520" s="89" t="str">
        <f>IFERROR(VLOOKUP(D520,'Daily Attendance Report 24-25'!A484:BP999,5,0),"")</f>
        <v/>
      </c>
      <c r="P520" s="89" t="str">
        <f>IFERROR(VLOOKUP(E520,'Daily Attendance Report 24-25'!$A$1:$BO$617,5,0),"")</f>
        <v/>
      </c>
      <c r="Q520" s="89"/>
      <c r="R520" s="89"/>
      <c r="S520" s="89" t="str">
        <f t="shared" si="17"/>
        <v>#DIV/0!</v>
      </c>
      <c r="T520" s="89" t="str">
        <f t="shared" si="6"/>
        <v>#DIV/0!</v>
      </c>
      <c r="U520" s="89" t="str">
        <f t="shared" si="25"/>
        <v>#DIV/0!</v>
      </c>
      <c r="V520" s="89" t="str">
        <f t="shared" si="24"/>
        <v>#DIV/0!</v>
      </c>
      <c r="W520" s="89" t="str">
        <f t="shared" si="9"/>
        <v>#DIV/0!</v>
      </c>
      <c r="X520" s="89"/>
      <c r="Y520" s="89"/>
      <c r="Z520" s="89"/>
      <c r="AA520" s="89"/>
      <c r="AB520" s="89"/>
      <c r="AC520" s="89"/>
      <c r="AD520" s="89"/>
      <c r="AE520" s="89"/>
      <c r="AF520" s="89"/>
      <c r="AG520" s="89"/>
      <c r="AH520" s="89"/>
    </row>
    <row r="521">
      <c r="A521" s="8" t="s">
        <v>659</v>
      </c>
      <c r="B521" s="97"/>
      <c r="C521" s="8"/>
      <c r="D521" s="89" t="str">
        <f t="shared" si="1"/>
        <v/>
      </c>
      <c r="E521" s="89" t="str">
        <f t="shared" si="2"/>
        <v>OT Hours</v>
      </c>
      <c r="F521" s="89" t="str">
        <f>IFERROR(VLOOKUP(C521,'Employees List'!$B$1:$G$999,2,0),"")</f>
        <v/>
      </c>
      <c r="G521" s="89" t="str">
        <f t="shared" si="23"/>
        <v>#DIV/0!</v>
      </c>
      <c r="H521" s="98"/>
      <c r="I521" s="89" t="str">
        <f>IFERROR(VLOOKUP(F521,'Employees List'!$C:$F,2,0),"")</f>
        <v/>
      </c>
      <c r="J521" s="93" t="str">
        <f>IFERROR(VLOOKUP(C521,'Employees List'!$B$2:$G$991,5,0),"")</f>
        <v/>
      </c>
      <c r="K521" s="95" t="str">
        <f>IFERROR(VLOOKUP(F521,'Employees List'!$C$1:$AB$991,5,0),"")</f>
        <v/>
      </c>
      <c r="L521" s="91">
        <f t="shared" si="3"/>
        <v>0</v>
      </c>
      <c r="M521" s="91">
        <f t="shared" si="4"/>
        <v>0</v>
      </c>
      <c r="N521" s="89" t="str">
        <f>IFERROR(VLOOKUP(B521,'Employees List'!$A$2:$H$991,8,0),"")</f>
        <v/>
      </c>
      <c r="O521" s="89" t="str">
        <f>IFERROR(VLOOKUP(D521,'Daily Attendance Report 24-25'!A485:BP999,5,0),"")</f>
        <v/>
      </c>
      <c r="P521" s="89" t="str">
        <f>IFERROR(VLOOKUP(E521,'Daily Attendance Report 24-25'!$A$1:$BO$617,5,0),"")</f>
        <v/>
      </c>
      <c r="Q521" s="89"/>
      <c r="R521" s="89"/>
      <c r="S521" s="89" t="str">
        <f t="shared" si="17"/>
        <v>#DIV/0!</v>
      </c>
      <c r="T521" s="89" t="str">
        <f t="shared" si="6"/>
        <v>#DIV/0!</v>
      </c>
      <c r="U521" s="89" t="str">
        <f t="shared" si="25"/>
        <v>#DIV/0!</v>
      </c>
      <c r="V521" s="89" t="str">
        <f t="shared" si="24"/>
        <v>#DIV/0!</v>
      </c>
      <c r="W521" s="89" t="str">
        <f t="shared" si="9"/>
        <v>#DIV/0!</v>
      </c>
      <c r="X521" s="89"/>
      <c r="Y521" s="89"/>
      <c r="Z521" s="89"/>
      <c r="AA521" s="89"/>
      <c r="AB521" s="89"/>
      <c r="AC521" s="89"/>
      <c r="AD521" s="89"/>
      <c r="AE521" s="89"/>
      <c r="AF521" s="89"/>
      <c r="AG521" s="89"/>
      <c r="AH521" s="89"/>
    </row>
    <row r="522">
      <c r="A522" s="8" t="s">
        <v>660</v>
      </c>
      <c r="B522" s="97"/>
      <c r="C522" s="8"/>
      <c r="D522" s="89" t="str">
        <f t="shared" si="1"/>
        <v/>
      </c>
      <c r="E522" s="89" t="str">
        <f t="shared" si="2"/>
        <v>OT Hours</v>
      </c>
      <c r="F522" s="89" t="str">
        <f>IFERROR(VLOOKUP(C522,'Employees List'!$B$1:$G$999,2,0),"")</f>
        <v/>
      </c>
      <c r="G522" s="89" t="str">
        <f t="shared" si="23"/>
        <v>#DIV/0!</v>
      </c>
      <c r="H522" s="98"/>
      <c r="I522" s="89" t="str">
        <f>IFERROR(VLOOKUP(F522,'Employees List'!$C:$F,2,0),"")</f>
        <v/>
      </c>
      <c r="J522" s="93" t="str">
        <f>IFERROR(VLOOKUP(C522,'Employees List'!$B$2:$G$991,5,0),"")</f>
        <v/>
      </c>
      <c r="K522" s="95" t="str">
        <f>IFERROR(VLOOKUP(F522,'Employees List'!$C$1:$AB$991,5,0),"")</f>
        <v/>
      </c>
      <c r="L522" s="91">
        <f t="shared" si="3"/>
        <v>0</v>
      </c>
      <c r="M522" s="91">
        <f t="shared" si="4"/>
        <v>0</v>
      </c>
      <c r="N522" s="89" t="str">
        <f>IFERROR(VLOOKUP(B522,'Employees List'!$A$2:$H$991,8,0),"")</f>
        <v/>
      </c>
      <c r="O522" s="89" t="str">
        <f>IFERROR(VLOOKUP(D522,'Daily Attendance Report 24-25'!A486:BP999,5,0),"")</f>
        <v/>
      </c>
      <c r="P522" s="89" t="str">
        <f>IFERROR(VLOOKUP(E522,'Daily Attendance Report 24-25'!$A$1:$BO$617,5,0),"")</f>
        <v/>
      </c>
      <c r="Q522" s="89"/>
      <c r="R522" s="89"/>
      <c r="S522" s="89" t="str">
        <f t="shared" si="17"/>
        <v>#DIV/0!</v>
      </c>
      <c r="T522" s="89" t="str">
        <f t="shared" si="6"/>
        <v>#DIV/0!</v>
      </c>
      <c r="U522" s="89" t="str">
        <f t="shared" si="25"/>
        <v>#DIV/0!</v>
      </c>
      <c r="V522" s="89" t="str">
        <f t="shared" si="24"/>
        <v>#DIV/0!</v>
      </c>
      <c r="W522" s="89" t="str">
        <f t="shared" si="9"/>
        <v>#DIV/0!</v>
      </c>
      <c r="X522" s="89"/>
      <c r="Y522" s="89"/>
      <c r="Z522" s="89"/>
      <c r="AA522" s="89"/>
      <c r="AB522" s="89"/>
      <c r="AC522" s="89"/>
      <c r="AD522" s="89"/>
      <c r="AE522" s="89"/>
      <c r="AF522" s="89"/>
      <c r="AG522" s="89"/>
      <c r="AH522" s="89"/>
    </row>
    <row r="523">
      <c r="A523" s="8" t="s">
        <v>661</v>
      </c>
      <c r="B523" s="97"/>
      <c r="C523" s="8"/>
      <c r="D523" s="89" t="str">
        <f t="shared" si="1"/>
        <v/>
      </c>
      <c r="E523" s="89" t="str">
        <f t="shared" si="2"/>
        <v>OT Hours</v>
      </c>
      <c r="F523" s="89" t="str">
        <f>IFERROR(VLOOKUP(C523,'Employees List'!$B$1:$G$999,2,0),"")</f>
        <v/>
      </c>
      <c r="G523" s="89" t="str">
        <f t="shared" si="23"/>
        <v>#DIV/0!</v>
      </c>
      <c r="H523" s="98"/>
      <c r="I523" s="89" t="str">
        <f>IFERROR(VLOOKUP(F523,'Employees List'!$C:$F,2,0),"")</f>
        <v/>
      </c>
      <c r="J523" s="93" t="str">
        <f>IFERROR(VLOOKUP(C523,'Employees List'!$B$2:$G$991,5,0),"")</f>
        <v/>
      </c>
      <c r="K523" s="95" t="str">
        <f>IFERROR(VLOOKUP(F523,'Employees List'!$C$1:$AB$991,5,0),"")</f>
        <v/>
      </c>
      <c r="L523" s="91">
        <f t="shared" si="3"/>
        <v>0</v>
      </c>
      <c r="M523" s="91">
        <f t="shared" si="4"/>
        <v>0</v>
      </c>
      <c r="N523" s="89" t="str">
        <f>IFERROR(VLOOKUP(B523,'Employees List'!$A$2:$H$991,8,0),"")</f>
        <v/>
      </c>
      <c r="O523" s="89" t="str">
        <f>IFERROR(VLOOKUP(D523,'Daily Attendance Report 24-25'!A487:BP999,5,0),"")</f>
        <v/>
      </c>
      <c r="P523" s="89" t="str">
        <f>IFERROR(VLOOKUP(E523,'Daily Attendance Report 24-25'!$A$1:$BO$617,5,0),"")</f>
        <v/>
      </c>
      <c r="Q523" s="89"/>
      <c r="R523" s="89"/>
      <c r="S523" s="89" t="str">
        <f t="shared" si="17"/>
        <v>#DIV/0!</v>
      </c>
      <c r="T523" s="89" t="str">
        <f t="shared" si="6"/>
        <v>#DIV/0!</v>
      </c>
      <c r="U523" s="89" t="str">
        <f t="shared" si="25"/>
        <v>#DIV/0!</v>
      </c>
      <c r="V523" s="89" t="str">
        <f t="shared" si="24"/>
        <v>#DIV/0!</v>
      </c>
      <c r="W523" s="89" t="str">
        <f t="shared" si="9"/>
        <v>#DIV/0!</v>
      </c>
      <c r="X523" s="89"/>
      <c r="Y523" s="89"/>
      <c r="Z523" s="89"/>
      <c r="AA523" s="89"/>
      <c r="AB523" s="89"/>
      <c r="AC523" s="89"/>
      <c r="AD523" s="89"/>
      <c r="AE523" s="89"/>
      <c r="AF523" s="89"/>
      <c r="AG523" s="89"/>
      <c r="AH523" s="89"/>
    </row>
    <row r="524">
      <c r="A524" s="8" t="s">
        <v>662</v>
      </c>
      <c r="B524" s="97"/>
      <c r="C524" s="8"/>
      <c r="D524" s="89" t="str">
        <f t="shared" si="1"/>
        <v/>
      </c>
      <c r="E524" s="89" t="str">
        <f t="shared" si="2"/>
        <v>OT Hours</v>
      </c>
      <c r="F524" s="89" t="str">
        <f>IFERROR(VLOOKUP(C524,'Employees List'!$B$1:$G$999,2,0),"")</f>
        <v/>
      </c>
      <c r="G524" s="89" t="str">
        <f t="shared" si="23"/>
        <v>#DIV/0!</v>
      </c>
      <c r="H524" s="98"/>
      <c r="I524" s="89" t="str">
        <f>IFERROR(VLOOKUP(F524,'Employees List'!$C:$F,2,0),"")</f>
        <v/>
      </c>
      <c r="J524" s="93" t="str">
        <f>IFERROR(VLOOKUP(C524,'Employees List'!$B$2:$G$991,5,0),"")</f>
        <v/>
      </c>
      <c r="K524" s="95" t="str">
        <f>IFERROR(VLOOKUP(F524,'Employees List'!$C$1:$AB$991,5,0),"")</f>
        <v/>
      </c>
      <c r="L524" s="91">
        <f t="shared" si="3"/>
        <v>0</v>
      </c>
      <c r="M524" s="91">
        <f t="shared" si="4"/>
        <v>0</v>
      </c>
      <c r="N524" s="89" t="str">
        <f>IFERROR(VLOOKUP(B524,'Employees List'!$A$2:$H$991,8,0),"")</f>
        <v/>
      </c>
      <c r="O524" s="89" t="str">
        <f>IFERROR(VLOOKUP(D524,'Daily Attendance Report 24-25'!A488:BP999,5,0),"")</f>
        <v/>
      </c>
      <c r="P524" s="89" t="str">
        <f>IFERROR(VLOOKUP(E524,'Daily Attendance Report 24-25'!$A$1:$BO$617,5,0),"")</f>
        <v/>
      </c>
      <c r="Q524" s="89"/>
      <c r="R524" s="89"/>
      <c r="S524" s="89" t="str">
        <f t="shared" si="17"/>
        <v>#DIV/0!</v>
      </c>
      <c r="T524" s="89" t="str">
        <f t="shared" si="6"/>
        <v>#DIV/0!</v>
      </c>
      <c r="U524" s="89" t="str">
        <f t="shared" si="25"/>
        <v>#DIV/0!</v>
      </c>
      <c r="V524" s="89" t="str">
        <f t="shared" si="24"/>
        <v>#DIV/0!</v>
      </c>
      <c r="W524" s="89" t="str">
        <f t="shared" si="9"/>
        <v>#DIV/0!</v>
      </c>
      <c r="X524" s="89"/>
      <c r="Y524" s="89"/>
      <c r="Z524" s="89"/>
      <c r="AA524" s="89"/>
      <c r="AB524" s="89"/>
      <c r="AC524" s="89"/>
      <c r="AD524" s="89"/>
      <c r="AE524" s="89"/>
      <c r="AF524" s="89"/>
      <c r="AG524" s="89"/>
      <c r="AH524" s="89"/>
    </row>
    <row r="525">
      <c r="A525" s="8" t="s">
        <v>663</v>
      </c>
      <c r="B525" s="97"/>
      <c r="C525" s="8"/>
      <c r="D525" s="89" t="str">
        <f t="shared" si="1"/>
        <v/>
      </c>
      <c r="E525" s="89" t="str">
        <f t="shared" si="2"/>
        <v>OT Hours</v>
      </c>
      <c r="F525" s="89" t="str">
        <f>IFERROR(VLOOKUP(C525,'Employees List'!$B$1:$G$999,2,0),"")</f>
        <v/>
      </c>
      <c r="G525" s="89" t="str">
        <f t="shared" si="23"/>
        <v>#DIV/0!</v>
      </c>
      <c r="H525" s="98"/>
      <c r="I525" s="89" t="str">
        <f>IFERROR(VLOOKUP(F525,'Employees List'!$C:$F,2,0),"")</f>
        <v/>
      </c>
      <c r="J525" s="93" t="str">
        <f>IFERROR(VLOOKUP(C525,'Employees List'!$B$2:$G$991,5,0),"")</f>
        <v/>
      </c>
      <c r="K525" s="95" t="str">
        <f>IFERROR(VLOOKUP(F525,'Employees List'!$C$1:$AB$991,5,0),"")</f>
        <v/>
      </c>
      <c r="L525" s="91">
        <f t="shared" si="3"/>
        <v>0</v>
      </c>
      <c r="M525" s="91">
        <f t="shared" si="4"/>
        <v>0</v>
      </c>
      <c r="N525" s="89" t="str">
        <f>IFERROR(VLOOKUP(B525,'Employees List'!$A$2:$H$991,8,0),"")</f>
        <v/>
      </c>
      <c r="O525" s="89" t="str">
        <f>IFERROR(VLOOKUP(D525,'Daily Attendance Report 24-25'!A489:BP999,5,0),"")</f>
        <v/>
      </c>
      <c r="P525" s="89" t="str">
        <f>IFERROR(VLOOKUP(E525,'Daily Attendance Report 24-25'!$A$1:$BO$617,5,0),"")</f>
        <v/>
      </c>
      <c r="Q525" s="89"/>
      <c r="R525" s="89"/>
      <c r="S525" s="89" t="str">
        <f t="shared" si="17"/>
        <v>#DIV/0!</v>
      </c>
      <c r="T525" s="89" t="str">
        <f t="shared" si="6"/>
        <v>#DIV/0!</v>
      </c>
      <c r="U525" s="89" t="str">
        <f t="shared" si="25"/>
        <v>#DIV/0!</v>
      </c>
      <c r="V525" s="89" t="str">
        <f t="shared" si="24"/>
        <v>#DIV/0!</v>
      </c>
      <c r="W525" s="89" t="str">
        <f t="shared" si="9"/>
        <v>#DIV/0!</v>
      </c>
      <c r="X525" s="89"/>
      <c r="Y525" s="89"/>
      <c r="Z525" s="89"/>
      <c r="AA525" s="89"/>
      <c r="AB525" s="89"/>
      <c r="AC525" s="89"/>
      <c r="AD525" s="89"/>
      <c r="AE525" s="89"/>
      <c r="AF525" s="89"/>
      <c r="AG525" s="89"/>
      <c r="AH525" s="89"/>
    </row>
    <row r="526">
      <c r="A526" s="8" t="s">
        <v>664</v>
      </c>
      <c r="B526" s="97"/>
      <c r="C526" s="8"/>
      <c r="D526" s="89" t="str">
        <f t="shared" si="1"/>
        <v/>
      </c>
      <c r="E526" s="89" t="str">
        <f t="shared" si="2"/>
        <v>OT Hours</v>
      </c>
      <c r="F526" s="89" t="str">
        <f>IFERROR(VLOOKUP(C526,'Employees List'!$B$1:$G$999,2,0),"")</f>
        <v/>
      </c>
      <c r="G526" s="89" t="str">
        <f t="shared" si="23"/>
        <v>#DIV/0!</v>
      </c>
      <c r="H526" s="98"/>
      <c r="I526" s="89" t="str">
        <f>IFERROR(VLOOKUP(F526,'Employees List'!$C:$F,2,0),"")</f>
        <v/>
      </c>
      <c r="J526" s="93" t="str">
        <f>IFERROR(VLOOKUP(C526,'Employees List'!$B$2:$G$991,5,0),"")</f>
        <v/>
      </c>
      <c r="K526" s="95" t="str">
        <f>IFERROR(VLOOKUP(F526,'Employees List'!$C$1:$AB$991,5,0),"")</f>
        <v/>
      </c>
      <c r="L526" s="91">
        <f t="shared" si="3"/>
        <v>0</v>
      </c>
      <c r="M526" s="91">
        <f t="shared" si="4"/>
        <v>0</v>
      </c>
      <c r="N526" s="89" t="str">
        <f>IFERROR(VLOOKUP(B526,'Employees List'!$A$2:$H$991,8,0),"")</f>
        <v/>
      </c>
      <c r="O526" s="89" t="str">
        <f>IFERROR(VLOOKUP(D526,'Daily Attendance Report 24-25'!A490:BP999,5,0),"")</f>
        <v/>
      </c>
      <c r="P526" s="89" t="str">
        <f>IFERROR(VLOOKUP(E526,'Daily Attendance Report 24-25'!$A$1:$BO$617,5,0),"")</f>
        <v/>
      </c>
      <c r="Q526" s="89"/>
      <c r="R526" s="89"/>
      <c r="S526" s="89" t="str">
        <f t="shared" si="17"/>
        <v>#DIV/0!</v>
      </c>
      <c r="T526" s="89" t="str">
        <f t="shared" si="6"/>
        <v>#DIV/0!</v>
      </c>
      <c r="U526" s="89" t="str">
        <f t="shared" si="25"/>
        <v>#DIV/0!</v>
      </c>
      <c r="V526" s="89" t="str">
        <f t="shared" si="24"/>
        <v>#DIV/0!</v>
      </c>
      <c r="W526" s="89" t="str">
        <f t="shared" si="9"/>
        <v>#DIV/0!</v>
      </c>
      <c r="X526" s="89"/>
      <c r="Y526" s="89"/>
      <c r="Z526" s="89"/>
      <c r="AA526" s="89"/>
      <c r="AB526" s="89"/>
      <c r="AC526" s="89"/>
      <c r="AD526" s="89"/>
      <c r="AE526" s="89"/>
      <c r="AF526" s="89"/>
      <c r="AG526" s="89"/>
      <c r="AH526" s="89"/>
    </row>
    <row r="527">
      <c r="A527" s="8" t="s">
        <v>665</v>
      </c>
      <c r="B527" s="97"/>
      <c r="C527" s="8"/>
      <c r="D527" s="89" t="str">
        <f t="shared" si="1"/>
        <v/>
      </c>
      <c r="E527" s="89" t="str">
        <f t="shared" si="2"/>
        <v>OT Hours</v>
      </c>
      <c r="F527" s="89" t="str">
        <f>IFERROR(VLOOKUP(C527,'Employees List'!$B$1:$G$999,2,0),"")</f>
        <v/>
      </c>
      <c r="G527" s="89" t="str">
        <f t="shared" si="23"/>
        <v>#DIV/0!</v>
      </c>
      <c r="H527" s="98"/>
      <c r="I527" s="89" t="str">
        <f>IFERROR(VLOOKUP(F527,'Employees List'!$C:$F,2,0),"")</f>
        <v/>
      </c>
      <c r="J527" s="93" t="str">
        <f>IFERROR(VLOOKUP(C527,'Employees List'!$B$2:$G$991,5,0),"")</f>
        <v/>
      </c>
      <c r="K527" s="95" t="str">
        <f>IFERROR(VLOOKUP(F527,'Employees List'!$C$1:$AB$991,5,0),"")</f>
        <v/>
      </c>
      <c r="L527" s="91">
        <f t="shared" si="3"/>
        <v>0</v>
      </c>
      <c r="M527" s="91">
        <f t="shared" si="4"/>
        <v>0</v>
      </c>
      <c r="N527" s="89" t="str">
        <f>IFERROR(VLOOKUP(B527,'Employees List'!$A$2:$H$991,8,0),"")</f>
        <v/>
      </c>
      <c r="O527" s="89" t="str">
        <f>IFERROR(VLOOKUP(D527,'Daily Attendance Report 24-25'!A491:BP999,5,0),"")</f>
        <v/>
      </c>
      <c r="P527" s="89" t="str">
        <f>IFERROR(VLOOKUP(E527,'Daily Attendance Report 24-25'!$A$1:$BO$617,5,0),"")</f>
        <v/>
      </c>
      <c r="Q527" s="89"/>
      <c r="R527" s="89"/>
      <c r="S527" s="89" t="str">
        <f t="shared" si="17"/>
        <v>#DIV/0!</v>
      </c>
      <c r="T527" s="89" t="str">
        <f t="shared" si="6"/>
        <v>#DIV/0!</v>
      </c>
      <c r="U527" s="89" t="str">
        <f t="shared" si="25"/>
        <v>#DIV/0!</v>
      </c>
      <c r="V527" s="89" t="str">
        <f t="shared" si="24"/>
        <v>#DIV/0!</v>
      </c>
      <c r="W527" s="89" t="str">
        <f t="shared" si="9"/>
        <v>#DIV/0!</v>
      </c>
      <c r="X527" s="89"/>
      <c r="Y527" s="89"/>
      <c r="Z527" s="89"/>
      <c r="AA527" s="89"/>
      <c r="AB527" s="89"/>
      <c r="AC527" s="89"/>
      <c r="AD527" s="89"/>
      <c r="AE527" s="89"/>
      <c r="AF527" s="89"/>
      <c r="AG527" s="89"/>
      <c r="AH527" s="89"/>
    </row>
    <row r="528">
      <c r="A528" s="8" t="s">
        <v>666</v>
      </c>
      <c r="B528" s="97"/>
      <c r="C528" s="8"/>
      <c r="D528" s="89" t="str">
        <f t="shared" si="1"/>
        <v/>
      </c>
      <c r="E528" s="89" t="str">
        <f t="shared" si="2"/>
        <v>OT Hours</v>
      </c>
      <c r="F528" s="89" t="str">
        <f>IFERROR(VLOOKUP(C528,'Employees List'!$B$1:$G$999,2,0),"")</f>
        <v/>
      </c>
      <c r="G528" s="89" t="str">
        <f t="shared" si="23"/>
        <v>#DIV/0!</v>
      </c>
      <c r="H528" s="98"/>
      <c r="I528" s="89" t="str">
        <f>IFERROR(VLOOKUP(F528,'Employees List'!$C:$F,2,0),"")</f>
        <v/>
      </c>
      <c r="J528" s="93" t="str">
        <f>IFERROR(VLOOKUP(C528,'Employees List'!$B$2:$G$991,5,0),"")</f>
        <v/>
      </c>
      <c r="K528" s="95" t="str">
        <f>IFERROR(VLOOKUP(F528,'Employees List'!$C$1:$AB$991,5,0),"")</f>
        <v/>
      </c>
      <c r="L528" s="91">
        <f t="shared" si="3"/>
        <v>0</v>
      </c>
      <c r="M528" s="91">
        <f t="shared" si="4"/>
        <v>0</v>
      </c>
      <c r="N528" s="89" t="str">
        <f>IFERROR(VLOOKUP(B528,'Employees List'!$A$2:$H$991,8,0),"")</f>
        <v/>
      </c>
      <c r="O528" s="89" t="str">
        <f>IFERROR(VLOOKUP(D528,'Daily Attendance Report 24-25'!A492:BP999,5,0),"")</f>
        <v/>
      </c>
      <c r="P528" s="89" t="str">
        <f>IFERROR(VLOOKUP(E528,'Daily Attendance Report 24-25'!$A$1:$BO$617,5,0),"")</f>
        <v/>
      </c>
      <c r="Q528" s="89"/>
      <c r="R528" s="89"/>
      <c r="S528" s="89" t="str">
        <f t="shared" si="17"/>
        <v>#DIV/0!</v>
      </c>
      <c r="T528" s="89" t="str">
        <f t="shared" si="6"/>
        <v>#DIV/0!</v>
      </c>
      <c r="U528" s="89" t="str">
        <f t="shared" si="25"/>
        <v>#DIV/0!</v>
      </c>
      <c r="V528" s="89" t="str">
        <f t="shared" si="24"/>
        <v>#DIV/0!</v>
      </c>
      <c r="W528" s="89" t="str">
        <f t="shared" si="9"/>
        <v>#DIV/0!</v>
      </c>
      <c r="X528" s="89"/>
      <c r="Y528" s="89"/>
      <c r="Z528" s="89"/>
      <c r="AA528" s="89"/>
      <c r="AB528" s="89"/>
      <c r="AC528" s="89"/>
      <c r="AD528" s="89"/>
      <c r="AE528" s="89"/>
      <c r="AF528" s="89"/>
      <c r="AG528" s="89"/>
      <c r="AH528" s="89"/>
    </row>
    <row r="529">
      <c r="A529" s="8" t="s">
        <v>667</v>
      </c>
      <c r="B529" s="97"/>
      <c r="C529" s="8"/>
      <c r="D529" s="89" t="str">
        <f t="shared" si="1"/>
        <v/>
      </c>
      <c r="E529" s="89" t="str">
        <f t="shared" si="2"/>
        <v>OT Hours</v>
      </c>
      <c r="F529" s="89" t="str">
        <f>IFERROR(VLOOKUP(C529,'Employees List'!$B$1:$G$999,2,0),"")</f>
        <v/>
      </c>
      <c r="G529" s="89" t="str">
        <f t="shared" si="23"/>
        <v>#DIV/0!</v>
      </c>
      <c r="H529" s="98"/>
      <c r="I529" s="89" t="str">
        <f>IFERROR(VLOOKUP(F529,'Employees List'!$C:$F,2,0),"")</f>
        <v/>
      </c>
      <c r="J529" s="93" t="str">
        <f>IFERROR(VLOOKUP(C529,'Employees List'!$B$2:$G$991,5,0),"")</f>
        <v/>
      </c>
      <c r="K529" s="95" t="str">
        <f>IFERROR(VLOOKUP(F529,'Employees List'!$C$1:$AB$991,5,0),"")</f>
        <v/>
      </c>
      <c r="L529" s="91">
        <f t="shared" si="3"/>
        <v>0</v>
      </c>
      <c r="M529" s="91">
        <f t="shared" si="4"/>
        <v>0</v>
      </c>
      <c r="N529" s="89" t="str">
        <f>IFERROR(VLOOKUP(B529,'Employees List'!$A$2:$H$991,8,0),"")</f>
        <v/>
      </c>
      <c r="O529" s="89" t="str">
        <f>IFERROR(VLOOKUP(D529,'Daily Attendance Report 24-25'!A493:BP999,5,0),"")</f>
        <v/>
      </c>
      <c r="P529" s="89" t="str">
        <f>IFERROR(VLOOKUP(E529,'Daily Attendance Report 24-25'!$A$1:$BO$617,5,0),"")</f>
        <v/>
      </c>
      <c r="Q529" s="89"/>
      <c r="R529" s="89"/>
      <c r="S529" s="89" t="str">
        <f t="shared" si="17"/>
        <v>#DIV/0!</v>
      </c>
      <c r="T529" s="89" t="str">
        <f t="shared" si="6"/>
        <v>#DIV/0!</v>
      </c>
      <c r="U529" s="89" t="str">
        <f t="shared" si="25"/>
        <v>#DIV/0!</v>
      </c>
      <c r="V529" s="89" t="str">
        <f t="shared" si="24"/>
        <v>#DIV/0!</v>
      </c>
      <c r="W529" s="89" t="str">
        <f t="shared" si="9"/>
        <v>#DIV/0!</v>
      </c>
      <c r="X529" s="89"/>
      <c r="Y529" s="89"/>
      <c r="Z529" s="89"/>
      <c r="AA529" s="89"/>
      <c r="AB529" s="89"/>
      <c r="AC529" s="89"/>
      <c r="AD529" s="89"/>
      <c r="AE529" s="89"/>
      <c r="AF529" s="89"/>
      <c r="AG529" s="89"/>
      <c r="AH529" s="89"/>
    </row>
    <row r="530">
      <c r="A530" s="8" t="s">
        <v>668</v>
      </c>
      <c r="B530" s="97"/>
      <c r="C530" s="8"/>
      <c r="D530" s="89" t="str">
        <f t="shared" si="1"/>
        <v/>
      </c>
      <c r="E530" s="89" t="str">
        <f t="shared" si="2"/>
        <v>OT Hours</v>
      </c>
      <c r="F530" s="89" t="str">
        <f>IFERROR(VLOOKUP(C530,'Employees List'!$B$1:$G$999,2,0),"")</f>
        <v/>
      </c>
      <c r="G530" s="89" t="str">
        <f t="shared" si="23"/>
        <v>#DIV/0!</v>
      </c>
      <c r="H530" s="98"/>
      <c r="I530" s="89" t="str">
        <f>IFERROR(VLOOKUP(F530,'Employees List'!$C:$F,2,0),"")</f>
        <v/>
      </c>
      <c r="J530" s="93" t="str">
        <f>IFERROR(VLOOKUP(C530,'Employees List'!$B$2:$G$991,5,0),"")</f>
        <v/>
      </c>
      <c r="K530" s="95" t="str">
        <f>IFERROR(VLOOKUP(F530,'Employees List'!$C$1:$AB$991,5,0),"")</f>
        <v/>
      </c>
      <c r="L530" s="91">
        <f t="shared" si="3"/>
        <v>0</v>
      </c>
      <c r="M530" s="91">
        <f t="shared" si="4"/>
        <v>0</v>
      </c>
      <c r="N530" s="89" t="str">
        <f>IFERROR(VLOOKUP(B530,'Employees List'!$A$2:$H$991,8,0),"")</f>
        <v/>
      </c>
      <c r="O530" s="89" t="str">
        <f>IFERROR(VLOOKUP(D530,'Daily Attendance Report 24-25'!A494:BP999,5,0),"")</f>
        <v/>
      </c>
      <c r="P530" s="89" t="str">
        <f>IFERROR(VLOOKUP(E530,'Daily Attendance Report 24-25'!$A$1:$BO$617,5,0),"")</f>
        <v/>
      </c>
      <c r="Q530" s="89"/>
      <c r="R530" s="89"/>
      <c r="S530" s="89" t="str">
        <f t="shared" si="17"/>
        <v>#DIV/0!</v>
      </c>
      <c r="T530" s="89" t="str">
        <f t="shared" si="6"/>
        <v>#DIV/0!</v>
      </c>
      <c r="U530" s="89" t="str">
        <f t="shared" si="25"/>
        <v>#DIV/0!</v>
      </c>
      <c r="V530" s="89" t="str">
        <f t="shared" si="24"/>
        <v>#DIV/0!</v>
      </c>
      <c r="W530" s="89" t="str">
        <f t="shared" si="9"/>
        <v>#DIV/0!</v>
      </c>
      <c r="X530" s="89"/>
      <c r="Y530" s="89"/>
      <c r="Z530" s="89"/>
      <c r="AA530" s="89"/>
      <c r="AB530" s="89"/>
      <c r="AC530" s="89"/>
      <c r="AD530" s="89"/>
      <c r="AE530" s="89"/>
      <c r="AF530" s="89"/>
      <c r="AG530" s="89"/>
      <c r="AH530" s="89"/>
    </row>
    <row r="531">
      <c r="A531" s="8" t="s">
        <v>669</v>
      </c>
      <c r="B531" s="97"/>
      <c r="C531" s="8"/>
      <c r="D531" s="89" t="str">
        <f t="shared" si="1"/>
        <v/>
      </c>
      <c r="E531" s="89" t="str">
        <f t="shared" si="2"/>
        <v>OT Hours</v>
      </c>
      <c r="F531" s="89" t="str">
        <f>IFERROR(VLOOKUP(C531,'Employees List'!$B$1:$G$999,2,0),"")</f>
        <v/>
      </c>
      <c r="G531" s="89" t="str">
        <f t="shared" si="23"/>
        <v>#DIV/0!</v>
      </c>
      <c r="H531" s="98"/>
      <c r="I531" s="89" t="str">
        <f>IFERROR(VLOOKUP(F531,'Employees List'!$C:$F,2,0),"")</f>
        <v/>
      </c>
      <c r="J531" s="93" t="str">
        <f>IFERROR(VLOOKUP(C531,'Employees List'!$B$2:$G$991,5,0),"")</f>
        <v/>
      </c>
      <c r="K531" s="95" t="str">
        <f>IFERROR(VLOOKUP(F531,'Employees List'!$C$1:$AB$991,5,0),"")</f>
        <v/>
      </c>
      <c r="L531" s="91">
        <f t="shared" si="3"/>
        <v>0</v>
      </c>
      <c r="M531" s="91">
        <f t="shared" si="4"/>
        <v>0</v>
      </c>
      <c r="N531" s="89" t="str">
        <f>IFERROR(VLOOKUP(B531,'Employees List'!$A$2:$H$991,8,0),"")</f>
        <v/>
      </c>
      <c r="O531" s="89" t="str">
        <f>IFERROR(VLOOKUP(D531,'Daily Attendance Report 24-25'!A495:BP999,5,0),"")</f>
        <v/>
      </c>
      <c r="P531" s="89" t="str">
        <f>IFERROR(VLOOKUP(E531,'Daily Attendance Report 24-25'!$A$1:$BO$617,5,0),"")</f>
        <v/>
      </c>
      <c r="Q531" s="89"/>
      <c r="R531" s="89"/>
      <c r="S531" s="89" t="str">
        <f t="shared" si="17"/>
        <v>#DIV/0!</v>
      </c>
      <c r="T531" s="89" t="str">
        <f t="shared" si="6"/>
        <v>#DIV/0!</v>
      </c>
      <c r="U531" s="89" t="str">
        <f t="shared" si="25"/>
        <v>#DIV/0!</v>
      </c>
      <c r="V531" s="89" t="str">
        <f t="shared" si="24"/>
        <v>#DIV/0!</v>
      </c>
      <c r="W531" s="89" t="str">
        <f t="shared" si="9"/>
        <v>#DIV/0!</v>
      </c>
      <c r="X531" s="89"/>
      <c r="Y531" s="89"/>
      <c r="Z531" s="89"/>
      <c r="AA531" s="89"/>
      <c r="AB531" s="89"/>
      <c r="AC531" s="89"/>
      <c r="AD531" s="89"/>
      <c r="AE531" s="89"/>
      <c r="AF531" s="89"/>
      <c r="AG531" s="89"/>
      <c r="AH531" s="89"/>
    </row>
    <row r="532">
      <c r="A532" s="8" t="s">
        <v>670</v>
      </c>
      <c r="B532" s="97"/>
      <c r="C532" s="8"/>
      <c r="D532" s="89" t="str">
        <f t="shared" si="1"/>
        <v/>
      </c>
      <c r="E532" s="89" t="str">
        <f t="shared" si="2"/>
        <v>OT Hours</v>
      </c>
      <c r="F532" s="89" t="str">
        <f>IFERROR(VLOOKUP(C532,'Employees List'!$B$1:$G$999,2,0),"")</f>
        <v/>
      </c>
      <c r="G532" s="89" t="str">
        <f t="shared" si="23"/>
        <v>#DIV/0!</v>
      </c>
      <c r="H532" s="98"/>
      <c r="I532" s="89" t="str">
        <f>IFERROR(VLOOKUP(F532,'Employees List'!$C:$F,2,0),"")</f>
        <v/>
      </c>
      <c r="J532" s="93" t="str">
        <f>IFERROR(VLOOKUP(C532,'Employees List'!$B$2:$G$991,5,0),"")</f>
        <v/>
      </c>
      <c r="K532" s="95" t="str">
        <f>IFERROR(VLOOKUP(F532,'Employees List'!$C$1:$AB$991,5,0),"")</f>
        <v/>
      </c>
      <c r="L532" s="91">
        <f t="shared" si="3"/>
        <v>0</v>
      </c>
      <c r="M532" s="91">
        <f t="shared" si="4"/>
        <v>0</v>
      </c>
      <c r="N532" s="89" t="str">
        <f>IFERROR(VLOOKUP(B532,'Employees List'!$A$2:$H$991,8,0),"")</f>
        <v/>
      </c>
      <c r="O532" s="89" t="str">
        <f>IFERROR(VLOOKUP(D532,'Daily Attendance Report 24-25'!A496:BP999,5,0),"")</f>
        <v/>
      </c>
      <c r="P532" s="89" t="str">
        <f>IFERROR(VLOOKUP(E532,'Daily Attendance Report 24-25'!$A$1:$BO$617,5,0),"")</f>
        <v/>
      </c>
      <c r="Q532" s="89"/>
      <c r="R532" s="89"/>
      <c r="S532" s="89" t="str">
        <f t="shared" si="17"/>
        <v>#DIV/0!</v>
      </c>
      <c r="T532" s="89" t="str">
        <f t="shared" si="6"/>
        <v>#DIV/0!</v>
      </c>
      <c r="U532" s="89" t="str">
        <f t="shared" si="25"/>
        <v>#DIV/0!</v>
      </c>
      <c r="V532" s="89" t="str">
        <f t="shared" si="24"/>
        <v>#DIV/0!</v>
      </c>
      <c r="W532" s="89" t="str">
        <f t="shared" si="9"/>
        <v>#DIV/0!</v>
      </c>
      <c r="X532" s="89"/>
      <c r="Y532" s="89"/>
      <c r="Z532" s="89"/>
      <c r="AA532" s="89"/>
      <c r="AB532" s="89"/>
      <c r="AC532" s="89"/>
      <c r="AD532" s="89"/>
      <c r="AE532" s="89"/>
      <c r="AF532" s="89"/>
      <c r="AG532" s="89"/>
      <c r="AH532" s="89"/>
    </row>
    <row r="533">
      <c r="A533" s="8" t="s">
        <v>671</v>
      </c>
      <c r="B533" s="97"/>
      <c r="C533" s="8"/>
      <c r="D533" s="89" t="str">
        <f t="shared" si="1"/>
        <v/>
      </c>
      <c r="E533" s="89" t="str">
        <f t="shared" si="2"/>
        <v>OT Hours</v>
      </c>
      <c r="F533" s="89" t="str">
        <f>IFERROR(VLOOKUP(C533,'Employees List'!$B$1:$G$999,2,0),"")</f>
        <v/>
      </c>
      <c r="G533" s="89" t="str">
        <f t="shared" si="23"/>
        <v>#DIV/0!</v>
      </c>
      <c r="H533" s="98"/>
      <c r="I533" s="89" t="str">
        <f>IFERROR(VLOOKUP(F533,'Employees List'!$C:$F,2,0),"")</f>
        <v/>
      </c>
      <c r="J533" s="93" t="str">
        <f>IFERROR(VLOOKUP(C533,'Employees List'!$B$2:$G$991,5,0),"")</f>
        <v/>
      </c>
      <c r="K533" s="95" t="str">
        <f>IFERROR(VLOOKUP(F533,'Employees List'!$C$1:$AB$991,5,0),"")</f>
        <v/>
      </c>
      <c r="L533" s="91">
        <f t="shared" si="3"/>
        <v>0</v>
      </c>
      <c r="M533" s="91">
        <f t="shared" si="4"/>
        <v>0</v>
      </c>
      <c r="N533" s="89" t="str">
        <f>IFERROR(VLOOKUP(B533,'Employees List'!$A$2:$H$991,8,0),"")</f>
        <v/>
      </c>
      <c r="O533" s="89" t="str">
        <f>IFERROR(VLOOKUP(D533,'Daily Attendance Report 24-25'!A497:BP999,5,0),"")</f>
        <v/>
      </c>
      <c r="P533" s="89" t="str">
        <f>IFERROR(VLOOKUP(E533,'Daily Attendance Report 24-25'!$A$1:$BO$617,5,0),"")</f>
        <v/>
      </c>
      <c r="Q533" s="89"/>
      <c r="R533" s="89"/>
      <c r="S533" s="89" t="str">
        <f t="shared" si="17"/>
        <v>#DIV/0!</v>
      </c>
      <c r="T533" s="89" t="str">
        <f t="shared" si="6"/>
        <v>#DIV/0!</v>
      </c>
      <c r="U533" s="89" t="str">
        <f t="shared" si="25"/>
        <v>#DIV/0!</v>
      </c>
      <c r="V533" s="89" t="str">
        <f t="shared" si="24"/>
        <v>#DIV/0!</v>
      </c>
      <c r="W533" s="89" t="str">
        <f t="shared" si="9"/>
        <v>#DIV/0!</v>
      </c>
      <c r="X533" s="89"/>
      <c r="Y533" s="89"/>
      <c r="Z533" s="89"/>
      <c r="AA533" s="89"/>
      <c r="AB533" s="89"/>
      <c r="AC533" s="89"/>
      <c r="AD533" s="89"/>
      <c r="AE533" s="89"/>
      <c r="AF533" s="89"/>
      <c r="AG533" s="89"/>
      <c r="AH533" s="89"/>
    </row>
    <row r="534">
      <c r="A534" s="8" t="s">
        <v>672</v>
      </c>
      <c r="B534" s="97"/>
      <c r="C534" s="8"/>
      <c r="D534" s="89" t="str">
        <f t="shared" si="1"/>
        <v/>
      </c>
      <c r="E534" s="89" t="str">
        <f t="shared" si="2"/>
        <v>OT Hours</v>
      </c>
      <c r="F534" s="89" t="str">
        <f>IFERROR(VLOOKUP(C534,'Employees List'!$B$1:$G$999,2,0),"")</f>
        <v/>
      </c>
      <c r="G534" s="89" t="str">
        <f t="shared" si="23"/>
        <v>#DIV/0!</v>
      </c>
      <c r="H534" s="98"/>
      <c r="I534" s="89" t="str">
        <f>IFERROR(VLOOKUP(F534,'Employees List'!$C:$F,2,0),"")</f>
        <v/>
      </c>
      <c r="J534" s="93" t="str">
        <f>IFERROR(VLOOKUP(C534,'Employees List'!$B$2:$G$991,5,0),"")</f>
        <v/>
      </c>
      <c r="K534" s="95" t="str">
        <f>IFERROR(VLOOKUP(F534,'Employees List'!$C$1:$AB$991,5,0),"")</f>
        <v/>
      </c>
      <c r="L534" s="91">
        <f t="shared" si="3"/>
        <v>0</v>
      </c>
      <c r="M534" s="91">
        <f t="shared" si="4"/>
        <v>0</v>
      </c>
      <c r="N534" s="89" t="str">
        <f>IFERROR(VLOOKUP(B534,'Employees List'!$A$2:$H$991,8,0),"")</f>
        <v/>
      </c>
      <c r="O534" s="89" t="str">
        <f>IFERROR(VLOOKUP(D534,'Daily Attendance Report 24-25'!A498:BP999,5,0),"")</f>
        <v/>
      </c>
      <c r="P534" s="89" t="str">
        <f>IFERROR(VLOOKUP(E534,'Daily Attendance Report 24-25'!$A$1:$BO$617,5,0),"")</f>
        <v/>
      </c>
      <c r="Q534" s="89"/>
      <c r="R534" s="89"/>
      <c r="S534" s="89" t="str">
        <f t="shared" si="17"/>
        <v>#DIV/0!</v>
      </c>
      <c r="T534" s="89" t="str">
        <f t="shared" si="6"/>
        <v>#DIV/0!</v>
      </c>
      <c r="U534" s="89" t="str">
        <f t="shared" si="25"/>
        <v>#DIV/0!</v>
      </c>
      <c r="V534" s="89" t="str">
        <f t="shared" si="24"/>
        <v>#DIV/0!</v>
      </c>
      <c r="W534" s="89" t="str">
        <f t="shared" si="9"/>
        <v>#DIV/0!</v>
      </c>
      <c r="X534" s="89"/>
      <c r="Y534" s="89"/>
      <c r="Z534" s="89"/>
      <c r="AA534" s="89"/>
      <c r="AB534" s="89"/>
      <c r="AC534" s="89"/>
      <c r="AD534" s="89"/>
      <c r="AE534" s="89"/>
      <c r="AF534" s="89"/>
      <c r="AG534" s="89"/>
      <c r="AH534" s="89"/>
    </row>
    <row r="535">
      <c r="A535" s="8" t="s">
        <v>673</v>
      </c>
      <c r="B535" s="97"/>
      <c r="C535" s="8"/>
      <c r="D535" s="89" t="str">
        <f t="shared" si="1"/>
        <v/>
      </c>
      <c r="E535" s="89" t="str">
        <f t="shared" si="2"/>
        <v>OT Hours</v>
      </c>
      <c r="F535" s="89" t="str">
        <f>IFERROR(VLOOKUP(C535,'Employees List'!$B$1:$G$999,2,0),"")</f>
        <v/>
      </c>
      <c r="G535" s="89" t="str">
        <f t="shared" si="23"/>
        <v>#DIV/0!</v>
      </c>
      <c r="H535" s="98"/>
      <c r="I535" s="89" t="str">
        <f>IFERROR(VLOOKUP(F535,'Employees List'!$C:$F,2,0),"")</f>
        <v/>
      </c>
      <c r="J535" s="93" t="str">
        <f>IFERROR(VLOOKUP(C535,'Employees List'!$B$2:$G$991,5,0),"")</f>
        <v/>
      </c>
      <c r="K535" s="95" t="str">
        <f>IFERROR(VLOOKUP(F535,'Employees List'!$C$1:$AB$991,5,0),"")</f>
        <v/>
      </c>
      <c r="L535" s="91">
        <f t="shared" si="3"/>
        <v>0</v>
      </c>
      <c r="M535" s="91">
        <f t="shared" si="4"/>
        <v>0</v>
      </c>
      <c r="N535" s="89" t="str">
        <f>IFERROR(VLOOKUP(B535,'Employees List'!$A$2:$H$991,8,0),"")</f>
        <v/>
      </c>
      <c r="O535" s="89" t="str">
        <f>IFERROR(VLOOKUP(D535,'Daily Attendance Report 24-25'!A499:BP999,5,0),"")</f>
        <v/>
      </c>
      <c r="P535" s="89" t="str">
        <f>IFERROR(VLOOKUP(E535,'Daily Attendance Report 24-25'!$A$1:$BO$617,5,0),"")</f>
        <v/>
      </c>
      <c r="Q535" s="89"/>
      <c r="R535" s="89"/>
      <c r="S535" s="89" t="str">
        <f t="shared" si="17"/>
        <v>#DIV/0!</v>
      </c>
      <c r="T535" s="89" t="str">
        <f t="shared" si="6"/>
        <v>#DIV/0!</v>
      </c>
      <c r="U535" s="89" t="str">
        <f t="shared" si="25"/>
        <v>#DIV/0!</v>
      </c>
      <c r="V535" s="89" t="str">
        <f t="shared" si="24"/>
        <v>#DIV/0!</v>
      </c>
      <c r="W535" s="89" t="str">
        <f t="shared" si="9"/>
        <v>#DIV/0!</v>
      </c>
      <c r="X535" s="89"/>
      <c r="Y535" s="89"/>
      <c r="Z535" s="89"/>
      <c r="AA535" s="89"/>
      <c r="AB535" s="89"/>
      <c r="AC535" s="89"/>
      <c r="AD535" s="89"/>
      <c r="AE535" s="89"/>
      <c r="AF535" s="89"/>
      <c r="AG535" s="89"/>
      <c r="AH535" s="89"/>
    </row>
    <row r="536">
      <c r="A536" s="8" t="s">
        <v>674</v>
      </c>
      <c r="B536" s="97"/>
      <c r="C536" s="8"/>
      <c r="D536" s="89" t="str">
        <f t="shared" si="1"/>
        <v/>
      </c>
      <c r="E536" s="89" t="str">
        <f t="shared" si="2"/>
        <v>OT Hours</v>
      </c>
      <c r="F536" s="89" t="str">
        <f>IFERROR(VLOOKUP(C536,'Employees List'!$B$1:$G$999,2,0),"")</f>
        <v/>
      </c>
      <c r="G536" s="89" t="str">
        <f t="shared" si="23"/>
        <v>#DIV/0!</v>
      </c>
      <c r="H536" s="98"/>
      <c r="I536" s="89" t="str">
        <f>IFERROR(VLOOKUP(F536,'Employees List'!$C:$F,2,0),"")</f>
        <v/>
      </c>
      <c r="J536" s="93" t="str">
        <f>IFERROR(VLOOKUP(C536,'Employees List'!$B$2:$G$991,5,0),"")</f>
        <v/>
      </c>
      <c r="K536" s="95" t="str">
        <f>IFERROR(VLOOKUP(F536,'Employees List'!$C$1:$AB$991,5,0),"")</f>
        <v/>
      </c>
      <c r="L536" s="91">
        <f t="shared" si="3"/>
        <v>0</v>
      </c>
      <c r="M536" s="91">
        <f t="shared" si="4"/>
        <v>0</v>
      </c>
      <c r="N536" s="89" t="str">
        <f>IFERROR(VLOOKUP(B536,'Employees List'!$A$2:$H$991,8,0),"")</f>
        <v/>
      </c>
      <c r="O536" s="89" t="str">
        <f>IFERROR(VLOOKUP(D536,'Daily Attendance Report 24-25'!A500:BP999,5,0),"")</f>
        <v/>
      </c>
      <c r="P536" s="89" t="str">
        <f>IFERROR(VLOOKUP(E536,'Daily Attendance Report 24-25'!$A$1:$BO$617,5,0),"")</f>
        <v/>
      </c>
      <c r="Q536" s="89"/>
      <c r="R536" s="89"/>
      <c r="S536" s="89" t="str">
        <f t="shared" si="17"/>
        <v>#DIV/0!</v>
      </c>
      <c r="T536" s="89" t="str">
        <f t="shared" si="6"/>
        <v>#DIV/0!</v>
      </c>
      <c r="U536" s="89" t="str">
        <f t="shared" si="25"/>
        <v>#DIV/0!</v>
      </c>
      <c r="V536" s="89" t="str">
        <f t="shared" si="24"/>
        <v>#DIV/0!</v>
      </c>
      <c r="W536" s="89" t="str">
        <f t="shared" si="9"/>
        <v>#DIV/0!</v>
      </c>
      <c r="X536" s="89"/>
      <c r="Y536" s="89"/>
      <c r="Z536" s="89"/>
      <c r="AA536" s="89"/>
      <c r="AB536" s="89"/>
      <c r="AC536" s="89"/>
      <c r="AD536" s="89"/>
      <c r="AE536" s="89"/>
      <c r="AF536" s="89"/>
      <c r="AG536" s="89"/>
      <c r="AH536" s="89"/>
    </row>
    <row r="537">
      <c r="A537" s="8" t="s">
        <v>675</v>
      </c>
      <c r="B537" s="97"/>
      <c r="C537" s="8"/>
      <c r="D537" s="89" t="str">
        <f t="shared" si="1"/>
        <v/>
      </c>
      <c r="E537" s="89" t="str">
        <f t="shared" si="2"/>
        <v>OT Hours</v>
      </c>
      <c r="F537" s="89" t="str">
        <f>IFERROR(VLOOKUP(C537,'Employees List'!$B$1:$G$999,2,0),"")</f>
        <v/>
      </c>
      <c r="G537" s="89" t="str">
        <f t="shared" si="23"/>
        <v>#DIV/0!</v>
      </c>
      <c r="H537" s="98"/>
      <c r="I537" s="89" t="str">
        <f>IFERROR(VLOOKUP(F537,'Employees List'!$C:$F,2,0),"")</f>
        <v/>
      </c>
      <c r="J537" s="93" t="str">
        <f>IFERROR(VLOOKUP(C537,'Employees List'!$B$2:$G$991,5,0),"")</f>
        <v/>
      </c>
      <c r="K537" s="95" t="str">
        <f>IFERROR(VLOOKUP(F537,'Employees List'!$C$1:$AB$991,5,0),"")</f>
        <v/>
      </c>
      <c r="L537" s="91">
        <f t="shared" si="3"/>
        <v>0</v>
      </c>
      <c r="M537" s="91">
        <f t="shared" si="4"/>
        <v>0</v>
      </c>
      <c r="N537" s="89" t="str">
        <f>IFERROR(VLOOKUP(B537,'Employees List'!$A$2:$H$991,8,0),"")</f>
        <v/>
      </c>
      <c r="O537" s="89" t="str">
        <f>IFERROR(VLOOKUP(D537,'Daily Attendance Report 24-25'!A501:BP999,5,0),"")</f>
        <v/>
      </c>
      <c r="P537" s="89" t="str">
        <f>IFERROR(VLOOKUP(E537,'Daily Attendance Report 24-25'!$A$1:$BO$617,5,0),"")</f>
        <v/>
      </c>
      <c r="Q537" s="89"/>
      <c r="R537" s="89"/>
      <c r="S537" s="89" t="str">
        <f t="shared" si="17"/>
        <v>#DIV/0!</v>
      </c>
      <c r="T537" s="89" t="str">
        <f t="shared" si="6"/>
        <v>#DIV/0!</v>
      </c>
      <c r="U537" s="89" t="str">
        <f t="shared" si="25"/>
        <v>#DIV/0!</v>
      </c>
      <c r="V537" s="89" t="str">
        <f t="shared" si="24"/>
        <v>#DIV/0!</v>
      </c>
      <c r="W537" s="89" t="str">
        <f t="shared" si="9"/>
        <v>#DIV/0!</v>
      </c>
      <c r="X537" s="89"/>
      <c r="Y537" s="89"/>
      <c r="Z537" s="89"/>
      <c r="AA537" s="89"/>
      <c r="AB537" s="89"/>
      <c r="AC537" s="89"/>
      <c r="AD537" s="89"/>
      <c r="AE537" s="89"/>
      <c r="AF537" s="89"/>
      <c r="AG537" s="89"/>
      <c r="AH537" s="89"/>
    </row>
    <row r="538">
      <c r="A538" s="8" t="s">
        <v>676</v>
      </c>
      <c r="B538" s="97"/>
      <c r="C538" s="8"/>
      <c r="D538" s="89" t="str">
        <f t="shared" si="1"/>
        <v/>
      </c>
      <c r="E538" s="89" t="str">
        <f t="shared" si="2"/>
        <v>OT Hours</v>
      </c>
      <c r="F538" s="89" t="str">
        <f>IFERROR(VLOOKUP(C538,'Employees List'!$B$1:$G$999,2,0),"")</f>
        <v/>
      </c>
      <c r="G538" s="89" t="str">
        <f t="shared" si="23"/>
        <v>#DIV/0!</v>
      </c>
      <c r="H538" s="98"/>
      <c r="I538" s="89" t="str">
        <f>IFERROR(VLOOKUP(F538,'Employees List'!$C:$F,2,0),"")</f>
        <v/>
      </c>
      <c r="J538" s="93" t="str">
        <f>IFERROR(VLOOKUP(C538,'Employees List'!$B$2:$G$991,5,0),"")</f>
        <v/>
      </c>
      <c r="K538" s="95" t="str">
        <f>IFERROR(VLOOKUP(F538,'Employees List'!$C$1:$AB$991,5,0),"")</f>
        <v/>
      </c>
      <c r="L538" s="91">
        <f t="shared" si="3"/>
        <v>0</v>
      </c>
      <c r="M538" s="91">
        <f t="shared" si="4"/>
        <v>0</v>
      </c>
      <c r="N538" s="89" t="str">
        <f>IFERROR(VLOOKUP(B538,'Employees List'!$A$2:$H$991,8,0),"")</f>
        <v/>
      </c>
      <c r="O538" s="89" t="str">
        <f>IFERROR(VLOOKUP(D538,'Daily Attendance Report 24-25'!A502:BP999,5,0),"")</f>
        <v/>
      </c>
      <c r="P538" s="89" t="str">
        <f>IFERROR(VLOOKUP(E538,'Daily Attendance Report 24-25'!$A$1:$BO$617,5,0),"")</f>
        <v/>
      </c>
      <c r="Q538" s="89"/>
      <c r="R538" s="89"/>
      <c r="S538" s="89" t="str">
        <f t="shared" si="17"/>
        <v>#DIV/0!</v>
      </c>
      <c r="T538" s="89" t="str">
        <f t="shared" si="6"/>
        <v>#DIV/0!</v>
      </c>
      <c r="U538" s="89" t="str">
        <f t="shared" si="25"/>
        <v>#DIV/0!</v>
      </c>
      <c r="V538" s="89" t="str">
        <f t="shared" si="24"/>
        <v>#DIV/0!</v>
      </c>
      <c r="W538" s="89" t="str">
        <f t="shared" si="9"/>
        <v>#DIV/0!</v>
      </c>
      <c r="X538" s="89"/>
      <c r="Y538" s="89"/>
      <c r="Z538" s="89"/>
      <c r="AA538" s="89"/>
      <c r="AB538" s="89"/>
      <c r="AC538" s="89"/>
      <c r="AD538" s="89"/>
      <c r="AE538" s="89"/>
      <c r="AF538" s="89"/>
      <c r="AG538" s="89"/>
      <c r="AH538" s="89"/>
    </row>
    <row r="539">
      <c r="A539" s="8" t="s">
        <v>677</v>
      </c>
      <c r="B539" s="97"/>
      <c r="C539" s="8"/>
      <c r="D539" s="89" t="str">
        <f t="shared" si="1"/>
        <v/>
      </c>
      <c r="E539" s="89" t="str">
        <f t="shared" si="2"/>
        <v>OT Hours</v>
      </c>
      <c r="F539" s="89" t="str">
        <f>IFERROR(VLOOKUP(C539,'Employees List'!$B$1:$G$999,2,0),"")</f>
        <v/>
      </c>
      <c r="G539" s="89" t="str">
        <f t="shared" si="23"/>
        <v>#DIV/0!</v>
      </c>
      <c r="H539" s="98"/>
      <c r="I539" s="89" t="str">
        <f>IFERROR(VLOOKUP(F539,'Employees List'!$C:$F,2,0),"")</f>
        <v/>
      </c>
      <c r="J539" s="93" t="str">
        <f>IFERROR(VLOOKUP(C539,'Employees List'!$B$2:$G$991,5,0),"")</f>
        <v/>
      </c>
      <c r="K539" s="95" t="str">
        <f>IFERROR(VLOOKUP(F539,'Employees List'!$C$1:$AB$991,5,0),"")</f>
        <v/>
      </c>
      <c r="L539" s="91">
        <f t="shared" si="3"/>
        <v>0</v>
      </c>
      <c r="M539" s="91">
        <f t="shared" si="4"/>
        <v>0</v>
      </c>
      <c r="N539" s="89" t="str">
        <f>IFERROR(VLOOKUP(B539,'Employees List'!$A$2:$H$991,8,0),"")</f>
        <v/>
      </c>
      <c r="O539" s="89" t="str">
        <f>IFERROR(VLOOKUP(D539,'Daily Attendance Report 24-25'!A503:BP999,5,0),"")</f>
        <v/>
      </c>
      <c r="P539" s="89" t="str">
        <f>IFERROR(VLOOKUP(E539,'Daily Attendance Report 24-25'!$A$1:$BO$617,5,0),"")</f>
        <v/>
      </c>
      <c r="Q539" s="89"/>
      <c r="R539" s="89"/>
      <c r="S539" s="89" t="str">
        <f t="shared" si="17"/>
        <v>#DIV/0!</v>
      </c>
      <c r="T539" s="89" t="str">
        <f t="shared" si="6"/>
        <v>#DIV/0!</v>
      </c>
      <c r="U539" s="89" t="str">
        <f t="shared" si="25"/>
        <v>#DIV/0!</v>
      </c>
      <c r="V539" s="89" t="str">
        <f t="shared" si="24"/>
        <v>#DIV/0!</v>
      </c>
      <c r="W539" s="89" t="str">
        <f t="shared" si="9"/>
        <v>#DIV/0!</v>
      </c>
      <c r="X539" s="89"/>
      <c r="Y539" s="89"/>
      <c r="Z539" s="89"/>
      <c r="AA539" s="89"/>
      <c r="AB539" s="89"/>
      <c r="AC539" s="89"/>
      <c r="AD539" s="89"/>
      <c r="AE539" s="89"/>
      <c r="AF539" s="89"/>
      <c r="AG539" s="89"/>
      <c r="AH539" s="89"/>
    </row>
    <row r="540">
      <c r="A540" s="8" t="s">
        <v>678</v>
      </c>
      <c r="B540" s="97"/>
      <c r="C540" s="8"/>
      <c r="D540" s="89" t="str">
        <f t="shared" si="1"/>
        <v/>
      </c>
      <c r="E540" s="89" t="str">
        <f t="shared" si="2"/>
        <v>OT Hours</v>
      </c>
      <c r="F540" s="89" t="str">
        <f>IFERROR(VLOOKUP(C540,'Employees List'!$B$1:$G$999,2,0),"")</f>
        <v/>
      </c>
      <c r="G540" s="89" t="str">
        <f t="shared" si="23"/>
        <v>#DIV/0!</v>
      </c>
      <c r="H540" s="98"/>
      <c r="I540" s="89" t="str">
        <f>IFERROR(VLOOKUP(F540,'Employees List'!$C:$F,2,0),"")</f>
        <v/>
      </c>
      <c r="J540" s="93" t="str">
        <f>IFERROR(VLOOKUP(C540,'Employees List'!$B$2:$G$991,5,0),"")</f>
        <v/>
      </c>
      <c r="K540" s="95" t="str">
        <f>IFERROR(VLOOKUP(F540,'Employees List'!$C$1:$AB$991,5,0),"")</f>
        <v/>
      </c>
      <c r="L540" s="91">
        <f t="shared" si="3"/>
        <v>0</v>
      </c>
      <c r="M540" s="91">
        <f t="shared" si="4"/>
        <v>0</v>
      </c>
      <c r="N540" s="89" t="str">
        <f>IFERROR(VLOOKUP(B540,'Employees List'!$A$2:$H$991,8,0),"")</f>
        <v/>
      </c>
      <c r="O540" s="89" t="str">
        <f>IFERROR(VLOOKUP(D540,'Daily Attendance Report 24-25'!A504:BP999,5,0),"")</f>
        <v/>
      </c>
      <c r="P540" s="89" t="str">
        <f>IFERROR(VLOOKUP(E540,'Daily Attendance Report 24-25'!$A$1:$BO$617,5,0),"")</f>
        <v/>
      </c>
      <c r="Q540" s="89"/>
      <c r="R540" s="89"/>
      <c r="S540" s="89" t="str">
        <f t="shared" si="17"/>
        <v>#DIV/0!</v>
      </c>
      <c r="T540" s="89" t="str">
        <f t="shared" si="6"/>
        <v>#DIV/0!</v>
      </c>
      <c r="U540" s="89" t="str">
        <f t="shared" si="25"/>
        <v>#DIV/0!</v>
      </c>
      <c r="V540" s="89" t="str">
        <f t="shared" si="24"/>
        <v>#DIV/0!</v>
      </c>
      <c r="W540" s="89" t="str">
        <f t="shared" si="9"/>
        <v>#DIV/0!</v>
      </c>
      <c r="X540" s="89"/>
      <c r="Y540" s="89"/>
      <c r="Z540" s="89"/>
      <c r="AA540" s="89"/>
      <c r="AB540" s="89"/>
      <c r="AC540" s="89"/>
      <c r="AD540" s="89"/>
      <c r="AE540" s="89"/>
      <c r="AF540" s="89"/>
      <c r="AG540" s="89"/>
      <c r="AH540" s="89"/>
    </row>
    <row r="541">
      <c r="A541" s="8" t="s">
        <v>679</v>
      </c>
      <c r="B541" s="97"/>
      <c r="C541" s="8"/>
      <c r="D541" s="89" t="str">
        <f t="shared" si="1"/>
        <v/>
      </c>
      <c r="E541" s="89" t="str">
        <f t="shared" si="2"/>
        <v>OT Hours</v>
      </c>
      <c r="F541" s="89" t="str">
        <f>IFERROR(VLOOKUP(C541,'Employees List'!$B$1:$G$999,2,0),"")</f>
        <v/>
      </c>
      <c r="G541" s="89" t="str">
        <f t="shared" si="23"/>
        <v>#DIV/0!</v>
      </c>
      <c r="H541" s="98"/>
      <c r="I541" s="89" t="str">
        <f>IFERROR(VLOOKUP(F541,'Employees List'!$C:$F,2,0),"")</f>
        <v/>
      </c>
      <c r="J541" s="93" t="str">
        <f>IFERROR(VLOOKUP(C541,'Employees List'!$B$2:$G$991,5,0),"")</f>
        <v/>
      </c>
      <c r="K541" s="95" t="str">
        <f>IFERROR(VLOOKUP(F541,'Employees List'!$C$1:$AB$991,5,0),"")</f>
        <v/>
      </c>
      <c r="L541" s="91">
        <f t="shared" si="3"/>
        <v>0</v>
      </c>
      <c r="M541" s="91">
        <f t="shared" si="4"/>
        <v>0</v>
      </c>
      <c r="N541" s="89" t="str">
        <f>IFERROR(VLOOKUP(B541,'Employees List'!$A$2:$H$991,8,0),"")</f>
        <v/>
      </c>
      <c r="O541" s="89" t="str">
        <f>IFERROR(VLOOKUP(D541,'Daily Attendance Report 24-25'!A505:BP999,5,0),"")</f>
        <v/>
      </c>
      <c r="P541" s="89" t="str">
        <f>IFERROR(VLOOKUP(E541,'Daily Attendance Report 24-25'!$A$1:$BO$617,5,0),"")</f>
        <v/>
      </c>
      <c r="Q541" s="89"/>
      <c r="R541" s="89"/>
      <c r="S541" s="89" t="str">
        <f t="shared" si="17"/>
        <v>#DIV/0!</v>
      </c>
      <c r="T541" s="89" t="str">
        <f t="shared" si="6"/>
        <v>#DIV/0!</v>
      </c>
      <c r="U541" s="89" t="str">
        <f t="shared" si="25"/>
        <v>#DIV/0!</v>
      </c>
      <c r="V541" s="89" t="str">
        <f t="shared" si="24"/>
        <v>#DIV/0!</v>
      </c>
      <c r="W541" s="89" t="str">
        <f t="shared" si="9"/>
        <v>#DIV/0!</v>
      </c>
      <c r="X541" s="89"/>
      <c r="Y541" s="89"/>
      <c r="Z541" s="89"/>
      <c r="AA541" s="89"/>
      <c r="AB541" s="89"/>
      <c r="AC541" s="89"/>
      <c r="AD541" s="89"/>
      <c r="AE541" s="89"/>
      <c r="AF541" s="89"/>
      <c r="AG541" s="89"/>
      <c r="AH541" s="89"/>
    </row>
    <row r="542">
      <c r="A542" s="8" t="s">
        <v>680</v>
      </c>
      <c r="B542" s="97"/>
      <c r="C542" s="8"/>
      <c r="D542" s="89" t="str">
        <f t="shared" si="1"/>
        <v/>
      </c>
      <c r="E542" s="89" t="str">
        <f t="shared" si="2"/>
        <v>OT Hours</v>
      </c>
      <c r="F542" s="89" t="str">
        <f>IFERROR(VLOOKUP(C542,'Employees List'!$B$1:$G$999,2,0),"")</f>
        <v/>
      </c>
      <c r="G542" s="89" t="str">
        <f t="shared" si="23"/>
        <v>#DIV/0!</v>
      </c>
      <c r="H542" s="98"/>
      <c r="I542" s="89" t="str">
        <f>IFERROR(VLOOKUP(F542,'Employees List'!$C:$F,2,0),"")</f>
        <v/>
      </c>
      <c r="J542" s="93" t="str">
        <f>IFERROR(VLOOKUP(C542,'Employees List'!$B$2:$G$991,5,0),"")</f>
        <v/>
      </c>
      <c r="K542" s="95" t="str">
        <f>IFERROR(VLOOKUP(F542,'Employees List'!$C$1:$AB$991,5,0),"")</f>
        <v/>
      </c>
      <c r="L542" s="91">
        <f t="shared" si="3"/>
        <v>0</v>
      </c>
      <c r="M542" s="91">
        <f t="shared" si="4"/>
        <v>0</v>
      </c>
      <c r="N542" s="89" t="str">
        <f>IFERROR(VLOOKUP(B542,'Employees List'!$A$2:$H$991,8,0),"")</f>
        <v/>
      </c>
      <c r="O542" s="89" t="str">
        <f>IFERROR(VLOOKUP(D542,'Daily Attendance Report 24-25'!A506:BP999,5,0),"")</f>
        <v/>
      </c>
      <c r="P542" s="89" t="str">
        <f>IFERROR(VLOOKUP(E542,'Daily Attendance Report 24-25'!$A$1:$BO$617,5,0),"")</f>
        <v/>
      </c>
      <c r="Q542" s="89"/>
      <c r="R542" s="89"/>
      <c r="S542" s="89" t="str">
        <f t="shared" si="17"/>
        <v>#DIV/0!</v>
      </c>
      <c r="T542" s="89" t="str">
        <f t="shared" si="6"/>
        <v>#DIV/0!</v>
      </c>
      <c r="U542" s="89" t="str">
        <f t="shared" si="25"/>
        <v>#DIV/0!</v>
      </c>
      <c r="V542" s="89" t="str">
        <f t="shared" si="24"/>
        <v>#DIV/0!</v>
      </c>
      <c r="W542" s="89" t="str">
        <f t="shared" si="9"/>
        <v>#DIV/0!</v>
      </c>
      <c r="X542" s="89"/>
      <c r="Y542" s="89"/>
      <c r="Z542" s="89"/>
      <c r="AA542" s="89"/>
      <c r="AB542" s="89"/>
      <c r="AC542" s="89"/>
      <c r="AD542" s="89"/>
      <c r="AE542" s="89"/>
      <c r="AF542" s="89"/>
      <c r="AG542" s="89"/>
      <c r="AH542" s="89"/>
    </row>
    <row r="543">
      <c r="A543" s="8" t="s">
        <v>681</v>
      </c>
      <c r="B543" s="97"/>
      <c r="C543" s="8"/>
      <c r="D543" s="89" t="str">
        <f t="shared" si="1"/>
        <v/>
      </c>
      <c r="E543" s="89" t="str">
        <f t="shared" si="2"/>
        <v>OT Hours</v>
      </c>
      <c r="F543" s="89" t="str">
        <f>IFERROR(VLOOKUP(C543,'Employees List'!$B$1:$G$999,2,0),"")</f>
        <v/>
      </c>
      <c r="G543" s="89" t="str">
        <f t="shared" si="23"/>
        <v>#DIV/0!</v>
      </c>
      <c r="H543" s="98"/>
      <c r="I543" s="89" t="str">
        <f>IFERROR(VLOOKUP(F543,'Employees List'!$C:$F,2,0),"")</f>
        <v/>
      </c>
      <c r="J543" s="93" t="str">
        <f>IFERROR(VLOOKUP(C543,'Employees List'!$B$2:$G$991,5,0),"")</f>
        <v/>
      </c>
      <c r="K543" s="95" t="str">
        <f>IFERROR(VLOOKUP(F543,'Employees List'!$C$1:$AB$991,5,0),"")</f>
        <v/>
      </c>
      <c r="L543" s="91">
        <f t="shared" si="3"/>
        <v>0</v>
      </c>
      <c r="M543" s="91">
        <f t="shared" si="4"/>
        <v>0</v>
      </c>
      <c r="N543" s="89" t="str">
        <f>IFERROR(VLOOKUP(B543,'Employees List'!$A$2:$H$991,8,0),"")</f>
        <v/>
      </c>
      <c r="O543" s="89" t="str">
        <f>IFERROR(VLOOKUP(D543,'Daily Attendance Report 24-25'!A507:BP999,5,0),"")</f>
        <v/>
      </c>
      <c r="P543" s="89" t="str">
        <f>IFERROR(VLOOKUP(E543,'Daily Attendance Report 24-25'!$A$1:$BO$617,5,0),"")</f>
        <v/>
      </c>
      <c r="Q543" s="89"/>
      <c r="R543" s="89"/>
      <c r="S543" s="89" t="str">
        <f t="shared" si="17"/>
        <v>#DIV/0!</v>
      </c>
      <c r="T543" s="89" t="str">
        <f t="shared" si="6"/>
        <v>#DIV/0!</v>
      </c>
      <c r="U543" s="89" t="str">
        <f t="shared" si="25"/>
        <v>#DIV/0!</v>
      </c>
      <c r="V543" s="89" t="str">
        <f t="shared" si="24"/>
        <v>#DIV/0!</v>
      </c>
      <c r="W543" s="89" t="str">
        <f t="shared" si="9"/>
        <v>#DIV/0!</v>
      </c>
      <c r="X543" s="89"/>
      <c r="Y543" s="89"/>
      <c r="Z543" s="89"/>
      <c r="AA543" s="89"/>
      <c r="AB543" s="89"/>
      <c r="AC543" s="89"/>
      <c r="AD543" s="89"/>
      <c r="AE543" s="89"/>
      <c r="AF543" s="89"/>
      <c r="AG543" s="89"/>
      <c r="AH543" s="89"/>
    </row>
    <row r="544">
      <c r="A544" s="8" t="s">
        <v>682</v>
      </c>
      <c r="B544" s="97"/>
      <c r="C544" s="8"/>
      <c r="D544" s="89" t="str">
        <f t="shared" si="1"/>
        <v/>
      </c>
      <c r="E544" s="89" t="str">
        <f t="shared" si="2"/>
        <v>OT Hours</v>
      </c>
      <c r="F544" s="89" t="str">
        <f>IFERROR(VLOOKUP(C544,'Employees List'!$B$1:$G$999,2,0),"")</f>
        <v/>
      </c>
      <c r="G544" s="89" t="str">
        <f t="shared" si="23"/>
        <v>#DIV/0!</v>
      </c>
      <c r="H544" s="98"/>
      <c r="I544" s="89" t="str">
        <f>IFERROR(VLOOKUP(F544,'Employees List'!$C:$F,2,0),"")</f>
        <v/>
      </c>
      <c r="J544" s="93" t="str">
        <f>IFERROR(VLOOKUP(C544,'Employees List'!$B$2:$G$991,5,0),"")</f>
        <v/>
      </c>
      <c r="K544" s="95" t="str">
        <f>IFERROR(VLOOKUP(F544,'Employees List'!$C$1:$AB$991,5,0),"")</f>
        <v/>
      </c>
      <c r="L544" s="91">
        <f t="shared" si="3"/>
        <v>0</v>
      </c>
      <c r="M544" s="91">
        <f t="shared" si="4"/>
        <v>0</v>
      </c>
      <c r="N544" s="89" t="str">
        <f>IFERROR(VLOOKUP(B544,'Employees List'!$A$2:$H$991,8,0),"")</f>
        <v/>
      </c>
      <c r="O544" s="89" t="str">
        <f>IFERROR(VLOOKUP(D544,'Daily Attendance Report 24-25'!A508:BP999,5,0),"")</f>
        <v/>
      </c>
      <c r="P544" s="89" t="str">
        <f>IFERROR(VLOOKUP(E544,'Daily Attendance Report 24-25'!$A$1:$BO$617,5,0),"")</f>
        <v/>
      </c>
      <c r="Q544" s="89"/>
      <c r="R544" s="89"/>
      <c r="S544" s="89" t="str">
        <f t="shared" si="17"/>
        <v>#DIV/0!</v>
      </c>
      <c r="T544" s="89" t="str">
        <f t="shared" si="6"/>
        <v>#DIV/0!</v>
      </c>
      <c r="U544" s="89" t="str">
        <f t="shared" si="25"/>
        <v>#DIV/0!</v>
      </c>
      <c r="V544" s="89" t="str">
        <f t="shared" si="24"/>
        <v>#DIV/0!</v>
      </c>
      <c r="W544" s="89" t="str">
        <f t="shared" si="9"/>
        <v>#DIV/0!</v>
      </c>
      <c r="X544" s="89"/>
      <c r="Y544" s="89"/>
      <c r="Z544" s="89"/>
      <c r="AA544" s="89"/>
      <c r="AB544" s="89"/>
      <c r="AC544" s="89"/>
      <c r="AD544" s="89"/>
      <c r="AE544" s="89"/>
      <c r="AF544" s="89"/>
      <c r="AG544" s="89"/>
      <c r="AH544" s="89"/>
    </row>
    <row r="545">
      <c r="A545" s="8" t="s">
        <v>683</v>
      </c>
      <c r="B545" s="97"/>
      <c r="C545" s="8"/>
      <c r="D545" s="89" t="str">
        <f t="shared" si="1"/>
        <v/>
      </c>
      <c r="E545" s="89" t="str">
        <f t="shared" si="2"/>
        <v>OT Hours</v>
      </c>
      <c r="F545" s="89" t="str">
        <f>IFERROR(VLOOKUP(C545,'Employees List'!$B$1:$G$999,2,0),"")</f>
        <v/>
      </c>
      <c r="G545" s="89" t="str">
        <f t="shared" si="23"/>
        <v>#DIV/0!</v>
      </c>
      <c r="H545" s="98"/>
      <c r="I545" s="89" t="str">
        <f>IFERROR(VLOOKUP(F545,'Employees List'!$C:$F,2,0),"")</f>
        <v/>
      </c>
      <c r="J545" s="93" t="str">
        <f>IFERROR(VLOOKUP(C545,'Employees List'!$B$2:$G$991,5,0),"")</f>
        <v/>
      </c>
      <c r="K545" s="95" t="str">
        <f>IFERROR(VLOOKUP(F545,'Employees List'!$C$1:$AB$991,5,0),"")</f>
        <v/>
      </c>
      <c r="L545" s="91">
        <f t="shared" si="3"/>
        <v>0</v>
      </c>
      <c r="M545" s="91">
        <f t="shared" si="4"/>
        <v>0</v>
      </c>
      <c r="N545" s="89" t="str">
        <f>IFERROR(VLOOKUP(B545,'Employees List'!$A$2:$H$991,8,0),"")</f>
        <v/>
      </c>
      <c r="O545" s="89" t="str">
        <f>IFERROR(VLOOKUP(D545,'Daily Attendance Report 24-25'!A509:BP999,5,0),"")</f>
        <v/>
      </c>
      <c r="P545" s="89" t="str">
        <f>IFERROR(VLOOKUP(E545,'Daily Attendance Report 24-25'!$A$1:$BO$617,5,0),"")</f>
        <v/>
      </c>
      <c r="Q545" s="89"/>
      <c r="R545" s="89"/>
      <c r="S545" s="89" t="str">
        <f t="shared" si="17"/>
        <v>#DIV/0!</v>
      </c>
      <c r="T545" s="89" t="str">
        <f t="shared" si="6"/>
        <v>#DIV/0!</v>
      </c>
      <c r="U545" s="89" t="str">
        <f t="shared" si="25"/>
        <v>#DIV/0!</v>
      </c>
      <c r="V545" s="89" t="str">
        <f t="shared" si="24"/>
        <v>#DIV/0!</v>
      </c>
      <c r="W545" s="89" t="str">
        <f t="shared" si="9"/>
        <v>#DIV/0!</v>
      </c>
      <c r="X545" s="89"/>
      <c r="Y545" s="89"/>
      <c r="Z545" s="89"/>
      <c r="AA545" s="89"/>
      <c r="AB545" s="89"/>
      <c r="AC545" s="89"/>
      <c r="AD545" s="89"/>
      <c r="AE545" s="89"/>
      <c r="AF545" s="89"/>
      <c r="AG545" s="89"/>
      <c r="AH545" s="89"/>
    </row>
    <row r="546">
      <c r="A546" s="8" t="s">
        <v>684</v>
      </c>
      <c r="B546" s="97"/>
      <c r="C546" s="8"/>
      <c r="D546" s="89" t="str">
        <f t="shared" si="1"/>
        <v/>
      </c>
      <c r="E546" s="89" t="str">
        <f t="shared" si="2"/>
        <v>OT Hours</v>
      </c>
      <c r="F546" s="89" t="str">
        <f>IFERROR(VLOOKUP(C546,'Employees List'!$B$1:$G$999,2,0),"")</f>
        <v/>
      </c>
      <c r="G546" s="89" t="str">
        <f t="shared" si="23"/>
        <v>#DIV/0!</v>
      </c>
      <c r="H546" s="98"/>
      <c r="I546" s="89" t="str">
        <f>IFERROR(VLOOKUP(F546,'Employees List'!$C:$F,2,0),"")</f>
        <v/>
      </c>
      <c r="J546" s="93" t="str">
        <f>IFERROR(VLOOKUP(C546,'Employees List'!$B$2:$G$991,5,0),"")</f>
        <v/>
      </c>
      <c r="K546" s="95" t="str">
        <f>IFERROR(VLOOKUP(F546,'Employees List'!$C$1:$AB$991,5,0),"")</f>
        <v/>
      </c>
      <c r="L546" s="91">
        <f t="shared" si="3"/>
        <v>0</v>
      </c>
      <c r="M546" s="91">
        <f t="shared" si="4"/>
        <v>0</v>
      </c>
      <c r="N546" s="89" t="str">
        <f>IFERROR(VLOOKUP(B546,'Employees List'!$A$2:$H$991,8,0),"")</f>
        <v/>
      </c>
      <c r="O546" s="89" t="str">
        <f>IFERROR(VLOOKUP(D546,'Daily Attendance Report 24-25'!A510:BP999,5,0),"")</f>
        <v/>
      </c>
      <c r="P546" s="89" t="str">
        <f>IFERROR(VLOOKUP(E546,'Daily Attendance Report 24-25'!$A$1:$BO$617,5,0),"")</f>
        <v/>
      </c>
      <c r="Q546" s="89"/>
      <c r="R546" s="89"/>
      <c r="S546" s="89" t="str">
        <f t="shared" si="17"/>
        <v>#DIV/0!</v>
      </c>
      <c r="T546" s="89" t="str">
        <f t="shared" si="6"/>
        <v>#DIV/0!</v>
      </c>
      <c r="U546" s="89" t="str">
        <f t="shared" si="25"/>
        <v>#DIV/0!</v>
      </c>
      <c r="V546" s="89" t="str">
        <f t="shared" si="24"/>
        <v>#DIV/0!</v>
      </c>
      <c r="W546" s="89" t="str">
        <f t="shared" si="9"/>
        <v>#DIV/0!</v>
      </c>
      <c r="X546" s="89"/>
      <c r="Y546" s="89"/>
      <c r="Z546" s="89"/>
      <c r="AA546" s="89"/>
      <c r="AB546" s="89"/>
      <c r="AC546" s="89"/>
      <c r="AD546" s="89"/>
      <c r="AE546" s="89"/>
      <c r="AF546" s="89"/>
      <c r="AG546" s="89"/>
      <c r="AH546" s="89"/>
    </row>
    <row r="547">
      <c r="A547" s="8" t="s">
        <v>685</v>
      </c>
      <c r="B547" s="97"/>
      <c r="C547" s="8"/>
      <c r="D547" s="89" t="str">
        <f t="shared" si="1"/>
        <v/>
      </c>
      <c r="E547" s="89" t="str">
        <f t="shared" si="2"/>
        <v>OT Hours</v>
      </c>
      <c r="F547" s="89" t="str">
        <f>IFERROR(VLOOKUP(C547,'Employees List'!$B$1:$G$999,2,0),"")</f>
        <v/>
      </c>
      <c r="G547" s="89" t="str">
        <f t="shared" si="23"/>
        <v>#DIV/0!</v>
      </c>
      <c r="H547" s="98"/>
      <c r="I547" s="89" t="str">
        <f>IFERROR(VLOOKUP(F547,'Employees List'!$C:$F,2,0),"")</f>
        <v/>
      </c>
      <c r="J547" s="93" t="str">
        <f>IFERROR(VLOOKUP(C547,'Employees List'!$B$2:$G$991,5,0),"")</f>
        <v/>
      </c>
      <c r="K547" s="95" t="str">
        <f>IFERROR(VLOOKUP(F547,'Employees List'!$C$1:$AB$991,5,0),"")</f>
        <v/>
      </c>
      <c r="L547" s="91">
        <f t="shared" si="3"/>
        <v>0</v>
      </c>
      <c r="M547" s="91">
        <f t="shared" si="4"/>
        <v>0</v>
      </c>
      <c r="N547" s="89" t="str">
        <f>IFERROR(VLOOKUP(B547,'Employees List'!$A$2:$H$991,8,0),"")</f>
        <v/>
      </c>
      <c r="O547" s="89" t="str">
        <f>IFERROR(VLOOKUP(D547,'Daily Attendance Report 24-25'!A511:BP999,5,0),"")</f>
        <v/>
      </c>
      <c r="P547" s="89" t="str">
        <f>IFERROR(VLOOKUP(E547,'Daily Attendance Report 24-25'!$A$1:$BO$617,5,0),"")</f>
        <v/>
      </c>
      <c r="Q547" s="89"/>
      <c r="R547" s="89"/>
      <c r="S547" s="89" t="str">
        <f t="shared" si="17"/>
        <v>#DIV/0!</v>
      </c>
      <c r="T547" s="89" t="str">
        <f t="shared" si="6"/>
        <v>#DIV/0!</v>
      </c>
      <c r="U547" s="89" t="str">
        <f t="shared" si="25"/>
        <v>#DIV/0!</v>
      </c>
      <c r="V547" s="89" t="str">
        <f t="shared" si="24"/>
        <v>#DIV/0!</v>
      </c>
      <c r="W547" s="89" t="str">
        <f t="shared" si="9"/>
        <v>#DIV/0!</v>
      </c>
      <c r="X547" s="89"/>
      <c r="Y547" s="89"/>
      <c r="Z547" s="89"/>
      <c r="AA547" s="89"/>
      <c r="AB547" s="89"/>
      <c r="AC547" s="89"/>
      <c r="AD547" s="89"/>
      <c r="AE547" s="89"/>
      <c r="AF547" s="89"/>
      <c r="AG547" s="89"/>
      <c r="AH547" s="89"/>
    </row>
    <row r="548">
      <c r="A548" s="8" t="s">
        <v>686</v>
      </c>
      <c r="B548" s="97"/>
      <c r="C548" s="8"/>
      <c r="D548" s="89" t="str">
        <f t="shared" si="1"/>
        <v/>
      </c>
      <c r="E548" s="89" t="str">
        <f t="shared" si="2"/>
        <v>OT Hours</v>
      </c>
      <c r="F548" s="89" t="str">
        <f>IFERROR(VLOOKUP(C548,'Employees List'!$B$1:$G$999,2,0),"")</f>
        <v/>
      </c>
      <c r="G548" s="89" t="str">
        <f t="shared" si="23"/>
        <v>#DIV/0!</v>
      </c>
      <c r="H548" s="98"/>
      <c r="I548" s="89" t="str">
        <f>IFERROR(VLOOKUP(F548,'Employees List'!$C:$F,2,0),"")</f>
        <v/>
      </c>
      <c r="J548" s="93" t="str">
        <f>IFERROR(VLOOKUP(C548,'Employees List'!$B$2:$G$991,5,0),"")</f>
        <v/>
      </c>
      <c r="K548" s="95" t="str">
        <f>IFERROR(VLOOKUP(F548,'Employees List'!$C$1:$AB$991,5,0),"")</f>
        <v/>
      </c>
      <c r="L548" s="91">
        <f t="shared" si="3"/>
        <v>0</v>
      </c>
      <c r="M548" s="91">
        <f t="shared" si="4"/>
        <v>0</v>
      </c>
      <c r="N548" s="89" t="str">
        <f>IFERROR(VLOOKUP(B548,'Employees List'!$A$2:$H$991,8,0),"")</f>
        <v/>
      </c>
      <c r="O548" s="89" t="str">
        <f>IFERROR(VLOOKUP(D548,'Daily Attendance Report 24-25'!A512:BP999,5,0),"")</f>
        <v/>
      </c>
      <c r="P548" s="89" t="str">
        <f>IFERROR(VLOOKUP(E548,'Daily Attendance Report 24-25'!$A$1:$BO$617,5,0),"")</f>
        <v/>
      </c>
      <c r="Q548" s="89"/>
      <c r="R548" s="89"/>
      <c r="S548" s="89" t="str">
        <f t="shared" si="17"/>
        <v>#DIV/0!</v>
      </c>
      <c r="T548" s="89" t="str">
        <f t="shared" si="6"/>
        <v>#DIV/0!</v>
      </c>
      <c r="U548" s="89" t="str">
        <f t="shared" si="25"/>
        <v>#DIV/0!</v>
      </c>
      <c r="V548" s="89" t="str">
        <f t="shared" si="24"/>
        <v>#DIV/0!</v>
      </c>
      <c r="W548" s="89" t="str">
        <f t="shared" si="9"/>
        <v>#DIV/0!</v>
      </c>
      <c r="X548" s="89"/>
      <c r="Y548" s="89"/>
      <c r="Z548" s="89"/>
      <c r="AA548" s="89"/>
      <c r="AB548" s="89"/>
      <c r="AC548" s="89"/>
      <c r="AD548" s="89"/>
      <c r="AE548" s="89"/>
      <c r="AF548" s="89"/>
      <c r="AG548" s="89"/>
      <c r="AH548" s="89"/>
    </row>
    <row r="549">
      <c r="A549" s="8" t="s">
        <v>687</v>
      </c>
      <c r="B549" s="97"/>
      <c r="C549" s="8"/>
      <c r="D549" s="89" t="str">
        <f t="shared" si="1"/>
        <v/>
      </c>
      <c r="E549" s="89" t="str">
        <f t="shared" si="2"/>
        <v>OT Hours</v>
      </c>
      <c r="F549" s="89" t="str">
        <f>IFERROR(VLOOKUP(C549,'Employees List'!$B$1:$G$999,2,0),"")</f>
        <v/>
      </c>
      <c r="G549" s="89" t="str">
        <f t="shared" si="23"/>
        <v>#DIV/0!</v>
      </c>
      <c r="H549" s="98"/>
      <c r="I549" s="89" t="str">
        <f>IFERROR(VLOOKUP(F549,'Employees List'!$C:$F,2,0),"")</f>
        <v/>
      </c>
      <c r="J549" s="93" t="str">
        <f>IFERROR(VLOOKUP(C549,'Employees List'!$B$2:$G$991,5,0),"")</f>
        <v/>
      </c>
      <c r="K549" s="95" t="str">
        <f>IFERROR(VLOOKUP(F549,'Employees List'!$C$1:$AB$991,5,0),"")</f>
        <v/>
      </c>
      <c r="L549" s="91">
        <f t="shared" si="3"/>
        <v>0</v>
      </c>
      <c r="M549" s="91">
        <f t="shared" si="4"/>
        <v>0</v>
      </c>
      <c r="N549" s="89" t="str">
        <f>IFERROR(VLOOKUP(B549,'Employees List'!$A$2:$H$991,8,0),"")</f>
        <v/>
      </c>
      <c r="O549" s="89" t="str">
        <f>IFERROR(VLOOKUP(D549,'Daily Attendance Report 24-25'!A513:BP999,5,0),"")</f>
        <v/>
      </c>
      <c r="P549" s="89" t="str">
        <f>IFERROR(VLOOKUP(E549,'Daily Attendance Report 24-25'!$A$1:$BO$617,5,0),"")</f>
        <v/>
      </c>
      <c r="Q549" s="89"/>
      <c r="R549" s="89"/>
      <c r="S549" s="89" t="str">
        <f t="shared" si="17"/>
        <v>#DIV/0!</v>
      </c>
      <c r="T549" s="89" t="str">
        <f t="shared" si="6"/>
        <v>#DIV/0!</v>
      </c>
      <c r="U549" s="89" t="str">
        <f t="shared" si="25"/>
        <v>#DIV/0!</v>
      </c>
      <c r="V549" s="89" t="str">
        <f t="shared" si="24"/>
        <v>#DIV/0!</v>
      </c>
      <c r="W549" s="89" t="str">
        <f t="shared" si="9"/>
        <v>#DIV/0!</v>
      </c>
      <c r="X549" s="89"/>
      <c r="Y549" s="89"/>
      <c r="Z549" s="89"/>
      <c r="AA549" s="89"/>
      <c r="AB549" s="89"/>
      <c r="AC549" s="89"/>
      <c r="AD549" s="89"/>
      <c r="AE549" s="89"/>
      <c r="AF549" s="89"/>
      <c r="AG549" s="89"/>
      <c r="AH549" s="89"/>
    </row>
    <row r="550">
      <c r="A550" s="8" t="s">
        <v>688</v>
      </c>
      <c r="B550" s="97"/>
      <c r="C550" s="8"/>
      <c r="D550" s="89" t="str">
        <f t="shared" si="1"/>
        <v/>
      </c>
      <c r="E550" s="89" t="str">
        <f t="shared" si="2"/>
        <v>OT Hours</v>
      </c>
      <c r="F550" s="89" t="str">
        <f>IFERROR(VLOOKUP(C550,'Employees List'!$B$1:$G$999,2,0),"")</f>
        <v/>
      </c>
      <c r="G550" s="89" t="str">
        <f t="shared" si="23"/>
        <v>#DIV/0!</v>
      </c>
      <c r="H550" s="98"/>
      <c r="I550" s="89" t="str">
        <f>IFERROR(VLOOKUP(F550,'Employees List'!$C:$F,2,0),"")</f>
        <v/>
      </c>
      <c r="J550" s="93" t="str">
        <f>IFERROR(VLOOKUP(C550,'Employees List'!$B$2:$G$991,5,0),"")</f>
        <v/>
      </c>
      <c r="K550" s="95" t="str">
        <f>IFERROR(VLOOKUP(F550,'Employees List'!$C$1:$AB$991,5,0),"")</f>
        <v/>
      </c>
      <c r="L550" s="91">
        <f t="shared" si="3"/>
        <v>0</v>
      </c>
      <c r="M550" s="91">
        <f t="shared" si="4"/>
        <v>0</v>
      </c>
      <c r="N550" s="89" t="str">
        <f>IFERROR(VLOOKUP(B550,'Employees List'!$A$2:$H$991,8,0),"")</f>
        <v/>
      </c>
      <c r="O550" s="89" t="str">
        <f>IFERROR(VLOOKUP(D550,'Daily Attendance Report 24-25'!A514:BP999,5,0),"")</f>
        <v/>
      </c>
      <c r="P550" s="89" t="str">
        <f>IFERROR(VLOOKUP(E550,'Daily Attendance Report 24-25'!$A$1:$BO$617,5,0),"")</f>
        <v/>
      </c>
      <c r="Q550" s="89"/>
      <c r="R550" s="89"/>
      <c r="S550" s="89" t="str">
        <f t="shared" si="17"/>
        <v>#DIV/0!</v>
      </c>
      <c r="T550" s="89" t="str">
        <f t="shared" si="6"/>
        <v>#DIV/0!</v>
      </c>
      <c r="U550" s="89" t="str">
        <f t="shared" si="25"/>
        <v>#DIV/0!</v>
      </c>
      <c r="V550" s="89" t="str">
        <f t="shared" si="24"/>
        <v>#DIV/0!</v>
      </c>
      <c r="W550" s="89" t="str">
        <f t="shared" si="9"/>
        <v>#DIV/0!</v>
      </c>
      <c r="X550" s="89"/>
      <c r="Y550" s="89"/>
      <c r="Z550" s="89"/>
      <c r="AA550" s="89"/>
      <c r="AB550" s="89"/>
      <c r="AC550" s="89"/>
      <c r="AD550" s="89"/>
      <c r="AE550" s="89"/>
      <c r="AF550" s="89"/>
      <c r="AG550" s="89"/>
      <c r="AH550" s="89"/>
    </row>
    <row r="551">
      <c r="A551" s="8" t="s">
        <v>689</v>
      </c>
      <c r="B551" s="97"/>
      <c r="C551" s="8"/>
      <c r="D551" s="89" t="str">
        <f t="shared" si="1"/>
        <v/>
      </c>
      <c r="E551" s="89" t="str">
        <f t="shared" si="2"/>
        <v>OT Hours</v>
      </c>
      <c r="F551" s="89" t="str">
        <f>IFERROR(VLOOKUP(C551,'Employees List'!$B$1:$G$999,2,0),"")</f>
        <v/>
      </c>
      <c r="G551" s="89" t="str">
        <f t="shared" si="23"/>
        <v>#DIV/0!</v>
      </c>
      <c r="H551" s="98"/>
      <c r="I551" s="89" t="str">
        <f>IFERROR(VLOOKUP(F551,'Employees List'!$C:$F,2,0),"")</f>
        <v/>
      </c>
      <c r="J551" s="93" t="str">
        <f>IFERROR(VLOOKUP(C551,'Employees List'!$B$2:$G$991,5,0),"")</f>
        <v/>
      </c>
      <c r="K551" s="95" t="str">
        <f>IFERROR(VLOOKUP(F551,'Employees List'!$C$1:$AB$991,5,0),"")</f>
        <v/>
      </c>
      <c r="L551" s="91">
        <f t="shared" si="3"/>
        <v>0</v>
      </c>
      <c r="M551" s="91">
        <f t="shared" si="4"/>
        <v>0</v>
      </c>
      <c r="N551" s="89" t="str">
        <f>IFERROR(VLOOKUP(B551,'Employees List'!$A$2:$H$991,8,0),"")</f>
        <v/>
      </c>
      <c r="O551" s="89" t="str">
        <f>IFERROR(VLOOKUP(D551,'Daily Attendance Report 24-25'!A515:BP999,5,0),"")</f>
        <v/>
      </c>
      <c r="P551" s="89" t="str">
        <f>IFERROR(VLOOKUP(E551,'Daily Attendance Report 24-25'!$A$1:$BO$617,5,0),"")</f>
        <v/>
      </c>
      <c r="Q551" s="89"/>
      <c r="R551" s="89"/>
      <c r="S551" s="89" t="str">
        <f t="shared" si="17"/>
        <v>#DIV/0!</v>
      </c>
      <c r="T551" s="89" t="str">
        <f t="shared" si="6"/>
        <v>#DIV/0!</v>
      </c>
      <c r="U551" s="89" t="str">
        <f t="shared" si="25"/>
        <v>#DIV/0!</v>
      </c>
      <c r="V551" s="89" t="str">
        <f t="shared" si="24"/>
        <v>#DIV/0!</v>
      </c>
      <c r="W551" s="89" t="str">
        <f t="shared" si="9"/>
        <v>#DIV/0!</v>
      </c>
      <c r="X551" s="89"/>
      <c r="Y551" s="89"/>
      <c r="Z551" s="89"/>
      <c r="AA551" s="89"/>
      <c r="AB551" s="89"/>
      <c r="AC551" s="89"/>
      <c r="AD551" s="89"/>
      <c r="AE551" s="89"/>
      <c r="AF551" s="89"/>
      <c r="AG551" s="89"/>
      <c r="AH551" s="89"/>
    </row>
    <row r="552">
      <c r="A552" s="8" t="s">
        <v>690</v>
      </c>
      <c r="B552" s="97"/>
      <c r="C552" s="8"/>
      <c r="D552" s="89" t="str">
        <f t="shared" si="1"/>
        <v/>
      </c>
      <c r="E552" s="89" t="str">
        <f t="shared" si="2"/>
        <v>OT Hours</v>
      </c>
      <c r="F552" s="89" t="str">
        <f>IFERROR(VLOOKUP(C552,'Employees List'!$B$1:$G$999,2,0),"")</f>
        <v/>
      </c>
      <c r="G552" s="89" t="str">
        <f t="shared" si="23"/>
        <v>#DIV/0!</v>
      </c>
      <c r="H552" s="98"/>
      <c r="I552" s="89" t="str">
        <f>IFERROR(VLOOKUP(F552,'Employees List'!$C:$F,2,0),"")</f>
        <v/>
      </c>
      <c r="J552" s="93" t="str">
        <f>IFERROR(VLOOKUP(C552,'Employees List'!$B$2:$G$991,5,0),"")</f>
        <v/>
      </c>
      <c r="K552" s="95" t="str">
        <f>IFERROR(VLOOKUP(F552,'Employees List'!$C$1:$AB$991,5,0),"")</f>
        <v/>
      </c>
      <c r="L552" s="91">
        <f t="shared" si="3"/>
        <v>0</v>
      </c>
      <c r="M552" s="91">
        <f t="shared" si="4"/>
        <v>0</v>
      </c>
      <c r="N552" s="89" t="str">
        <f>IFERROR(VLOOKUP(B552,'Employees List'!$A$2:$H$991,8,0),"")</f>
        <v/>
      </c>
      <c r="O552" s="89" t="str">
        <f>IFERROR(VLOOKUP(D552,'Daily Attendance Report 24-25'!A516:BP999,5,0),"")</f>
        <v/>
      </c>
      <c r="P552" s="89" t="str">
        <f>IFERROR(VLOOKUP(E552,'Daily Attendance Report 24-25'!$A$1:$BO$617,5,0),"")</f>
        <v/>
      </c>
      <c r="Q552" s="89"/>
      <c r="R552" s="89"/>
      <c r="S552" s="89" t="str">
        <f t="shared" si="17"/>
        <v>#DIV/0!</v>
      </c>
      <c r="T552" s="89" t="str">
        <f t="shared" si="6"/>
        <v>#DIV/0!</v>
      </c>
      <c r="U552" s="89" t="str">
        <f t="shared" si="25"/>
        <v>#DIV/0!</v>
      </c>
      <c r="V552" s="89" t="str">
        <f t="shared" si="24"/>
        <v>#DIV/0!</v>
      </c>
      <c r="W552" s="89" t="str">
        <f t="shared" si="9"/>
        <v>#DIV/0!</v>
      </c>
      <c r="X552" s="89"/>
      <c r="Y552" s="89"/>
      <c r="Z552" s="89"/>
      <c r="AA552" s="89"/>
      <c r="AB552" s="89"/>
      <c r="AC552" s="89"/>
      <c r="AD552" s="89"/>
      <c r="AE552" s="89"/>
      <c r="AF552" s="89"/>
      <c r="AG552" s="89"/>
      <c r="AH552" s="89"/>
    </row>
    <row r="553">
      <c r="A553" s="8" t="s">
        <v>691</v>
      </c>
      <c r="B553" s="97"/>
      <c r="C553" s="8"/>
      <c r="D553" s="89" t="str">
        <f t="shared" si="1"/>
        <v/>
      </c>
      <c r="E553" s="89" t="str">
        <f t="shared" si="2"/>
        <v>OT Hours</v>
      </c>
      <c r="F553" s="89" t="str">
        <f>IFERROR(VLOOKUP(C553,'Employees List'!$B$1:$G$999,2,0),"")</f>
        <v/>
      </c>
      <c r="G553" s="89" t="str">
        <f t="shared" si="23"/>
        <v>#DIV/0!</v>
      </c>
      <c r="H553" s="98"/>
      <c r="I553" s="89" t="str">
        <f>IFERROR(VLOOKUP(F553,'Employees List'!$C:$F,2,0),"")</f>
        <v/>
      </c>
      <c r="J553" s="93" t="str">
        <f>IFERROR(VLOOKUP(C553,'Employees List'!$B$2:$G$991,5,0),"")</f>
        <v/>
      </c>
      <c r="K553" s="95" t="str">
        <f>IFERROR(VLOOKUP(F553,'Employees List'!$C$1:$AB$991,5,0),"")</f>
        <v/>
      </c>
      <c r="L553" s="91">
        <f t="shared" si="3"/>
        <v>0</v>
      </c>
      <c r="M553" s="91">
        <f t="shared" si="4"/>
        <v>0</v>
      </c>
      <c r="N553" s="89" t="str">
        <f>IFERROR(VLOOKUP(B553,'Employees List'!$A$2:$H$991,8,0),"")</f>
        <v/>
      </c>
      <c r="O553" s="89" t="str">
        <f>IFERROR(VLOOKUP(D553,'Daily Attendance Report 24-25'!A517:BP999,5,0),"")</f>
        <v/>
      </c>
      <c r="P553" s="89" t="str">
        <f>IFERROR(VLOOKUP(E553,'Daily Attendance Report 24-25'!$A$1:$BO$617,5,0),"")</f>
        <v/>
      </c>
      <c r="Q553" s="89"/>
      <c r="R553" s="89"/>
      <c r="S553" s="89" t="str">
        <f t="shared" si="17"/>
        <v>#DIV/0!</v>
      </c>
      <c r="T553" s="89" t="str">
        <f t="shared" si="6"/>
        <v>#DIV/0!</v>
      </c>
      <c r="U553" s="89" t="str">
        <f t="shared" si="25"/>
        <v>#DIV/0!</v>
      </c>
      <c r="V553" s="89" t="str">
        <f t="shared" si="24"/>
        <v>#DIV/0!</v>
      </c>
      <c r="W553" s="89" t="str">
        <f t="shared" si="9"/>
        <v>#DIV/0!</v>
      </c>
      <c r="X553" s="89"/>
      <c r="Y553" s="89"/>
      <c r="Z553" s="89"/>
      <c r="AA553" s="89"/>
      <c r="AB553" s="89"/>
      <c r="AC553" s="89"/>
      <c r="AD553" s="89"/>
      <c r="AE553" s="89"/>
      <c r="AF553" s="89"/>
      <c r="AG553" s="89"/>
      <c r="AH553" s="89"/>
    </row>
    <row r="554">
      <c r="A554" s="8" t="s">
        <v>692</v>
      </c>
      <c r="B554" s="97"/>
      <c r="C554" s="8"/>
      <c r="D554" s="89" t="str">
        <f t="shared" si="1"/>
        <v/>
      </c>
      <c r="E554" s="89" t="str">
        <f t="shared" si="2"/>
        <v>OT Hours</v>
      </c>
      <c r="F554" s="89" t="str">
        <f>IFERROR(VLOOKUP(C554,'Employees List'!$B$1:$G$999,2,0),"")</f>
        <v/>
      </c>
      <c r="G554" s="89" t="str">
        <f t="shared" si="23"/>
        <v>#DIV/0!</v>
      </c>
      <c r="H554" s="98"/>
      <c r="I554" s="89" t="str">
        <f>IFERROR(VLOOKUP(F554,'Employees List'!$C:$F,2,0),"")</f>
        <v/>
      </c>
      <c r="J554" s="93" t="str">
        <f>IFERROR(VLOOKUP(C554,'Employees List'!$B$2:$G$991,5,0),"")</f>
        <v/>
      </c>
      <c r="K554" s="95" t="str">
        <f>IFERROR(VLOOKUP(F554,'Employees List'!$C$1:$AB$991,5,0),"")</f>
        <v/>
      </c>
      <c r="L554" s="91">
        <f t="shared" si="3"/>
        <v>0</v>
      </c>
      <c r="M554" s="91">
        <f t="shared" si="4"/>
        <v>0</v>
      </c>
      <c r="N554" s="89" t="str">
        <f>IFERROR(VLOOKUP(B554,'Employees List'!$A$2:$H$991,8,0),"")</f>
        <v/>
      </c>
      <c r="O554" s="89" t="str">
        <f>IFERROR(VLOOKUP(D554,'Daily Attendance Report 24-25'!A518:BP999,5,0),"")</f>
        <v/>
      </c>
      <c r="P554" s="89" t="str">
        <f>IFERROR(VLOOKUP(E554,'Daily Attendance Report 24-25'!$A$1:$BO$617,5,0),"")</f>
        <v/>
      </c>
      <c r="Q554" s="89"/>
      <c r="R554" s="89"/>
      <c r="S554" s="89" t="str">
        <f t="shared" si="17"/>
        <v>#DIV/0!</v>
      </c>
      <c r="T554" s="89" t="str">
        <f t="shared" si="6"/>
        <v>#DIV/0!</v>
      </c>
      <c r="U554" s="89" t="str">
        <f t="shared" si="25"/>
        <v>#DIV/0!</v>
      </c>
      <c r="V554" s="89" t="str">
        <f t="shared" si="24"/>
        <v>#DIV/0!</v>
      </c>
      <c r="W554" s="89" t="str">
        <f t="shared" si="9"/>
        <v>#DIV/0!</v>
      </c>
      <c r="X554" s="89"/>
      <c r="Y554" s="89"/>
      <c r="Z554" s="89"/>
      <c r="AA554" s="89"/>
      <c r="AB554" s="89"/>
      <c r="AC554" s="89"/>
      <c r="AD554" s="89"/>
      <c r="AE554" s="89"/>
      <c r="AF554" s="89"/>
      <c r="AG554" s="89"/>
      <c r="AH554" s="89"/>
    </row>
    <row r="555">
      <c r="A555" s="8" t="s">
        <v>693</v>
      </c>
      <c r="B555" s="97"/>
      <c r="C555" s="8"/>
      <c r="D555" s="89" t="str">
        <f t="shared" si="1"/>
        <v/>
      </c>
      <c r="E555" s="89" t="str">
        <f t="shared" si="2"/>
        <v>OT Hours</v>
      </c>
      <c r="F555" s="89" t="str">
        <f>IFERROR(VLOOKUP(C555,'Employees List'!$B$1:$G$999,2,0),"")</f>
        <v/>
      </c>
      <c r="G555" s="89" t="str">
        <f t="shared" si="23"/>
        <v>#DIV/0!</v>
      </c>
      <c r="H555" s="98"/>
      <c r="I555" s="89" t="str">
        <f>IFERROR(VLOOKUP(F555,'Employees List'!$C:$F,2,0),"")</f>
        <v/>
      </c>
      <c r="J555" s="93" t="str">
        <f>IFERROR(VLOOKUP(C555,'Employees List'!$B$2:$G$991,5,0),"")</f>
        <v/>
      </c>
      <c r="K555" s="95" t="str">
        <f>IFERROR(VLOOKUP(F555,'Employees List'!$C$1:$AB$991,5,0),"")</f>
        <v/>
      </c>
      <c r="L555" s="91">
        <f t="shared" si="3"/>
        <v>0</v>
      </c>
      <c r="M555" s="91">
        <f t="shared" si="4"/>
        <v>0</v>
      </c>
      <c r="N555" s="89" t="str">
        <f>IFERROR(VLOOKUP(B555,'Employees List'!$A$2:$H$991,8,0),"")</f>
        <v/>
      </c>
      <c r="O555" s="89" t="str">
        <f>IFERROR(VLOOKUP(D555,'Daily Attendance Report 24-25'!A519:BP999,5,0),"")</f>
        <v/>
      </c>
      <c r="P555" s="89" t="str">
        <f>IFERROR(VLOOKUP(E555,'Daily Attendance Report 24-25'!$A$1:$BO$617,5,0),"")</f>
        <v/>
      </c>
      <c r="Q555" s="89"/>
      <c r="R555" s="89"/>
      <c r="S555" s="89" t="str">
        <f t="shared" si="17"/>
        <v>#DIV/0!</v>
      </c>
      <c r="T555" s="89" t="str">
        <f t="shared" si="6"/>
        <v>#DIV/0!</v>
      </c>
      <c r="U555" s="89" t="str">
        <f t="shared" si="25"/>
        <v>#DIV/0!</v>
      </c>
      <c r="V555" s="89" t="str">
        <f t="shared" si="24"/>
        <v>#DIV/0!</v>
      </c>
      <c r="W555" s="89" t="str">
        <f t="shared" si="9"/>
        <v>#DIV/0!</v>
      </c>
      <c r="X555" s="89"/>
      <c r="Y555" s="89"/>
      <c r="Z555" s="89"/>
      <c r="AA555" s="89"/>
      <c r="AB555" s="89"/>
      <c r="AC555" s="89"/>
      <c r="AD555" s="89"/>
      <c r="AE555" s="89"/>
      <c r="AF555" s="89"/>
      <c r="AG555" s="89"/>
      <c r="AH555" s="89"/>
    </row>
    <row r="556">
      <c r="A556" s="8" t="s">
        <v>694</v>
      </c>
      <c r="B556" s="97"/>
      <c r="C556" s="8"/>
      <c r="D556" s="89" t="str">
        <f t="shared" si="1"/>
        <v/>
      </c>
      <c r="E556" s="89" t="str">
        <f t="shared" si="2"/>
        <v>OT Hours</v>
      </c>
      <c r="F556" s="89" t="str">
        <f>IFERROR(VLOOKUP(C556,'Employees List'!$B$1:$G$999,2,0),"")</f>
        <v/>
      </c>
      <c r="G556" s="89" t="str">
        <f t="shared" si="23"/>
        <v>#DIV/0!</v>
      </c>
      <c r="H556" s="98"/>
      <c r="I556" s="89" t="str">
        <f>IFERROR(VLOOKUP(F556,'Employees List'!$C:$F,2,0),"")</f>
        <v/>
      </c>
      <c r="J556" s="93" t="str">
        <f>IFERROR(VLOOKUP(C556,'Employees List'!$B$2:$G$991,5,0),"")</f>
        <v/>
      </c>
      <c r="K556" s="95" t="str">
        <f>IFERROR(VLOOKUP(F556,'Employees List'!$C$1:$AB$991,5,0),"")</f>
        <v/>
      </c>
      <c r="L556" s="91">
        <f t="shared" si="3"/>
        <v>0</v>
      </c>
      <c r="M556" s="91">
        <f t="shared" si="4"/>
        <v>0</v>
      </c>
      <c r="N556" s="89" t="str">
        <f>IFERROR(VLOOKUP(B556,'Employees List'!$A$2:$H$991,8,0),"")</f>
        <v/>
      </c>
      <c r="O556" s="89" t="str">
        <f>IFERROR(VLOOKUP(D556,'Daily Attendance Report 24-25'!A520:BP999,5,0),"")</f>
        <v/>
      </c>
      <c r="P556" s="89" t="str">
        <f>IFERROR(VLOOKUP(E556,'Daily Attendance Report 24-25'!$A$1:$BO$617,5,0),"")</f>
        <v/>
      </c>
      <c r="Q556" s="89"/>
      <c r="R556" s="89"/>
      <c r="S556" s="89" t="str">
        <f t="shared" si="17"/>
        <v>#DIV/0!</v>
      </c>
      <c r="T556" s="89" t="str">
        <f t="shared" si="6"/>
        <v>#DIV/0!</v>
      </c>
      <c r="U556" s="89" t="str">
        <f t="shared" si="25"/>
        <v>#DIV/0!</v>
      </c>
      <c r="V556" s="89" t="str">
        <f t="shared" si="24"/>
        <v>#DIV/0!</v>
      </c>
      <c r="W556" s="89" t="str">
        <f t="shared" si="9"/>
        <v>#DIV/0!</v>
      </c>
      <c r="X556" s="89"/>
      <c r="Y556" s="89"/>
      <c r="Z556" s="89"/>
      <c r="AA556" s="89"/>
      <c r="AB556" s="89"/>
      <c r="AC556" s="89"/>
      <c r="AD556" s="89"/>
      <c r="AE556" s="89"/>
      <c r="AF556" s="89"/>
      <c r="AG556" s="89"/>
      <c r="AH556" s="89"/>
    </row>
    <row r="557">
      <c r="A557" s="8" t="s">
        <v>695</v>
      </c>
      <c r="B557" s="97"/>
      <c r="C557" s="8"/>
      <c r="D557" s="89" t="str">
        <f t="shared" si="1"/>
        <v/>
      </c>
      <c r="E557" s="89" t="str">
        <f t="shared" si="2"/>
        <v>OT Hours</v>
      </c>
      <c r="F557" s="89" t="str">
        <f>IFERROR(VLOOKUP(C557,'Employees List'!$B$1:$G$999,2,0),"")</f>
        <v/>
      </c>
      <c r="G557" s="89" t="str">
        <f t="shared" si="23"/>
        <v>#DIV/0!</v>
      </c>
      <c r="H557" s="98"/>
      <c r="I557" s="89" t="str">
        <f>IFERROR(VLOOKUP(F557,'Employees List'!$C:$F,2,0),"")</f>
        <v/>
      </c>
      <c r="J557" s="93" t="str">
        <f>IFERROR(VLOOKUP(C557,'Employees List'!$B$2:$G$991,5,0),"")</f>
        <v/>
      </c>
      <c r="K557" s="95" t="str">
        <f>IFERROR(VLOOKUP(F557,'Employees List'!$C$1:$AB$991,5,0),"")</f>
        <v/>
      </c>
      <c r="L557" s="91">
        <f t="shared" si="3"/>
        <v>0</v>
      </c>
      <c r="M557" s="91">
        <f t="shared" si="4"/>
        <v>0</v>
      </c>
      <c r="N557" s="89" t="str">
        <f>IFERROR(VLOOKUP(B557,'Employees List'!$A$2:$H$991,8,0),"")</f>
        <v/>
      </c>
      <c r="O557" s="89" t="str">
        <f>IFERROR(VLOOKUP(D557,'Daily Attendance Report 24-25'!A521:BP999,5,0),"")</f>
        <v/>
      </c>
      <c r="P557" s="89" t="str">
        <f>IFERROR(VLOOKUP(E557,'Daily Attendance Report 24-25'!$A$1:$BO$617,5,0),"")</f>
        <v/>
      </c>
      <c r="Q557" s="89"/>
      <c r="R557" s="89"/>
      <c r="S557" s="89" t="str">
        <f t="shared" si="17"/>
        <v>#DIV/0!</v>
      </c>
      <c r="T557" s="89" t="str">
        <f t="shared" si="6"/>
        <v>#DIV/0!</v>
      </c>
      <c r="U557" s="89" t="str">
        <f t="shared" si="25"/>
        <v>#DIV/0!</v>
      </c>
      <c r="V557" s="89" t="str">
        <f t="shared" si="24"/>
        <v>#DIV/0!</v>
      </c>
      <c r="W557" s="89" t="str">
        <f t="shared" si="9"/>
        <v>#DIV/0!</v>
      </c>
      <c r="X557" s="89"/>
      <c r="Y557" s="89"/>
      <c r="Z557" s="89"/>
      <c r="AA557" s="89"/>
      <c r="AB557" s="89"/>
      <c r="AC557" s="89"/>
      <c r="AD557" s="89"/>
      <c r="AE557" s="89"/>
      <c r="AF557" s="89"/>
      <c r="AG557" s="89"/>
      <c r="AH557" s="89"/>
    </row>
    <row r="558">
      <c r="A558" s="8" t="s">
        <v>696</v>
      </c>
      <c r="B558" s="97"/>
      <c r="C558" s="8"/>
      <c r="D558" s="89" t="str">
        <f t="shared" si="1"/>
        <v/>
      </c>
      <c r="E558" s="89" t="str">
        <f t="shared" si="2"/>
        <v>OT Hours</v>
      </c>
      <c r="F558" s="89" t="str">
        <f>IFERROR(VLOOKUP(C558,'Employees List'!$B$1:$G$999,2,0),"")</f>
        <v/>
      </c>
      <c r="G558" s="89" t="str">
        <f t="shared" si="23"/>
        <v>#DIV/0!</v>
      </c>
      <c r="H558" s="98"/>
      <c r="I558" s="89" t="str">
        <f>IFERROR(VLOOKUP(F558,'Employees List'!$C:$F,2,0),"")</f>
        <v/>
      </c>
      <c r="J558" s="93" t="str">
        <f>IFERROR(VLOOKUP(C558,'Employees List'!$B$2:$G$991,5,0),"")</f>
        <v/>
      </c>
      <c r="K558" s="95" t="str">
        <f>IFERROR(VLOOKUP(F558,'Employees List'!$C$1:$AB$991,5,0),"")</f>
        <v/>
      </c>
      <c r="L558" s="91">
        <f t="shared" si="3"/>
        <v>0</v>
      </c>
      <c r="M558" s="91">
        <f t="shared" si="4"/>
        <v>0</v>
      </c>
      <c r="N558" s="89" t="str">
        <f>IFERROR(VLOOKUP(B558,'Employees List'!$A$2:$H$991,8,0),"")</f>
        <v/>
      </c>
      <c r="O558" s="89" t="str">
        <f>IFERROR(VLOOKUP(D558,'Daily Attendance Report 24-25'!A522:BP999,5,0),"")</f>
        <v/>
      </c>
      <c r="P558" s="89" t="str">
        <f>IFERROR(VLOOKUP(E558,'Daily Attendance Report 24-25'!$A$1:$BO$617,5,0),"")</f>
        <v/>
      </c>
      <c r="Q558" s="89"/>
      <c r="R558" s="89"/>
      <c r="S558" s="89" t="str">
        <f t="shared" si="17"/>
        <v>#DIV/0!</v>
      </c>
      <c r="T558" s="89" t="str">
        <f t="shared" si="6"/>
        <v>#DIV/0!</v>
      </c>
      <c r="U558" s="89" t="str">
        <f t="shared" si="25"/>
        <v>#DIV/0!</v>
      </c>
      <c r="V558" s="89" t="str">
        <f t="shared" si="24"/>
        <v>#DIV/0!</v>
      </c>
      <c r="W558" s="89" t="str">
        <f t="shared" si="9"/>
        <v>#DIV/0!</v>
      </c>
      <c r="X558" s="89"/>
      <c r="Y558" s="89"/>
      <c r="Z558" s="89"/>
      <c r="AA558" s="89"/>
      <c r="AB558" s="89"/>
      <c r="AC558" s="89"/>
      <c r="AD558" s="89"/>
      <c r="AE558" s="89"/>
      <c r="AF558" s="89"/>
      <c r="AG558" s="89"/>
      <c r="AH558" s="89"/>
    </row>
    <row r="559">
      <c r="A559" s="8" t="s">
        <v>697</v>
      </c>
      <c r="B559" s="97"/>
      <c r="C559" s="8"/>
      <c r="D559" s="89" t="str">
        <f t="shared" si="1"/>
        <v/>
      </c>
      <c r="E559" s="89" t="str">
        <f t="shared" si="2"/>
        <v>OT Hours</v>
      </c>
      <c r="F559" s="89" t="str">
        <f>IFERROR(VLOOKUP(C559,'Employees List'!$B$1:$G$999,2,0),"")</f>
        <v/>
      </c>
      <c r="G559" s="89" t="str">
        <f t="shared" si="23"/>
        <v>#DIV/0!</v>
      </c>
      <c r="H559" s="98"/>
      <c r="I559" s="89" t="str">
        <f>IFERROR(VLOOKUP(F559,'Employees List'!$C:$F,2,0),"")</f>
        <v/>
      </c>
      <c r="J559" s="93" t="str">
        <f>IFERROR(VLOOKUP(C559,'Employees List'!$B$2:$G$991,5,0),"")</f>
        <v/>
      </c>
      <c r="K559" s="95" t="str">
        <f>IFERROR(VLOOKUP(F559,'Employees List'!$C$1:$AB$991,5,0),"")</f>
        <v/>
      </c>
      <c r="L559" s="91">
        <f t="shared" si="3"/>
        <v>0</v>
      </c>
      <c r="M559" s="91">
        <f t="shared" si="4"/>
        <v>0</v>
      </c>
      <c r="N559" s="89" t="str">
        <f>IFERROR(VLOOKUP(B559,'Employees List'!$A$2:$H$991,8,0),"")</f>
        <v/>
      </c>
      <c r="O559" s="89" t="str">
        <f>IFERROR(VLOOKUP(D559,'Daily Attendance Report 24-25'!A523:BP999,5,0),"")</f>
        <v/>
      </c>
      <c r="P559" s="89" t="str">
        <f>IFERROR(VLOOKUP(E559,'Daily Attendance Report 24-25'!$A$1:$BO$617,5,0),"")</f>
        <v/>
      </c>
      <c r="Q559" s="89"/>
      <c r="R559" s="89"/>
      <c r="S559" s="89" t="str">
        <f t="shared" si="17"/>
        <v>#DIV/0!</v>
      </c>
      <c r="T559" s="89" t="str">
        <f t="shared" si="6"/>
        <v>#DIV/0!</v>
      </c>
      <c r="U559" s="89" t="str">
        <f t="shared" si="25"/>
        <v>#DIV/0!</v>
      </c>
      <c r="V559" s="89" t="str">
        <f t="shared" si="24"/>
        <v>#DIV/0!</v>
      </c>
      <c r="W559" s="89" t="str">
        <f t="shared" si="9"/>
        <v>#DIV/0!</v>
      </c>
      <c r="X559" s="89"/>
      <c r="Y559" s="89"/>
      <c r="Z559" s="89"/>
      <c r="AA559" s="89"/>
      <c r="AB559" s="89"/>
      <c r="AC559" s="89"/>
      <c r="AD559" s="89"/>
      <c r="AE559" s="89"/>
      <c r="AF559" s="89"/>
      <c r="AG559" s="89"/>
      <c r="AH559" s="89"/>
    </row>
    <row r="560">
      <c r="A560" s="8" t="s">
        <v>698</v>
      </c>
      <c r="B560" s="97"/>
      <c r="C560" s="8"/>
      <c r="D560" s="89" t="str">
        <f t="shared" si="1"/>
        <v/>
      </c>
      <c r="E560" s="89" t="str">
        <f t="shared" si="2"/>
        <v>OT Hours</v>
      </c>
      <c r="F560" s="89" t="str">
        <f>IFERROR(VLOOKUP(C560,'Employees List'!$B$1:$G$999,2,0),"")</f>
        <v/>
      </c>
      <c r="G560" s="89" t="str">
        <f t="shared" si="23"/>
        <v>#DIV/0!</v>
      </c>
      <c r="H560" s="98"/>
      <c r="I560" s="89" t="str">
        <f>IFERROR(VLOOKUP(F560,'Employees List'!$C:$F,2,0),"")</f>
        <v/>
      </c>
      <c r="J560" s="93" t="str">
        <f>IFERROR(VLOOKUP(C560,'Employees List'!$B$2:$G$991,5,0),"")</f>
        <v/>
      </c>
      <c r="K560" s="95" t="str">
        <f>IFERROR(VLOOKUP(F560,'Employees List'!$C$1:$AB$991,5,0),"")</f>
        <v/>
      </c>
      <c r="L560" s="91">
        <f t="shared" si="3"/>
        <v>0</v>
      </c>
      <c r="M560" s="91">
        <f t="shared" si="4"/>
        <v>0</v>
      </c>
      <c r="N560" s="89" t="str">
        <f>IFERROR(VLOOKUP(B560,'Employees List'!$A$2:$H$991,8,0),"")</f>
        <v/>
      </c>
      <c r="O560" s="89" t="str">
        <f>IFERROR(VLOOKUP(D560,'Daily Attendance Report 24-25'!A524:BP999,5,0),"")</f>
        <v/>
      </c>
      <c r="P560" s="89" t="str">
        <f>IFERROR(VLOOKUP(E560,'Daily Attendance Report 24-25'!$A$1:$BO$617,5,0),"")</f>
        <v/>
      </c>
      <c r="Q560" s="89"/>
      <c r="R560" s="89"/>
      <c r="S560" s="89" t="str">
        <f t="shared" si="17"/>
        <v>#DIV/0!</v>
      </c>
      <c r="T560" s="89" t="str">
        <f t="shared" si="6"/>
        <v>#DIV/0!</v>
      </c>
      <c r="U560" s="89" t="str">
        <f t="shared" si="25"/>
        <v>#DIV/0!</v>
      </c>
      <c r="V560" s="89" t="str">
        <f t="shared" si="24"/>
        <v>#DIV/0!</v>
      </c>
      <c r="W560" s="89" t="str">
        <f t="shared" si="9"/>
        <v>#DIV/0!</v>
      </c>
      <c r="X560" s="89"/>
      <c r="Y560" s="89"/>
      <c r="Z560" s="89"/>
      <c r="AA560" s="89"/>
      <c r="AB560" s="89"/>
      <c r="AC560" s="89"/>
      <c r="AD560" s="89"/>
      <c r="AE560" s="89"/>
      <c r="AF560" s="89"/>
      <c r="AG560" s="89"/>
      <c r="AH560" s="89"/>
    </row>
    <row r="561">
      <c r="A561" s="8" t="s">
        <v>699</v>
      </c>
      <c r="B561" s="97"/>
      <c r="C561" s="8"/>
      <c r="D561" s="89" t="str">
        <f t="shared" si="1"/>
        <v/>
      </c>
      <c r="E561" s="89" t="str">
        <f t="shared" si="2"/>
        <v>OT Hours</v>
      </c>
      <c r="F561" s="89" t="str">
        <f>IFERROR(VLOOKUP(C561,'Employees List'!$B$1:$G$999,2,0),"")</f>
        <v/>
      </c>
      <c r="G561" s="89" t="str">
        <f t="shared" si="23"/>
        <v>#DIV/0!</v>
      </c>
      <c r="H561" s="98"/>
      <c r="I561" s="89" t="str">
        <f>IFERROR(VLOOKUP(F561,'Employees List'!$C:$F,2,0),"")</f>
        <v/>
      </c>
      <c r="J561" s="93" t="str">
        <f>IFERROR(VLOOKUP(C561,'Employees List'!$B$2:$G$991,5,0),"")</f>
        <v/>
      </c>
      <c r="K561" s="95" t="str">
        <f>IFERROR(VLOOKUP(F561,'Employees List'!$C$1:$AB$991,5,0),"")</f>
        <v/>
      </c>
      <c r="L561" s="91">
        <f t="shared" si="3"/>
        <v>0</v>
      </c>
      <c r="M561" s="91">
        <f t="shared" si="4"/>
        <v>0</v>
      </c>
      <c r="N561" s="89" t="str">
        <f>IFERROR(VLOOKUP(B561,'Employees List'!$A$2:$H$991,8,0),"")</f>
        <v/>
      </c>
      <c r="O561" s="89" t="str">
        <f>IFERROR(VLOOKUP(D561,'Daily Attendance Report 24-25'!A525:BP999,5,0),"")</f>
        <v/>
      </c>
      <c r="P561" s="89" t="str">
        <f>IFERROR(VLOOKUP(E561,'Daily Attendance Report 24-25'!$A$1:$BO$617,5,0),"")</f>
        <v/>
      </c>
      <c r="Q561" s="89"/>
      <c r="R561" s="89"/>
      <c r="S561" s="89" t="str">
        <f t="shared" si="17"/>
        <v>#DIV/0!</v>
      </c>
      <c r="T561" s="89" t="str">
        <f t="shared" si="6"/>
        <v>#DIV/0!</v>
      </c>
      <c r="U561" s="89" t="str">
        <f t="shared" si="25"/>
        <v>#DIV/0!</v>
      </c>
      <c r="V561" s="89" t="str">
        <f t="shared" si="24"/>
        <v>#DIV/0!</v>
      </c>
      <c r="W561" s="89" t="str">
        <f t="shared" si="9"/>
        <v>#DIV/0!</v>
      </c>
      <c r="X561" s="89"/>
      <c r="Y561" s="89"/>
      <c r="Z561" s="89"/>
      <c r="AA561" s="89"/>
      <c r="AB561" s="89"/>
      <c r="AC561" s="89"/>
      <c r="AD561" s="89"/>
      <c r="AE561" s="89"/>
      <c r="AF561" s="89"/>
      <c r="AG561" s="89"/>
      <c r="AH561" s="89"/>
    </row>
    <row r="562">
      <c r="A562" s="8" t="s">
        <v>700</v>
      </c>
      <c r="B562" s="97"/>
      <c r="C562" s="8"/>
      <c r="D562" s="89" t="str">
        <f t="shared" si="1"/>
        <v/>
      </c>
      <c r="E562" s="89" t="str">
        <f t="shared" si="2"/>
        <v>OT Hours</v>
      </c>
      <c r="F562" s="89" t="str">
        <f>IFERROR(VLOOKUP(C562,'Employees List'!$B$1:$G$999,2,0),"")</f>
        <v/>
      </c>
      <c r="G562" s="89" t="str">
        <f t="shared" si="23"/>
        <v>#DIV/0!</v>
      </c>
      <c r="H562" s="98"/>
      <c r="I562" s="89" t="str">
        <f>IFERROR(VLOOKUP(F562,'Employees List'!$C:$F,2,0),"")</f>
        <v/>
      </c>
      <c r="J562" s="93" t="str">
        <f>IFERROR(VLOOKUP(C562,'Employees List'!$B$2:$G$991,5,0),"")</f>
        <v/>
      </c>
      <c r="K562" s="95" t="str">
        <f>IFERROR(VLOOKUP(F562,'Employees List'!$C$1:$AB$991,5,0),"")</f>
        <v/>
      </c>
      <c r="L562" s="91">
        <f t="shared" si="3"/>
        <v>0</v>
      </c>
      <c r="M562" s="91">
        <f t="shared" si="4"/>
        <v>0</v>
      </c>
      <c r="N562" s="89" t="str">
        <f>IFERROR(VLOOKUP(B562,'Employees List'!$A$2:$H$991,8,0),"")</f>
        <v/>
      </c>
      <c r="O562" s="89" t="str">
        <f>IFERROR(VLOOKUP(D562,'Daily Attendance Report 24-25'!A526:BP999,5,0),"")</f>
        <v/>
      </c>
      <c r="P562" s="89" t="str">
        <f>IFERROR(VLOOKUP(E562,'Daily Attendance Report 24-25'!$A$1:$BO$617,5,0),"")</f>
        <v/>
      </c>
      <c r="Q562" s="89"/>
      <c r="R562" s="89"/>
      <c r="S562" s="89" t="str">
        <f t="shared" si="17"/>
        <v>#DIV/0!</v>
      </c>
      <c r="T562" s="89" t="str">
        <f t="shared" si="6"/>
        <v>#DIV/0!</v>
      </c>
      <c r="U562" s="89" t="str">
        <f t="shared" si="25"/>
        <v>#DIV/0!</v>
      </c>
      <c r="V562" s="89" t="str">
        <f t="shared" si="24"/>
        <v>#DIV/0!</v>
      </c>
      <c r="W562" s="89" t="str">
        <f t="shared" si="9"/>
        <v>#DIV/0!</v>
      </c>
      <c r="X562" s="89"/>
      <c r="Y562" s="89"/>
      <c r="Z562" s="89"/>
      <c r="AA562" s="89"/>
      <c r="AB562" s="89"/>
      <c r="AC562" s="89"/>
      <c r="AD562" s="89"/>
      <c r="AE562" s="89"/>
      <c r="AF562" s="89"/>
      <c r="AG562" s="89"/>
      <c r="AH562" s="89"/>
    </row>
    <row r="563">
      <c r="A563" s="8" t="s">
        <v>701</v>
      </c>
      <c r="B563" s="97"/>
      <c r="C563" s="8"/>
      <c r="D563" s="89" t="str">
        <f t="shared" si="1"/>
        <v/>
      </c>
      <c r="E563" s="89" t="str">
        <f t="shared" si="2"/>
        <v>OT Hours</v>
      </c>
      <c r="F563" s="89" t="str">
        <f>IFERROR(VLOOKUP(C563,'Employees List'!$B$1:$G$999,2,0),"")</f>
        <v/>
      </c>
      <c r="G563" s="89" t="str">
        <f t="shared" si="23"/>
        <v>#DIV/0!</v>
      </c>
      <c r="H563" s="98"/>
      <c r="I563" s="89" t="str">
        <f>IFERROR(VLOOKUP(F563,'Employees List'!$C:$F,2,0),"")</f>
        <v/>
      </c>
      <c r="J563" s="93" t="str">
        <f>IFERROR(VLOOKUP(C563,'Employees List'!$B$2:$G$991,5,0),"")</f>
        <v/>
      </c>
      <c r="K563" s="95" t="str">
        <f>IFERROR(VLOOKUP(F563,'Employees List'!$C$1:$AB$991,5,0),"")</f>
        <v/>
      </c>
      <c r="L563" s="91">
        <f t="shared" si="3"/>
        <v>0</v>
      </c>
      <c r="M563" s="91">
        <f t="shared" si="4"/>
        <v>0</v>
      </c>
      <c r="N563" s="89" t="str">
        <f>IFERROR(VLOOKUP(B563,'Employees List'!$A$2:$H$991,8,0),"")</f>
        <v/>
      </c>
      <c r="O563" s="89" t="str">
        <f>IFERROR(VLOOKUP(D563,'Daily Attendance Report 24-25'!A527:BP999,5,0),"")</f>
        <v/>
      </c>
      <c r="P563" s="89" t="str">
        <f>IFERROR(VLOOKUP(E563,'Daily Attendance Report 24-25'!$A$1:$BO$617,5,0),"")</f>
        <v/>
      </c>
      <c r="Q563" s="89"/>
      <c r="R563" s="89"/>
      <c r="S563" s="89" t="str">
        <f t="shared" si="17"/>
        <v>#DIV/0!</v>
      </c>
      <c r="T563" s="89" t="str">
        <f t="shared" si="6"/>
        <v>#DIV/0!</v>
      </c>
      <c r="U563" s="89" t="str">
        <f t="shared" si="25"/>
        <v>#DIV/0!</v>
      </c>
      <c r="V563" s="89" t="str">
        <f t="shared" si="24"/>
        <v>#DIV/0!</v>
      </c>
      <c r="W563" s="89" t="str">
        <f t="shared" si="9"/>
        <v>#DIV/0!</v>
      </c>
      <c r="X563" s="89"/>
      <c r="Y563" s="89"/>
      <c r="Z563" s="89"/>
      <c r="AA563" s="89"/>
      <c r="AB563" s="89"/>
      <c r="AC563" s="89"/>
      <c r="AD563" s="89"/>
      <c r="AE563" s="89"/>
      <c r="AF563" s="89"/>
      <c r="AG563" s="89"/>
      <c r="AH563" s="89"/>
    </row>
    <row r="564">
      <c r="A564" s="8" t="s">
        <v>702</v>
      </c>
      <c r="B564" s="97"/>
      <c r="C564" s="8"/>
      <c r="D564" s="89" t="str">
        <f t="shared" si="1"/>
        <v/>
      </c>
      <c r="E564" s="89" t="str">
        <f t="shared" si="2"/>
        <v>OT Hours</v>
      </c>
      <c r="F564" s="89" t="str">
        <f>IFERROR(VLOOKUP(C564,'Employees List'!$B$1:$G$999,2,0),"")</f>
        <v/>
      </c>
      <c r="G564" s="89" t="str">
        <f t="shared" si="23"/>
        <v>#DIV/0!</v>
      </c>
      <c r="H564" s="98"/>
      <c r="I564" s="89" t="str">
        <f>IFERROR(VLOOKUP(F564,'Employees List'!$C:$F,2,0),"")</f>
        <v/>
      </c>
      <c r="J564" s="93" t="str">
        <f>IFERROR(VLOOKUP(C564,'Employees List'!$B$2:$G$991,5,0),"")</f>
        <v/>
      </c>
      <c r="K564" s="95" t="str">
        <f>IFERROR(VLOOKUP(F564,'Employees List'!$C$1:$AB$991,5,0),"")</f>
        <v/>
      </c>
      <c r="L564" s="91">
        <f t="shared" si="3"/>
        <v>0</v>
      </c>
      <c r="M564" s="91">
        <f t="shared" si="4"/>
        <v>0</v>
      </c>
      <c r="N564" s="89" t="str">
        <f>IFERROR(VLOOKUP(B564,'Employees List'!$A$2:$H$991,8,0),"")</f>
        <v/>
      </c>
      <c r="O564" s="89" t="str">
        <f>IFERROR(VLOOKUP(D564,'Daily Attendance Report 24-25'!A528:BP999,5,0),"")</f>
        <v/>
      </c>
      <c r="P564" s="89" t="str">
        <f>IFERROR(VLOOKUP(E564,'Daily Attendance Report 24-25'!$A$1:$BO$617,5,0),"")</f>
        <v/>
      </c>
      <c r="Q564" s="89"/>
      <c r="R564" s="89"/>
      <c r="S564" s="89" t="str">
        <f t="shared" si="17"/>
        <v>#DIV/0!</v>
      </c>
      <c r="T564" s="89" t="str">
        <f t="shared" si="6"/>
        <v>#DIV/0!</v>
      </c>
      <c r="U564" s="89" t="str">
        <f t="shared" si="25"/>
        <v>#DIV/0!</v>
      </c>
      <c r="V564" s="89" t="str">
        <f t="shared" si="24"/>
        <v>#DIV/0!</v>
      </c>
      <c r="W564" s="89" t="str">
        <f t="shared" si="9"/>
        <v>#DIV/0!</v>
      </c>
      <c r="X564" s="89"/>
      <c r="Y564" s="89"/>
      <c r="Z564" s="89"/>
      <c r="AA564" s="89"/>
      <c r="AB564" s="89"/>
      <c r="AC564" s="89"/>
      <c r="AD564" s="89"/>
      <c r="AE564" s="89"/>
      <c r="AF564" s="89"/>
      <c r="AG564" s="89"/>
      <c r="AH564" s="89"/>
    </row>
    <row r="565">
      <c r="A565" s="8" t="s">
        <v>703</v>
      </c>
      <c r="B565" s="97"/>
      <c r="C565" s="8"/>
      <c r="D565" s="89" t="str">
        <f t="shared" si="1"/>
        <v/>
      </c>
      <c r="E565" s="89" t="str">
        <f t="shared" si="2"/>
        <v>OT Hours</v>
      </c>
      <c r="F565" s="89" t="str">
        <f>IFERROR(VLOOKUP(C565,'Employees List'!$B$1:$G$999,2,0),"")</f>
        <v/>
      </c>
      <c r="G565" s="89" t="str">
        <f t="shared" si="23"/>
        <v>#DIV/0!</v>
      </c>
      <c r="H565" s="98"/>
      <c r="I565" s="89" t="str">
        <f>IFERROR(VLOOKUP(F565,'Employees List'!$C:$F,2,0),"")</f>
        <v/>
      </c>
      <c r="J565" s="93" t="str">
        <f>IFERROR(VLOOKUP(C565,'Employees List'!$B$2:$G$991,5,0),"")</f>
        <v/>
      </c>
      <c r="K565" s="95" t="str">
        <f>IFERROR(VLOOKUP(F565,'Employees List'!$C$1:$AB$991,5,0),"")</f>
        <v/>
      </c>
      <c r="L565" s="91">
        <f t="shared" si="3"/>
        <v>0</v>
      </c>
      <c r="M565" s="91">
        <f t="shared" si="4"/>
        <v>0</v>
      </c>
      <c r="N565" s="89" t="str">
        <f>IFERROR(VLOOKUP(B565,'Employees List'!$A$2:$H$991,8,0),"")</f>
        <v/>
      </c>
      <c r="O565" s="89" t="str">
        <f>IFERROR(VLOOKUP(D565,'Daily Attendance Report 24-25'!A529:BP999,5,0),"")</f>
        <v/>
      </c>
      <c r="P565" s="89" t="str">
        <f>IFERROR(VLOOKUP(E565,'Daily Attendance Report 24-25'!$A$1:$BO$617,5,0),"")</f>
        <v/>
      </c>
      <c r="Q565" s="89"/>
      <c r="R565" s="89"/>
      <c r="S565" s="89" t="str">
        <f t="shared" si="17"/>
        <v>#DIV/0!</v>
      </c>
      <c r="T565" s="89" t="str">
        <f t="shared" si="6"/>
        <v>#DIV/0!</v>
      </c>
      <c r="U565" s="89" t="str">
        <f t="shared" si="25"/>
        <v>#DIV/0!</v>
      </c>
      <c r="V565" s="89" t="str">
        <f t="shared" si="24"/>
        <v>#DIV/0!</v>
      </c>
      <c r="W565" s="89" t="str">
        <f t="shared" si="9"/>
        <v>#DIV/0!</v>
      </c>
      <c r="X565" s="89"/>
      <c r="Y565" s="89"/>
      <c r="Z565" s="89"/>
      <c r="AA565" s="89"/>
      <c r="AB565" s="89"/>
      <c r="AC565" s="89"/>
      <c r="AD565" s="89"/>
      <c r="AE565" s="89"/>
      <c r="AF565" s="89"/>
      <c r="AG565" s="89"/>
      <c r="AH565" s="89"/>
    </row>
    <row r="566">
      <c r="A566" s="8" t="s">
        <v>704</v>
      </c>
      <c r="B566" s="97"/>
      <c r="C566" s="8"/>
      <c r="D566" s="89" t="str">
        <f t="shared" si="1"/>
        <v/>
      </c>
      <c r="E566" s="89" t="str">
        <f t="shared" si="2"/>
        <v>OT Hours</v>
      </c>
      <c r="F566" s="89" t="str">
        <f>IFERROR(VLOOKUP(C566,'Employees List'!$B$1:$G$999,2,0),"")</f>
        <v/>
      </c>
      <c r="G566" s="89" t="str">
        <f t="shared" si="23"/>
        <v>#DIV/0!</v>
      </c>
      <c r="H566" s="98"/>
      <c r="I566" s="89" t="str">
        <f>IFERROR(VLOOKUP(F566,'Employees List'!$C:$F,2,0),"")</f>
        <v/>
      </c>
      <c r="J566" s="93" t="str">
        <f>IFERROR(VLOOKUP(C566,'Employees List'!$B$2:$G$991,5,0),"")</f>
        <v/>
      </c>
      <c r="K566" s="95" t="str">
        <f>IFERROR(VLOOKUP(F566,'Employees List'!$C$1:$AB$991,5,0),"")</f>
        <v/>
      </c>
      <c r="L566" s="91">
        <f t="shared" si="3"/>
        <v>0</v>
      </c>
      <c r="M566" s="91">
        <f t="shared" si="4"/>
        <v>0</v>
      </c>
      <c r="N566" s="89" t="str">
        <f>IFERROR(VLOOKUP(B566,'Employees List'!$A$2:$H$991,8,0),"")</f>
        <v/>
      </c>
      <c r="O566" s="89" t="str">
        <f>IFERROR(VLOOKUP(D566,'Daily Attendance Report 24-25'!A530:BP999,5,0),"")</f>
        <v/>
      </c>
      <c r="P566" s="89" t="str">
        <f>IFERROR(VLOOKUP(E566,'Daily Attendance Report 24-25'!$A$1:$BO$617,5,0),"")</f>
        <v/>
      </c>
      <c r="Q566" s="89"/>
      <c r="R566" s="89"/>
      <c r="S566" s="89" t="str">
        <f t="shared" si="17"/>
        <v>#DIV/0!</v>
      </c>
      <c r="T566" s="89" t="str">
        <f t="shared" si="6"/>
        <v>#DIV/0!</v>
      </c>
      <c r="U566" s="89" t="str">
        <f t="shared" si="25"/>
        <v>#DIV/0!</v>
      </c>
      <c r="V566" s="89" t="str">
        <f t="shared" si="24"/>
        <v>#DIV/0!</v>
      </c>
      <c r="W566" s="89" t="str">
        <f t="shared" si="9"/>
        <v>#DIV/0!</v>
      </c>
      <c r="X566" s="89"/>
      <c r="Y566" s="89"/>
      <c r="Z566" s="89"/>
      <c r="AA566" s="89"/>
      <c r="AB566" s="89"/>
      <c r="AC566" s="89"/>
      <c r="AD566" s="89"/>
      <c r="AE566" s="89"/>
      <c r="AF566" s="89"/>
      <c r="AG566" s="89"/>
      <c r="AH566" s="89"/>
    </row>
    <row r="567">
      <c r="A567" s="8" t="s">
        <v>705</v>
      </c>
      <c r="B567" s="97"/>
      <c r="C567" s="8"/>
      <c r="D567" s="89" t="str">
        <f t="shared" si="1"/>
        <v/>
      </c>
      <c r="E567" s="89" t="str">
        <f t="shared" si="2"/>
        <v>OT Hours</v>
      </c>
      <c r="F567" s="89" t="str">
        <f>IFERROR(VLOOKUP(C567,'Employees List'!$B$1:$G$999,2,0),"")</f>
        <v/>
      </c>
      <c r="G567" s="89" t="str">
        <f t="shared" si="23"/>
        <v>#DIV/0!</v>
      </c>
      <c r="H567" s="98"/>
      <c r="I567" s="89" t="str">
        <f>IFERROR(VLOOKUP(F567,'Employees List'!$C:$F,2,0),"")</f>
        <v/>
      </c>
      <c r="J567" s="93" t="str">
        <f>IFERROR(VLOOKUP(C567,'Employees List'!$B$2:$G$991,5,0),"")</f>
        <v/>
      </c>
      <c r="K567" s="95" t="str">
        <f>IFERROR(VLOOKUP(F567,'Employees List'!$C$1:$AB$991,5,0),"")</f>
        <v/>
      </c>
      <c r="L567" s="91">
        <f t="shared" si="3"/>
        <v>0</v>
      </c>
      <c r="M567" s="91">
        <f t="shared" si="4"/>
        <v>0</v>
      </c>
      <c r="N567" s="89" t="str">
        <f>IFERROR(VLOOKUP(B567,'Employees List'!$A$2:$H$991,8,0),"")</f>
        <v/>
      </c>
      <c r="O567" s="89" t="str">
        <f>IFERROR(VLOOKUP(D567,'Daily Attendance Report 24-25'!A531:BP999,5,0),"")</f>
        <v/>
      </c>
      <c r="P567" s="89" t="str">
        <f>IFERROR(VLOOKUP(E567,'Daily Attendance Report 24-25'!$A$1:$BO$617,5,0),"")</f>
        <v/>
      </c>
      <c r="Q567" s="89"/>
      <c r="R567" s="89"/>
      <c r="S567" s="89" t="str">
        <f t="shared" si="17"/>
        <v>#DIV/0!</v>
      </c>
      <c r="T567" s="89" t="str">
        <f t="shared" si="6"/>
        <v>#DIV/0!</v>
      </c>
      <c r="U567" s="89" t="str">
        <f t="shared" si="25"/>
        <v>#DIV/0!</v>
      </c>
      <c r="V567" s="89" t="str">
        <f t="shared" si="24"/>
        <v>#DIV/0!</v>
      </c>
      <c r="W567" s="89" t="str">
        <f t="shared" si="9"/>
        <v>#DIV/0!</v>
      </c>
      <c r="X567" s="89"/>
      <c r="Y567" s="89"/>
      <c r="Z567" s="89"/>
      <c r="AA567" s="89"/>
      <c r="AB567" s="89"/>
      <c r="AC567" s="89"/>
      <c r="AD567" s="89"/>
      <c r="AE567" s="89"/>
      <c r="AF567" s="89"/>
      <c r="AG567" s="89"/>
      <c r="AH567" s="89"/>
    </row>
    <row r="568">
      <c r="A568" s="8" t="s">
        <v>706</v>
      </c>
      <c r="B568" s="97"/>
      <c r="C568" s="8"/>
      <c r="D568" s="89" t="str">
        <f t="shared" si="1"/>
        <v/>
      </c>
      <c r="E568" s="89" t="str">
        <f t="shared" si="2"/>
        <v>OT Hours</v>
      </c>
      <c r="F568" s="89" t="str">
        <f>IFERROR(VLOOKUP(C568,'Employees List'!$B$1:$G$999,2,0),"")</f>
        <v/>
      </c>
      <c r="G568" s="89" t="str">
        <f t="shared" si="23"/>
        <v>#DIV/0!</v>
      </c>
      <c r="H568" s="98"/>
      <c r="I568" s="89" t="str">
        <f>IFERROR(VLOOKUP(F568,'Employees List'!$C:$F,2,0),"")</f>
        <v/>
      </c>
      <c r="J568" s="93" t="str">
        <f>IFERROR(VLOOKUP(C568,'Employees List'!$B$2:$G$991,5,0),"")</f>
        <v/>
      </c>
      <c r="K568" s="95" t="str">
        <f>IFERROR(VLOOKUP(F568,'Employees List'!$C$1:$AB$991,5,0),"")</f>
        <v/>
      </c>
      <c r="L568" s="91">
        <f t="shared" si="3"/>
        <v>0</v>
      </c>
      <c r="M568" s="91">
        <f t="shared" si="4"/>
        <v>0</v>
      </c>
      <c r="N568" s="89" t="str">
        <f>IFERROR(VLOOKUP(B568,'Employees List'!$A$2:$H$991,8,0),"")</f>
        <v/>
      </c>
      <c r="O568" s="89" t="str">
        <f>IFERROR(VLOOKUP(D568,'Daily Attendance Report 24-25'!A532:BP999,5,0),"")</f>
        <v/>
      </c>
      <c r="P568" s="89" t="str">
        <f>IFERROR(VLOOKUP(E568,'Daily Attendance Report 24-25'!$A$1:$BO$617,5,0),"")</f>
        <v/>
      </c>
      <c r="Q568" s="89"/>
      <c r="R568" s="89"/>
      <c r="S568" s="89" t="str">
        <f t="shared" si="17"/>
        <v>#DIV/0!</v>
      </c>
      <c r="T568" s="89" t="str">
        <f t="shared" si="6"/>
        <v>#DIV/0!</v>
      </c>
      <c r="U568" s="89" t="str">
        <f t="shared" si="25"/>
        <v>#DIV/0!</v>
      </c>
      <c r="V568" s="89" t="str">
        <f t="shared" si="24"/>
        <v>#DIV/0!</v>
      </c>
      <c r="W568" s="89" t="str">
        <f t="shared" si="9"/>
        <v>#DIV/0!</v>
      </c>
      <c r="X568" s="89"/>
      <c r="Y568" s="89"/>
      <c r="Z568" s="89"/>
      <c r="AA568" s="89"/>
      <c r="AB568" s="89"/>
      <c r="AC568" s="89"/>
      <c r="AD568" s="89"/>
      <c r="AE568" s="89"/>
      <c r="AF568" s="89"/>
      <c r="AG568" s="89"/>
      <c r="AH568" s="89"/>
    </row>
    <row r="569">
      <c r="A569" s="8" t="s">
        <v>707</v>
      </c>
      <c r="B569" s="97"/>
      <c r="C569" s="8"/>
      <c r="D569" s="89" t="str">
        <f t="shared" si="1"/>
        <v/>
      </c>
      <c r="E569" s="89" t="str">
        <f t="shared" si="2"/>
        <v>OT Hours</v>
      </c>
      <c r="F569" s="89" t="str">
        <f>IFERROR(VLOOKUP(C569,'Employees List'!$B$1:$G$999,2,0),"")</f>
        <v/>
      </c>
      <c r="G569" s="89" t="str">
        <f t="shared" si="23"/>
        <v>#DIV/0!</v>
      </c>
      <c r="H569" s="98"/>
      <c r="I569" s="89" t="str">
        <f>IFERROR(VLOOKUP(F569,'Employees List'!$C:$F,2,0),"")</f>
        <v/>
      </c>
      <c r="J569" s="93" t="str">
        <f>IFERROR(VLOOKUP(C569,'Employees List'!$B$2:$G$991,5,0),"")</f>
        <v/>
      </c>
      <c r="K569" s="95" t="str">
        <f>IFERROR(VLOOKUP(F569,'Employees List'!$C$1:$AB$991,5,0),"")</f>
        <v/>
      </c>
      <c r="L569" s="91">
        <f t="shared" si="3"/>
        <v>0</v>
      </c>
      <c r="M569" s="91">
        <f t="shared" si="4"/>
        <v>0</v>
      </c>
      <c r="N569" s="89" t="str">
        <f>IFERROR(VLOOKUP(B569,'Employees List'!$A$2:$H$991,8,0),"")</f>
        <v/>
      </c>
      <c r="O569" s="89" t="str">
        <f>IFERROR(VLOOKUP(D569,'Daily Attendance Report 24-25'!A533:BP999,5,0),"")</f>
        <v/>
      </c>
      <c r="P569" s="89" t="str">
        <f>IFERROR(VLOOKUP(E569,'Daily Attendance Report 24-25'!$A$1:$BO$617,5,0),"")</f>
        <v/>
      </c>
      <c r="Q569" s="89"/>
      <c r="R569" s="89"/>
      <c r="S569" s="89" t="str">
        <f t="shared" si="17"/>
        <v>#DIV/0!</v>
      </c>
      <c r="T569" s="89" t="str">
        <f t="shared" si="6"/>
        <v>#DIV/0!</v>
      </c>
      <c r="U569" s="89" t="str">
        <f t="shared" si="25"/>
        <v>#DIV/0!</v>
      </c>
      <c r="V569" s="89" t="str">
        <f t="shared" si="24"/>
        <v>#DIV/0!</v>
      </c>
      <c r="W569" s="89" t="str">
        <f t="shared" si="9"/>
        <v>#DIV/0!</v>
      </c>
      <c r="X569" s="89"/>
      <c r="Y569" s="89"/>
      <c r="Z569" s="89"/>
      <c r="AA569" s="89"/>
      <c r="AB569" s="89"/>
      <c r="AC569" s="89"/>
      <c r="AD569" s="89"/>
      <c r="AE569" s="89"/>
      <c r="AF569" s="89"/>
      <c r="AG569" s="89"/>
      <c r="AH569" s="89"/>
    </row>
    <row r="570">
      <c r="A570" s="8" t="s">
        <v>708</v>
      </c>
      <c r="B570" s="97"/>
      <c r="C570" s="8"/>
      <c r="D570" s="89" t="str">
        <f t="shared" si="1"/>
        <v/>
      </c>
      <c r="E570" s="89" t="str">
        <f t="shared" si="2"/>
        <v>OT Hours</v>
      </c>
      <c r="F570" s="89" t="str">
        <f>IFERROR(VLOOKUP(C570,'Employees List'!$B$1:$G$999,2,0),"")</f>
        <v/>
      </c>
      <c r="G570" s="89" t="str">
        <f t="shared" si="23"/>
        <v>#DIV/0!</v>
      </c>
      <c r="H570" s="98"/>
      <c r="I570" s="89" t="str">
        <f>IFERROR(VLOOKUP(F570,'Employees List'!$C:$F,2,0),"")</f>
        <v/>
      </c>
      <c r="J570" s="93" t="str">
        <f>IFERROR(VLOOKUP(C570,'Employees List'!$B$2:$G$991,5,0),"")</f>
        <v/>
      </c>
      <c r="K570" s="95" t="str">
        <f>IFERROR(VLOOKUP(F570,'Employees List'!$C$1:$AB$991,5,0),"")</f>
        <v/>
      </c>
      <c r="L570" s="91">
        <f t="shared" si="3"/>
        <v>0</v>
      </c>
      <c r="M570" s="91">
        <f t="shared" si="4"/>
        <v>0</v>
      </c>
      <c r="N570" s="89" t="str">
        <f>IFERROR(VLOOKUP(B570,'Employees List'!$A$2:$H$991,8,0),"")</f>
        <v/>
      </c>
      <c r="O570" s="89" t="str">
        <f>IFERROR(VLOOKUP(D570,'Daily Attendance Report 24-25'!A534:BP999,5,0),"")</f>
        <v/>
      </c>
      <c r="P570" s="89" t="str">
        <f>IFERROR(VLOOKUP(E570,'Daily Attendance Report 24-25'!$A$1:$BO$617,5,0),"")</f>
        <v/>
      </c>
      <c r="Q570" s="89"/>
      <c r="R570" s="89"/>
      <c r="S570" s="89" t="str">
        <f t="shared" si="17"/>
        <v>#DIV/0!</v>
      </c>
      <c r="T570" s="89" t="str">
        <f t="shared" si="6"/>
        <v>#DIV/0!</v>
      </c>
      <c r="U570" s="89" t="str">
        <f t="shared" si="25"/>
        <v>#DIV/0!</v>
      </c>
      <c r="V570" s="89" t="str">
        <f t="shared" si="24"/>
        <v>#DIV/0!</v>
      </c>
      <c r="W570" s="89" t="str">
        <f t="shared" si="9"/>
        <v>#DIV/0!</v>
      </c>
      <c r="X570" s="89"/>
      <c r="Y570" s="89"/>
      <c r="Z570" s="89"/>
      <c r="AA570" s="89"/>
      <c r="AB570" s="89"/>
      <c r="AC570" s="89"/>
      <c r="AD570" s="89"/>
      <c r="AE570" s="89"/>
      <c r="AF570" s="89"/>
      <c r="AG570" s="89"/>
      <c r="AH570" s="89"/>
    </row>
    <row r="571">
      <c r="A571" s="8" t="s">
        <v>709</v>
      </c>
      <c r="B571" s="97"/>
      <c r="C571" s="8"/>
      <c r="D571" s="89" t="str">
        <f t="shared" si="1"/>
        <v/>
      </c>
      <c r="E571" s="89" t="str">
        <f t="shared" si="2"/>
        <v>OT Hours</v>
      </c>
      <c r="F571" s="89" t="str">
        <f>IFERROR(VLOOKUP(C571,'Employees List'!$B$1:$G$999,2,0),"")</f>
        <v/>
      </c>
      <c r="G571" s="89" t="str">
        <f t="shared" si="23"/>
        <v>#DIV/0!</v>
      </c>
      <c r="H571" s="98"/>
      <c r="I571" s="89" t="str">
        <f>IFERROR(VLOOKUP(F571,'Employees List'!$C:$F,2,0),"")</f>
        <v/>
      </c>
      <c r="J571" s="93" t="str">
        <f>IFERROR(VLOOKUP(C571,'Employees List'!$B$2:$G$991,5,0),"")</f>
        <v/>
      </c>
      <c r="K571" s="95" t="str">
        <f>IFERROR(VLOOKUP(F571,'Employees List'!$C$1:$AB$991,5,0),"")</f>
        <v/>
      </c>
      <c r="L571" s="91">
        <f t="shared" si="3"/>
        <v>0</v>
      </c>
      <c r="M571" s="91">
        <f t="shared" si="4"/>
        <v>0</v>
      </c>
      <c r="N571" s="89" t="str">
        <f>IFERROR(VLOOKUP(B571,'Employees List'!$A$2:$H$991,8,0),"")</f>
        <v/>
      </c>
      <c r="O571" s="89" t="str">
        <f>IFERROR(VLOOKUP(D571,'Daily Attendance Report 24-25'!A535:BP999,5,0),"")</f>
        <v/>
      </c>
      <c r="P571" s="89" t="str">
        <f>IFERROR(VLOOKUP(E571,'Daily Attendance Report 24-25'!$A$1:$BO$617,5,0),"")</f>
        <v/>
      </c>
      <c r="Q571" s="89"/>
      <c r="R571" s="89"/>
      <c r="S571" s="89" t="str">
        <f t="shared" si="17"/>
        <v>#DIV/0!</v>
      </c>
      <c r="T571" s="89" t="str">
        <f t="shared" si="6"/>
        <v>#DIV/0!</v>
      </c>
      <c r="U571" s="89" t="str">
        <f t="shared" si="25"/>
        <v>#DIV/0!</v>
      </c>
      <c r="V571" s="89" t="str">
        <f t="shared" si="24"/>
        <v>#DIV/0!</v>
      </c>
      <c r="W571" s="89" t="str">
        <f t="shared" si="9"/>
        <v>#DIV/0!</v>
      </c>
      <c r="X571" s="89"/>
      <c r="Y571" s="89"/>
      <c r="Z571" s="89"/>
      <c r="AA571" s="89"/>
      <c r="AB571" s="89"/>
      <c r="AC571" s="89"/>
      <c r="AD571" s="89"/>
      <c r="AE571" s="89"/>
      <c r="AF571" s="89"/>
      <c r="AG571" s="89"/>
      <c r="AH571" s="89"/>
    </row>
    <row r="572">
      <c r="A572" s="8" t="s">
        <v>710</v>
      </c>
      <c r="B572" s="97"/>
      <c r="C572" s="8"/>
      <c r="D572" s="89" t="str">
        <f t="shared" si="1"/>
        <v/>
      </c>
      <c r="E572" s="89" t="str">
        <f t="shared" si="2"/>
        <v>OT Hours</v>
      </c>
      <c r="F572" s="89" t="str">
        <f>IFERROR(VLOOKUP(C572,'Employees List'!$B$1:$G$999,2,0),"")</f>
        <v/>
      </c>
      <c r="G572" s="89" t="str">
        <f t="shared" si="23"/>
        <v>#DIV/0!</v>
      </c>
      <c r="H572" s="98"/>
      <c r="I572" s="89" t="str">
        <f>IFERROR(VLOOKUP(F572,'Employees List'!$C:$F,2,0),"")</f>
        <v/>
      </c>
      <c r="J572" s="93" t="str">
        <f>IFERROR(VLOOKUP(C572,'Employees List'!$B$2:$G$991,5,0),"")</f>
        <v/>
      </c>
      <c r="K572" s="95" t="str">
        <f>IFERROR(VLOOKUP(F572,'Employees List'!$C$1:$AB$991,5,0),"")</f>
        <v/>
      </c>
      <c r="L572" s="91">
        <f t="shared" si="3"/>
        <v>0</v>
      </c>
      <c r="M572" s="91">
        <f t="shared" si="4"/>
        <v>0</v>
      </c>
      <c r="N572" s="89" t="str">
        <f>IFERROR(VLOOKUP(B572,'Employees List'!$A$2:$H$991,8,0),"")</f>
        <v/>
      </c>
      <c r="O572" s="89" t="str">
        <f>IFERROR(VLOOKUP(D572,'Daily Attendance Report 24-25'!A536:BP999,5,0),"")</f>
        <v/>
      </c>
      <c r="P572" s="89" t="str">
        <f>IFERROR(VLOOKUP(E572,'Daily Attendance Report 24-25'!$A$1:$BO$617,5,0),"")</f>
        <v/>
      </c>
      <c r="Q572" s="89"/>
      <c r="R572" s="89"/>
      <c r="S572" s="89" t="str">
        <f t="shared" si="17"/>
        <v>#DIV/0!</v>
      </c>
      <c r="T572" s="89" t="str">
        <f t="shared" si="6"/>
        <v>#DIV/0!</v>
      </c>
      <c r="U572" s="89" t="str">
        <f t="shared" si="25"/>
        <v>#DIV/0!</v>
      </c>
      <c r="V572" s="89" t="str">
        <f t="shared" si="24"/>
        <v>#DIV/0!</v>
      </c>
      <c r="W572" s="89" t="str">
        <f t="shared" si="9"/>
        <v>#DIV/0!</v>
      </c>
      <c r="X572" s="89"/>
      <c r="Y572" s="89"/>
      <c r="Z572" s="89"/>
      <c r="AA572" s="89"/>
      <c r="AB572" s="89"/>
      <c r="AC572" s="89"/>
      <c r="AD572" s="89"/>
      <c r="AE572" s="89"/>
      <c r="AF572" s="89"/>
      <c r="AG572" s="89"/>
      <c r="AH572" s="89"/>
    </row>
    <row r="573">
      <c r="A573" s="8" t="s">
        <v>711</v>
      </c>
      <c r="B573" s="97"/>
      <c r="C573" s="8"/>
      <c r="D573" s="89" t="str">
        <f t="shared" si="1"/>
        <v/>
      </c>
      <c r="E573" s="89" t="str">
        <f t="shared" si="2"/>
        <v>OT Hours</v>
      </c>
      <c r="F573" s="89" t="str">
        <f>IFERROR(VLOOKUP(C573,'Employees List'!$B$1:$G$999,2,0),"")</f>
        <v/>
      </c>
      <c r="G573" s="89" t="str">
        <f t="shared" si="23"/>
        <v>#DIV/0!</v>
      </c>
      <c r="H573" s="98"/>
      <c r="I573" s="89" t="str">
        <f>IFERROR(VLOOKUP(F573,'Employees List'!$C:$F,2,0),"")</f>
        <v/>
      </c>
      <c r="J573" s="93" t="str">
        <f>IFERROR(VLOOKUP(C573,'Employees List'!$B$2:$G$991,5,0),"")</f>
        <v/>
      </c>
      <c r="K573" s="95" t="str">
        <f>IFERROR(VLOOKUP(F573,'Employees List'!$C$1:$AB$991,5,0),"")</f>
        <v/>
      </c>
      <c r="L573" s="91">
        <f t="shared" si="3"/>
        <v>0</v>
      </c>
      <c r="M573" s="91">
        <f t="shared" si="4"/>
        <v>0</v>
      </c>
      <c r="N573" s="89" t="str">
        <f>IFERROR(VLOOKUP(B573,'Employees List'!$A$2:$H$991,8,0),"")</f>
        <v/>
      </c>
      <c r="O573" s="89" t="str">
        <f>IFERROR(VLOOKUP(D573,'Daily Attendance Report 24-25'!A537:BP999,5,0),"")</f>
        <v/>
      </c>
      <c r="P573" s="89" t="str">
        <f>IFERROR(VLOOKUP(E573,'Daily Attendance Report 24-25'!$A$1:$BO$617,5,0),"")</f>
        <v/>
      </c>
      <c r="Q573" s="89"/>
      <c r="R573" s="89"/>
      <c r="S573" s="89" t="str">
        <f t="shared" si="17"/>
        <v>#DIV/0!</v>
      </c>
      <c r="T573" s="89" t="str">
        <f t="shared" si="6"/>
        <v>#DIV/0!</v>
      </c>
      <c r="U573" s="89" t="str">
        <f t="shared" si="25"/>
        <v>#DIV/0!</v>
      </c>
      <c r="V573" s="89" t="str">
        <f t="shared" si="24"/>
        <v>#DIV/0!</v>
      </c>
      <c r="W573" s="89" t="str">
        <f t="shared" si="9"/>
        <v>#DIV/0!</v>
      </c>
      <c r="X573" s="89"/>
      <c r="Y573" s="89"/>
      <c r="Z573" s="89"/>
      <c r="AA573" s="89"/>
      <c r="AB573" s="89"/>
      <c r="AC573" s="89"/>
      <c r="AD573" s="89"/>
      <c r="AE573" s="89"/>
      <c r="AF573" s="89"/>
      <c r="AG573" s="89"/>
      <c r="AH573" s="89"/>
    </row>
    <row r="574">
      <c r="A574" s="8" t="s">
        <v>712</v>
      </c>
      <c r="B574" s="97"/>
      <c r="C574" s="8"/>
      <c r="D574" s="89" t="str">
        <f t="shared" si="1"/>
        <v/>
      </c>
      <c r="E574" s="89" t="str">
        <f t="shared" si="2"/>
        <v>OT Hours</v>
      </c>
      <c r="F574" s="89" t="str">
        <f>IFERROR(VLOOKUP(C574,'Employees List'!$B$1:$G$999,2,0),"")</f>
        <v/>
      </c>
      <c r="G574" s="89" t="str">
        <f t="shared" si="23"/>
        <v>#DIV/0!</v>
      </c>
      <c r="H574" s="98"/>
      <c r="I574" s="89" t="str">
        <f>IFERROR(VLOOKUP(F574,'Employees List'!$C:$F,2,0),"")</f>
        <v/>
      </c>
      <c r="J574" s="93" t="str">
        <f>IFERROR(VLOOKUP(C574,'Employees List'!$B$2:$G$991,5,0),"")</f>
        <v/>
      </c>
      <c r="K574" s="95" t="str">
        <f>IFERROR(VLOOKUP(F574,'Employees List'!$C$1:$AB$991,5,0),"")</f>
        <v/>
      </c>
      <c r="L574" s="91">
        <f t="shared" si="3"/>
        <v>0</v>
      </c>
      <c r="M574" s="91">
        <f t="shared" si="4"/>
        <v>0</v>
      </c>
      <c r="N574" s="89" t="str">
        <f>IFERROR(VLOOKUP(B574,'Employees List'!$A$2:$H$991,8,0),"")</f>
        <v/>
      </c>
      <c r="O574" s="89" t="str">
        <f>IFERROR(VLOOKUP(D574,'Daily Attendance Report 24-25'!A538:BP999,5,0),"")</f>
        <v/>
      </c>
      <c r="P574" s="89" t="str">
        <f>IFERROR(VLOOKUP(E574,'Daily Attendance Report 24-25'!$A$1:$BO$617,5,0),"")</f>
        <v/>
      </c>
      <c r="Q574" s="89"/>
      <c r="R574" s="89"/>
      <c r="S574" s="89" t="str">
        <f t="shared" si="17"/>
        <v>#DIV/0!</v>
      </c>
      <c r="T574" s="89" t="str">
        <f t="shared" si="6"/>
        <v>#DIV/0!</v>
      </c>
      <c r="U574" s="89" t="str">
        <f t="shared" si="25"/>
        <v>#DIV/0!</v>
      </c>
      <c r="V574" s="89" t="str">
        <f t="shared" si="24"/>
        <v>#DIV/0!</v>
      </c>
      <c r="W574" s="89" t="str">
        <f t="shared" si="9"/>
        <v>#DIV/0!</v>
      </c>
      <c r="X574" s="89"/>
      <c r="Y574" s="89"/>
      <c r="Z574" s="89"/>
      <c r="AA574" s="89"/>
      <c r="AB574" s="89"/>
      <c r="AC574" s="89"/>
      <c r="AD574" s="89"/>
      <c r="AE574" s="89"/>
      <c r="AF574" s="89"/>
      <c r="AG574" s="89"/>
      <c r="AH574" s="89"/>
    </row>
    <row r="575">
      <c r="A575" s="8" t="s">
        <v>713</v>
      </c>
      <c r="B575" s="97"/>
      <c r="C575" s="8"/>
      <c r="D575" s="89" t="str">
        <f t="shared" si="1"/>
        <v/>
      </c>
      <c r="E575" s="89" t="str">
        <f t="shared" si="2"/>
        <v>OT Hours</v>
      </c>
      <c r="F575" s="89" t="str">
        <f>IFERROR(VLOOKUP(C575,'Employees List'!$B$1:$G$999,2,0),"")</f>
        <v/>
      </c>
      <c r="G575" s="89" t="str">
        <f t="shared" si="23"/>
        <v>#DIV/0!</v>
      </c>
      <c r="H575" s="98"/>
      <c r="I575" s="89" t="str">
        <f>IFERROR(VLOOKUP(F575,'Employees List'!$C:$F,2,0),"")</f>
        <v/>
      </c>
      <c r="J575" s="93" t="str">
        <f>IFERROR(VLOOKUP(C575,'Employees List'!$B$2:$G$991,5,0),"")</f>
        <v/>
      </c>
      <c r="K575" s="95" t="str">
        <f>IFERROR(VLOOKUP(F575,'Employees List'!$C$1:$AB$991,5,0),"")</f>
        <v/>
      </c>
      <c r="L575" s="91">
        <f t="shared" si="3"/>
        <v>0</v>
      </c>
      <c r="M575" s="91">
        <f t="shared" si="4"/>
        <v>0</v>
      </c>
      <c r="N575" s="89" t="str">
        <f>IFERROR(VLOOKUP(B575,'Employees List'!$A$2:$H$991,8,0),"")</f>
        <v/>
      </c>
      <c r="O575" s="89" t="str">
        <f>IFERROR(VLOOKUP(D575,'Daily Attendance Report 24-25'!A539:BP999,5,0),"")</f>
        <v/>
      </c>
      <c r="P575" s="89" t="str">
        <f>IFERROR(VLOOKUP(E575,'Daily Attendance Report 24-25'!$A$1:$BO$617,5,0),"")</f>
        <v/>
      </c>
      <c r="Q575" s="89"/>
      <c r="R575" s="89"/>
      <c r="S575" s="89" t="str">
        <f t="shared" si="17"/>
        <v>#DIV/0!</v>
      </c>
      <c r="T575" s="89" t="str">
        <f t="shared" si="6"/>
        <v>#DIV/0!</v>
      </c>
      <c r="U575" s="89" t="str">
        <f t="shared" si="25"/>
        <v>#DIV/0!</v>
      </c>
      <c r="V575" s="89" t="str">
        <f t="shared" si="24"/>
        <v>#DIV/0!</v>
      </c>
      <c r="W575" s="89" t="str">
        <f t="shared" si="9"/>
        <v>#DIV/0!</v>
      </c>
      <c r="X575" s="89"/>
      <c r="Y575" s="89"/>
      <c r="Z575" s="89"/>
      <c r="AA575" s="89"/>
      <c r="AB575" s="89"/>
      <c r="AC575" s="89"/>
      <c r="AD575" s="89"/>
      <c r="AE575" s="89"/>
      <c r="AF575" s="89"/>
      <c r="AG575" s="89"/>
      <c r="AH575" s="89"/>
    </row>
    <row r="576">
      <c r="A576" s="8" t="s">
        <v>714</v>
      </c>
      <c r="B576" s="97"/>
      <c r="C576" s="8"/>
      <c r="D576" s="89" t="str">
        <f t="shared" si="1"/>
        <v/>
      </c>
      <c r="E576" s="89" t="str">
        <f t="shared" si="2"/>
        <v>OT Hours</v>
      </c>
      <c r="F576" s="89" t="str">
        <f>IFERROR(VLOOKUP(C576,'Employees List'!$B$1:$G$999,2,0),"")</f>
        <v/>
      </c>
      <c r="G576" s="89" t="str">
        <f t="shared" si="23"/>
        <v>#DIV/0!</v>
      </c>
      <c r="H576" s="98"/>
      <c r="I576" s="89" t="str">
        <f>IFERROR(VLOOKUP(F576,'Employees List'!$C:$F,2,0),"")</f>
        <v/>
      </c>
      <c r="J576" s="93" t="str">
        <f>IFERROR(VLOOKUP(C576,'Employees List'!$B$2:$G$991,5,0),"")</f>
        <v/>
      </c>
      <c r="K576" s="95" t="str">
        <f>IFERROR(VLOOKUP(F576,'Employees List'!$C$1:$AB$991,5,0),"")</f>
        <v/>
      </c>
      <c r="L576" s="91">
        <f t="shared" si="3"/>
        <v>0</v>
      </c>
      <c r="M576" s="91">
        <f t="shared" si="4"/>
        <v>0</v>
      </c>
      <c r="N576" s="89" t="str">
        <f>IFERROR(VLOOKUP(B576,'Employees List'!$A$2:$H$991,8,0),"")</f>
        <v/>
      </c>
      <c r="O576" s="89" t="str">
        <f>IFERROR(VLOOKUP(D576,'Daily Attendance Report 24-25'!A540:BP999,5,0),"")</f>
        <v/>
      </c>
      <c r="P576" s="89" t="str">
        <f>IFERROR(VLOOKUP(E576,'Daily Attendance Report 24-25'!$A$1:$BO$617,5,0),"")</f>
        <v/>
      </c>
      <c r="Q576" s="89"/>
      <c r="R576" s="89"/>
      <c r="S576" s="89" t="str">
        <f t="shared" si="17"/>
        <v>#DIV/0!</v>
      </c>
      <c r="T576" s="89" t="str">
        <f t="shared" si="6"/>
        <v>#DIV/0!</v>
      </c>
      <c r="U576" s="89" t="str">
        <f t="shared" si="25"/>
        <v>#DIV/0!</v>
      </c>
      <c r="V576" s="89" t="str">
        <f t="shared" si="24"/>
        <v>#DIV/0!</v>
      </c>
      <c r="W576" s="89" t="str">
        <f t="shared" si="9"/>
        <v>#DIV/0!</v>
      </c>
      <c r="X576" s="89"/>
      <c r="Y576" s="89"/>
      <c r="Z576" s="89"/>
      <c r="AA576" s="89"/>
      <c r="AB576" s="89"/>
      <c r="AC576" s="89"/>
      <c r="AD576" s="89"/>
      <c r="AE576" s="89"/>
      <c r="AF576" s="89"/>
      <c r="AG576" s="89"/>
      <c r="AH576" s="89"/>
    </row>
    <row r="577">
      <c r="A577" s="8" t="s">
        <v>715</v>
      </c>
      <c r="B577" s="97"/>
      <c r="C577" s="8"/>
      <c r="D577" s="89" t="str">
        <f t="shared" si="1"/>
        <v/>
      </c>
      <c r="E577" s="89" t="str">
        <f t="shared" si="2"/>
        <v>OT Hours</v>
      </c>
      <c r="F577" s="89" t="str">
        <f>IFERROR(VLOOKUP(C577,'Employees List'!$B$1:$G$999,2,0),"")</f>
        <v/>
      </c>
      <c r="G577" s="89" t="str">
        <f t="shared" si="23"/>
        <v>#DIV/0!</v>
      </c>
      <c r="H577" s="98"/>
      <c r="I577" s="89" t="str">
        <f>IFERROR(VLOOKUP(F577,'Employees List'!$C:$F,2,0),"")</f>
        <v/>
      </c>
      <c r="J577" s="93" t="str">
        <f>IFERROR(VLOOKUP(C577,'Employees List'!$B$2:$G$991,5,0),"")</f>
        <v/>
      </c>
      <c r="K577" s="95" t="str">
        <f>IFERROR(VLOOKUP(F577,'Employees List'!$C$1:$AB$991,5,0),"")</f>
        <v/>
      </c>
      <c r="L577" s="91">
        <f t="shared" si="3"/>
        <v>0</v>
      </c>
      <c r="M577" s="91">
        <f t="shared" si="4"/>
        <v>0</v>
      </c>
      <c r="N577" s="89" t="str">
        <f>IFERROR(VLOOKUP(B577,'Employees List'!$A$2:$H$991,8,0),"")</f>
        <v/>
      </c>
      <c r="O577" s="89" t="str">
        <f>IFERROR(VLOOKUP(D577,'Daily Attendance Report 24-25'!A541:BP999,5,0),"")</f>
        <v/>
      </c>
      <c r="P577" s="89" t="str">
        <f>IFERROR(VLOOKUP(E577,'Daily Attendance Report 24-25'!$A$1:$BO$617,5,0),"")</f>
        <v/>
      </c>
      <c r="Q577" s="89"/>
      <c r="R577" s="89"/>
      <c r="S577" s="89" t="str">
        <f t="shared" si="17"/>
        <v>#DIV/0!</v>
      </c>
      <c r="T577" s="89" t="str">
        <f t="shared" si="6"/>
        <v>#DIV/0!</v>
      </c>
      <c r="U577" s="89" t="str">
        <f t="shared" si="25"/>
        <v>#DIV/0!</v>
      </c>
      <c r="V577" s="89" t="str">
        <f t="shared" si="24"/>
        <v>#DIV/0!</v>
      </c>
      <c r="W577" s="89" t="str">
        <f t="shared" si="9"/>
        <v>#DIV/0!</v>
      </c>
      <c r="X577" s="89"/>
      <c r="Y577" s="89"/>
      <c r="Z577" s="89"/>
      <c r="AA577" s="89"/>
      <c r="AB577" s="89"/>
      <c r="AC577" s="89"/>
      <c r="AD577" s="89"/>
      <c r="AE577" s="89"/>
      <c r="AF577" s="89"/>
      <c r="AG577" s="89"/>
      <c r="AH577" s="89"/>
    </row>
    <row r="578">
      <c r="A578" s="8" t="s">
        <v>716</v>
      </c>
      <c r="B578" s="97"/>
      <c r="C578" s="8"/>
      <c r="D578" s="89" t="str">
        <f t="shared" si="1"/>
        <v/>
      </c>
      <c r="E578" s="89" t="str">
        <f t="shared" si="2"/>
        <v>OT Hours</v>
      </c>
      <c r="F578" s="89" t="str">
        <f>IFERROR(VLOOKUP(C578,'Employees List'!$B$1:$G$999,2,0),"")</f>
        <v/>
      </c>
      <c r="G578" s="89" t="str">
        <f t="shared" si="23"/>
        <v>#DIV/0!</v>
      </c>
      <c r="H578" s="98"/>
      <c r="I578" s="89" t="str">
        <f>IFERROR(VLOOKUP(F578,'Employees List'!$C:$F,2,0),"")</f>
        <v/>
      </c>
      <c r="J578" s="93" t="str">
        <f>IFERROR(VLOOKUP(C578,'Employees List'!$B$2:$G$991,5,0),"")</f>
        <v/>
      </c>
      <c r="K578" s="95" t="str">
        <f>IFERROR(VLOOKUP(F578,'Employees List'!$C$1:$AB$991,5,0),"")</f>
        <v/>
      </c>
      <c r="L578" s="91">
        <f t="shared" si="3"/>
        <v>0</v>
      </c>
      <c r="M578" s="91">
        <f t="shared" si="4"/>
        <v>0</v>
      </c>
      <c r="N578" s="89" t="str">
        <f>IFERROR(VLOOKUP(B578,'Employees List'!$A$2:$H$991,8,0),"")</f>
        <v/>
      </c>
      <c r="O578" s="89" t="str">
        <f>IFERROR(VLOOKUP(D578,'Daily Attendance Report 24-25'!A542:BP999,5,0),"")</f>
        <v/>
      </c>
      <c r="P578" s="89" t="str">
        <f>IFERROR(VLOOKUP(E578,'Daily Attendance Report 24-25'!$A$1:$BO$617,5,0),"")</f>
        <v/>
      </c>
      <c r="Q578" s="89"/>
      <c r="R578" s="89"/>
      <c r="S578" s="89" t="str">
        <f t="shared" si="17"/>
        <v>#DIV/0!</v>
      </c>
      <c r="T578" s="89" t="str">
        <f t="shared" si="6"/>
        <v>#DIV/0!</v>
      </c>
      <c r="U578" s="89" t="str">
        <f t="shared" si="25"/>
        <v>#DIV/0!</v>
      </c>
      <c r="V578" s="89" t="str">
        <f t="shared" si="24"/>
        <v>#DIV/0!</v>
      </c>
      <c r="W578" s="89" t="str">
        <f t="shared" si="9"/>
        <v>#DIV/0!</v>
      </c>
      <c r="X578" s="89"/>
      <c r="Y578" s="89"/>
      <c r="Z578" s="89"/>
      <c r="AA578" s="89"/>
      <c r="AB578" s="89"/>
      <c r="AC578" s="89"/>
      <c r="AD578" s="89"/>
      <c r="AE578" s="89"/>
      <c r="AF578" s="89"/>
      <c r="AG578" s="89"/>
      <c r="AH578" s="89"/>
    </row>
    <row r="579">
      <c r="A579" s="8" t="s">
        <v>717</v>
      </c>
      <c r="B579" s="97"/>
      <c r="C579" s="8"/>
      <c r="D579" s="89" t="str">
        <f t="shared" si="1"/>
        <v/>
      </c>
      <c r="E579" s="89" t="str">
        <f t="shared" si="2"/>
        <v>OT Hours</v>
      </c>
      <c r="F579" s="89" t="str">
        <f>IFERROR(VLOOKUP(C579,'Employees List'!$B$1:$G$999,2,0),"")</f>
        <v/>
      </c>
      <c r="G579" s="89" t="str">
        <f t="shared" si="23"/>
        <v>#DIV/0!</v>
      </c>
      <c r="H579" s="98"/>
      <c r="I579" s="89" t="str">
        <f>IFERROR(VLOOKUP(F579,'Employees List'!$C:$F,2,0),"")</f>
        <v/>
      </c>
      <c r="J579" s="93" t="str">
        <f>IFERROR(VLOOKUP(C579,'Employees List'!$B$2:$G$991,5,0),"")</f>
        <v/>
      </c>
      <c r="K579" s="95" t="str">
        <f>IFERROR(VLOOKUP(F579,'Employees List'!$C$1:$AB$991,5,0),"")</f>
        <v/>
      </c>
      <c r="L579" s="91">
        <f t="shared" si="3"/>
        <v>0</v>
      </c>
      <c r="M579" s="91">
        <f t="shared" si="4"/>
        <v>0</v>
      </c>
      <c r="N579" s="89" t="str">
        <f>IFERROR(VLOOKUP(B579,'Employees List'!$A$2:$H$991,8,0),"")</f>
        <v/>
      </c>
      <c r="O579" s="89" t="str">
        <f>IFERROR(VLOOKUP(D579,'Daily Attendance Report 24-25'!A543:BP999,5,0),"")</f>
        <v/>
      </c>
      <c r="P579" s="89" t="str">
        <f>IFERROR(VLOOKUP(E579,'Daily Attendance Report 24-25'!$A$1:$BO$617,5,0),"")</f>
        <v/>
      </c>
      <c r="Q579" s="89"/>
      <c r="R579" s="89"/>
      <c r="S579" s="89" t="str">
        <f t="shared" si="17"/>
        <v>#DIV/0!</v>
      </c>
      <c r="T579" s="89" t="str">
        <f t="shared" si="6"/>
        <v>#DIV/0!</v>
      </c>
      <c r="U579" s="89" t="str">
        <f t="shared" si="25"/>
        <v>#DIV/0!</v>
      </c>
      <c r="V579" s="89" t="str">
        <f t="shared" si="24"/>
        <v>#DIV/0!</v>
      </c>
      <c r="W579" s="89" t="str">
        <f t="shared" si="9"/>
        <v>#DIV/0!</v>
      </c>
      <c r="X579" s="89"/>
      <c r="Y579" s="89"/>
      <c r="Z579" s="89"/>
      <c r="AA579" s="89"/>
      <c r="AB579" s="89"/>
      <c r="AC579" s="89"/>
      <c r="AD579" s="89"/>
      <c r="AE579" s="89"/>
      <c r="AF579" s="89"/>
      <c r="AG579" s="89"/>
      <c r="AH579" s="89"/>
    </row>
    <row r="580">
      <c r="A580" s="8" t="s">
        <v>718</v>
      </c>
      <c r="B580" s="97"/>
      <c r="C580" s="8"/>
      <c r="D580" s="89" t="str">
        <f t="shared" si="1"/>
        <v/>
      </c>
      <c r="E580" s="89" t="str">
        <f t="shared" si="2"/>
        <v>OT Hours</v>
      </c>
      <c r="F580" s="89" t="str">
        <f>IFERROR(VLOOKUP(C580,'Employees List'!$B$1:$G$999,2,0),"")</f>
        <v/>
      </c>
      <c r="G580" s="89" t="str">
        <f t="shared" si="23"/>
        <v>#DIV/0!</v>
      </c>
      <c r="H580" s="98"/>
      <c r="I580" s="89" t="str">
        <f>IFERROR(VLOOKUP(F580,'Employees List'!$C:$F,2,0),"")</f>
        <v/>
      </c>
      <c r="J580" s="93" t="str">
        <f>IFERROR(VLOOKUP(C580,'Employees List'!$B$2:$G$991,5,0),"")</f>
        <v/>
      </c>
      <c r="K580" s="95" t="str">
        <f>IFERROR(VLOOKUP(F580,'Employees List'!$C$1:$AB$991,5,0),"")</f>
        <v/>
      </c>
      <c r="L580" s="91">
        <f t="shared" si="3"/>
        <v>0</v>
      </c>
      <c r="M580" s="91">
        <f t="shared" si="4"/>
        <v>0</v>
      </c>
      <c r="N580" s="89" t="str">
        <f>IFERROR(VLOOKUP(B580,'Employees List'!$A$2:$H$991,8,0),"")</f>
        <v/>
      </c>
      <c r="O580" s="89" t="str">
        <f>IFERROR(VLOOKUP(D580,'Daily Attendance Report 24-25'!A544:BP999,5,0),"")</f>
        <v/>
      </c>
      <c r="P580" s="89" t="str">
        <f>IFERROR(VLOOKUP(E580,'Daily Attendance Report 24-25'!$A$1:$BO$617,5,0),"")</f>
        <v/>
      </c>
      <c r="Q580" s="89"/>
      <c r="R580" s="89"/>
      <c r="S580" s="89" t="str">
        <f t="shared" si="17"/>
        <v>#DIV/0!</v>
      </c>
      <c r="T580" s="89" t="str">
        <f t="shared" si="6"/>
        <v>#DIV/0!</v>
      </c>
      <c r="U580" s="89" t="str">
        <f t="shared" si="25"/>
        <v>#DIV/0!</v>
      </c>
      <c r="V580" s="89" t="str">
        <f t="shared" si="24"/>
        <v>#DIV/0!</v>
      </c>
      <c r="W580" s="89" t="str">
        <f t="shared" si="9"/>
        <v>#DIV/0!</v>
      </c>
      <c r="X580" s="89"/>
      <c r="Y580" s="89"/>
      <c r="Z580" s="89"/>
      <c r="AA580" s="89"/>
      <c r="AB580" s="89"/>
      <c r="AC580" s="89"/>
      <c r="AD580" s="89"/>
      <c r="AE580" s="89"/>
      <c r="AF580" s="89"/>
      <c r="AG580" s="89"/>
      <c r="AH580" s="89"/>
    </row>
    <row r="581">
      <c r="A581" s="8" t="s">
        <v>719</v>
      </c>
      <c r="B581" s="97"/>
      <c r="C581" s="8"/>
      <c r="D581" s="89" t="str">
        <f t="shared" si="1"/>
        <v/>
      </c>
      <c r="E581" s="89" t="str">
        <f t="shared" si="2"/>
        <v>OT Hours</v>
      </c>
      <c r="F581" s="89" t="str">
        <f>IFERROR(VLOOKUP(C581,'Employees List'!$B$1:$G$999,2,0),"")</f>
        <v/>
      </c>
      <c r="G581" s="89" t="str">
        <f t="shared" si="23"/>
        <v>#DIV/0!</v>
      </c>
      <c r="H581" s="98"/>
      <c r="I581" s="89" t="str">
        <f>IFERROR(VLOOKUP(F581,'Employees List'!$C:$F,2,0),"")</f>
        <v/>
      </c>
      <c r="J581" s="93" t="str">
        <f>IFERROR(VLOOKUP(C581,'Employees List'!$B$2:$G$991,5,0),"")</f>
        <v/>
      </c>
      <c r="K581" s="95" t="str">
        <f>IFERROR(VLOOKUP(F581,'Employees List'!$C$1:$AB$991,5,0),"")</f>
        <v/>
      </c>
      <c r="L581" s="91">
        <f t="shared" si="3"/>
        <v>0</v>
      </c>
      <c r="M581" s="91">
        <f t="shared" si="4"/>
        <v>0</v>
      </c>
      <c r="N581" s="89" t="str">
        <f>IFERROR(VLOOKUP(B581,'Employees List'!$A$2:$H$991,8,0),"")</f>
        <v/>
      </c>
      <c r="O581" s="89" t="str">
        <f>IFERROR(VLOOKUP(D581,'Daily Attendance Report 24-25'!A545:BP999,5,0),"")</f>
        <v/>
      </c>
      <c r="P581" s="89" t="str">
        <f>IFERROR(VLOOKUP(E581,'Daily Attendance Report 24-25'!$A$1:$BO$617,5,0),"")</f>
        <v/>
      </c>
      <c r="Q581" s="89"/>
      <c r="R581" s="89"/>
      <c r="S581" s="89" t="str">
        <f t="shared" si="17"/>
        <v>#DIV/0!</v>
      </c>
      <c r="T581" s="89" t="str">
        <f t="shared" si="6"/>
        <v>#DIV/0!</v>
      </c>
      <c r="U581" s="89" t="str">
        <f t="shared" si="25"/>
        <v>#DIV/0!</v>
      </c>
      <c r="V581" s="89" t="str">
        <f t="shared" si="24"/>
        <v>#DIV/0!</v>
      </c>
      <c r="W581" s="89" t="str">
        <f t="shared" si="9"/>
        <v>#DIV/0!</v>
      </c>
      <c r="X581" s="89"/>
      <c r="Y581" s="89"/>
      <c r="Z581" s="89"/>
      <c r="AA581" s="89"/>
      <c r="AB581" s="89"/>
      <c r="AC581" s="89"/>
      <c r="AD581" s="89"/>
      <c r="AE581" s="89"/>
      <c r="AF581" s="89"/>
      <c r="AG581" s="89"/>
      <c r="AH581" s="89"/>
    </row>
    <row r="582">
      <c r="A582" s="8" t="s">
        <v>720</v>
      </c>
      <c r="B582" s="97"/>
      <c r="C582" s="8"/>
      <c r="D582" s="89" t="str">
        <f t="shared" si="1"/>
        <v/>
      </c>
      <c r="E582" s="89" t="str">
        <f t="shared" si="2"/>
        <v>OT Hours</v>
      </c>
      <c r="F582" s="89" t="str">
        <f>IFERROR(VLOOKUP(C582,'Employees List'!$B$1:$G$999,2,0),"")</f>
        <v/>
      </c>
      <c r="G582" s="89" t="str">
        <f t="shared" si="23"/>
        <v>#DIV/0!</v>
      </c>
      <c r="H582" s="98"/>
      <c r="I582" s="89" t="str">
        <f>IFERROR(VLOOKUP(F582,'Employees List'!$C:$F,2,0),"")</f>
        <v/>
      </c>
      <c r="J582" s="93" t="str">
        <f>IFERROR(VLOOKUP(C582,'Employees List'!$B$2:$G$991,5,0),"")</f>
        <v/>
      </c>
      <c r="K582" s="95" t="str">
        <f>IFERROR(VLOOKUP(F582,'Employees List'!$C$1:$AB$991,5,0),"")</f>
        <v/>
      </c>
      <c r="L582" s="91">
        <f t="shared" si="3"/>
        <v>0</v>
      </c>
      <c r="M582" s="91">
        <f t="shared" si="4"/>
        <v>0</v>
      </c>
      <c r="N582" s="89" t="str">
        <f>IFERROR(VLOOKUP(B582,'Employees List'!$A$2:$H$991,8,0),"")</f>
        <v/>
      </c>
      <c r="O582" s="89" t="str">
        <f>IFERROR(VLOOKUP(D582,'Daily Attendance Report 24-25'!A546:BP999,5,0),"")</f>
        <v/>
      </c>
      <c r="P582" s="89" t="str">
        <f>IFERROR(VLOOKUP(E582,'Daily Attendance Report 24-25'!$A$1:$BO$617,5,0),"")</f>
        <v/>
      </c>
      <c r="Q582" s="89"/>
      <c r="R582" s="89"/>
      <c r="S582" s="89" t="str">
        <f t="shared" si="17"/>
        <v>#DIV/0!</v>
      </c>
      <c r="T582" s="89" t="str">
        <f t="shared" si="6"/>
        <v>#DIV/0!</v>
      </c>
      <c r="U582" s="89" t="str">
        <f t="shared" si="25"/>
        <v>#DIV/0!</v>
      </c>
      <c r="V582" s="89" t="str">
        <f t="shared" si="24"/>
        <v>#DIV/0!</v>
      </c>
      <c r="W582" s="89" t="str">
        <f t="shared" si="9"/>
        <v>#DIV/0!</v>
      </c>
      <c r="X582" s="89"/>
      <c r="Y582" s="89"/>
      <c r="Z582" s="89"/>
      <c r="AA582" s="89"/>
      <c r="AB582" s="89"/>
      <c r="AC582" s="89"/>
      <c r="AD582" s="89"/>
      <c r="AE582" s="89"/>
      <c r="AF582" s="89"/>
      <c r="AG582" s="89"/>
      <c r="AH582" s="89"/>
    </row>
    <row r="583">
      <c r="A583" s="8" t="s">
        <v>721</v>
      </c>
      <c r="B583" s="97"/>
      <c r="C583" s="8"/>
      <c r="D583" s="89" t="str">
        <f t="shared" si="1"/>
        <v/>
      </c>
      <c r="E583" s="89" t="str">
        <f t="shared" si="2"/>
        <v>OT Hours</v>
      </c>
      <c r="F583" s="89" t="str">
        <f>IFERROR(VLOOKUP(C583,'Employees List'!$B$1:$G$999,2,0),"")</f>
        <v/>
      </c>
      <c r="G583" s="89" t="str">
        <f t="shared" si="23"/>
        <v>#DIV/0!</v>
      </c>
      <c r="H583" s="98"/>
      <c r="I583" s="89" t="str">
        <f>IFERROR(VLOOKUP(F583,'Employees List'!$C:$F,2,0),"")</f>
        <v/>
      </c>
      <c r="J583" s="93" t="str">
        <f>IFERROR(VLOOKUP(C583,'Employees List'!$B$2:$G$991,5,0),"")</f>
        <v/>
      </c>
      <c r="K583" s="95" t="str">
        <f>IFERROR(VLOOKUP(F583,'Employees List'!$C$1:$AB$991,5,0),"")</f>
        <v/>
      </c>
      <c r="L583" s="91">
        <f t="shared" si="3"/>
        <v>0</v>
      </c>
      <c r="M583" s="91">
        <f t="shared" si="4"/>
        <v>0</v>
      </c>
      <c r="N583" s="89" t="str">
        <f>IFERROR(VLOOKUP(B583,'Employees List'!$A$2:$H$991,8,0),"")</f>
        <v/>
      </c>
      <c r="O583" s="89" t="str">
        <f>IFERROR(VLOOKUP(D583,'Daily Attendance Report 24-25'!A547:BP999,5,0),"")</f>
        <v/>
      </c>
      <c r="P583" s="89" t="str">
        <f>IFERROR(VLOOKUP(E583,'Daily Attendance Report 24-25'!$A$1:$BO$617,5,0),"")</f>
        <v/>
      </c>
      <c r="Q583" s="89"/>
      <c r="R583" s="89"/>
      <c r="S583" s="89" t="str">
        <f t="shared" si="17"/>
        <v>#DIV/0!</v>
      </c>
      <c r="T583" s="89" t="str">
        <f t="shared" si="6"/>
        <v>#DIV/0!</v>
      </c>
      <c r="U583" s="89" t="str">
        <f t="shared" si="25"/>
        <v>#DIV/0!</v>
      </c>
      <c r="V583" s="89" t="str">
        <f t="shared" si="24"/>
        <v>#DIV/0!</v>
      </c>
      <c r="W583" s="89" t="str">
        <f t="shared" si="9"/>
        <v>#DIV/0!</v>
      </c>
      <c r="X583" s="89"/>
      <c r="Y583" s="89"/>
      <c r="Z583" s="89"/>
      <c r="AA583" s="89"/>
      <c r="AB583" s="89"/>
      <c r="AC583" s="89"/>
      <c r="AD583" s="89"/>
      <c r="AE583" s="89"/>
      <c r="AF583" s="89"/>
      <c r="AG583" s="89"/>
      <c r="AH583" s="89"/>
    </row>
    <row r="584">
      <c r="A584" s="8" t="s">
        <v>722</v>
      </c>
      <c r="B584" s="97"/>
      <c r="C584" s="8"/>
      <c r="D584" s="89" t="str">
        <f t="shared" si="1"/>
        <v/>
      </c>
      <c r="E584" s="89" t="str">
        <f t="shared" si="2"/>
        <v>OT Hours</v>
      </c>
      <c r="F584" s="89" t="str">
        <f>IFERROR(VLOOKUP(C584,'Employees List'!$B$1:$G$999,2,0),"")</f>
        <v/>
      </c>
      <c r="G584" s="89" t="str">
        <f t="shared" si="23"/>
        <v>#DIV/0!</v>
      </c>
      <c r="H584" s="98"/>
      <c r="I584" s="89" t="str">
        <f>IFERROR(VLOOKUP(F584,'Employees List'!$C:$F,2,0),"")</f>
        <v/>
      </c>
      <c r="J584" s="93" t="str">
        <f>IFERROR(VLOOKUP(C584,'Employees List'!$B$2:$G$991,5,0),"")</f>
        <v/>
      </c>
      <c r="K584" s="95" t="str">
        <f>IFERROR(VLOOKUP(F584,'Employees List'!$C$1:$AB$991,5,0),"")</f>
        <v/>
      </c>
      <c r="L584" s="91">
        <f t="shared" si="3"/>
        <v>0</v>
      </c>
      <c r="M584" s="91">
        <f t="shared" si="4"/>
        <v>0</v>
      </c>
      <c r="N584" s="89" t="str">
        <f>IFERROR(VLOOKUP(B584,'Employees List'!$A$2:$H$991,8,0),"")</f>
        <v/>
      </c>
      <c r="O584" s="89" t="str">
        <f>IFERROR(VLOOKUP(D584,'Daily Attendance Report 24-25'!A548:BP999,5,0),"")</f>
        <v/>
      </c>
      <c r="P584" s="89" t="str">
        <f>IFERROR(VLOOKUP(E584,'Daily Attendance Report 24-25'!$A$1:$BO$617,5,0),"")</f>
        <v/>
      </c>
      <c r="Q584" s="89"/>
      <c r="R584" s="89"/>
      <c r="S584" s="89" t="str">
        <f t="shared" si="17"/>
        <v>#DIV/0!</v>
      </c>
      <c r="T584" s="89" t="str">
        <f t="shared" si="6"/>
        <v>#DIV/0!</v>
      </c>
      <c r="U584" s="89" t="str">
        <f t="shared" si="25"/>
        <v>#DIV/0!</v>
      </c>
      <c r="V584" s="89" t="str">
        <f t="shared" si="24"/>
        <v>#DIV/0!</v>
      </c>
      <c r="W584" s="89" t="str">
        <f t="shared" si="9"/>
        <v>#DIV/0!</v>
      </c>
      <c r="X584" s="89"/>
      <c r="Y584" s="89"/>
      <c r="Z584" s="89"/>
      <c r="AA584" s="89"/>
      <c r="AB584" s="89"/>
      <c r="AC584" s="89"/>
      <c r="AD584" s="89"/>
      <c r="AE584" s="89"/>
      <c r="AF584" s="89"/>
      <c r="AG584" s="89"/>
      <c r="AH584" s="89"/>
    </row>
    <row r="585">
      <c r="A585" s="8" t="s">
        <v>723</v>
      </c>
      <c r="B585" s="97"/>
      <c r="C585" s="8"/>
      <c r="D585" s="89" t="str">
        <f t="shared" si="1"/>
        <v/>
      </c>
      <c r="E585" s="89" t="str">
        <f t="shared" si="2"/>
        <v>OT Hours</v>
      </c>
      <c r="F585" s="89" t="str">
        <f>IFERROR(VLOOKUP(C585,'Employees List'!$B$1:$G$999,2,0),"")</f>
        <v/>
      </c>
      <c r="G585" s="89" t="str">
        <f t="shared" si="23"/>
        <v>#DIV/0!</v>
      </c>
      <c r="H585" s="98"/>
      <c r="I585" s="89" t="str">
        <f>IFERROR(VLOOKUP(F585,'Employees List'!$C:$F,2,0),"")</f>
        <v/>
      </c>
      <c r="J585" s="93" t="str">
        <f>IFERROR(VLOOKUP(C585,'Employees List'!$B$2:$G$991,5,0),"")</f>
        <v/>
      </c>
      <c r="K585" s="95" t="str">
        <f>IFERROR(VLOOKUP(F585,'Employees List'!$C$1:$AB$991,5,0),"")</f>
        <v/>
      </c>
      <c r="L585" s="91">
        <f t="shared" si="3"/>
        <v>0</v>
      </c>
      <c r="M585" s="91">
        <f t="shared" si="4"/>
        <v>0</v>
      </c>
      <c r="N585" s="89" t="str">
        <f>IFERROR(VLOOKUP(B585,'Employees List'!$A$2:$H$991,8,0),"")</f>
        <v/>
      </c>
      <c r="O585" s="89" t="str">
        <f>IFERROR(VLOOKUP(D585,'Daily Attendance Report 24-25'!A549:BP999,5,0),"")</f>
        <v/>
      </c>
      <c r="P585" s="89" t="str">
        <f>IFERROR(VLOOKUP(E585,'Daily Attendance Report 24-25'!$A$1:$BO$617,5,0),"")</f>
        <v/>
      </c>
      <c r="Q585" s="89"/>
      <c r="R585" s="89"/>
      <c r="S585" s="89" t="str">
        <f t="shared" si="17"/>
        <v>#DIV/0!</v>
      </c>
      <c r="T585" s="89" t="str">
        <f t="shared" si="6"/>
        <v>#DIV/0!</v>
      </c>
      <c r="U585" s="89" t="str">
        <f t="shared" si="25"/>
        <v>#DIV/0!</v>
      </c>
      <c r="V585" s="89" t="str">
        <f t="shared" si="24"/>
        <v>#DIV/0!</v>
      </c>
      <c r="W585" s="89" t="str">
        <f t="shared" si="9"/>
        <v>#DIV/0!</v>
      </c>
      <c r="X585" s="89"/>
      <c r="Y585" s="89"/>
      <c r="Z585" s="89"/>
      <c r="AA585" s="89"/>
      <c r="AB585" s="89"/>
      <c r="AC585" s="89"/>
      <c r="AD585" s="89"/>
      <c r="AE585" s="89"/>
      <c r="AF585" s="89"/>
      <c r="AG585" s="89"/>
      <c r="AH585" s="89"/>
    </row>
    <row r="586">
      <c r="A586" s="8" t="s">
        <v>724</v>
      </c>
      <c r="B586" s="97"/>
      <c r="C586" s="8"/>
      <c r="D586" s="89" t="str">
        <f t="shared" si="1"/>
        <v/>
      </c>
      <c r="E586" s="89" t="str">
        <f t="shared" si="2"/>
        <v>OT Hours</v>
      </c>
      <c r="F586" s="89" t="str">
        <f>IFERROR(VLOOKUP(C586,'Employees List'!$B$1:$G$999,2,0),"")</f>
        <v/>
      </c>
      <c r="G586" s="89" t="str">
        <f t="shared" si="23"/>
        <v>#DIV/0!</v>
      </c>
      <c r="H586" s="98"/>
      <c r="I586" s="89" t="str">
        <f>IFERROR(VLOOKUP(F586,'Employees List'!$C:$F,2,0),"")</f>
        <v/>
      </c>
      <c r="J586" s="93" t="str">
        <f>IFERROR(VLOOKUP(C586,'Employees List'!$B$2:$G$991,5,0),"")</f>
        <v/>
      </c>
      <c r="K586" s="95" t="str">
        <f>IFERROR(VLOOKUP(F586,'Employees List'!$C$1:$AB$991,5,0),"")</f>
        <v/>
      </c>
      <c r="L586" s="91">
        <f t="shared" si="3"/>
        <v>0</v>
      </c>
      <c r="M586" s="91">
        <f t="shared" si="4"/>
        <v>0</v>
      </c>
      <c r="N586" s="89" t="str">
        <f>IFERROR(VLOOKUP(B586,'Employees List'!$A$2:$H$991,8,0),"")</f>
        <v/>
      </c>
      <c r="O586" s="89" t="str">
        <f>IFERROR(VLOOKUP(D586,'Daily Attendance Report 24-25'!A550:BP999,5,0),"")</f>
        <v/>
      </c>
      <c r="P586" s="89" t="str">
        <f>IFERROR(VLOOKUP(E586,'Daily Attendance Report 24-25'!$A$1:$BO$617,5,0),"")</f>
        <v/>
      </c>
      <c r="Q586" s="89"/>
      <c r="R586" s="89"/>
      <c r="S586" s="89" t="str">
        <f t="shared" si="17"/>
        <v>#DIV/0!</v>
      </c>
      <c r="T586" s="89" t="str">
        <f t="shared" si="6"/>
        <v>#DIV/0!</v>
      </c>
      <c r="U586" s="89" t="str">
        <f t="shared" si="25"/>
        <v>#DIV/0!</v>
      </c>
      <c r="V586" s="89" t="str">
        <f t="shared" si="24"/>
        <v>#DIV/0!</v>
      </c>
      <c r="W586" s="89" t="str">
        <f t="shared" si="9"/>
        <v>#DIV/0!</v>
      </c>
      <c r="X586" s="89"/>
      <c r="Y586" s="89"/>
      <c r="Z586" s="89"/>
      <c r="AA586" s="89"/>
      <c r="AB586" s="89"/>
      <c r="AC586" s="89"/>
      <c r="AD586" s="89"/>
      <c r="AE586" s="89"/>
      <c r="AF586" s="89"/>
      <c r="AG586" s="89"/>
      <c r="AH586" s="89"/>
    </row>
    <row r="587">
      <c r="A587" s="8" t="s">
        <v>725</v>
      </c>
      <c r="B587" s="97"/>
      <c r="C587" s="8"/>
      <c r="D587" s="89" t="str">
        <f t="shared" si="1"/>
        <v/>
      </c>
      <c r="E587" s="89" t="str">
        <f t="shared" si="2"/>
        <v>OT Hours</v>
      </c>
      <c r="F587" s="89" t="str">
        <f>IFERROR(VLOOKUP(C587,'Employees List'!$B$1:$G$999,2,0),"")</f>
        <v/>
      </c>
      <c r="G587" s="89" t="str">
        <f t="shared" si="23"/>
        <v>#DIV/0!</v>
      </c>
      <c r="H587" s="98"/>
      <c r="I587" s="89" t="str">
        <f>IFERROR(VLOOKUP(F587,'Employees List'!$C:$F,2,0),"")</f>
        <v/>
      </c>
      <c r="J587" s="93" t="str">
        <f>IFERROR(VLOOKUP(C587,'Employees List'!$B$2:$G$991,5,0),"")</f>
        <v/>
      </c>
      <c r="K587" s="95" t="str">
        <f>IFERROR(VLOOKUP(F587,'Employees List'!$C$1:$AB$991,5,0),"")</f>
        <v/>
      </c>
      <c r="L587" s="91">
        <f t="shared" si="3"/>
        <v>0</v>
      </c>
      <c r="M587" s="91">
        <f t="shared" si="4"/>
        <v>0</v>
      </c>
      <c r="N587" s="89" t="str">
        <f>IFERROR(VLOOKUP(B587,'Employees List'!$A$2:$H$991,8,0),"")</f>
        <v/>
      </c>
      <c r="O587" s="89" t="str">
        <f>IFERROR(VLOOKUP(D587,'Daily Attendance Report 24-25'!A551:BP999,5,0),"")</f>
        <v/>
      </c>
      <c r="P587" s="89" t="str">
        <f>IFERROR(VLOOKUP(E587,'Daily Attendance Report 24-25'!$A$1:$BO$617,5,0),"")</f>
        <v/>
      </c>
      <c r="Q587" s="89"/>
      <c r="R587" s="89"/>
      <c r="S587" s="89" t="str">
        <f t="shared" si="17"/>
        <v>#DIV/0!</v>
      </c>
      <c r="T587" s="89" t="str">
        <f t="shared" si="6"/>
        <v>#DIV/0!</v>
      </c>
      <c r="U587" s="89" t="str">
        <f t="shared" si="25"/>
        <v>#DIV/0!</v>
      </c>
      <c r="V587" s="89" t="str">
        <f t="shared" si="24"/>
        <v>#DIV/0!</v>
      </c>
      <c r="W587" s="89" t="str">
        <f t="shared" si="9"/>
        <v>#DIV/0!</v>
      </c>
      <c r="X587" s="89"/>
      <c r="Y587" s="89"/>
      <c r="Z587" s="89"/>
      <c r="AA587" s="89"/>
      <c r="AB587" s="89"/>
      <c r="AC587" s="89"/>
      <c r="AD587" s="89"/>
      <c r="AE587" s="89"/>
      <c r="AF587" s="89"/>
      <c r="AG587" s="89"/>
      <c r="AH587" s="89"/>
    </row>
    <row r="588">
      <c r="A588" s="8" t="s">
        <v>726</v>
      </c>
      <c r="B588" s="97"/>
      <c r="C588" s="8"/>
      <c r="D588" s="89" t="str">
        <f t="shared" si="1"/>
        <v/>
      </c>
      <c r="E588" s="89" t="str">
        <f t="shared" si="2"/>
        <v>OT Hours</v>
      </c>
      <c r="F588" s="89" t="str">
        <f>IFERROR(VLOOKUP(C588,'Employees List'!$B$1:$G$999,2,0),"")</f>
        <v/>
      </c>
      <c r="G588" s="89" t="str">
        <f t="shared" si="23"/>
        <v>#DIV/0!</v>
      </c>
      <c r="H588" s="98"/>
      <c r="I588" s="89" t="str">
        <f>IFERROR(VLOOKUP(F588,'Employees List'!$C:$F,2,0),"")</f>
        <v/>
      </c>
      <c r="J588" s="93" t="str">
        <f>IFERROR(VLOOKUP(C588,'Employees List'!$B$2:$G$991,5,0),"")</f>
        <v/>
      </c>
      <c r="K588" s="95" t="str">
        <f>IFERROR(VLOOKUP(F588,'Employees List'!$C$1:$AB$991,5,0),"")</f>
        <v/>
      </c>
      <c r="L588" s="91">
        <f t="shared" si="3"/>
        <v>0</v>
      </c>
      <c r="M588" s="91">
        <f t="shared" si="4"/>
        <v>0</v>
      </c>
      <c r="N588" s="89" t="str">
        <f>IFERROR(VLOOKUP(B588,'Employees List'!$A$2:$H$991,8,0),"")</f>
        <v/>
      </c>
      <c r="O588" s="89" t="str">
        <f>IFERROR(VLOOKUP(D588,'Daily Attendance Report 24-25'!A552:BP999,5,0),"")</f>
        <v/>
      </c>
      <c r="P588" s="89" t="str">
        <f>IFERROR(VLOOKUP(E588,'Daily Attendance Report 24-25'!$A$1:$BO$617,5,0),"")</f>
        <v/>
      </c>
      <c r="Q588" s="89"/>
      <c r="R588" s="89"/>
      <c r="S588" s="89" t="str">
        <f t="shared" si="17"/>
        <v>#DIV/0!</v>
      </c>
      <c r="T588" s="89" t="str">
        <f t="shared" si="6"/>
        <v>#DIV/0!</v>
      </c>
      <c r="U588" s="89" t="str">
        <f t="shared" si="25"/>
        <v>#DIV/0!</v>
      </c>
      <c r="V588" s="89" t="str">
        <f t="shared" si="24"/>
        <v>#DIV/0!</v>
      </c>
      <c r="W588" s="89" t="str">
        <f t="shared" si="9"/>
        <v>#DIV/0!</v>
      </c>
      <c r="X588" s="89"/>
      <c r="Y588" s="89"/>
      <c r="Z588" s="89"/>
      <c r="AA588" s="89"/>
      <c r="AB588" s="89"/>
      <c r="AC588" s="89"/>
      <c r="AD588" s="89"/>
      <c r="AE588" s="89"/>
      <c r="AF588" s="89"/>
      <c r="AG588" s="89"/>
      <c r="AH588" s="89"/>
    </row>
    <row r="589">
      <c r="A589" s="8" t="s">
        <v>727</v>
      </c>
      <c r="B589" s="97"/>
      <c r="C589" s="8"/>
      <c r="D589" s="89" t="str">
        <f t="shared" si="1"/>
        <v/>
      </c>
      <c r="E589" s="89" t="str">
        <f t="shared" si="2"/>
        <v>OT Hours</v>
      </c>
      <c r="F589" s="89" t="str">
        <f>IFERROR(VLOOKUP(C589,'Employees List'!$B$1:$G$999,2,0),"")</f>
        <v/>
      </c>
      <c r="G589" s="89" t="str">
        <f t="shared" si="23"/>
        <v>#DIV/0!</v>
      </c>
      <c r="H589" s="98"/>
      <c r="I589" s="89" t="str">
        <f>IFERROR(VLOOKUP(F589,'Employees List'!$C:$F,2,0),"")</f>
        <v/>
      </c>
      <c r="J589" s="93" t="str">
        <f>IFERROR(VLOOKUP(C589,'Employees List'!$B$2:$G$991,5,0),"")</f>
        <v/>
      </c>
      <c r="K589" s="95" t="str">
        <f>IFERROR(VLOOKUP(F589,'Employees List'!$C$1:$AB$991,5,0),"")</f>
        <v/>
      </c>
      <c r="L589" s="91">
        <f t="shared" si="3"/>
        <v>0</v>
      </c>
      <c r="M589" s="91">
        <f t="shared" si="4"/>
        <v>0</v>
      </c>
      <c r="N589" s="89" t="str">
        <f>IFERROR(VLOOKUP(B589,'Employees List'!$A$2:$H$991,8,0),"")</f>
        <v/>
      </c>
      <c r="O589" s="89" t="str">
        <f>IFERROR(VLOOKUP(D589,'Daily Attendance Report 24-25'!A553:BP999,5,0),"")</f>
        <v/>
      </c>
      <c r="P589" s="89" t="str">
        <f>IFERROR(VLOOKUP(E589,'Daily Attendance Report 24-25'!$A$1:$BO$617,5,0),"")</f>
        <v/>
      </c>
      <c r="Q589" s="89"/>
      <c r="R589" s="89"/>
      <c r="S589" s="89" t="str">
        <f t="shared" si="17"/>
        <v>#DIV/0!</v>
      </c>
      <c r="T589" s="89" t="str">
        <f t="shared" si="6"/>
        <v>#DIV/0!</v>
      </c>
      <c r="U589" s="89" t="str">
        <f t="shared" si="25"/>
        <v>#DIV/0!</v>
      </c>
      <c r="V589" s="89" t="str">
        <f t="shared" si="24"/>
        <v>#DIV/0!</v>
      </c>
      <c r="W589" s="89" t="str">
        <f t="shared" si="9"/>
        <v>#DIV/0!</v>
      </c>
      <c r="X589" s="89"/>
      <c r="Y589" s="89"/>
      <c r="Z589" s="89"/>
      <c r="AA589" s="89"/>
      <c r="AB589" s="89"/>
      <c r="AC589" s="89"/>
      <c r="AD589" s="89"/>
      <c r="AE589" s="89"/>
      <c r="AF589" s="89"/>
      <c r="AG589" s="89"/>
      <c r="AH589" s="89"/>
    </row>
    <row r="590">
      <c r="A590" s="8" t="s">
        <v>728</v>
      </c>
      <c r="B590" s="97"/>
      <c r="C590" s="8"/>
      <c r="D590" s="89" t="str">
        <f t="shared" si="1"/>
        <v/>
      </c>
      <c r="E590" s="89" t="str">
        <f t="shared" si="2"/>
        <v>OT Hours</v>
      </c>
      <c r="F590" s="89" t="str">
        <f>IFERROR(VLOOKUP(C590,'Employees List'!$B$1:$G$999,2,0),"")</f>
        <v/>
      </c>
      <c r="G590" s="89" t="str">
        <f t="shared" si="23"/>
        <v>#DIV/0!</v>
      </c>
      <c r="H590" s="98"/>
      <c r="I590" s="89" t="str">
        <f>IFERROR(VLOOKUP(F590,'Employees List'!$C:$F,2,0),"")</f>
        <v/>
      </c>
      <c r="J590" s="93" t="str">
        <f>IFERROR(VLOOKUP(C590,'Employees List'!$B$2:$G$991,5,0),"")</f>
        <v/>
      </c>
      <c r="K590" s="95" t="str">
        <f>IFERROR(VLOOKUP(F590,'Employees List'!$C$1:$AB$991,5,0),"")</f>
        <v/>
      </c>
      <c r="L590" s="91">
        <f t="shared" si="3"/>
        <v>0</v>
      </c>
      <c r="M590" s="91">
        <f t="shared" si="4"/>
        <v>0</v>
      </c>
      <c r="N590" s="89" t="str">
        <f>IFERROR(VLOOKUP(B590,'Employees List'!$A$2:$H$991,8,0),"")</f>
        <v/>
      </c>
      <c r="O590" s="89" t="str">
        <f>IFERROR(VLOOKUP(D590,'Daily Attendance Report 24-25'!A554:BP999,5,0),"")</f>
        <v/>
      </c>
      <c r="P590" s="89" t="str">
        <f>IFERROR(VLOOKUP(E590,'Daily Attendance Report 24-25'!$A$1:$BO$617,5,0),"")</f>
        <v/>
      </c>
      <c r="Q590" s="89"/>
      <c r="R590" s="89"/>
      <c r="S590" s="89" t="str">
        <f t="shared" si="17"/>
        <v>#DIV/0!</v>
      </c>
      <c r="T590" s="89" t="str">
        <f t="shared" si="6"/>
        <v>#DIV/0!</v>
      </c>
      <c r="U590" s="89" t="str">
        <f t="shared" si="25"/>
        <v>#DIV/0!</v>
      </c>
      <c r="V590" s="89" t="str">
        <f t="shared" si="24"/>
        <v>#DIV/0!</v>
      </c>
      <c r="W590" s="89" t="str">
        <f t="shared" si="9"/>
        <v>#DIV/0!</v>
      </c>
      <c r="X590" s="89"/>
      <c r="Y590" s="89"/>
      <c r="Z590" s="89"/>
      <c r="AA590" s="89"/>
      <c r="AB590" s="89"/>
      <c r="AC590" s="89"/>
      <c r="AD590" s="89"/>
      <c r="AE590" s="89"/>
      <c r="AF590" s="89"/>
      <c r="AG590" s="89"/>
      <c r="AH590" s="89"/>
    </row>
    <row r="591">
      <c r="A591" s="8" t="s">
        <v>729</v>
      </c>
      <c r="B591" s="97"/>
      <c r="C591" s="8"/>
      <c r="D591" s="89" t="str">
        <f t="shared" si="1"/>
        <v/>
      </c>
      <c r="E591" s="89" t="str">
        <f t="shared" si="2"/>
        <v>OT Hours</v>
      </c>
      <c r="F591" s="89" t="str">
        <f>IFERROR(VLOOKUP(C591,'Employees List'!$B$1:$G$999,2,0),"")</f>
        <v/>
      </c>
      <c r="G591" s="89" t="str">
        <f t="shared" si="23"/>
        <v>#DIV/0!</v>
      </c>
      <c r="H591" s="98"/>
      <c r="I591" s="89" t="str">
        <f>IFERROR(VLOOKUP(F591,'Employees List'!$C:$F,2,0),"")</f>
        <v/>
      </c>
      <c r="J591" s="93" t="str">
        <f>IFERROR(VLOOKUP(C591,'Employees List'!$B$2:$G$991,5,0),"")</f>
        <v/>
      </c>
      <c r="K591" s="95" t="str">
        <f>IFERROR(VLOOKUP(F591,'Employees List'!$C$1:$AB$991,5,0),"")</f>
        <v/>
      </c>
      <c r="L591" s="91">
        <f t="shared" si="3"/>
        <v>0</v>
      </c>
      <c r="M591" s="91">
        <f t="shared" si="4"/>
        <v>0</v>
      </c>
      <c r="N591" s="89" t="str">
        <f>IFERROR(VLOOKUP(B591,'Employees List'!$A$2:$H$991,8,0),"")</f>
        <v/>
      </c>
      <c r="O591" s="89" t="str">
        <f>IFERROR(VLOOKUP(D591,'Daily Attendance Report 24-25'!A555:BP999,5,0),"")</f>
        <v/>
      </c>
      <c r="P591" s="89" t="str">
        <f>IFERROR(VLOOKUP(E591,'Daily Attendance Report 24-25'!$A$1:$BO$617,5,0),"")</f>
        <v/>
      </c>
      <c r="Q591" s="89"/>
      <c r="R591" s="89"/>
      <c r="S591" s="89" t="str">
        <f t="shared" si="17"/>
        <v>#DIV/0!</v>
      </c>
      <c r="T591" s="89" t="str">
        <f t="shared" si="6"/>
        <v>#DIV/0!</v>
      </c>
      <c r="U591" s="89" t="str">
        <f t="shared" si="25"/>
        <v>#DIV/0!</v>
      </c>
      <c r="V591" s="89" t="str">
        <f t="shared" si="24"/>
        <v>#DIV/0!</v>
      </c>
      <c r="W591" s="89" t="str">
        <f t="shared" si="9"/>
        <v>#DIV/0!</v>
      </c>
      <c r="X591" s="89"/>
      <c r="Y591" s="89"/>
      <c r="Z591" s="89"/>
      <c r="AA591" s="89"/>
      <c r="AB591" s="89"/>
      <c r="AC591" s="89"/>
      <c r="AD591" s="89"/>
      <c r="AE591" s="89"/>
      <c r="AF591" s="89"/>
      <c r="AG591" s="89"/>
      <c r="AH591" s="89"/>
    </row>
    <row r="592">
      <c r="A592" s="8" t="s">
        <v>730</v>
      </c>
      <c r="B592" s="97"/>
      <c r="C592" s="8"/>
      <c r="D592" s="89" t="str">
        <f t="shared" si="1"/>
        <v/>
      </c>
      <c r="E592" s="89" t="str">
        <f t="shared" si="2"/>
        <v>OT Hours</v>
      </c>
      <c r="F592" s="89" t="str">
        <f>IFERROR(VLOOKUP(C592,'Employees List'!$B$1:$G$999,2,0),"")</f>
        <v/>
      </c>
      <c r="G592" s="89" t="str">
        <f t="shared" si="23"/>
        <v>#DIV/0!</v>
      </c>
      <c r="H592" s="98"/>
      <c r="I592" s="89" t="str">
        <f>IFERROR(VLOOKUP(F592,'Employees List'!$C:$F,2,0),"")</f>
        <v/>
      </c>
      <c r="J592" s="93" t="str">
        <f>IFERROR(VLOOKUP(C592,'Employees List'!$B$2:$G$991,5,0),"")</f>
        <v/>
      </c>
      <c r="K592" s="95" t="str">
        <f>IFERROR(VLOOKUP(F592,'Employees List'!$C$1:$AB$991,5,0),"")</f>
        <v/>
      </c>
      <c r="L592" s="91">
        <f t="shared" si="3"/>
        <v>0</v>
      </c>
      <c r="M592" s="91">
        <f t="shared" si="4"/>
        <v>0</v>
      </c>
      <c r="N592" s="89" t="str">
        <f>IFERROR(VLOOKUP(B592,'Employees List'!$A$2:$H$991,8,0),"")</f>
        <v/>
      </c>
      <c r="O592" s="89" t="str">
        <f>IFERROR(VLOOKUP(D592,'Daily Attendance Report 24-25'!A556:BP999,5,0),"")</f>
        <v/>
      </c>
      <c r="P592" s="89" t="str">
        <f>IFERROR(VLOOKUP(E592,'Daily Attendance Report 24-25'!$A$1:$BO$617,5,0),"")</f>
        <v/>
      </c>
      <c r="Q592" s="89"/>
      <c r="R592" s="89"/>
      <c r="S592" s="89" t="str">
        <f t="shared" si="17"/>
        <v>#DIV/0!</v>
      </c>
      <c r="T592" s="89" t="str">
        <f t="shared" si="6"/>
        <v>#DIV/0!</v>
      </c>
      <c r="U592" s="89" t="str">
        <f t="shared" si="25"/>
        <v>#DIV/0!</v>
      </c>
      <c r="V592" s="89" t="str">
        <f t="shared" si="24"/>
        <v>#DIV/0!</v>
      </c>
      <c r="W592" s="89" t="str">
        <f t="shared" si="9"/>
        <v>#DIV/0!</v>
      </c>
      <c r="X592" s="89"/>
      <c r="Y592" s="89"/>
      <c r="Z592" s="89"/>
      <c r="AA592" s="89"/>
      <c r="AB592" s="89"/>
      <c r="AC592" s="89"/>
      <c r="AD592" s="89"/>
      <c r="AE592" s="89"/>
      <c r="AF592" s="89"/>
      <c r="AG592" s="89"/>
      <c r="AH592" s="89"/>
    </row>
    <row r="593">
      <c r="A593" s="8" t="s">
        <v>731</v>
      </c>
      <c r="B593" s="97"/>
      <c r="C593" s="8"/>
      <c r="D593" s="89" t="str">
        <f t="shared" si="1"/>
        <v/>
      </c>
      <c r="E593" s="89" t="str">
        <f t="shared" si="2"/>
        <v>OT Hours</v>
      </c>
      <c r="F593" s="89" t="str">
        <f>IFERROR(VLOOKUP(C593,'Employees List'!$B$1:$G$999,2,0),"")</f>
        <v/>
      </c>
      <c r="G593" s="89" t="str">
        <f t="shared" si="23"/>
        <v>#DIV/0!</v>
      </c>
      <c r="H593" s="98"/>
      <c r="I593" s="89" t="str">
        <f>IFERROR(VLOOKUP(F593,'Employees List'!$C:$F,2,0),"")</f>
        <v/>
      </c>
      <c r="J593" s="93" t="str">
        <f>IFERROR(VLOOKUP(C593,'Employees List'!$B$2:$G$991,5,0),"")</f>
        <v/>
      </c>
      <c r="K593" s="95" t="str">
        <f>IFERROR(VLOOKUP(F593,'Employees List'!$C$1:$AB$991,5,0),"")</f>
        <v/>
      </c>
      <c r="L593" s="91">
        <f t="shared" si="3"/>
        <v>0</v>
      </c>
      <c r="M593" s="91">
        <f t="shared" si="4"/>
        <v>0</v>
      </c>
      <c r="N593" s="89" t="str">
        <f>IFERROR(VLOOKUP(B593,'Employees List'!$A$2:$H$991,8,0),"")</f>
        <v/>
      </c>
      <c r="O593" s="89" t="str">
        <f>IFERROR(VLOOKUP(D593,'Daily Attendance Report 24-25'!A557:BP999,5,0),"")</f>
        <v/>
      </c>
      <c r="P593" s="89" t="str">
        <f>IFERROR(VLOOKUP(E593,'Daily Attendance Report 24-25'!$A$1:$BO$617,5,0),"")</f>
        <v/>
      </c>
      <c r="Q593" s="89"/>
      <c r="R593" s="89"/>
      <c r="S593" s="89" t="str">
        <f t="shared" si="17"/>
        <v>#DIV/0!</v>
      </c>
      <c r="T593" s="89" t="str">
        <f t="shared" si="6"/>
        <v>#DIV/0!</v>
      </c>
      <c r="U593" s="89" t="str">
        <f t="shared" si="25"/>
        <v>#DIV/0!</v>
      </c>
      <c r="V593" s="89" t="str">
        <f t="shared" si="24"/>
        <v>#DIV/0!</v>
      </c>
      <c r="W593" s="89" t="str">
        <f t="shared" si="9"/>
        <v>#DIV/0!</v>
      </c>
      <c r="X593" s="89"/>
      <c r="Y593" s="89"/>
      <c r="Z593" s="89"/>
      <c r="AA593" s="89"/>
      <c r="AB593" s="89"/>
      <c r="AC593" s="89"/>
      <c r="AD593" s="89"/>
      <c r="AE593" s="89"/>
      <c r="AF593" s="89"/>
      <c r="AG593" s="89"/>
      <c r="AH593" s="89"/>
    </row>
    <row r="594">
      <c r="A594" s="8" t="s">
        <v>732</v>
      </c>
      <c r="B594" s="97"/>
      <c r="C594" s="8"/>
      <c r="D594" s="89" t="str">
        <f t="shared" si="1"/>
        <v/>
      </c>
      <c r="E594" s="89" t="str">
        <f t="shared" si="2"/>
        <v>OT Hours</v>
      </c>
      <c r="F594" s="89" t="str">
        <f>IFERROR(VLOOKUP(C594,'Employees List'!$B$1:$G$999,2,0),"")</f>
        <v/>
      </c>
      <c r="G594" s="89" t="str">
        <f t="shared" si="23"/>
        <v>#DIV/0!</v>
      </c>
      <c r="H594" s="98"/>
      <c r="I594" s="89" t="str">
        <f>IFERROR(VLOOKUP(F594,'Employees List'!$C:$F,2,0),"")</f>
        <v/>
      </c>
      <c r="J594" s="93" t="str">
        <f>IFERROR(VLOOKUP(C594,'Employees List'!$B$2:$G$991,5,0),"")</f>
        <v/>
      </c>
      <c r="K594" s="95" t="str">
        <f>IFERROR(VLOOKUP(F594,'Employees List'!$C$1:$AB$991,5,0),"")</f>
        <v/>
      </c>
      <c r="L594" s="91">
        <f t="shared" si="3"/>
        <v>0</v>
      </c>
      <c r="M594" s="91">
        <f t="shared" si="4"/>
        <v>0</v>
      </c>
      <c r="N594" s="89" t="str">
        <f>IFERROR(VLOOKUP(B594,'Employees List'!$A$2:$H$991,8,0),"")</f>
        <v/>
      </c>
      <c r="O594" s="89" t="str">
        <f>IFERROR(VLOOKUP(D594,'Daily Attendance Report 24-25'!A558:BP999,5,0),"")</f>
        <v/>
      </c>
      <c r="P594" s="89" t="str">
        <f>IFERROR(VLOOKUP(E594,'Daily Attendance Report 24-25'!$A$1:$BO$617,5,0),"")</f>
        <v/>
      </c>
      <c r="Q594" s="89"/>
      <c r="R594" s="89"/>
      <c r="S594" s="89" t="str">
        <f t="shared" si="17"/>
        <v>#DIV/0!</v>
      </c>
      <c r="T594" s="89" t="str">
        <f t="shared" si="6"/>
        <v>#DIV/0!</v>
      </c>
      <c r="U594" s="89" t="str">
        <f t="shared" si="25"/>
        <v>#DIV/0!</v>
      </c>
      <c r="V594" s="89" t="str">
        <f t="shared" si="24"/>
        <v>#DIV/0!</v>
      </c>
      <c r="W594" s="89" t="str">
        <f t="shared" si="9"/>
        <v>#DIV/0!</v>
      </c>
      <c r="X594" s="89"/>
      <c r="Y594" s="89"/>
      <c r="Z594" s="89"/>
      <c r="AA594" s="89"/>
      <c r="AB594" s="89"/>
      <c r="AC594" s="89"/>
      <c r="AD594" s="89"/>
      <c r="AE594" s="89"/>
      <c r="AF594" s="89"/>
      <c r="AG594" s="89"/>
      <c r="AH594" s="89"/>
    </row>
    <row r="595">
      <c r="A595" s="8" t="s">
        <v>733</v>
      </c>
      <c r="B595" s="97"/>
      <c r="C595" s="8"/>
      <c r="D595" s="89" t="str">
        <f t="shared" si="1"/>
        <v/>
      </c>
      <c r="E595" s="89" t="str">
        <f t="shared" si="2"/>
        <v>OT Hours</v>
      </c>
      <c r="F595" s="89" t="str">
        <f>IFERROR(VLOOKUP(C595,'Employees List'!$B$1:$G$999,2,0),"")</f>
        <v/>
      </c>
      <c r="G595" s="89" t="str">
        <f t="shared" si="23"/>
        <v>#DIV/0!</v>
      </c>
      <c r="H595" s="98"/>
      <c r="I595" s="89" t="str">
        <f>IFERROR(VLOOKUP(F595,'Employees List'!$C:$F,2,0),"")</f>
        <v/>
      </c>
      <c r="J595" s="93" t="str">
        <f>IFERROR(VLOOKUP(C595,'Employees List'!$B$2:$G$991,5,0),"")</f>
        <v/>
      </c>
      <c r="K595" s="95" t="str">
        <f>IFERROR(VLOOKUP(F595,'Employees List'!$C$1:$AB$991,5,0),"")</f>
        <v/>
      </c>
      <c r="L595" s="91">
        <f t="shared" si="3"/>
        <v>0</v>
      </c>
      <c r="M595" s="91">
        <f t="shared" si="4"/>
        <v>0</v>
      </c>
      <c r="N595" s="89" t="str">
        <f>IFERROR(VLOOKUP(B595,'Employees List'!$A$2:$H$991,8,0),"")</f>
        <v/>
      </c>
      <c r="O595" s="89" t="str">
        <f>IFERROR(VLOOKUP(D595,'Daily Attendance Report 24-25'!A559:BP999,5,0),"")</f>
        <v/>
      </c>
      <c r="P595" s="89" t="str">
        <f>IFERROR(VLOOKUP(E595,'Daily Attendance Report 24-25'!$A$1:$BO$617,5,0),"")</f>
        <v/>
      </c>
      <c r="Q595" s="89"/>
      <c r="R595" s="89"/>
      <c r="S595" s="89" t="str">
        <f t="shared" si="17"/>
        <v>#DIV/0!</v>
      </c>
      <c r="T595" s="89" t="str">
        <f t="shared" si="6"/>
        <v>#DIV/0!</v>
      </c>
      <c r="U595" s="89" t="str">
        <f t="shared" si="25"/>
        <v>#DIV/0!</v>
      </c>
      <c r="V595" s="89" t="str">
        <f t="shared" si="24"/>
        <v>#DIV/0!</v>
      </c>
      <c r="W595" s="89" t="str">
        <f t="shared" si="9"/>
        <v>#DIV/0!</v>
      </c>
      <c r="X595" s="89"/>
      <c r="Y595" s="89"/>
      <c r="Z595" s="89"/>
      <c r="AA595" s="89"/>
      <c r="AB595" s="89"/>
      <c r="AC595" s="89"/>
      <c r="AD595" s="89"/>
      <c r="AE595" s="89"/>
      <c r="AF595" s="89"/>
      <c r="AG595" s="89"/>
      <c r="AH595" s="89"/>
    </row>
    <row r="596">
      <c r="A596" s="8" t="s">
        <v>734</v>
      </c>
      <c r="B596" s="97"/>
      <c r="C596" s="8"/>
      <c r="D596" s="89" t="str">
        <f t="shared" si="1"/>
        <v/>
      </c>
      <c r="E596" s="89" t="str">
        <f t="shared" si="2"/>
        <v>OT Hours</v>
      </c>
      <c r="F596" s="89" t="str">
        <f>IFERROR(VLOOKUP(C596,'Employees List'!$B$1:$G$999,2,0),"")</f>
        <v/>
      </c>
      <c r="G596" s="89" t="str">
        <f t="shared" si="23"/>
        <v>#DIV/0!</v>
      </c>
      <c r="H596" s="98"/>
      <c r="I596" s="89" t="str">
        <f>IFERROR(VLOOKUP(F596,'Employees List'!$C:$F,2,0),"")</f>
        <v/>
      </c>
      <c r="J596" s="93" t="str">
        <f>IFERROR(VLOOKUP(C596,'Employees List'!$B$2:$G$991,5,0),"")</f>
        <v/>
      </c>
      <c r="K596" s="95" t="str">
        <f>IFERROR(VLOOKUP(F596,'Employees List'!$C$1:$AB$991,5,0),"")</f>
        <v/>
      </c>
      <c r="L596" s="91">
        <f t="shared" si="3"/>
        <v>0</v>
      </c>
      <c r="M596" s="91">
        <f t="shared" si="4"/>
        <v>0</v>
      </c>
      <c r="N596" s="89" t="str">
        <f>IFERROR(VLOOKUP(B596,'Employees List'!$A$2:$H$991,8,0),"")</f>
        <v/>
      </c>
      <c r="O596" s="89" t="str">
        <f>IFERROR(VLOOKUP(D596,'Daily Attendance Report 24-25'!A560:BP999,5,0),"")</f>
        <v/>
      </c>
      <c r="P596" s="89" t="str">
        <f>IFERROR(VLOOKUP(E596,'Daily Attendance Report 24-25'!$A$1:$BO$617,5,0),"")</f>
        <v/>
      </c>
      <c r="Q596" s="89"/>
      <c r="R596" s="89"/>
      <c r="S596" s="89" t="str">
        <f t="shared" si="17"/>
        <v>#DIV/0!</v>
      </c>
      <c r="T596" s="89" t="str">
        <f t="shared" si="6"/>
        <v>#DIV/0!</v>
      </c>
      <c r="U596" s="89" t="str">
        <f t="shared" si="25"/>
        <v>#DIV/0!</v>
      </c>
      <c r="V596" s="89" t="str">
        <f t="shared" si="24"/>
        <v>#DIV/0!</v>
      </c>
      <c r="W596" s="89" t="str">
        <f t="shared" si="9"/>
        <v>#DIV/0!</v>
      </c>
      <c r="X596" s="89"/>
      <c r="Y596" s="89"/>
      <c r="Z596" s="89"/>
      <c r="AA596" s="89"/>
      <c r="AB596" s="89"/>
      <c r="AC596" s="89"/>
      <c r="AD596" s="89"/>
      <c r="AE596" s="89"/>
      <c r="AF596" s="89"/>
      <c r="AG596" s="89"/>
      <c r="AH596" s="89"/>
    </row>
    <row r="597">
      <c r="A597" s="8" t="s">
        <v>735</v>
      </c>
      <c r="B597" s="97"/>
      <c r="C597" s="8"/>
      <c r="D597" s="89" t="str">
        <f t="shared" si="1"/>
        <v/>
      </c>
      <c r="E597" s="89" t="str">
        <f t="shared" si="2"/>
        <v>OT Hours</v>
      </c>
      <c r="F597" s="89" t="str">
        <f>IFERROR(VLOOKUP(C597,'Employees List'!$B$1:$G$999,2,0),"")</f>
        <v/>
      </c>
      <c r="G597" s="89" t="str">
        <f t="shared" si="23"/>
        <v>#DIV/0!</v>
      </c>
      <c r="H597" s="98"/>
      <c r="I597" s="89" t="str">
        <f>IFERROR(VLOOKUP(F597,'Employees List'!$C:$F,2,0),"")</f>
        <v/>
      </c>
      <c r="J597" s="93" t="str">
        <f>IFERROR(VLOOKUP(C597,'Employees List'!$B$2:$G$991,5,0),"")</f>
        <v/>
      </c>
      <c r="K597" s="95" t="str">
        <f>IFERROR(VLOOKUP(F597,'Employees List'!$C$1:$AB$991,5,0),"")</f>
        <v/>
      </c>
      <c r="L597" s="91">
        <f t="shared" si="3"/>
        <v>0</v>
      </c>
      <c r="M597" s="91">
        <f t="shared" si="4"/>
        <v>0</v>
      </c>
      <c r="N597" s="89" t="str">
        <f>IFERROR(VLOOKUP(B597,'Employees List'!$A$2:$H$991,8,0),"")</f>
        <v/>
      </c>
      <c r="O597" s="89" t="str">
        <f>IFERROR(VLOOKUP(D597,'Daily Attendance Report 24-25'!A561:BP999,5,0),"")</f>
        <v/>
      </c>
      <c r="P597" s="89" t="str">
        <f>IFERROR(VLOOKUP(E597,'Daily Attendance Report 24-25'!$A$1:$BO$617,5,0),"")</f>
        <v/>
      </c>
      <c r="Q597" s="89"/>
      <c r="R597" s="89"/>
      <c r="S597" s="89" t="str">
        <f t="shared" si="17"/>
        <v>#DIV/0!</v>
      </c>
      <c r="T597" s="89" t="str">
        <f t="shared" si="6"/>
        <v>#DIV/0!</v>
      </c>
      <c r="U597" s="89" t="str">
        <f t="shared" si="25"/>
        <v>#DIV/0!</v>
      </c>
      <c r="V597" s="89" t="str">
        <f t="shared" si="24"/>
        <v>#DIV/0!</v>
      </c>
      <c r="W597" s="89" t="str">
        <f t="shared" si="9"/>
        <v>#DIV/0!</v>
      </c>
      <c r="X597" s="89"/>
      <c r="Y597" s="89"/>
      <c r="Z597" s="89"/>
      <c r="AA597" s="89"/>
      <c r="AB597" s="89"/>
      <c r="AC597" s="89"/>
      <c r="AD597" s="89"/>
      <c r="AE597" s="89"/>
      <c r="AF597" s="89"/>
      <c r="AG597" s="89"/>
      <c r="AH597" s="89"/>
    </row>
    <row r="598">
      <c r="A598" s="8" t="s">
        <v>736</v>
      </c>
      <c r="B598" s="97"/>
      <c r="C598" s="8"/>
      <c r="D598" s="89" t="str">
        <f t="shared" si="1"/>
        <v/>
      </c>
      <c r="E598" s="89" t="str">
        <f t="shared" si="2"/>
        <v>OT Hours</v>
      </c>
      <c r="F598" s="89" t="str">
        <f>IFERROR(VLOOKUP(C598,'Employees List'!$B$1:$G$999,2,0),"")</f>
        <v/>
      </c>
      <c r="G598" s="89" t="str">
        <f t="shared" si="23"/>
        <v>#DIV/0!</v>
      </c>
      <c r="H598" s="98"/>
      <c r="I598" s="89" t="str">
        <f>IFERROR(VLOOKUP(F598,'Employees List'!$C:$F,2,0),"")</f>
        <v/>
      </c>
      <c r="J598" s="93" t="str">
        <f>IFERROR(VLOOKUP(C598,'Employees List'!$B$2:$G$991,5,0),"")</f>
        <v/>
      </c>
      <c r="K598" s="95" t="str">
        <f>IFERROR(VLOOKUP(F598,'Employees List'!$C$1:$AB$991,5,0),"")</f>
        <v/>
      </c>
      <c r="L598" s="91">
        <f t="shared" si="3"/>
        <v>0</v>
      </c>
      <c r="M598" s="91">
        <f t="shared" si="4"/>
        <v>0</v>
      </c>
      <c r="N598" s="89" t="str">
        <f>IFERROR(VLOOKUP(B598,'Employees List'!$A$2:$H$991,8,0),"")</f>
        <v/>
      </c>
      <c r="O598" s="89" t="str">
        <f>IFERROR(VLOOKUP(D598,'Daily Attendance Report 24-25'!A562:BP999,5,0),"")</f>
        <v/>
      </c>
      <c r="P598" s="89" t="str">
        <f>IFERROR(VLOOKUP(E598,'Daily Attendance Report 24-25'!$A$1:$BO$617,5,0),"")</f>
        <v/>
      </c>
      <c r="Q598" s="89"/>
      <c r="R598" s="89"/>
      <c r="S598" s="89" t="str">
        <f t="shared" si="17"/>
        <v>#DIV/0!</v>
      </c>
      <c r="T598" s="89" t="str">
        <f t="shared" si="6"/>
        <v>#DIV/0!</v>
      </c>
      <c r="U598" s="89" t="str">
        <f t="shared" si="25"/>
        <v>#DIV/0!</v>
      </c>
      <c r="V598" s="89" t="str">
        <f t="shared" si="24"/>
        <v>#DIV/0!</v>
      </c>
      <c r="W598" s="89" t="str">
        <f t="shared" si="9"/>
        <v>#DIV/0!</v>
      </c>
      <c r="X598" s="89"/>
      <c r="Y598" s="89"/>
      <c r="Z598" s="89"/>
      <c r="AA598" s="89"/>
      <c r="AB598" s="89"/>
      <c r="AC598" s="89"/>
      <c r="AD598" s="89"/>
      <c r="AE598" s="89"/>
      <c r="AF598" s="89"/>
      <c r="AG598" s="89"/>
      <c r="AH598" s="89"/>
    </row>
    <row r="599">
      <c r="A599" s="8" t="s">
        <v>737</v>
      </c>
      <c r="B599" s="97"/>
      <c r="C599" s="8"/>
      <c r="D599" s="89" t="str">
        <f t="shared" si="1"/>
        <v/>
      </c>
      <c r="E599" s="89" t="str">
        <f t="shared" si="2"/>
        <v>OT Hours</v>
      </c>
      <c r="F599" s="89" t="str">
        <f>IFERROR(VLOOKUP(C599,'Employees List'!$B$1:$G$999,2,0),"")</f>
        <v/>
      </c>
      <c r="G599" s="89" t="str">
        <f t="shared" si="23"/>
        <v>#DIV/0!</v>
      </c>
      <c r="H599" s="98"/>
      <c r="I599" s="89" t="str">
        <f>IFERROR(VLOOKUP(F599,'Employees List'!$C:$F,2,0),"")</f>
        <v/>
      </c>
      <c r="J599" s="93" t="str">
        <f>IFERROR(VLOOKUP(C599,'Employees List'!$B$2:$G$991,5,0),"")</f>
        <v/>
      </c>
      <c r="K599" s="95" t="str">
        <f>IFERROR(VLOOKUP(F599,'Employees List'!$C$1:$AB$991,5,0),"")</f>
        <v/>
      </c>
      <c r="L599" s="91">
        <f t="shared" si="3"/>
        <v>0</v>
      </c>
      <c r="M599" s="91">
        <f t="shared" si="4"/>
        <v>0</v>
      </c>
      <c r="N599" s="89" t="str">
        <f>IFERROR(VLOOKUP(B599,'Employees List'!$A$2:$H$991,8,0),"")</f>
        <v/>
      </c>
      <c r="O599" s="89" t="str">
        <f>IFERROR(VLOOKUP(D599,'Daily Attendance Report 24-25'!A563:BP999,5,0),"")</f>
        <v/>
      </c>
      <c r="P599" s="89" t="str">
        <f>IFERROR(VLOOKUP(E599,'Daily Attendance Report 24-25'!$A$1:$BO$617,5,0),"")</f>
        <v/>
      </c>
      <c r="Q599" s="89"/>
      <c r="R599" s="89"/>
      <c r="S599" s="89" t="str">
        <f t="shared" si="17"/>
        <v>#DIV/0!</v>
      </c>
      <c r="T599" s="89" t="str">
        <f t="shared" si="6"/>
        <v>#DIV/0!</v>
      </c>
      <c r="U599" s="89" t="str">
        <f t="shared" si="25"/>
        <v>#DIV/0!</v>
      </c>
      <c r="V599" s="89" t="str">
        <f t="shared" si="24"/>
        <v>#DIV/0!</v>
      </c>
      <c r="W599" s="89" t="str">
        <f t="shared" si="9"/>
        <v>#DIV/0!</v>
      </c>
      <c r="X599" s="89"/>
      <c r="Y599" s="89"/>
      <c r="Z599" s="89"/>
      <c r="AA599" s="89"/>
      <c r="AB599" s="89"/>
      <c r="AC599" s="89"/>
      <c r="AD599" s="89"/>
      <c r="AE599" s="89"/>
      <c r="AF599" s="89"/>
      <c r="AG599" s="89"/>
      <c r="AH599" s="89"/>
    </row>
    <row r="600">
      <c r="A600" s="8" t="s">
        <v>738</v>
      </c>
      <c r="B600" s="97"/>
      <c r="C600" s="8"/>
      <c r="D600" s="89" t="str">
        <f t="shared" si="1"/>
        <v/>
      </c>
      <c r="E600" s="89" t="str">
        <f t="shared" si="2"/>
        <v>OT Hours</v>
      </c>
      <c r="F600" s="89" t="str">
        <f>IFERROR(VLOOKUP(C600,'Employees List'!$B$1:$G$999,2,0),"")</f>
        <v/>
      </c>
      <c r="G600" s="89" t="str">
        <f t="shared" si="23"/>
        <v>#DIV/0!</v>
      </c>
      <c r="H600" s="98"/>
      <c r="I600" s="89" t="str">
        <f>IFERROR(VLOOKUP(F600,'Employees List'!$C:$F,2,0),"")</f>
        <v/>
      </c>
      <c r="J600" s="93" t="str">
        <f>IFERROR(VLOOKUP(C600,'Employees List'!$B$2:$G$991,5,0),"")</f>
        <v/>
      </c>
      <c r="K600" s="95" t="str">
        <f>IFERROR(VLOOKUP(F600,'Employees List'!$C$1:$AB$991,5,0),"")</f>
        <v/>
      </c>
      <c r="L600" s="91">
        <f t="shared" si="3"/>
        <v>0</v>
      </c>
      <c r="M600" s="91">
        <f t="shared" si="4"/>
        <v>0</v>
      </c>
      <c r="N600" s="89" t="str">
        <f>IFERROR(VLOOKUP(B600,'Employees List'!$A$2:$H$991,8,0),"")</f>
        <v/>
      </c>
      <c r="O600" s="89" t="str">
        <f>IFERROR(VLOOKUP(D600,'Daily Attendance Report 24-25'!A564:BP999,5,0),"")</f>
        <v/>
      </c>
      <c r="P600" s="89" t="str">
        <f>IFERROR(VLOOKUP(E600,'Daily Attendance Report 24-25'!$A$1:$BO$617,5,0),"")</f>
        <v/>
      </c>
      <c r="Q600" s="89"/>
      <c r="R600" s="89"/>
      <c r="S600" s="89" t="str">
        <f t="shared" si="17"/>
        <v>#DIV/0!</v>
      </c>
      <c r="T600" s="89" t="str">
        <f t="shared" si="6"/>
        <v>#DIV/0!</v>
      </c>
      <c r="U600" s="89" t="str">
        <f t="shared" si="25"/>
        <v>#DIV/0!</v>
      </c>
      <c r="V600" s="89" t="str">
        <f t="shared" si="24"/>
        <v>#DIV/0!</v>
      </c>
      <c r="W600" s="89" t="str">
        <f t="shared" si="9"/>
        <v>#DIV/0!</v>
      </c>
      <c r="X600" s="89"/>
      <c r="Y600" s="89"/>
      <c r="Z600" s="89"/>
      <c r="AA600" s="89"/>
      <c r="AB600" s="89"/>
      <c r="AC600" s="89"/>
      <c r="AD600" s="89"/>
      <c r="AE600" s="89"/>
      <c r="AF600" s="89"/>
      <c r="AG600" s="89"/>
      <c r="AH600" s="89"/>
    </row>
    <row r="601">
      <c r="A601" s="8" t="s">
        <v>739</v>
      </c>
      <c r="B601" s="97"/>
      <c r="C601" s="8"/>
      <c r="D601" s="89" t="str">
        <f t="shared" si="1"/>
        <v/>
      </c>
      <c r="E601" s="89" t="str">
        <f t="shared" si="2"/>
        <v>OT Hours</v>
      </c>
      <c r="F601" s="89" t="str">
        <f>IFERROR(VLOOKUP(C601,'Employees List'!$B$1:$G$999,2,0),"")</f>
        <v/>
      </c>
      <c r="G601" s="89" t="str">
        <f t="shared" si="23"/>
        <v>#DIV/0!</v>
      </c>
      <c r="H601" s="98"/>
      <c r="I601" s="89" t="str">
        <f>IFERROR(VLOOKUP(F601,'Employees List'!$C:$F,2,0),"")</f>
        <v/>
      </c>
      <c r="J601" s="93" t="str">
        <f>IFERROR(VLOOKUP(C601,'Employees List'!$B$2:$G$991,5,0),"")</f>
        <v/>
      </c>
      <c r="K601" s="95" t="str">
        <f>IFERROR(VLOOKUP(F601,'Employees List'!$C$1:$AB$991,5,0),"")</f>
        <v/>
      </c>
      <c r="L601" s="91">
        <f t="shared" si="3"/>
        <v>0</v>
      </c>
      <c r="M601" s="91">
        <f t="shared" si="4"/>
        <v>0</v>
      </c>
      <c r="N601" s="89" t="str">
        <f>IFERROR(VLOOKUP(B601,'Employees List'!$A$2:$H$991,8,0),"")</f>
        <v/>
      </c>
      <c r="O601" s="89" t="str">
        <f>IFERROR(VLOOKUP(D601,'Daily Attendance Report 24-25'!A565:BP999,5,0),"")</f>
        <v/>
      </c>
      <c r="P601" s="89" t="str">
        <f>IFERROR(VLOOKUP(E601,'Daily Attendance Report 24-25'!$A$1:$BO$617,5,0),"")</f>
        <v/>
      </c>
      <c r="Q601" s="89"/>
      <c r="R601" s="89"/>
      <c r="S601" s="89" t="str">
        <f t="shared" si="17"/>
        <v>#DIV/0!</v>
      </c>
      <c r="T601" s="89" t="str">
        <f t="shared" si="6"/>
        <v>#DIV/0!</v>
      </c>
      <c r="U601" s="89" t="str">
        <f t="shared" si="25"/>
        <v>#DIV/0!</v>
      </c>
      <c r="V601" s="89" t="str">
        <f t="shared" si="24"/>
        <v>#DIV/0!</v>
      </c>
      <c r="W601" s="89" t="str">
        <f t="shared" si="9"/>
        <v>#DIV/0!</v>
      </c>
      <c r="X601" s="89"/>
      <c r="Y601" s="89"/>
      <c r="Z601" s="89"/>
      <c r="AA601" s="89"/>
      <c r="AB601" s="89"/>
      <c r="AC601" s="89"/>
      <c r="AD601" s="89"/>
      <c r="AE601" s="89"/>
      <c r="AF601" s="89"/>
      <c r="AG601" s="89"/>
      <c r="AH601" s="89"/>
    </row>
    <row r="602">
      <c r="A602" s="8" t="s">
        <v>740</v>
      </c>
      <c r="B602" s="97"/>
      <c r="C602" s="8"/>
      <c r="D602" s="89" t="str">
        <f t="shared" si="1"/>
        <v/>
      </c>
      <c r="E602" s="89" t="str">
        <f t="shared" si="2"/>
        <v>OT Hours</v>
      </c>
      <c r="F602" s="89" t="str">
        <f>IFERROR(VLOOKUP(C602,'Employees List'!$B$1:$G$999,2,0),"")</f>
        <v/>
      </c>
      <c r="G602" s="89" t="str">
        <f t="shared" si="23"/>
        <v>#DIV/0!</v>
      </c>
      <c r="H602" s="98"/>
      <c r="I602" s="89" t="str">
        <f>IFERROR(VLOOKUP(F602,'Employees List'!$C:$F,2,0),"")</f>
        <v/>
      </c>
      <c r="J602" s="93" t="str">
        <f>IFERROR(VLOOKUP(C602,'Employees List'!$B$2:$G$991,5,0),"")</f>
        <v/>
      </c>
      <c r="K602" s="95" t="str">
        <f>IFERROR(VLOOKUP(F602,'Employees List'!$C$1:$AB$991,5,0),"")</f>
        <v/>
      </c>
      <c r="L602" s="91">
        <f t="shared" si="3"/>
        <v>0</v>
      </c>
      <c r="M602" s="91">
        <f t="shared" si="4"/>
        <v>0</v>
      </c>
      <c r="N602" s="89" t="str">
        <f>IFERROR(VLOOKUP(B602,'Employees List'!$A$2:$H$991,8,0),"")</f>
        <v/>
      </c>
      <c r="O602" s="89" t="str">
        <f>IFERROR(VLOOKUP(D602,'Daily Attendance Report 24-25'!A566:BP999,5,0),"")</f>
        <v/>
      </c>
      <c r="P602" s="89" t="str">
        <f>IFERROR(VLOOKUP(E602,'Daily Attendance Report 24-25'!$A$1:$BO$617,5,0),"")</f>
        <v/>
      </c>
      <c r="Q602" s="89"/>
      <c r="R602" s="89"/>
      <c r="S602" s="89" t="str">
        <f t="shared" si="17"/>
        <v>#DIV/0!</v>
      </c>
      <c r="T602" s="89" t="str">
        <f t="shared" si="6"/>
        <v>#DIV/0!</v>
      </c>
      <c r="U602" s="89" t="str">
        <f t="shared" si="25"/>
        <v>#DIV/0!</v>
      </c>
      <c r="V602" s="89" t="str">
        <f t="shared" si="24"/>
        <v>#DIV/0!</v>
      </c>
      <c r="W602" s="89" t="str">
        <f t="shared" si="9"/>
        <v>#DIV/0!</v>
      </c>
      <c r="X602" s="89"/>
      <c r="Y602" s="89"/>
      <c r="Z602" s="89"/>
      <c r="AA602" s="89"/>
      <c r="AB602" s="89"/>
      <c r="AC602" s="89"/>
      <c r="AD602" s="89"/>
      <c r="AE602" s="89"/>
      <c r="AF602" s="89"/>
      <c r="AG602" s="89"/>
      <c r="AH602" s="89"/>
    </row>
    <row r="603">
      <c r="A603" s="8" t="s">
        <v>741</v>
      </c>
      <c r="B603" s="97"/>
      <c r="C603" s="8"/>
      <c r="D603" s="89" t="str">
        <f t="shared" si="1"/>
        <v/>
      </c>
      <c r="E603" s="89" t="str">
        <f t="shared" si="2"/>
        <v>OT Hours</v>
      </c>
      <c r="F603" s="89" t="str">
        <f>IFERROR(VLOOKUP(C603,'Employees List'!$B$1:$G$999,2,0),"")</f>
        <v/>
      </c>
      <c r="G603" s="89" t="str">
        <f t="shared" si="23"/>
        <v>#DIV/0!</v>
      </c>
      <c r="H603" s="98"/>
      <c r="I603" s="89" t="str">
        <f>IFERROR(VLOOKUP(F603,'Employees List'!$C:$F,2,0),"")</f>
        <v/>
      </c>
      <c r="J603" s="93" t="str">
        <f>IFERROR(VLOOKUP(C603,'Employees List'!$B$2:$G$991,5,0),"")</f>
        <v/>
      </c>
      <c r="K603" s="95" t="str">
        <f>IFERROR(VLOOKUP(F603,'Employees List'!$C$1:$AB$991,5,0),"")</f>
        <v/>
      </c>
      <c r="L603" s="91">
        <f t="shared" si="3"/>
        <v>0</v>
      </c>
      <c r="M603" s="91">
        <f t="shared" si="4"/>
        <v>0</v>
      </c>
      <c r="N603" s="89" t="str">
        <f>IFERROR(VLOOKUP(B603,'Employees List'!$A$2:$H$991,8,0),"")</f>
        <v/>
      </c>
      <c r="O603" s="89" t="str">
        <f>IFERROR(VLOOKUP(D603,'Daily Attendance Report 24-25'!A567:BP999,5,0),"")</f>
        <v/>
      </c>
      <c r="P603" s="89" t="str">
        <f>IFERROR(VLOOKUP(E603,'Daily Attendance Report 24-25'!$A$1:$BO$617,5,0),"")</f>
        <v/>
      </c>
      <c r="Q603" s="89"/>
      <c r="R603" s="89"/>
      <c r="S603" s="89" t="str">
        <f t="shared" si="17"/>
        <v>#DIV/0!</v>
      </c>
      <c r="T603" s="89" t="str">
        <f t="shared" si="6"/>
        <v>#DIV/0!</v>
      </c>
      <c r="U603" s="89" t="str">
        <f t="shared" si="25"/>
        <v>#DIV/0!</v>
      </c>
      <c r="V603" s="89" t="str">
        <f t="shared" si="24"/>
        <v>#DIV/0!</v>
      </c>
      <c r="W603" s="89" t="str">
        <f t="shared" si="9"/>
        <v>#DIV/0!</v>
      </c>
      <c r="X603" s="89"/>
      <c r="Y603" s="89"/>
      <c r="Z603" s="89"/>
      <c r="AA603" s="89"/>
      <c r="AB603" s="89"/>
      <c r="AC603" s="89"/>
      <c r="AD603" s="89"/>
      <c r="AE603" s="89"/>
      <c r="AF603" s="89"/>
      <c r="AG603" s="89"/>
      <c r="AH603" s="89"/>
    </row>
    <row r="604">
      <c r="A604" s="8" t="s">
        <v>742</v>
      </c>
      <c r="B604" s="97"/>
      <c r="C604" s="8"/>
      <c r="D604" s="89" t="str">
        <f t="shared" si="1"/>
        <v/>
      </c>
      <c r="E604" s="89" t="str">
        <f t="shared" si="2"/>
        <v>OT Hours</v>
      </c>
      <c r="F604" s="89" t="str">
        <f>IFERROR(VLOOKUP(C604,'Employees List'!$B$1:$G$999,2,0),"")</f>
        <v/>
      </c>
      <c r="G604" s="89" t="str">
        <f t="shared" si="23"/>
        <v>#DIV/0!</v>
      </c>
      <c r="H604" s="98"/>
      <c r="I604" s="89" t="str">
        <f>IFERROR(VLOOKUP(F604,'Employees List'!$C:$F,2,0),"")</f>
        <v/>
      </c>
      <c r="J604" s="93" t="str">
        <f>IFERROR(VLOOKUP(C604,'Employees List'!$B$2:$G$991,5,0),"")</f>
        <v/>
      </c>
      <c r="K604" s="95" t="str">
        <f>IFERROR(VLOOKUP(F604,'Employees List'!$C$1:$AB$991,5,0),"")</f>
        <v/>
      </c>
      <c r="L604" s="91">
        <f t="shared" si="3"/>
        <v>0</v>
      </c>
      <c r="M604" s="91">
        <f t="shared" si="4"/>
        <v>0</v>
      </c>
      <c r="N604" s="89" t="str">
        <f>IFERROR(VLOOKUP(B604,'Employees List'!$A$2:$H$991,8,0),"")</f>
        <v/>
      </c>
      <c r="O604" s="89" t="str">
        <f>IFERROR(VLOOKUP(D604,'Daily Attendance Report 24-25'!A568:BP999,5,0),"")</f>
        <v/>
      </c>
      <c r="P604" s="89" t="str">
        <f>IFERROR(VLOOKUP(E604,'Daily Attendance Report 24-25'!$A$1:$BO$617,5,0),"")</f>
        <v/>
      </c>
      <c r="Q604" s="89"/>
      <c r="R604" s="89"/>
      <c r="S604" s="89" t="str">
        <f t="shared" si="17"/>
        <v>#DIV/0!</v>
      </c>
      <c r="T604" s="89" t="str">
        <f t="shared" si="6"/>
        <v>#DIV/0!</v>
      </c>
      <c r="U604" s="89" t="str">
        <f t="shared" si="25"/>
        <v>#DIV/0!</v>
      </c>
      <c r="V604" s="89" t="str">
        <f t="shared" si="24"/>
        <v>#DIV/0!</v>
      </c>
      <c r="W604" s="89" t="str">
        <f t="shared" si="9"/>
        <v>#DIV/0!</v>
      </c>
      <c r="X604" s="89"/>
      <c r="Y604" s="89"/>
      <c r="Z604" s="89"/>
      <c r="AA604" s="89"/>
      <c r="AB604" s="89"/>
      <c r="AC604" s="89"/>
      <c r="AD604" s="89"/>
      <c r="AE604" s="89"/>
      <c r="AF604" s="89"/>
      <c r="AG604" s="89"/>
      <c r="AH604" s="89"/>
    </row>
    <row r="605">
      <c r="A605" s="8" t="s">
        <v>743</v>
      </c>
      <c r="B605" s="97"/>
      <c r="C605" s="8"/>
      <c r="D605" s="89" t="str">
        <f t="shared" si="1"/>
        <v/>
      </c>
      <c r="E605" s="89" t="str">
        <f t="shared" si="2"/>
        <v>OT Hours</v>
      </c>
      <c r="F605" s="89" t="str">
        <f>IFERROR(VLOOKUP(C605,'Employees List'!$B$1:$G$999,2,0),"")</f>
        <v/>
      </c>
      <c r="G605" s="89" t="str">
        <f t="shared" si="23"/>
        <v>#DIV/0!</v>
      </c>
      <c r="H605" s="98"/>
      <c r="I605" s="89" t="str">
        <f>IFERROR(VLOOKUP(F605,'Employees List'!$C:$F,2,0),"")</f>
        <v/>
      </c>
      <c r="J605" s="93" t="str">
        <f>IFERROR(VLOOKUP(C605,'Employees List'!$B$2:$G$991,5,0),"")</f>
        <v/>
      </c>
      <c r="K605" s="95" t="str">
        <f>IFERROR(VLOOKUP(F605,'Employees List'!$C$1:$AB$991,5,0),"")</f>
        <v/>
      </c>
      <c r="L605" s="91">
        <f t="shared" si="3"/>
        <v>0</v>
      </c>
      <c r="M605" s="91">
        <f t="shared" si="4"/>
        <v>0</v>
      </c>
      <c r="N605" s="89" t="str">
        <f>IFERROR(VLOOKUP(B605,'Employees List'!$A$2:$H$991,8,0),"")</f>
        <v/>
      </c>
      <c r="O605" s="89" t="str">
        <f>IFERROR(VLOOKUP(D605,'Daily Attendance Report 24-25'!A569:BP999,5,0),"")</f>
        <v/>
      </c>
      <c r="P605" s="89" t="str">
        <f>IFERROR(VLOOKUP(E605,'Daily Attendance Report 24-25'!$A$1:$BO$617,5,0),"")</f>
        <v/>
      </c>
      <c r="Q605" s="89"/>
      <c r="R605" s="89"/>
      <c r="S605" s="89" t="str">
        <f t="shared" si="17"/>
        <v>#DIV/0!</v>
      </c>
      <c r="T605" s="89" t="str">
        <f t="shared" si="6"/>
        <v>#DIV/0!</v>
      </c>
      <c r="U605" s="89" t="str">
        <f t="shared" si="25"/>
        <v>#DIV/0!</v>
      </c>
      <c r="V605" s="89" t="str">
        <f t="shared" si="24"/>
        <v>#DIV/0!</v>
      </c>
      <c r="W605" s="89" t="str">
        <f t="shared" si="9"/>
        <v>#DIV/0!</v>
      </c>
      <c r="X605" s="89"/>
      <c r="Y605" s="89"/>
      <c r="Z605" s="89"/>
      <c r="AA605" s="89"/>
      <c r="AB605" s="89"/>
      <c r="AC605" s="89"/>
      <c r="AD605" s="89"/>
      <c r="AE605" s="89"/>
      <c r="AF605" s="89"/>
      <c r="AG605" s="89"/>
      <c r="AH605" s="89"/>
    </row>
    <row r="606">
      <c r="A606" s="8" t="s">
        <v>744</v>
      </c>
      <c r="B606" s="97"/>
      <c r="C606" s="8"/>
      <c r="D606" s="89" t="str">
        <f t="shared" si="1"/>
        <v/>
      </c>
      <c r="E606" s="89" t="str">
        <f t="shared" si="2"/>
        <v>OT Hours</v>
      </c>
      <c r="F606" s="89" t="str">
        <f>IFERROR(VLOOKUP(C606,'Employees List'!$B$1:$G$999,2,0),"")</f>
        <v/>
      </c>
      <c r="G606" s="89" t="str">
        <f t="shared" si="23"/>
        <v>#DIV/0!</v>
      </c>
      <c r="H606" s="98"/>
      <c r="I606" s="89" t="str">
        <f>IFERROR(VLOOKUP(F606,'Employees List'!$C:$F,2,0),"")</f>
        <v/>
      </c>
      <c r="J606" s="93" t="str">
        <f>IFERROR(VLOOKUP(C606,'Employees List'!$B$2:$G$991,5,0),"")</f>
        <v/>
      </c>
      <c r="K606" s="95" t="str">
        <f>IFERROR(VLOOKUP(F606,'Employees List'!$C$1:$AB$991,5,0),"")</f>
        <v/>
      </c>
      <c r="L606" s="91">
        <f t="shared" si="3"/>
        <v>0</v>
      </c>
      <c r="M606" s="91">
        <f t="shared" si="4"/>
        <v>0</v>
      </c>
      <c r="N606" s="89" t="str">
        <f>IFERROR(VLOOKUP(B606,'Employees List'!$A$2:$H$991,8,0),"")</f>
        <v/>
      </c>
      <c r="O606" s="89" t="str">
        <f>IFERROR(VLOOKUP(D606,'Daily Attendance Report 24-25'!A570:BP999,5,0),"")</f>
        <v/>
      </c>
      <c r="P606" s="89" t="str">
        <f>IFERROR(VLOOKUP(E606,'Daily Attendance Report 24-25'!$A$1:$BO$617,5,0),"")</f>
        <v/>
      </c>
      <c r="Q606" s="89"/>
      <c r="R606" s="89"/>
      <c r="S606" s="89" t="str">
        <f t="shared" si="17"/>
        <v>#DIV/0!</v>
      </c>
      <c r="T606" s="89" t="str">
        <f t="shared" si="6"/>
        <v>#DIV/0!</v>
      </c>
      <c r="U606" s="89" t="str">
        <f t="shared" si="25"/>
        <v>#DIV/0!</v>
      </c>
      <c r="V606" s="89" t="str">
        <f t="shared" si="24"/>
        <v>#DIV/0!</v>
      </c>
      <c r="W606" s="89" t="str">
        <f t="shared" si="9"/>
        <v>#DIV/0!</v>
      </c>
      <c r="X606" s="89"/>
      <c r="Y606" s="89"/>
      <c r="Z606" s="89"/>
      <c r="AA606" s="89"/>
      <c r="AB606" s="89"/>
      <c r="AC606" s="89"/>
      <c r="AD606" s="89"/>
      <c r="AE606" s="89"/>
      <c r="AF606" s="89"/>
      <c r="AG606" s="89"/>
      <c r="AH606" s="89"/>
    </row>
    <row r="607">
      <c r="A607" s="8" t="s">
        <v>745</v>
      </c>
      <c r="B607" s="97"/>
      <c r="C607" s="8"/>
      <c r="D607" s="89" t="str">
        <f t="shared" si="1"/>
        <v/>
      </c>
      <c r="E607" s="89" t="str">
        <f t="shared" si="2"/>
        <v>OT Hours</v>
      </c>
      <c r="F607" s="89" t="str">
        <f>IFERROR(VLOOKUP(C607,'Employees List'!$B$1:$G$999,2,0),"")</f>
        <v/>
      </c>
      <c r="G607" s="89" t="str">
        <f t="shared" si="23"/>
        <v>#DIV/0!</v>
      </c>
      <c r="H607" s="98"/>
      <c r="I607" s="89" t="str">
        <f>IFERROR(VLOOKUP(F607,'Employees List'!$C:$F,2,0),"")</f>
        <v/>
      </c>
      <c r="J607" s="93" t="str">
        <f>IFERROR(VLOOKUP(C607,'Employees List'!$B$2:$G$991,5,0),"")</f>
        <v/>
      </c>
      <c r="K607" s="95" t="str">
        <f>IFERROR(VLOOKUP(F607,'Employees List'!$C$1:$AB$991,5,0),"")</f>
        <v/>
      </c>
      <c r="L607" s="91">
        <f t="shared" si="3"/>
        <v>0</v>
      </c>
      <c r="M607" s="91">
        <f t="shared" si="4"/>
        <v>0</v>
      </c>
      <c r="N607" s="89" t="str">
        <f>IFERROR(VLOOKUP(B607,'Employees List'!$A$2:$H$991,8,0),"")</f>
        <v/>
      </c>
      <c r="O607" s="89" t="str">
        <f>IFERROR(VLOOKUP(D607,'Daily Attendance Report 24-25'!A571:BP999,5,0),"")</f>
        <v/>
      </c>
      <c r="P607" s="89" t="str">
        <f>IFERROR(VLOOKUP(E607,'Daily Attendance Report 24-25'!$A$1:$BO$617,5,0),"")</f>
        <v/>
      </c>
      <c r="Q607" s="89"/>
      <c r="R607" s="89"/>
      <c r="S607" s="89" t="str">
        <f t="shared" si="17"/>
        <v>#DIV/0!</v>
      </c>
      <c r="T607" s="89" t="str">
        <f t="shared" si="6"/>
        <v>#DIV/0!</v>
      </c>
      <c r="U607" s="89" t="str">
        <f t="shared" si="25"/>
        <v>#DIV/0!</v>
      </c>
      <c r="V607" s="89" t="str">
        <f t="shared" si="24"/>
        <v>#DIV/0!</v>
      </c>
      <c r="W607" s="89" t="str">
        <f t="shared" si="9"/>
        <v>#DIV/0!</v>
      </c>
      <c r="X607" s="89"/>
      <c r="Y607" s="89"/>
      <c r="Z607" s="89"/>
      <c r="AA607" s="89"/>
      <c r="AB607" s="89"/>
      <c r="AC607" s="89"/>
      <c r="AD607" s="89"/>
      <c r="AE607" s="89"/>
      <c r="AF607" s="89"/>
      <c r="AG607" s="89"/>
      <c r="AH607" s="89"/>
    </row>
    <row r="608">
      <c r="A608" s="8" t="s">
        <v>746</v>
      </c>
      <c r="B608" s="97"/>
      <c r="C608" s="8"/>
      <c r="D608" s="89" t="str">
        <f t="shared" si="1"/>
        <v/>
      </c>
      <c r="E608" s="89" t="str">
        <f t="shared" si="2"/>
        <v>OT Hours</v>
      </c>
      <c r="F608" s="89" t="str">
        <f>IFERROR(VLOOKUP(C608,'Employees List'!$B$1:$G$999,2,0),"")</f>
        <v/>
      </c>
      <c r="G608" s="89" t="str">
        <f t="shared" si="23"/>
        <v>#DIV/0!</v>
      </c>
      <c r="H608" s="98"/>
      <c r="I608" s="89" t="str">
        <f>IFERROR(VLOOKUP(F608,'Employees List'!$C:$F,2,0),"")</f>
        <v/>
      </c>
      <c r="J608" s="93" t="str">
        <f>IFERROR(VLOOKUP(C608,'Employees List'!$B$2:$G$991,5,0),"")</f>
        <v/>
      </c>
      <c r="K608" s="95" t="str">
        <f>IFERROR(VLOOKUP(F608,'Employees List'!$C$1:$AB$991,5,0),"")</f>
        <v/>
      </c>
      <c r="L608" s="91">
        <f t="shared" si="3"/>
        <v>0</v>
      </c>
      <c r="M608" s="91">
        <f t="shared" si="4"/>
        <v>0</v>
      </c>
      <c r="N608" s="89" t="str">
        <f>IFERROR(VLOOKUP(B608,'Employees List'!$A$2:$H$991,8,0),"")</f>
        <v/>
      </c>
      <c r="O608" s="89" t="str">
        <f>IFERROR(VLOOKUP(D608,'Daily Attendance Report 24-25'!A572:BP999,5,0),"")</f>
        <v/>
      </c>
      <c r="P608" s="89" t="str">
        <f>IFERROR(VLOOKUP(E608,'Daily Attendance Report 24-25'!$A$1:$BO$617,5,0),"")</f>
        <v/>
      </c>
      <c r="Q608" s="89"/>
      <c r="R608" s="89"/>
      <c r="S608" s="89" t="str">
        <f t="shared" si="17"/>
        <v>#DIV/0!</v>
      </c>
      <c r="T608" s="89" t="str">
        <f t="shared" si="6"/>
        <v>#DIV/0!</v>
      </c>
      <c r="U608" s="89" t="str">
        <f t="shared" si="25"/>
        <v>#DIV/0!</v>
      </c>
      <c r="V608" s="89" t="str">
        <f t="shared" si="24"/>
        <v>#DIV/0!</v>
      </c>
      <c r="W608" s="89" t="str">
        <f t="shared" si="9"/>
        <v>#DIV/0!</v>
      </c>
      <c r="X608" s="89"/>
      <c r="Y608" s="89"/>
      <c r="Z608" s="89"/>
      <c r="AA608" s="89"/>
      <c r="AB608" s="89"/>
      <c r="AC608" s="89"/>
      <c r="AD608" s="89"/>
      <c r="AE608" s="89"/>
      <c r="AF608" s="89"/>
      <c r="AG608" s="89"/>
      <c r="AH608" s="89"/>
    </row>
    <row r="609">
      <c r="A609" s="8" t="s">
        <v>747</v>
      </c>
      <c r="B609" s="97"/>
      <c r="C609" s="8"/>
      <c r="D609" s="89" t="str">
        <f t="shared" si="1"/>
        <v/>
      </c>
      <c r="E609" s="89" t="str">
        <f t="shared" si="2"/>
        <v>OT Hours</v>
      </c>
      <c r="F609" s="89" t="str">
        <f>IFERROR(VLOOKUP(C609,'Employees List'!$B$1:$G$999,2,0),"")</f>
        <v/>
      </c>
      <c r="G609" s="89" t="str">
        <f t="shared" si="23"/>
        <v>#DIV/0!</v>
      </c>
      <c r="H609" s="98"/>
      <c r="I609" s="89" t="str">
        <f>IFERROR(VLOOKUP(F609,'Employees List'!$C:$F,2,0),"")</f>
        <v/>
      </c>
      <c r="J609" s="93" t="str">
        <f>IFERROR(VLOOKUP(C609,'Employees List'!$B$2:$G$991,5,0),"")</f>
        <v/>
      </c>
      <c r="K609" s="95" t="str">
        <f>IFERROR(VLOOKUP(F609,'Employees List'!$C$1:$AB$991,5,0),"")</f>
        <v/>
      </c>
      <c r="L609" s="91">
        <f t="shared" si="3"/>
        <v>0</v>
      </c>
      <c r="M609" s="91">
        <f t="shared" si="4"/>
        <v>0</v>
      </c>
      <c r="N609" s="89" t="str">
        <f>IFERROR(VLOOKUP(B609,'Employees List'!$A$2:$H$991,8,0),"")</f>
        <v/>
      </c>
      <c r="O609" s="89" t="str">
        <f>IFERROR(VLOOKUP(D609,'Daily Attendance Report 24-25'!A573:BP999,5,0),"")</f>
        <v/>
      </c>
      <c r="P609" s="89" t="str">
        <f>IFERROR(VLOOKUP(E609,'Daily Attendance Report 24-25'!$A$1:$BO$617,5,0),"")</f>
        <v/>
      </c>
      <c r="Q609" s="89"/>
      <c r="R609" s="89"/>
      <c r="S609" s="89" t="str">
        <f t="shared" si="17"/>
        <v>#DIV/0!</v>
      </c>
      <c r="T609" s="89" t="str">
        <f t="shared" si="6"/>
        <v>#DIV/0!</v>
      </c>
      <c r="U609" s="89" t="str">
        <f t="shared" si="25"/>
        <v>#DIV/0!</v>
      </c>
      <c r="V609" s="89" t="str">
        <f t="shared" si="24"/>
        <v>#DIV/0!</v>
      </c>
      <c r="W609" s="89" t="str">
        <f t="shared" si="9"/>
        <v>#DIV/0!</v>
      </c>
      <c r="X609" s="89"/>
      <c r="Y609" s="89"/>
      <c r="Z609" s="89"/>
      <c r="AA609" s="89"/>
      <c r="AB609" s="89"/>
      <c r="AC609" s="89"/>
      <c r="AD609" s="89"/>
      <c r="AE609" s="89"/>
      <c r="AF609" s="89"/>
      <c r="AG609" s="89"/>
      <c r="AH609" s="89"/>
    </row>
    <row r="610">
      <c r="A610" s="8" t="s">
        <v>748</v>
      </c>
      <c r="B610" s="97"/>
      <c r="C610" s="8"/>
      <c r="D610" s="89" t="str">
        <f t="shared" si="1"/>
        <v/>
      </c>
      <c r="E610" s="89" t="str">
        <f t="shared" si="2"/>
        <v>OT Hours</v>
      </c>
      <c r="F610" s="89" t="str">
        <f>IFERROR(VLOOKUP(C610,'Employees List'!$B$1:$G$999,2,0),"")</f>
        <v/>
      </c>
      <c r="G610" s="89" t="str">
        <f t="shared" si="23"/>
        <v>#DIV/0!</v>
      </c>
      <c r="H610" s="98"/>
      <c r="I610" s="89" t="str">
        <f>IFERROR(VLOOKUP(F610,'Employees List'!$C:$F,2,0),"")</f>
        <v/>
      </c>
      <c r="J610" s="93" t="str">
        <f>IFERROR(VLOOKUP(C610,'Employees List'!$B$2:$G$991,5,0),"")</f>
        <v/>
      </c>
      <c r="K610" s="95" t="str">
        <f>IFERROR(VLOOKUP(F610,'Employees List'!$C$1:$AB$991,5,0),"")</f>
        <v/>
      </c>
      <c r="L610" s="91">
        <f t="shared" si="3"/>
        <v>0</v>
      </c>
      <c r="M610" s="91">
        <f t="shared" si="4"/>
        <v>0</v>
      </c>
      <c r="N610" s="89" t="str">
        <f>IFERROR(VLOOKUP(B610,'Employees List'!$A$2:$H$991,8,0),"")</f>
        <v/>
      </c>
      <c r="O610" s="89" t="str">
        <f>IFERROR(VLOOKUP(D610,'Daily Attendance Report 24-25'!A574:BP999,5,0),"")</f>
        <v/>
      </c>
      <c r="P610" s="89" t="str">
        <f>IFERROR(VLOOKUP(E610,'Daily Attendance Report 24-25'!$A$1:$BO$617,5,0),"")</f>
        <v/>
      </c>
      <c r="Q610" s="89"/>
      <c r="R610" s="89"/>
      <c r="S610" s="89" t="str">
        <f t="shared" si="17"/>
        <v>#DIV/0!</v>
      </c>
      <c r="T610" s="89" t="str">
        <f t="shared" si="6"/>
        <v>#DIV/0!</v>
      </c>
      <c r="U610" s="89" t="str">
        <f t="shared" si="25"/>
        <v>#DIV/0!</v>
      </c>
      <c r="V610" s="89" t="str">
        <f t="shared" si="24"/>
        <v>#DIV/0!</v>
      </c>
      <c r="W610" s="89" t="str">
        <f t="shared" si="9"/>
        <v>#DIV/0!</v>
      </c>
      <c r="X610" s="89"/>
      <c r="Y610" s="89"/>
      <c r="Z610" s="89"/>
      <c r="AA610" s="89"/>
      <c r="AB610" s="89"/>
      <c r="AC610" s="89"/>
      <c r="AD610" s="89"/>
      <c r="AE610" s="89"/>
      <c r="AF610" s="89"/>
      <c r="AG610" s="89"/>
      <c r="AH610" s="89"/>
    </row>
    <row r="611">
      <c r="A611" s="8" t="s">
        <v>749</v>
      </c>
      <c r="B611" s="97"/>
      <c r="C611" s="8"/>
      <c r="D611" s="89" t="str">
        <f t="shared" si="1"/>
        <v/>
      </c>
      <c r="E611" s="89" t="str">
        <f t="shared" si="2"/>
        <v>OT Hours</v>
      </c>
      <c r="F611" s="89" t="str">
        <f>IFERROR(VLOOKUP(C611,'Employees List'!$B$1:$G$999,2,0),"")</f>
        <v/>
      </c>
      <c r="G611" s="89" t="str">
        <f t="shared" si="23"/>
        <v>#DIV/0!</v>
      </c>
      <c r="H611" s="98"/>
      <c r="I611" s="89" t="str">
        <f>IFERROR(VLOOKUP(F611,'Employees List'!$C:$F,2,0),"")</f>
        <v/>
      </c>
      <c r="J611" s="93" t="str">
        <f>IFERROR(VLOOKUP(C611,'Employees List'!$B$2:$G$991,5,0),"")</f>
        <v/>
      </c>
      <c r="K611" s="95" t="str">
        <f>IFERROR(VLOOKUP(F611,'Employees List'!$C$1:$AB$991,5,0),"")</f>
        <v/>
      </c>
      <c r="L611" s="91">
        <f t="shared" si="3"/>
        <v>0</v>
      </c>
      <c r="M611" s="91">
        <f t="shared" si="4"/>
        <v>0</v>
      </c>
      <c r="N611" s="89" t="str">
        <f>IFERROR(VLOOKUP(B611,'Employees List'!$A$2:$H$991,8,0),"")</f>
        <v/>
      </c>
      <c r="O611" s="89" t="str">
        <f>IFERROR(VLOOKUP(D611,'Daily Attendance Report 24-25'!A575:BP999,5,0),"")</f>
        <v/>
      </c>
      <c r="P611" s="89" t="str">
        <f>IFERROR(VLOOKUP(E611,'Daily Attendance Report 24-25'!$A$1:$BO$617,5,0),"")</f>
        <v/>
      </c>
      <c r="Q611" s="89"/>
      <c r="R611" s="89"/>
      <c r="S611" s="89" t="str">
        <f t="shared" si="17"/>
        <v>#DIV/0!</v>
      </c>
      <c r="T611" s="89" t="str">
        <f t="shared" si="6"/>
        <v>#DIV/0!</v>
      </c>
      <c r="U611" s="89" t="str">
        <f t="shared" si="25"/>
        <v>#DIV/0!</v>
      </c>
      <c r="V611" s="89" t="str">
        <f t="shared" si="24"/>
        <v>#DIV/0!</v>
      </c>
      <c r="W611" s="89" t="str">
        <f t="shared" si="9"/>
        <v>#DIV/0!</v>
      </c>
      <c r="X611" s="89"/>
      <c r="Y611" s="89"/>
      <c r="Z611" s="89"/>
      <c r="AA611" s="89"/>
      <c r="AB611" s="89"/>
      <c r="AC611" s="89"/>
      <c r="AD611" s="89"/>
      <c r="AE611" s="89"/>
      <c r="AF611" s="89"/>
      <c r="AG611" s="89"/>
      <c r="AH611" s="89"/>
    </row>
    <row r="612">
      <c r="A612" s="8" t="s">
        <v>750</v>
      </c>
      <c r="B612" s="97"/>
      <c r="C612" s="8"/>
      <c r="D612" s="89" t="str">
        <f t="shared" si="1"/>
        <v/>
      </c>
      <c r="E612" s="89" t="str">
        <f t="shared" si="2"/>
        <v>OT Hours</v>
      </c>
      <c r="F612" s="89" t="str">
        <f>IFERROR(VLOOKUP(C612,'Employees List'!$B$1:$G$999,2,0),"")</f>
        <v/>
      </c>
      <c r="G612" s="89" t="str">
        <f t="shared" si="23"/>
        <v>#DIV/0!</v>
      </c>
      <c r="H612" s="98"/>
      <c r="I612" s="89" t="str">
        <f>IFERROR(VLOOKUP(F612,'Employees List'!$C:$F,2,0),"")</f>
        <v/>
      </c>
      <c r="J612" s="93" t="str">
        <f>IFERROR(VLOOKUP(C612,'Employees List'!$B$2:$G$991,5,0),"")</f>
        <v/>
      </c>
      <c r="K612" s="95" t="str">
        <f>IFERROR(VLOOKUP(F612,'Employees List'!$C$1:$AB$991,5,0),"")</f>
        <v/>
      </c>
      <c r="L612" s="91">
        <f t="shared" si="3"/>
        <v>0</v>
      </c>
      <c r="M612" s="91">
        <f t="shared" si="4"/>
        <v>0</v>
      </c>
      <c r="N612" s="89" t="str">
        <f>IFERROR(VLOOKUP(B612,'Employees List'!$A$2:$H$991,8,0),"")</f>
        <v/>
      </c>
      <c r="O612" s="89" t="str">
        <f>IFERROR(VLOOKUP(D612,'Daily Attendance Report 24-25'!A576:BP999,5,0),"")</f>
        <v/>
      </c>
      <c r="P612" s="89" t="str">
        <f>IFERROR(VLOOKUP(E612,'Daily Attendance Report 24-25'!$A$1:$BO$617,5,0),"")</f>
        <v/>
      </c>
      <c r="Q612" s="89"/>
      <c r="R612" s="89"/>
      <c r="S612" s="89" t="str">
        <f t="shared" si="17"/>
        <v>#DIV/0!</v>
      </c>
      <c r="T612" s="89" t="str">
        <f t="shared" si="6"/>
        <v>#DIV/0!</v>
      </c>
      <c r="U612" s="89" t="str">
        <f t="shared" si="25"/>
        <v>#DIV/0!</v>
      </c>
      <c r="V612" s="89" t="str">
        <f t="shared" si="24"/>
        <v>#DIV/0!</v>
      </c>
      <c r="W612" s="89" t="str">
        <f t="shared" si="9"/>
        <v>#DIV/0!</v>
      </c>
      <c r="X612" s="89"/>
      <c r="Y612" s="89"/>
      <c r="Z612" s="89"/>
      <c r="AA612" s="89"/>
      <c r="AB612" s="89"/>
      <c r="AC612" s="89"/>
      <c r="AD612" s="89"/>
      <c r="AE612" s="89"/>
      <c r="AF612" s="89"/>
      <c r="AG612" s="89"/>
      <c r="AH612" s="89"/>
    </row>
    <row r="613">
      <c r="A613" s="8" t="s">
        <v>751</v>
      </c>
      <c r="B613" s="97"/>
      <c r="C613" s="8"/>
      <c r="D613" s="89" t="str">
        <f t="shared" si="1"/>
        <v/>
      </c>
      <c r="E613" s="89" t="str">
        <f t="shared" si="2"/>
        <v>OT Hours</v>
      </c>
      <c r="F613" s="89" t="str">
        <f>IFERROR(VLOOKUP(C613,'Employees List'!$B$1:$G$999,2,0),"")</f>
        <v/>
      </c>
      <c r="G613" s="89" t="str">
        <f t="shared" si="23"/>
        <v>#DIV/0!</v>
      </c>
      <c r="H613" s="98"/>
      <c r="I613" s="89" t="str">
        <f>IFERROR(VLOOKUP(F613,'Employees List'!$C:$F,2,0),"")</f>
        <v/>
      </c>
      <c r="J613" s="93" t="str">
        <f>IFERROR(VLOOKUP(C613,'Employees List'!$B$2:$G$991,5,0),"")</f>
        <v/>
      </c>
      <c r="K613" s="95" t="str">
        <f>IFERROR(VLOOKUP(F613,'Employees List'!$C$1:$AB$991,5,0),"")</f>
        <v/>
      </c>
      <c r="L613" s="91">
        <f t="shared" si="3"/>
        <v>0</v>
      </c>
      <c r="M613" s="91">
        <f t="shared" si="4"/>
        <v>0</v>
      </c>
      <c r="N613" s="89" t="str">
        <f>IFERROR(VLOOKUP(B613,'Employees List'!$A$2:$H$991,8,0),"")</f>
        <v/>
      </c>
      <c r="O613" s="89" t="str">
        <f>IFERROR(VLOOKUP(D613,'Daily Attendance Report 24-25'!A577:BP999,5,0),"")</f>
        <v/>
      </c>
      <c r="P613" s="89" t="str">
        <f>IFERROR(VLOOKUP(E613,'Daily Attendance Report 24-25'!$A$1:$BO$617,5,0),"")</f>
        <v/>
      </c>
      <c r="Q613" s="89"/>
      <c r="R613" s="89"/>
      <c r="S613" s="89" t="str">
        <f t="shared" si="17"/>
        <v>#DIV/0!</v>
      </c>
      <c r="T613" s="89" t="str">
        <f t="shared" si="6"/>
        <v>#DIV/0!</v>
      </c>
      <c r="U613" s="89" t="str">
        <f t="shared" si="25"/>
        <v>#DIV/0!</v>
      </c>
      <c r="V613" s="89" t="str">
        <f t="shared" si="24"/>
        <v>#DIV/0!</v>
      </c>
      <c r="W613" s="89" t="str">
        <f t="shared" si="9"/>
        <v>#DIV/0!</v>
      </c>
      <c r="X613" s="89"/>
      <c r="Y613" s="89"/>
      <c r="Z613" s="89"/>
      <c r="AA613" s="89"/>
      <c r="AB613" s="89"/>
      <c r="AC613" s="89"/>
      <c r="AD613" s="89"/>
      <c r="AE613" s="89"/>
      <c r="AF613" s="89"/>
      <c r="AG613" s="89"/>
      <c r="AH613" s="89"/>
    </row>
    <row r="614">
      <c r="A614" s="8" t="s">
        <v>752</v>
      </c>
      <c r="B614" s="97"/>
      <c r="C614" s="8"/>
      <c r="D614" s="89" t="str">
        <f t="shared" si="1"/>
        <v/>
      </c>
      <c r="E614" s="89" t="str">
        <f t="shared" si="2"/>
        <v>OT Hours</v>
      </c>
      <c r="F614" s="89" t="str">
        <f>IFERROR(VLOOKUP(C614,'Employees List'!$B$1:$G$999,2,0),"")</f>
        <v/>
      </c>
      <c r="G614" s="89" t="str">
        <f t="shared" si="23"/>
        <v>#DIV/0!</v>
      </c>
      <c r="H614" s="98"/>
      <c r="I614" s="89" t="str">
        <f>IFERROR(VLOOKUP(F614,'Employees List'!$C:$F,2,0),"")</f>
        <v/>
      </c>
      <c r="J614" s="93" t="str">
        <f>IFERROR(VLOOKUP(C614,'Employees List'!$B$2:$G$991,5,0),"")</f>
        <v/>
      </c>
      <c r="K614" s="95" t="str">
        <f>IFERROR(VLOOKUP(F614,'Employees List'!$C$1:$AB$991,5,0),"")</f>
        <v/>
      </c>
      <c r="L614" s="91">
        <f t="shared" si="3"/>
        <v>0</v>
      </c>
      <c r="M614" s="91">
        <f t="shared" si="4"/>
        <v>0</v>
      </c>
      <c r="N614" s="89" t="str">
        <f>IFERROR(VLOOKUP(B614,'Employees List'!$A$2:$H$991,8,0),"")</f>
        <v/>
      </c>
      <c r="O614" s="89" t="str">
        <f>IFERROR(VLOOKUP(D614,'Daily Attendance Report 24-25'!A578:BP999,5,0),"")</f>
        <v/>
      </c>
      <c r="P614" s="89" t="str">
        <f>IFERROR(VLOOKUP(E614,'Daily Attendance Report 24-25'!$A$1:$BO$617,5,0),"")</f>
        <v/>
      </c>
      <c r="Q614" s="89"/>
      <c r="R614" s="89"/>
      <c r="S614" s="89" t="str">
        <f t="shared" si="17"/>
        <v>#DIV/0!</v>
      </c>
      <c r="T614" s="89" t="str">
        <f t="shared" si="6"/>
        <v>#DIV/0!</v>
      </c>
      <c r="U614" s="89" t="str">
        <f t="shared" si="25"/>
        <v>#DIV/0!</v>
      </c>
      <c r="V614" s="89" t="str">
        <f t="shared" si="24"/>
        <v>#DIV/0!</v>
      </c>
      <c r="W614" s="89" t="str">
        <f t="shared" si="9"/>
        <v>#DIV/0!</v>
      </c>
      <c r="X614" s="89"/>
      <c r="Y614" s="89"/>
      <c r="Z614" s="89"/>
      <c r="AA614" s="89"/>
      <c r="AB614" s="89"/>
      <c r="AC614" s="89"/>
      <c r="AD614" s="89"/>
      <c r="AE614" s="89"/>
      <c r="AF614" s="89"/>
      <c r="AG614" s="89"/>
      <c r="AH614" s="89"/>
    </row>
    <row r="615">
      <c r="A615" s="8" t="s">
        <v>753</v>
      </c>
      <c r="B615" s="97"/>
      <c r="C615" s="8"/>
      <c r="D615" s="89" t="str">
        <f t="shared" si="1"/>
        <v/>
      </c>
      <c r="E615" s="89" t="str">
        <f t="shared" si="2"/>
        <v>OT Hours</v>
      </c>
      <c r="F615" s="89" t="str">
        <f>IFERROR(VLOOKUP(C615,'Employees List'!$B$1:$G$999,2,0),"")</f>
        <v/>
      </c>
      <c r="G615" s="89" t="str">
        <f t="shared" si="23"/>
        <v>#DIV/0!</v>
      </c>
      <c r="H615" s="98"/>
      <c r="I615" s="89" t="str">
        <f>IFERROR(VLOOKUP(F615,'Employees List'!$C:$F,2,0),"")</f>
        <v/>
      </c>
      <c r="J615" s="93" t="str">
        <f>IFERROR(VLOOKUP(C615,'Employees List'!$B$2:$G$991,5,0),"")</f>
        <v/>
      </c>
      <c r="K615" s="95" t="str">
        <f>IFERROR(VLOOKUP(F615,'Employees List'!$C$1:$AB$991,5,0),"")</f>
        <v/>
      </c>
      <c r="L615" s="91">
        <f t="shared" si="3"/>
        <v>0</v>
      </c>
      <c r="M615" s="91">
        <f t="shared" si="4"/>
        <v>0</v>
      </c>
      <c r="N615" s="89" t="str">
        <f>IFERROR(VLOOKUP(B615,'Employees List'!$A$2:$H$991,8,0),"")</f>
        <v/>
      </c>
      <c r="O615" s="89" t="str">
        <f>IFERROR(VLOOKUP(D615,'Daily Attendance Report 24-25'!A579:BP999,5,0),"")</f>
        <v/>
      </c>
      <c r="P615" s="89" t="str">
        <f>IFERROR(VLOOKUP(E615,'Daily Attendance Report 24-25'!$A$1:$BO$617,5,0),"")</f>
        <v/>
      </c>
      <c r="Q615" s="89"/>
      <c r="R615" s="89"/>
      <c r="S615" s="89" t="str">
        <f t="shared" si="17"/>
        <v>#DIV/0!</v>
      </c>
      <c r="T615" s="89" t="str">
        <f t="shared" si="6"/>
        <v>#DIV/0!</v>
      </c>
      <c r="U615" s="89" t="str">
        <f t="shared" si="25"/>
        <v>#DIV/0!</v>
      </c>
      <c r="V615" s="89" t="str">
        <f t="shared" si="24"/>
        <v>#DIV/0!</v>
      </c>
      <c r="W615" s="89" t="str">
        <f t="shared" si="9"/>
        <v>#DIV/0!</v>
      </c>
      <c r="X615" s="89"/>
      <c r="Y615" s="89"/>
      <c r="Z615" s="89"/>
      <c r="AA615" s="89"/>
      <c r="AB615" s="89"/>
      <c r="AC615" s="89"/>
      <c r="AD615" s="89"/>
      <c r="AE615" s="89"/>
      <c r="AF615" s="89"/>
      <c r="AG615" s="89"/>
      <c r="AH615" s="89"/>
    </row>
    <row r="616">
      <c r="A616" s="8" t="s">
        <v>754</v>
      </c>
      <c r="B616" s="97"/>
      <c r="C616" s="8"/>
      <c r="D616" s="89" t="str">
        <f t="shared" si="1"/>
        <v/>
      </c>
      <c r="E616" s="89" t="str">
        <f t="shared" si="2"/>
        <v>OT Hours</v>
      </c>
      <c r="F616" s="89" t="str">
        <f>IFERROR(VLOOKUP(C616,'Employees List'!$B$1:$G$999,2,0),"")</f>
        <v/>
      </c>
      <c r="G616" s="89" t="str">
        <f t="shared" si="23"/>
        <v>#DIV/0!</v>
      </c>
      <c r="H616" s="98"/>
      <c r="I616" s="89" t="str">
        <f>IFERROR(VLOOKUP(F616,'Employees List'!$C:$F,2,0),"")</f>
        <v/>
      </c>
      <c r="J616" s="93" t="str">
        <f>IFERROR(VLOOKUP(C616,'Employees List'!$B$2:$G$991,5,0),"")</f>
        <v/>
      </c>
      <c r="K616" s="95" t="str">
        <f>IFERROR(VLOOKUP(F616,'Employees List'!$C$1:$AB$991,5,0),"")</f>
        <v/>
      </c>
      <c r="L616" s="91">
        <f t="shared" si="3"/>
        <v>0</v>
      </c>
      <c r="M616" s="91">
        <f t="shared" si="4"/>
        <v>0</v>
      </c>
      <c r="N616" s="89" t="str">
        <f>IFERROR(VLOOKUP(B616,'Employees List'!$A$2:$H$991,8,0),"")</f>
        <v/>
      </c>
      <c r="O616" s="89" t="str">
        <f>IFERROR(VLOOKUP(D616,'Daily Attendance Report 24-25'!A580:BP999,5,0),"")</f>
        <v/>
      </c>
      <c r="P616" s="89" t="str">
        <f>IFERROR(VLOOKUP(E616,'Daily Attendance Report 24-25'!$A$1:$BO$617,5,0),"")</f>
        <v/>
      </c>
      <c r="Q616" s="89"/>
      <c r="R616" s="89"/>
      <c r="S616" s="89" t="str">
        <f t="shared" si="17"/>
        <v>#DIV/0!</v>
      </c>
      <c r="T616" s="89" t="str">
        <f t="shared" si="6"/>
        <v>#DIV/0!</v>
      </c>
      <c r="U616" s="89" t="str">
        <f t="shared" si="25"/>
        <v>#DIV/0!</v>
      </c>
      <c r="V616" s="89" t="str">
        <f t="shared" si="24"/>
        <v>#DIV/0!</v>
      </c>
      <c r="W616" s="89" t="str">
        <f t="shared" si="9"/>
        <v>#DIV/0!</v>
      </c>
      <c r="X616" s="89"/>
      <c r="Y616" s="89"/>
      <c r="Z616" s="89"/>
      <c r="AA616" s="89"/>
      <c r="AB616" s="89"/>
      <c r="AC616" s="89"/>
      <c r="AD616" s="89"/>
      <c r="AE616" s="89"/>
      <c r="AF616" s="89"/>
      <c r="AG616" s="89"/>
      <c r="AH616" s="89"/>
    </row>
    <row r="617">
      <c r="A617" s="8" t="s">
        <v>755</v>
      </c>
      <c r="B617" s="97"/>
      <c r="C617" s="8"/>
      <c r="D617" s="89" t="str">
        <f t="shared" si="1"/>
        <v/>
      </c>
      <c r="E617" s="89" t="str">
        <f t="shared" si="2"/>
        <v>OT Hours</v>
      </c>
      <c r="F617" s="89" t="str">
        <f>IFERROR(VLOOKUP(C617,'Employees List'!$B$1:$G$999,2,0),"")</f>
        <v/>
      </c>
      <c r="G617" s="89" t="str">
        <f t="shared" si="23"/>
        <v>#DIV/0!</v>
      </c>
      <c r="H617" s="98"/>
      <c r="I617" s="89" t="str">
        <f>IFERROR(VLOOKUP(F617,'Employees List'!$C:$F,2,0),"")</f>
        <v/>
      </c>
      <c r="J617" s="93" t="str">
        <f>IFERROR(VLOOKUP(C617,'Employees List'!$B$2:$G$991,5,0),"")</f>
        <v/>
      </c>
      <c r="K617" s="95" t="str">
        <f>IFERROR(VLOOKUP(F617,'Employees List'!$C$1:$AB$991,5,0),"")</f>
        <v/>
      </c>
      <c r="L617" s="91">
        <f t="shared" si="3"/>
        <v>0</v>
      </c>
      <c r="M617" s="91">
        <f t="shared" si="4"/>
        <v>0</v>
      </c>
      <c r="N617" s="89" t="str">
        <f>IFERROR(VLOOKUP(B617,'Employees List'!$A$2:$H$991,8,0),"")</f>
        <v/>
      </c>
      <c r="O617" s="89" t="str">
        <f>IFERROR(VLOOKUP(D617,'Daily Attendance Report 24-25'!A581:BP999,5,0),"")</f>
        <v/>
      </c>
      <c r="P617" s="89" t="str">
        <f>IFERROR(VLOOKUP(E617,'Daily Attendance Report 24-25'!$A$1:$BO$617,5,0),"")</f>
        <v/>
      </c>
      <c r="Q617" s="89"/>
      <c r="R617" s="89"/>
      <c r="S617" s="89" t="str">
        <f t="shared" si="17"/>
        <v>#DIV/0!</v>
      </c>
      <c r="T617" s="89" t="str">
        <f t="shared" si="6"/>
        <v>#DIV/0!</v>
      </c>
      <c r="U617" s="89" t="str">
        <f t="shared" si="25"/>
        <v>#DIV/0!</v>
      </c>
      <c r="V617" s="89" t="str">
        <f t="shared" si="24"/>
        <v>#DIV/0!</v>
      </c>
      <c r="W617" s="89" t="str">
        <f t="shared" si="9"/>
        <v>#DIV/0!</v>
      </c>
      <c r="X617" s="89"/>
      <c r="Y617" s="89"/>
      <c r="Z617" s="89"/>
      <c r="AA617" s="89"/>
      <c r="AB617" s="89"/>
      <c r="AC617" s="89"/>
      <c r="AD617" s="89"/>
      <c r="AE617" s="89"/>
      <c r="AF617" s="89"/>
      <c r="AG617" s="89"/>
      <c r="AH617" s="89"/>
    </row>
    <row r="618">
      <c r="A618" s="8" t="s">
        <v>756</v>
      </c>
      <c r="B618" s="97"/>
      <c r="C618" s="8"/>
      <c r="D618" s="89" t="str">
        <f t="shared" si="1"/>
        <v/>
      </c>
      <c r="E618" s="89" t="str">
        <f t="shared" si="2"/>
        <v>OT Hours</v>
      </c>
      <c r="F618" s="89" t="str">
        <f>IFERROR(VLOOKUP(C618,'Employees List'!$B$1:$G$999,2,0),"")</f>
        <v/>
      </c>
      <c r="G618" s="89" t="str">
        <f t="shared" si="23"/>
        <v>#DIV/0!</v>
      </c>
      <c r="H618" s="98"/>
      <c r="I618" s="89" t="str">
        <f>IFERROR(VLOOKUP(F618,'Employees List'!$C:$F,2,0),"")</f>
        <v/>
      </c>
      <c r="J618" s="93" t="str">
        <f>IFERROR(VLOOKUP(C618,'Employees List'!$B$2:$G$991,5,0),"")</f>
        <v/>
      </c>
      <c r="K618" s="95" t="str">
        <f>IFERROR(VLOOKUP(F618,'Employees List'!$C$1:$AB$991,5,0),"")</f>
        <v/>
      </c>
      <c r="L618" s="91">
        <f t="shared" si="3"/>
        <v>0</v>
      </c>
      <c r="M618" s="91">
        <f t="shared" si="4"/>
        <v>0</v>
      </c>
      <c r="N618" s="89" t="str">
        <f>IFERROR(VLOOKUP(B618,'Employees List'!$A$2:$H$991,8,0),"")</f>
        <v/>
      </c>
      <c r="O618" s="89" t="str">
        <f>IFERROR(VLOOKUP(D618,'Daily Attendance Report 24-25'!A582:BP999,5,0),"")</f>
        <v/>
      </c>
      <c r="P618" s="89" t="str">
        <f>IFERROR(VLOOKUP(E618,'Daily Attendance Report 24-25'!$A$1:$BO$617,5,0),"")</f>
        <v/>
      </c>
      <c r="Q618" s="89"/>
      <c r="R618" s="89"/>
      <c r="S618" s="89" t="str">
        <f t="shared" si="17"/>
        <v>#DIV/0!</v>
      </c>
      <c r="T618" s="89" t="str">
        <f t="shared" si="6"/>
        <v>#DIV/0!</v>
      </c>
      <c r="U618" s="89" t="str">
        <f t="shared" si="25"/>
        <v>#DIV/0!</v>
      </c>
      <c r="V618" s="89" t="str">
        <f t="shared" si="24"/>
        <v>#DIV/0!</v>
      </c>
      <c r="W618" s="89" t="str">
        <f t="shared" si="9"/>
        <v>#DIV/0!</v>
      </c>
      <c r="X618" s="89"/>
      <c r="Y618" s="89"/>
      <c r="Z618" s="89"/>
      <c r="AA618" s="89"/>
      <c r="AB618" s="89"/>
      <c r="AC618" s="89"/>
      <c r="AD618" s="89"/>
      <c r="AE618" s="89"/>
      <c r="AF618" s="89"/>
      <c r="AG618" s="89"/>
      <c r="AH618" s="89"/>
    </row>
    <row r="619">
      <c r="A619" s="8" t="s">
        <v>757</v>
      </c>
      <c r="B619" s="97"/>
      <c r="C619" s="8"/>
      <c r="D619" s="89" t="str">
        <f t="shared" si="1"/>
        <v/>
      </c>
      <c r="E619" s="89" t="str">
        <f t="shared" si="2"/>
        <v>OT Hours</v>
      </c>
      <c r="F619" s="89" t="str">
        <f>IFERROR(VLOOKUP(C619,'Employees List'!$B$1:$G$999,2,0),"")</f>
        <v/>
      </c>
      <c r="G619" s="89" t="str">
        <f t="shared" si="23"/>
        <v>#DIV/0!</v>
      </c>
      <c r="H619" s="98"/>
      <c r="I619" s="89" t="str">
        <f>IFERROR(VLOOKUP(F619,'Employees List'!$C:$F,2,0),"")</f>
        <v/>
      </c>
      <c r="J619" s="93" t="str">
        <f>IFERROR(VLOOKUP(C619,'Employees List'!$B$2:$G$991,5,0),"")</f>
        <v/>
      </c>
      <c r="K619" s="95" t="str">
        <f>IFERROR(VLOOKUP(F619,'Employees List'!$C$1:$AB$991,5,0),"")</f>
        <v/>
      </c>
      <c r="L619" s="91">
        <f t="shared" si="3"/>
        <v>0</v>
      </c>
      <c r="M619" s="91">
        <f t="shared" si="4"/>
        <v>0</v>
      </c>
      <c r="N619" s="89" t="str">
        <f>IFERROR(VLOOKUP(B619,'Employees List'!$A$2:$H$991,8,0),"")</f>
        <v/>
      </c>
      <c r="O619" s="89" t="str">
        <f>IFERROR(VLOOKUP(D619,'Daily Attendance Report 24-25'!A583:BP999,5,0),"")</f>
        <v/>
      </c>
      <c r="P619" s="89" t="str">
        <f>IFERROR(VLOOKUP(E619,'Daily Attendance Report 24-25'!$A$1:$BO$617,5,0),"")</f>
        <v/>
      </c>
      <c r="Q619" s="89"/>
      <c r="R619" s="89"/>
      <c r="S619" s="89" t="str">
        <f t="shared" si="17"/>
        <v>#DIV/0!</v>
      </c>
      <c r="T619" s="89" t="str">
        <f t="shared" si="6"/>
        <v>#DIV/0!</v>
      </c>
      <c r="U619" s="89" t="str">
        <f t="shared" si="25"/>
        <v>#DIV/0!</v>
      </c>
      <c r="V619" s="89" t="str">
        <f t="shared" si="24"/>
        <v>#DIV/0!</v>
      </c>
      <c r="W619" s="89" t="str">
        <f t="shared" si="9"/>
        <v>#DIV/0!</v>
      </c>
      <c r="X619" s="89"/>
      <c r="Y619" s="89"/>
      <c r="Z619" s="89"/>
      <c r="AA619" s="89"/>
      <c r="AB619" s="89"/>
      <c r="AC619" s="89"/>
      <c r="AD619" s="89"/>
      <c r="AE619" s="89"/>
      <c r="AF619" s="89"/>
      <c r="AG619" s="89"/>
      <c r="AH619" s="89"/>
    </row>
    <row r="620">
      <c r="A620" s="8" t="s">
        <v>758</v>
      </c>
      <c r="B620" s="97"/>
      <c r="C620" s="8"/>
      <c r="D620" s="89" t="str">
        <f t="shared" si="1"/>
        <v/>
      </c>
      <c r="E620" s="89" t="str">
        <f t="shared" si="2"/>
        <v>OT Hours</v>
      </c>
      <c r="F620" s="89" t="str">
        <f>IFERROR(VLOOKUP(C620,'Employees List'!$B$1:$G$999,2,0),"")</f>
        <v/>
      </c>
      <c r="G620" s="89" t="str">
        <f t="shared" si="23"/>
        <v>#DIV/0!</v>
      </c>
      <c r="H620" s="98"/>
      <c r="I620" s="89" t="str">
        <f>IFERROR(VLOOKUP(F620,'Employees List'!$C:$F,2,0),"")</f>
        <v/>
      </c>
      <c r="J620" s="93" t="str">
        <f>IFERROR(VLOOKUP(C620,'Employees List'!$B$2:$G$991,5,0),"")</f>
        <v/>
      </c>
      <c r="K620" s="95" t="str">
        <f>IFERROR(VLOOKUP(F620,'Employees List'!$C$1:$AB$991,5,0),"")</f>
        <v/>
      </c>
      <c r="L620" s="91">
        <f t="shared" si="3"/>
        <v>0</v>
      </c>
      <c r="M620" s="91">
        <f t="shared" si="4"/>
        <v>0</v>
      </c>
      <c r="N620" s="89" t="str">
        <f>IFERROR(VLOOKUP(B620,'Employees List'!$A$2:$H$991,8,0),"")</f>
        <v/>
      </c>
      <c r="O620" s="89" t="str">
        <f>IFERROR(VLOOKUP(D620,'Daily Attendance Report 24-25'!A584:BP999,5,0),"")</f>
        <v/>
      </c>
      <c r="P620" s="89" t="str">
        <f>IFERROR(VLOOKUP(E620,'Daily Attendance Report 24-25'!$A$1:$BO$617,5,0),"")</f>
        <v/>
      </c>
      <c r="Q620" s="89"/>
      <c r="R620" s="89"/>
      <c r="S620" s="89" t="str">
        <f t="shared" si="17"/>
        <v>#DIV/0!</v>
      </c>
      <c r="T620" s="89" t="str">
        <f t="shared" si="6"/>
        <v>#DIV/0!</v>
      </c>
      <c r="U620" s="89" t="str">
        <f t="shared" si="25"/>
        <v>#DIV/0!</v>
      </c>
      <c r="V620" s="89" t="str">
        <f t="shared" si="24"/>
        <v>#DIV/0!</v>
      </c>
      <c r="W620" s="89" t="str">
        <f t="shared" si="9"/>
        <v>#DIV/0!</v>
      </c>
      <c r="X620" s="89"/>
      <c r="Y620" s="89"/>
      <c r="Z620" s="89"/>
      <c r="AA620" s="89"/>
      <c r="AB620" s="89"/>
      <c r="AC620" s="89"/>
      <c r="AD620" s="89"/>
      <c r="AE620" s="89"/>
      <c r="AF620" s="89"/>
      <c r="AG620" s="89"/>
      <c r="AH620" s="89"/>
    </row>
    <row r="621">
      <c r="A621" s="8" t="s">
        <v>759</v>
      </c>
      <c r="B621" s="97"/>
      <c r="C621" s="8"/>
      <c r="D621" s="89" t="str">
        <f t="shared" si="1"/>
        <v/>
      </c>
      <c r="E621" s="89" t="str">
        <f t="shared" si="2"/>
        <v>OT Hours</v>
      </c>
      <c r="F621" s="89" t="str">
        <f>IFERROR(VLOOKUP(C621,'Employees List'!$B$1:$G$999,2,0),"")</f>
        <v/>
      </c>
      <c r="G621" s="89" t="str">
        <f t="shared" si="23"/>
        <v>#DIV/0!</v>
      </c>
      <c r="H621" s="98"/>
      <c r="I621" s="89" t="str">
        <f>IFERROR(VLOOKUP(F621,'Employees List'!$C:$F,2,0),"")</f>
        <v/>
      </c>
      <c r="J621" s="93" t="str">
        <f>IFERROR(VLOOKUP(C621,'Employees List'!$B$2:$G$991,5,0),"")</f>
        <v/>
      </c>
      <c r="K621" s="95" t="str">
        <f>IFERROR(VLOOKUP(F621,'Employees List'!$C$1:$AB$991,5,0),"")</f>
        <v/>
      </c>
      <c r="L621" s="91">
        <f t="shared" si="3"/>
        <v>0</v>
      </c>
      <c r="M621" s="91">
        <f t="shared" si="4"/>
        <v>0</v>
      </c>
      <c r="N621" s="89" t="str">
        <f>IFERROR(VLOOKUP(B621,'Employees List'!$A$2:$H$991,8,0),"")</f>
        <v/>
      </c>
      <c r="O621" s="89" t="str">
        <f>IFERROR(VLOOKUP(D621,'Daily Attendance Report 24-25'!A585:BP999,5,0),"")</f>
        <v/>
      </c>
      <c r="P621" s="89" t="str">
        <f>IFERROR(VLOOKUP(E621,'Daily Attendance Report 24-25'!$A$1:$BO$617,5,0),"")</f>
        <v/>
      </c>
      <c r="Q621" s="89"/>
      <c r="R621" s="89"/>
      <c r="S621" s="89" t="str">
        <f t="shared" si="17"/>
        <v>#DIV/0!</v>
      </c>
      <c r="T621" s="89" t="str">
        <f t="shared" si="6"/>
        <v>#DIV/0!</v>
      </c>
      <c r="U621" s="89" t="str">
        <f t="shared" si="25"/>
        <v>#DIV/0!</v>
      </c>
      <c r="V621" s="89" t="str">
        <f t="shared" si="24"/>
        <v>#DIV/0!</v>
      </c>
      <c r="W621" s="89" t="str">
        <f t="shared" si="9"/>
        <v>#DIV/0!</v>
      </c>
      <c r="X621" s="89"/>
      <c r="Y621" s="89"/>
      <c r="Z621" s="89"/>
      <c r="AA621" s="89"/>
      <c r="AB621" s="89"/>
      <c r="AC621" s="89"/>
      <c r="AD621" s="89"/>
      <c r="AE621" s="89"/>
      <c r="AF621" s="89"/>
      <c r="AG621" s="89"/>
      <c r="AH621" s="89"/>
    </row>
    <row r="622">
      <c r="A622" s="8" t="s">
        <v>760</v>
      </c>
      <c r="B622" s="97"/>
      <c r="C622" s="8"/>
      <c r="D622" s="89" t="str">
        <f t="shared" si="1"/>
        <v/>
      </c>
      <c r="E622" s="89" t="str">
        <f t="shared" si="2"/>
        <v>OT Hours</v>
      </c>
      <c r="F622" s="89" t="str">
        <f>IFERROR(VLOOKUP(C622,'Employees List'!$B$1:$G$999,2,0),"")</f>
        <v/>
      </c>
      <c r="G622" s="89" t="str">
        <f t="shared" si="23"/>
        <v>#DIV/0!</v>
      </c>
      <c r="H622" s="98"/>
      <c r="I622" s="89" t="str">
        <f>IFERROR(VLOOKUP(F622,'Employees List'!$C:$F,2,0),"")</f>
        <v/>
      </c>
      <c r="J622" s="93" t="str">
        <f>IFERROR(VLOOKUP(C622,'Employees List'!$B$2:$G$991,5,0),"")</f>
        <v/>
      </c>
      <c r="K622" s="95" t="str">
        <f>IFERROR(VLOOKUP(F622,'Employees List'!$C$1:$AB$991,5,0),"")</f>
        <v/>
      </c>
      <c r="L622" s="91">
        <f t="shared" si="3"/>
        <v>0</v>
      </c>
      <c r="M622" s="91">
        <f t="shared" si="4"/>
        <v>0</v>
      </c>
      <c r="N622" s="89" t="str">
        <f>IFERROR(VLOOKUP(B622,'Employees List'!$A$2:$H$991,8,0),"")</f>
        <v/>
      </c>
      <c r="O622" s="89" t="str">
        <f>IFERROR(VLOOKUP(D622,'Daily Attendance Report 24-25'!A586:BP999,5,0),"")</f>
        <v/>
      </c>
      <c r="P622" s="89" t="str">
        <f>IFERROR(VLOOKUP(E622,'Daily Attendance Report 24-25'!$A$1:$BO$617,5,0),"")</f>
        <v/>
      </c>
      <c r="Q622" s="89"/>
      <c r="R622" s="89"/>
      <c r="S622" s="89" t="str">
        <f t="shared" si="17"/>
        <v>#DIV/0!</v>
      </c>
      <c r="T622" s="89" t="str">
        <f t="shared" si="6"/>
        <v>#DIV/0!</v>
      </c>
      <c r="U622" s="89" t="str">
        <f t="shared" si="25"/>
        <v>#DIV/0!</v>
      </c>
      <c r="V622" s="89" t="str">
        <f t="shared" si="24"/>
        <v>#DIV/0!</v>
      </c>
      <c r="W622" s="89" t="str">
        <f t="shared" si="9"/>
        <v>#DIV/0!</v>
      </c>
      <c r="X622" s="89"/>
      <c r="Y622" s="89"/>
      <c r="Z622" s="89"/>
      <c r="AA622" s="89"/>
      <c r="AB622" s="89"/>
      <c r="AC622" s="89"/>
      <c r="AD622" s="89"/>
      <c r="AE622" s="89"/>
      <c r="AF622" s="89"/>
      <c r="AG622" s="89"/>
      <c r="AH622" s="89"/>
    </row>
    <row r="623">
      <c r="A623" s="8" t="s">
        <v>761</v>
      </c>
      <c r="B623" s="97"/>
      <c r="C623" s="8"/>
      <c r="D623" s="89" t="str">
        <f t="shared" si="1"/>
        <v/>
      </c>
      <c r="E623" s="89" t="str">
        <f t="shared" si="2"/>
        <v>OT Hours</v>
      </c>
      <c r="F623" s="89" t="str">
        <f>IFERROR(VLOOKUP(C623,'Employees List'!$B$1:$G$999,2,0),"")</f>
        <v/>
      </c>
      <c r="G623" s="89" t="str">
        <f t="shared" si="23"/>
        <v>#DIV/0!</v>
      </c>
      <c r="H623" s="98"/>
      <c r="I623" s="89" t="str">
        <f>IFERROR(VLOOKUP(F623,'Employees List'!$C:$F,2,0),"")</f>
        <v/>
      </c>
      <c r="J623" s="93" t="str">
        <f>IFERROR(VLOOKUP(C623,'Employees List'!$B$2:$G$991,5,0),"")</f>
        <v/>
      </c>
      <c r="K623" s="95" t="str">
        <f>IFERROR(VLOOKUP(F623,'Employees List'!$C$1:$AB$991,5,0),"")</f>
        <v/>
      </c>
      <c r="L623" s="91">
        <f t="shared" si="3"/>
        <v>0</v>
      </c>
      <c r="M623" s="91">
        <f t="shared" si="4"/>
        <v>0</v>
      </c>
      <c r="N623" s="89" t="str">
        <f>IFERROR(VLOOKUP(B623,'Employees List'!$A$2:$H$991,8,0),"")</f>
        <v/>
      </c>
      <c r="O623" s="89" t="str">
        <f>IFERROR(VLOOKUP(D623,'Daily Attendance Report 24-25'!A587:BP999,5,0),"")</f>
        <v/>
      </c>
      <c r="P623" s="89" t="str">
        <f>IFERROR(VLOOKUP(E623,'Daily Attendance Report 24-25'!$A$1:$BO$617,5,0),"")</f>
        <v/>
      </c>
      <c r="Q623" s="89"/>
      <c r="R623" s="89"/>
      <c r="S623" s="89" t="str">
        <f t="shared" si="17"/>
        <v>#DIV/0!</v>
      </c>
      <c r="T623" s="89" t="str">
        <f t="shared" si="6"/>
        <v>#DIV/0!</v>
      </c>
      <c r="U623" s="89" t="str">
        <f t="shared" si="25"/>
        <v>#DIV/0!</v>
      </c>
      <c r="V623" s="89" t="str">
        <f t="shared" si="24"/>
        <v>#DIV/0!</v>
      </c>
      <c r="W623" s="89" t="str">
        <f t="shared" si="9"/>
        <v>#DIV/0!</v>
      </c>
      <c r="X623" s="89"/>
      <c r="Y623" s="89"/>
      <c r="Z623" s="89"/>
      <c r="AA623" s="89"/>
      <c r="AB623" s="89"/>
      <c r="AC623" s="89"/>
      <c r="AD623" s="89"/>
      <c r="AE623" s="89"/>
      <c r="AF623" s="89"/>
      <c r="AG623" s="89"/>
      <c r="AH623" s="89"/>
    </row>
    <row r="624">
      <c r="A624" s="8" t="s">
        <v>762</v>
      </c>
      <c r="B624" s="97"/>
      <c r="C624" s="8"/>
      <c r="D624" s="89" t="str">
        <f t="shared" si="1"/>
        <v/>
      </c>
      <c r="E624" s="89" t="str">
        <f t="shared" si="2"/>
        <v>OT Hours</v>
      </c>
      <c r="F624" s="89" t="str">
        <f>IFERROR(VLOOKUP(C624,'Employees List'!$B$1:$G$999,2,0),"")</f>
        <v/>
      </c>
      <c r="G624" s="89" t="str">
        <f t="shared" si="23"/>
        <v>#DIV/0!</v>
      </c>
      <c r="H624" s="98"/>
      <c r="I624" s="89" t="str">
        <f>IFERROR(VLOOKUP(F624,'Employees List'!$C:$F,2,0),"")</f>
        <v/>
      </c>
      <c r="J624" s="93" t="str">
        <f>IFERROR(VLOOKUP(C624,'Employees List'!$B$2:$G$991,5,0),"")</f>
        <v/>
      </c>
      <c r="K624" s="95" t="str">
        <f>IFERROR(VLOOKUP(F624,'Employees List'!$C$1:$AB$991,5,0),"")</f>
        <v/>
      </c>
      <c r="L624" s="91">
        <f t="shared" si="3"/>
        <v>0</v>
      </c>
      <c r="M624" s="91">
        <f t="shared" si="4"/>
        <v>0</v>
      </c>
      <c r="N624" s="89" t="str">
        <f>IFERROR(VLOOKUP(B624,'Employees List'!$A$2:$H$991,8,0),"")</f>
        <v/>
      </c>
      <c r="O624" s="89" t="str">
        <f>IFERROR(VLOOKUP(D624,'Daily Attendance Report 24-25'!A588:BP999,5,0),"")</f>
        <v/>
      </c>
      <c r="P624" s="89" t="str">
        <f>IFERROR(VLOOKUP(E624,'Daily Attendance Report 24-25'!$A$1:$BO$617,5,0),"")</f>
        <v/>
      </c>
      <c r="Q624" s="89"/>
      <c r="R624" s="89"/>
      <c r="S624" s="89" t="str">
        <f t="shared" si="17"/>
        <v>#DIV/0!</v>
      </c>
      <c r="T624" s="89" t="str">
        <f t="shared" si="6"/>
        <v>#DIV/0!</v>
      </c>
      <c r="U624" s="89" t="str">
        <f t="shared" si="25"/>
        <v>#DIV/0!</v>
      </c>
      <c r="V624" s="89" t="str">
        <f t="shared" si="24"/>
        <v>#DIV/0!</v>
      </c>
      <c r="W624" s="89" t="str">
        <f t="shared" si="9"/>
        <v>#DIV/0!</v>
      </c>
      <c r="X624" s="89"/>
      <c r="Y624" s="89"/>
      <c r="Z624" s="89"/>
      <c r="AA624" s="89"/>
      <c r="AB624" s="89"/>
      <c r="AC624" s="89"/>
      <c r="AD624" s="89"/>
      <c r="AE624" s="89"/>
      <c r="AF624" s="89"/>
      <c r="AG624" s="89"/>
      <c r="AH624" s="89"/>
    </row>
    <row r="625">
      <c r="A625" s="8" t="s">
        <v>763</v>
      </c>
      <c r="B625" s="97"/>
      <c r="C625" s="8"/>
      <c r="D625" s="89" t="str">
        <f t="shared" si="1"/>
        <v/>
      </c>
      <c r="E625" s="89" t="str">
        <f t="shared" si="2"/>
        <v>OT Hours</v>
      </c>
      <c r="F625" s="89" t="str">
        <f>IFERROR(VLOOKUP(C625,'Employees List'!$B$1:$G$999,2,0),"")</f>
        <v/>
      </c>
      <c r="G625" s="89" t="str">
        <f t="shared" si="23"/>
        <v>#DIV/0!</v>
      </c>
      <c r="H625" s="98"/>
      <c r="I625" s="89" t="str">
        <f>IFERROR(VLOOKUP(F625,'Employees List'!$C:$F,2,0),"")</f>
        <v/>
      </c>
      <c r="J625" s="93" t="str">
        <f>IFERROR(VLOOKUP(C625,'Employees List'!$B$2:$G$991,5,0),"")</f>
        <v/>
      </c>
      <c r="K625" s="95" t="str">
        <f>IFERROR(VLOOKUP(F625,'Employees List'!$C$1:$AB$991,5,0),"")</f>
        <v/>
      </c>
      <c r="L625" s="91">
        <f t="shared" si="3"/>
        <v>0</v>
      </c>
      <c r="M625" s="91">
        <f t="shared" si="4"/>
        <v>0</v>
      </c>
      <c r="N625" s="89" t="str">
        <f>IFERROR(VLOOKUP(B625,'Employees List'!$A$2:$H$991,8,0),"")</f>
        <v/>
      </c>
      <c r="O625" s="89" t="str">
        <f>IFERROR(VLOOKUP(D625,'Daily Attendance Report 24-25'!A589:BP999,5,0),"")</f>
        <v/>
      </c>
      <c r="P625" s="89" t="str">
        <f>IFERROR(VLOOKUP(E625,'Daily Attendance Report 24-25'!$A$1:$BO$617,5,0),"")</f>
        <v/>
      </c>
      <c r="Q625" s="89"/>
      <c r="R625" s="89"/>
      <c r="S625" s="89" t="str">
        <f t="shared" si="17"/>
        <v>#DIV/0!</v>
      </c>
      <c r="T625" s="89" t="str">
        <f t="shared" si="6"/>
        <v>#DIV/0!</v>
      </c>
      <c r="U625" s="89" t="str">
        <f t="shared" si="25"/>
        <v>#DIV/0!</v>
      </c>
      <c r="V625" s="89" t="str">
        <f t="shared" si="24"/>
        <v>#DIV/0!</v>
      </c>
      <c r="W625" s="89" t="str">
        <f t="shared" si="9"/>
        <v>#DIV/0!</v>
      </c>
      <c r="X625" s="89"/>
      <c r="Y625" s="89"/>
      <c r="Z625" s="89"/>
      <c r="AA625" s="89"/>
      <c r="AB625" s="89"/>
      <c r="AC625" s="89"/>
      <c r="AD625" s="89"/>
      <c r="AE625" s="89"/>
      <c r="AF625" s="89"/>
      <c r="AG625" s="89"/>
      <c r="AH625" s="89"/>
    </row>
    <row r="626">
      <c r="A626" s="8" t="s">
        <v>764</v>
      </c>
      <c r="B626" s="97"/>
      <c r="C626" s="8"/>
      <c r="D626" s="89" t="str">
        <f t="shared" si="1"/>
        <v/>
      </c>
      <c r="E626" s="89" t="str">
        <f t="shared" si="2"/>
        <v>OT Hours</v>
      </c>
      <c r="F626" s="89" t="str">
        <f>IFERROR(VLOOKUP(C626,'Employees List'!$B$1:$G$999,2,0),"")</f>
        <v/>
      </c>
      <c r="G626" s="89" t="str">
        <f t="shared" si="23"/>
        <v>#DIV/0!</v>
      </c>
      <c r="H626" s="98"/>
      <c r="I626" s="89" t="str">
        <f>IFERROR(VLOOKUP(F626,'Employees List'!$C:$F,2,0),"")</f>
        <v/>
      </c>
      <c r="J626" s="93" t="str">
        <f>IFERROR(VLOOKUP(C626,'Employees List'!$B$2:$G$991,5,0),"")</f>
        <v/>
      </c>
      <c r="K626" s="95" t="str">
        <f>IFERROR(VLOOKUP(F626,'Employees List'!$C$1:$AB$991,5,0),"")</f>
        <v/>
      </c>
      <c r="L626" s="91">
        <f t="shared" si="3"/>
        <v>0</v>
      </c>
      <c r="M626" s="91">
        <f t="shared" si="4"/>
        <v>0</v>
      </c>
      <c r="N626" s="89" t="str">
        <f>IFERROR(VLOOKUP(B626,'Employees List'!$A$2:$H$991,8,0),"")</f>
        <v/>
      </c>
      <c r="O626" s="89" t="str">
        <f>IFERROR(VLOOKUP(D626,'Daily Attendance Report 24-25'!A590:BP999,5,0),"")</f>
        <v/>
      </c>
      <c r="P626" s="89" t="str">
        <f>IFERROR(VLOOKUP(E626,'Daily Attendance Report 24-25'!$A$1:$BO$617,5,0),"")</f>
        <v/>
      </c>
      <c r="Q626" s="89"/>
      <c r="R626" s="89"/>
      <c r="S626" s="89" t="str">
        <f t="shared" si="17"/>
        <v>#DIV/0!</v>
      </c>
      <c r="T626" s="89" t="str">
        <f t="shared" si="6"/>
        <v>#DIV/0!</v>
      </c>
      <c r="U626" s="89" t="str">
        <f t="shared" si="25"/>
        <v>#DIV/0!</v>
      </c>
      <c r="V626" s="89" t="str">
        <f t="shared" si="24"/>
        <v>#DIV/0!</v>
      </c>
      <c r="W626" s="89" t="str">
        <f t="shared" si="9"/>
        <v>#DIV/0!</v>
      </c>
      <c r="X626" s="89"/>
      <c r="Y626" s="89"/>
      <c r="Z626" s="89"/>
      <c r="AA626" s="89"/>
      <c r="AB626" s="89"/>
      <c r="AC626" s="89"/>
      <c r="AD626" s="89"/>
      <c r="AE626" s="89"/>
      <c r="AF626" s="89"/>
      <c r="AG626" s="89"/>
      <c r="AH626" s="89"/>
    </row>
    <row r="627">
      <c r="A627" s="8" t="s">
        <v>765</v>
      </c>
      <c r="B627" s="97"/>
      <c r="C627" s="8"/>
      <c r="D627" s="89" t="str">
        <f t="shared" si="1"/>
        <v/>
      </c>
      <c r="E627" s="89" t="str">
        <f t="shared" si="2"/>
        <v>OT Hours</v>
      </c>
      <c r="F627" s="89" t="str">
        <f>IFERROR(VLOOKUP(C627,'Employees List'!$B$1:$G$999,2,0),"")</f>
        <v/>
      </c>
      <c r="G627" s="89" t="str">
        <f t="shared" si="23"/>
        <v>#DIV/0!</v>
      </c>
      <c r="H627" s="98"/>
      <c r="I627" s="89" t="str">
        <f>IFERROR(VLOOKUP(F627,'Employees List'!$C:$F,2,0),"")</f>
        <v/>
      </c>
      <c r="J627" s="93" t="str">
        <f>IFERROR(VLOOKUP(C627,'Employees List'!$B$2:$G$991,5,0),"")</f>
        <v/>
      </c>
      <c r="K627" s="95" t="str">
        <f>IFERROR(VLOOKUP(F627,'Employees List'!$C$1:$AB$991,5,0),"")</f>
        <v/>
      </c>
      <c r="L627" s="91">
        <f t="shared" si="3"/>
        <v>0</v>
      </c>
      <c r="M627" s="91">
        <f t="shared" si="4"/>
        <v>0</v>
      </c>
      <c r="N627" s="89" t="str">
        <f>IFERROR(VLOOKUP(B627,'Employees List'!$A$2:$H$991,8,0),"")</f>
        <v/>
      </c>
      <c r="O627" s="89" t="str">
        <f>IFERROR(VLOOKUP(D627,'Daily Attendance Report 24-25'!A591:BP999,5,0),"")</f>
        <v/>
      </c>
      <c r="P627" s="89" t="str">
        <f>IFERROR(VLOOKUP(E627,'Daily Attendance Report 24-25'!$A$1:$BO$617,5,0),"")</f>
        <v/>
      </c>
      <c r="Q627" s="89"/>
      <c r="R627" s="89"/>
      <c r="S627" s="89" t="str">
        <f t="shared" si="17"/>
        <v>#DIV/0!</v>
      </c>
      <c r="T627" s="89" t="str">
        <f t="shared" si="6"/>
        <v>#DIV/0!</v>
      </c>
      <c r="U627" s="89" t="str">
        <f t="shared" si="25"/>
        <v>#DIV/0!</v>
      </c>
      <c r="V627" s="89" t="str">
        <f t="shared" si="24"/>
        <v>#DIV/0!</v>
      </c>
      <c r="W627" s="89" t="str">
        <f t="shared" si="9"/>
        <v>#DIV/0!</v>
      </c>
      <c r="X627" s="89"/>
      <c r="Y627" s="89"/>
      <c r="Z627" s="89"/>
      <c r="AA627" s="89"/>
      <c r="AB627" s="89"/>
      <c r="AC627" s="89"/>
      <c r="AD627" s="89"/>
      <c r="AE627" s="89"/>
      <c r="AF627" s="89"/>
      <c r="AG627" s="89"/>
      <c r="AH627" s="89"/>
    </row>
    <row r="628">
      <c r="A628" s="8" t="s">
        <v>766</v>
      </c>
      <c r="B628" s="97"/>
      <c r="C628" s="8"/>
      <c r="D628" s="89" t="str">
        <f t="shared" si="1"/>
        <v/>
      </c>
      <c r="E628" s="89" t="str">
        <f t="shared" si="2"/>
        <v>OT Hours</v>
      </c>
      <c r="F628" s="89" t="str">
        <f>IFERROR(VLOOKUP(C628,'Employees List'!$B$1:$G$999,2,0),"")</f>
        <v/>
      </c>
      <c r="G628" s="89" t="str">
        <f t="shared" si="23"/>
        <v>#DIV/0!</v>
      </c>
      <c r="H628" s="98"/>
      <c r="I628" s="89" t="str">
        <f>IFERROR(VLOOKUP(F628,'Employees List'!$C:$F,2,0),"")</f>
        <v/>
      </c>
      <c r="J628" s="93" t="str">
        <f>IFERROR(VLOOKUP(C628,'Employees List'!$B$2:$G$991,5,0),"")</f>
        <v/>
      </c>
      <c r="K628" s="95" t="str">
        <f>IFERROR(VLOOKUP(F628,'Employees List'!$C$1:$AB$991,5,0),"")</f>
        <v/>
      </c>
      <c r="L628" s="91">
        <f t="shared" si="3"/>
        <v>0</v>
      </c>
      <c r="M628" s="91">
        <f t="shared" si="4"/>
        <v>0</v>
      </c>
      <c r="N628" s="89" t="str">
        <f>IFERROR(VLOOKUP(B628,'Employees List'!$A$2:$H$991,8,0),"")</f>
        <v/>
      </c>
      <c r="O628" s="89" t="str">
        <f>IFERROR(VLOOKUP(D628,'Daily Attendance Report 24-25'!A592:BP999,5,0),"")</f>
        <v/>
      </c>
      <c r="P628" s="89" t="str">
        <f>IFERROR(VLOOKUP(E628,'Daily Attendance Report 24-25'!$A$1:$BO$617,5,0),"")</f>
        <v/>
      </c>
      <c r="Q628" s="89"/>
      <c r="R628" s="89"/>
      <c r="S628" s="89" t="str">
        <f t="shared" si="17"/>
        <v>#DIV/0!</v>
      </c>
      <c r="T628" s="89" t="str">
        <f t="shared" si="6"/>
        <v>#DIV/0!</v>
      </c>
      <c r="U628" s="89" t="str">
        <f t="shared" si="25"/>
        <v>#DIV/0!</v>
      </c>
      <c r="V628" s="89" t="str">
        <f t="shared" si="24"/>
        <v>#DIV/0!</v>
      </c>
      <c r="W628" s="89" t="str">
        <f t="shared" si="9"/>
        <v>#DIV/0!</v>
      </c>
      <c r="X628" s="89"/>
      <c r="Y628" s="89"/>
      <c r="Z628" s="89"/>
      <c r="AA628" s="89"/>
      <c r="AB628" s="89"/>
      <c r="AC628" s="89"/>
      <c r="AD628" s="89"/>
      <c r="AE628" s="89"/>
      <c r="AF628" s="89"/>
      <c r="AG628" s="89"/>
      <c r="AH628" s="89"/>
    </row>
    <row r="629">
      <c r="A629" s="8" t="s">
        <v>767</v>
      </c>
      <c r="B629" s="97"/>
      <c r="C629" s="8"/>
      <c r="D629" s="89" t="str">
        <f t="shared" si="1"/>
        <v/>
      </c>
      <c r="E629" s="89" t="str">
        <f t="shared" si="2"/>
        <v>OT Hours</v>
      </c>
      <c r="F629" s="89" t="str">
        <f>IFERROR(VLOOKUP(C629,'Employees List'!$B$1:$G$999,2,0),"")</f>
        <v/>
      </c>
      <c r="G629" s="89" t="str">
        <f t="shared" si="23"/>
        <v>#DIV/0!</v>
      </c>
      <c r="H629" s="98"/>
      <c r="I629" s="89" t="str">
        <f>IFERROR(VLOOKUP(F629,'Employees List'!$C:$F,2,0),"")</f>
        <v/>
      </c>
      <c r="J629" s="93" t="str">
        <f>IFERROR(VLOOKUP(C629,'Employees List'!$B$2:$G$991,5,0),"")</f>
        <v/>
      </c>
      <c r="K629" s="95" t="str">
        <f>IFERROR(VLOOKUP(F629,'Employees List'!$C$1:$AB$991,5,0),"")</f>
        <v/>
      </c>
      <c r="L629" s="91">
        <f t="shared" si="3"/>
        <v>0</v>
      </c>
      <c r="M629" s="91">
        <f t="shared" si="4"/>
        <v>0</v>
      </c>
      <c r="N629" s="89" t="str">
        <f>IFERROR(VLOOKUP(B629,'Employees List'!$A$2:$H$991,8,0),"")</f>
        <v/>
      </c>
      <c r="O629" s="89" t="str">
        <f>IFERROR(VLOOKUP(D629,'Daily Attendance Report 24-25'!A593:BP999,5,0),"")</f>
        <v/>
      </c>
      <c r="P629" s="89" t="str">
        <f>IFERROR(VLOOKUP(E629,'Daily Attendance Report 24-25'!$A$1:$BO$617,5,0),"")</f>
        <v/>
      </c>
      <c r="Q629" s="89"/>
      <c r="R629" s="89"/>
      <c r="S629" s="89" t="str">
        <f t="shared" si="17"/>
        <v>#DIV/0!</v>
      </c>
      <c r="T629" s="89" t="str">
        <f t="shared" si="6"/>
        <v>#DIV/0!</v>
      </c>
      <c r="U629" s="89" t="str">
        <f t="shared" si="25"/>
        <v>#DIV/0!</v>
      </c>
      <c r="V629" s="89" t="str">
        <f t="shared" si="24"/>
        <v>#DIV/0!</v>
      </c>
      <c r="W629" s="89" t="str">
        <f t="shared" si="9"/>
        <v>#DIV/0!</v>
      </c>
      <c r="X629" s="89"/>
      <c r="Y629" s="89"/>
      <c r="Z629" s="89"/>
      <c r="AA629" s="89"/>
      <c r="AB629" s="89"/>
      <c r="AC629" s="89"/>
      <c r="AD629" s="89"/>
      <c r="AE629" s="89"/>
      <c r="AF629" s="89"/>
      <c r="AG629" s="89"/>
      <c r="AH629" s="89"/>
    </row>
    <row r="630">
      <c r="A630" s="8" t="s">
        <v>768</v>
      </c>
      <c r="B630" s="97"/>
      <c r="C630" s="8"/>
      <c r="D630" s="89" t="str">
        <f t="shared" si="1"/>
        <v/>
      </c>
      <c r="E630" s="89" t="str">
        <f t="shared" si="2"/>
        <v>OT Hours</v>
      </c>
      <c r="F630" s="89" t="str">
        <f>IFERROR(VLOOKUP(C630,'Employees List'!$B$1:$G$999,2,0),"")</f>
        <v/>
      </c>
      <c r="G630" s="89" t="str">
        <f t="shared" si="23"/>
        <v>#DIV/0!</v>
      </c>
      <c r="H630" s="98"/>
      <c r="I630" s="89" t="str">
        <f>IFERROR(VLOOKUP(F630,'Employees List'!$C:$F,2,0),"")</f>
        <v/>
      </c>
      <c r="J630" s="93" t="str">
        <f>IFERROR(VLOOKUP(C630,'Employees List'!$B$2:$G$991,5,0),"")</f>
        <v/>
      </c>
      <c r="K630" s="95" t="str">
        <f>IFERROR(VLOOKUP(F630,'Employees List'!$C$1:$AB$991,5,0),"")</f>
        <v/>
      </c>
      <c r="L630" s="91">
        <f t="shared" si="3"/>
        <v>0</v>
      </c>
      <c r="M630" s="91">
        <f t="shared" si="4"/>
        <v>0</v>
      </c>
      <c r="N630" s="89" t="str">
        <f>IFERROR(VLOOKUP(B630,'Employees List'!$A$2:$H$991,8,0),"")</f>
        <v/>
      </c>
      <c r="O630" s="89" t="str">
        <f>IFERROR(VLOOKUP(D630,'Daily Attendance Report 24-25'!A594:BP999,5,0),"")</f>
        <v/>
      </c>
      <c r="P630" s="89" t="str">
        <f>IFERROR(VLOOKUP(E630,'Daily Attendance Report 24-25'!$A$1:$BO$617,5,0),"")</f>
        <v/>
      </c>
      <c r="Q630" s="89"/>
      <c r="R630" s="89"/>
      <c r="S630" s="89" t="str">
        <f t="shared" si="17"/>
        <v>#DIV/0!</v>
      </c>
      <c r="T630" s="89" t="str">
        <f t="shared" si="6"/>
        <v>#DIV/0!</v>
      </c>
      <c r="U630" s="89" t="str">
        <f t="shared" si="25"/>
        <v>#DIV/0!</v>
      </c>
      <c r="V630" s="89" t="str">
        <f t="shared" si="24"/>
        <v>#DIV/0!</v>
      </c>
      <c r="W630" s="89" t="str">
        <f t="shared" si="9"/>
        <v>#DIV/0!</v>
      </c>
      <c r="X630" s="89"/>
      <c r="Y630" s="89"/>
      <c r="Z630" s="89"/>
      <c r="AA630" s="89"/>
      <c r="AB630" s="89"/>
      <c r="AC630" s="89"/>
      <c r="AD630" s="89"/>
      <c r="AE630" s="89"/>
      <c r="AF630" s="89"/>
      <c r="AG630" s="89"/>
      <c r="AH630" s="89"/>
    </row>
    <row r="631">
      <c r="A631" s="8" t="s">
        <v>769</v>
      </c>
      <c r="B631" s="97"/>
      <c r="C631" s="8"/>
      <c r="D631" s="89" t="str">
        <f t="shared" si="1"/>
        <v/>
      </c>
      <c r="E631" s="89" t="str">
        <f t="shared" si="2"/>
        <v>OT Hours</v>
      </c>
      <c r="F631" s="89" t="str">
        <f>IFERROR(VLOOKUP(C631,'Employees List'!$B$1:$G$999,2,0),"")</f>
        <v/>
      </c>
      <c r="G631" s="89" t="str">
        <f t="shared" si="23"/>
        <v>#DIV/0!</v>
      </c>
      <c r="H631" s="98"/>
      <c r="I631" s="89" t="str">
        <f>IFERROR(VLOOKUP(F631,'Employees List'!$C:$F,2,0),"")</f>
        <v/>
      </c>
      <c r="J631" s="93" t="str">
        <f>IFERROR(VLOOKUP(C631,'Employees List'!$B$2:$G$991,5,0),"")</f>
        <v/>
      </c>
      <c r="K631" s="95" t="str">
        <f>IFERROR(VLOOKUP(F631,'Employees List'!$C$1:$AB$991,5,0),"")</f>
        <v/>
      </c>
      <c r="L631" s="91">
        <f t="shared" si="3"/>
        <v>0</v>
      </c>
      <c r="M631" s="91">
        <f t="shared" si="4"/>
        <v>0</v>
      </c>
      <c r="N631" s="89" t="str">
        <f>IFERROR(VLOOKUP(B631,'Employees List'!$A$2:$H$991,8,0),"")</f>
        <v/>
      </c>
      <c r="O631" s="89" t="str">
        <f>IFERROR(VLOOKUP(D631,'Daily Attendance Report 24-25'!A595:BP999,5,0),"")</f>
        <v/>
      </c>
      <c r="P631" s="89" t="str">
        <f>IFERROR(VLOOKUP(E631,'Daily Attendance Report 24-25'!$A$1:$BO$617,5,0),"")</f>
        <v/>
      </c>
      <c r="Q631" s="89"/>
      <c r="R631" s="89"/>
      <c r="S631" s="89" t="str">
        <f t="shared" si="17"/>
        <v>#DIV/0!</v>
      </c>
      <c r="T631" s="89" t="str">
        <f t="shared" si="6"/>
        <v>#DIV/0!</v>
      </c>
      <c r="U631" s="89" t="str">
        <f t="shared" si="25"/>
        <v>#DIV/0!</v>
      </c>
      <c r="V631" s="89" t="str">
        <f t="shared" si="24"/>
        <v>#DIV/0!</v>
      </c>
      <c r="W631" s="89" t="str">
        <f t="shared" si="9"/>
        <v>#DIV/0!</v>
      </c>
      <c r="X631" s="89"/>
      <c r="Y631" s="89"/>
      <c r="Z631" s="89"/>
      <c r="AA631" s="89"/>
      <c r="AB631" s="89"/>
      <c r="AC631" s="89"/>
      <c r="AD631" s="89"/>
      <c r="AE631" s="89"/>
      <c r="AF631" s="89"/>
      <c r="AG631" s="89"/>
      <c r="AH631" s="89"/>
    </row>
    <row r="632">
      <c r="A632" s="8" t="s">
        <v>770</v>
      </c>
      <c r="B632" s="97"/>
      <c r="C632" s="8"/>
      <c r="D632" s="89" t="str">
        <f t="shared" si="1"/>
        <v/>
      </c>
      <c r="E632" s="89" t="str">
        <f t="shared" si="2"/>
        <v>OT Hours</v>
      </c>
      <c r="F632" s="89" t="str">
        <f>IFERROR(VLOOKUP(C632,'Employees List'!$B$1:$G$999,2,0),"")</f>
        <v/>
      </c>
      <c r="G632" s="89" t="str">
        <f t="shared" si="23"/>
        <v>#DIV/0!</v>
      </c>
      <c r="H632" s="98"/>
      <c r="I632" s="89" t="str">
        <f>IFERROR(VLOOKUP(F632,'Employees List'!$C:$F,2,0),"")</f>
        <v/>
      </c>
      <c r="J632" s="93" t="str">
        <f>IFERROR(VLOOKUP(C632,'Employees List'!$B$2:$G$991,5,0),"")</f>
        <v/>
      </c>
      <c r="K632" s="95" t="str">
        <f>IFERROR(VLOOKUP(F632,'Employees List'!$C$1:$AB$991,5,0),"")</f>
        <v/>
      </c>
      <c r="L632" s="91">
        <f t="shared" si="3"/>
        <v>0</v>
      </c>
      <c r="M632" s="91">
        <f t="shared" si="4"/>
        <v>0</v>
      </c>
      <c r="N632" s="89" t="str">
        <f>IFERROR(VLOOKUP(B632,'Employees List'!$A$2:$H$991,8,0),"")</f>
        <v/>
      </c>
      <c r="O632" s="89" t="str">
        <f>IFERROR(VLOOKUP(D632,'Daily Attendance Report 24-25'!A596:BP999,5,0),"")</f>
        <v/>
      </c>
      <c r="P632" s="89" t="str">
        <f>IFERROR(VLOOKUP(E632,'Daily Attendance Report 24-25'!$A$1:$BO$617,5,0),"")</f>
        <v/>
      </c>
      <c r="Q632" s="89"/>
      <c r="R632" s="89"/>
      <c r="S632" s="89" t="str">
        <f t="shared" si="17"/>
        <v>#DIV/0!</v>
      </c>
      <c r="T632" s="89" t="str">
        <f t="shared" si="6"/>
        <v>#DIV/0!</v>
      </c>
      <c r="U632" s="89" t="str">
        <f t="shared" si="25"/>
        <v>#DIV/0!</v>
      </c>
      <c r="V632" s="89" t="str">
        <f t="shared" si="24"/>
        <v>#DIV/0!</v>
      </c>
      <c r="W632" s="89" t="str">
        <f t="shared" si="9"/>
        <v>#DIV/0!</v>
      </c>
      <c r="X632" s="89"/>
      <c r="Y632" s="89"/>
      <c r="Z632" s="89"/>
      <c r="AA632" s="89"/>
      <c r="AB632" s="89"/>
      <c r="AC632" s="89"/>
      <c r="AD632" s="89"/>
      <c r="AE632" s="89"/>
      <c r="AF632" s="89"/>
      <c r="AG632" s="89"/>
      <c r="AH632" s="89"/>
    </row>
    <row r="633">
      <c r="A633" s="8" t="s">
        <v>771</v>
      </c>
      <c r="B633" s="97"/>
      <c r="C633" s="8"/>
      <c r="D633" s="89" t="str">
        <f t="shared" si="1"/>
        <v/>
      </c>
      <c r="E633" s="89" t="str">
        <f t="shared" si="2"/>
        <v>OT Hours</v>
      </c>
      <c r="F633" s="89" t="str">
        <f>IFERROR(VLOOKUP(C633,'Employees List'!$B$1:$G$999,2,0),"")</f>
        <v/>
      </c>
      <c r="G633" s="89" t="str">
        <f t="shared" si="23"/>
        <v>#DIV/0!</v>
      </c>
      <c r="H633" s="98"/>
      <c r="I633" s="89" t="str">
        <f>IFERROR(VLOOKUP(F633,'Employees List'!$C:$F,2,0),"")</f>
        <v/>
      </c>
      <c r="J633" s="93" t="str">
        <f>IFERROR(VLOOKUP(C633,'Employees List'!$B$2:$G$991,5,0),"")</f>
        <v/>
      </c>
      <c r="K633" s="95" t="str">
        <f>IFERROR(VLOOKUP(F633,'Employees List'!$C$1:$AB$991,5,0),"")</f>
        <v/>
      </c>
      <c r="L633" s="91">
        <f t="shared" si="3"/>
        <v>0</v>
      </c>
      <c r="M633" s="91">
        <f t="shared" si="4"/>
        <v>0</v>
      </c>
      <c r="N633" s="89" t="str">
        <f>IFERROR(VLOOKUP(B633,'Employees List'!$A$2:$H$991,8,0),"")</f>
        <v/>
      </c>
      <c r="O633" s="89" t="str">
        <f>IFERROR(VLOOKUP(D633,'Daily Attendance Report 24-25'!A597:BP999,5,0),"")</f>
        <v/>
      </c>
      <c r="P633" s="89" t="str">
        <f>IFERROR(VLOOKUP(E633,'Daily Attendance Report 24-25'!$A$1:$BO$617,5,0),"")</f>
        <v/>
      </c>
      <c r="Q633" s="89"/>
      <c r="R633" s="89"/>
      <c r="S633" s="89" t="str">
        <f t="shared" si="17"/>
        <v>#DIV/0!</v>
      </c>
      <c r="T633" s="89" t="str">
        <f t="shared" si="6"/>
        <v>#DIV/0!</v>
      </c>
      <c r="U633" s="89" t="str">
        <f t="shared" si="25"/>
        <v>#DIV/0!</v>
      </c>
      <c r="V633" s="89" t="str">
        <f t="shared" si="24"/>
        <v>#DIV/0!</v>
      </c>
      <c r="W633" s="89" t="str">
        <f t="shared" si="9"/>
        <v>#DIV/0!</v>
      </c>
      <c r="X633" s="89"/>
      <c r="Y633" s="89"/>
      <c r="Z633" s="89"/>
      <c r="AA633" s="89"/>
      <c r="AB633" s="89"/>
      <c r="AC633" s="89"/>
      <c r="AD633" s="89"/>
      <c r="AE633" s="89"/>
      <c r="AF633" s="89"/>
      <c r="AG633" s="89"/>
      <c r="AH633" s="89"/>
    </row>
    <row r="634">
      <c r="A634" s="8" t="s">
        <v>772</v>
      </c>
      <c r="B634" s="97"/>
      <c r="C634" s="8"/>
      <c r="D634" s="89" t="str">
        <f t="shared" si="1"/>
        <v/>
      </c>
      <c r="E634" s="89" t="str">
        <f t="shared" si="2"/>
        <v>OT Hours</v>
      </c>
      <c r="F634" s="89" t="str">
        <f>IFERROR(VLOOKUP(C634,'Employees List'!$B$1:$G$999,2,0),"")</f>
        <v/>
      </c>
      <c r="G634" s="89" t="str">
        <f t="shared" si="23"/>
        <v>#DIV/0!</v>
      </c>
      <c r="H634" s="98"/>
      <c r="I634" s="89" t="str">
        <f>IFERROR(VLOOKUP(F634,'Employees List'!$C:$F,2,0),"")</f>
        <v/>
      </c>
      <c r="J634" s="93" t="str">
        <f>IFERROR(VLOOKUP(C634,'Employees List'!$B$2:$G$991,5,0),"")</f>
        <v/>
      </c>
      <c r="K634" s="95" t="str">
        <f>IFERROR(VLOOKUP(F634,'Employees List'!$C$1:$AB$991,5,0),"")</f>
        <v/>
      </c>
      <c r="L634" s="91">
        <f t="shared" si="3"/>
        <v>0</v>
      </c>
      <c r="M634" s="91">
        <f t="shared" si="4"/>
        <v>0</v>
      </c>
      <c r="N634" s="89" t="str">
        <f>IFERROR(VLOOKUP(B634,'Employees List'!$A$2:$H$991,8,0),"")</f>
        <v/>
      </c>
      <c r="O634" s="89" t="str">
        <f>IFERROR(VLOOKUP(D634,'Daily Attendance Report 24-25'!A598:BP999,5,0),"")</f>
        <v/>
      </c>
      <c r="P634" s="89" t="str">
        <f>IFERROR(VLOOKUP(E634,'Daily Attendance Report 24-25'!$A$1:$BO$617,5,0),"")</f>
        <v/>
      </c>
      <c r="Q634" s="89"/>
      <c r="R634" s="89"/>
      <c r="S634" s="89" t="str">
        <f t="shared" si="17"/>
        <v>#DIV/0!</v>
      </c>
      <c r="T634" s="89" t="str">
        <f t="shared" si="6"/>
        <v>#DIV/0!</v>
      </c>
      <c r="U634" s="89" t="str">
        <f t="shared" si="25"/>
        <v>#DIV/0!</v>
      </c>
      <c r="V634" s="89" t="str">
        <f t="shared" si="24"/>
        <v>#DIV/0!</v>
      </c>
      <c r="W634" s="89" t="str">
        <f t="shared" si="9"/>
        <v>#DIV/0!</v>
      </c>
      <c r="X634" s="89"/>
      <c r="Y634" s="89"/>
      <c r="Z634" s="89"/>
      <c r="AA634" s="89"/>
      <c r="AB634" s="89"/>
      <c r="AC634" s="89"/>
      <c r="AD634" s="89"/>
      <c r="AE634" s="89"/>
      <c r="AF634" s="89"/>
      <c r="AG634" s="89"/>
      <c r="AH634" s="89"/>
    </row>
    <row r="635">
      <c r="A635" s="8" t="s">
        <v>773</v>
      </c>
      <c r="B635" s="97"/>
      <c r="C635" s="8"/>
      <c r="D635" s="89" t="str">
        <f t="shared" si="1"/>
        <v/>
      </c>
      <c r="E635" s="89" t="str">
        <f t="shared" si="2"/>
        <v>OT Hours</v>
      </c>
      <c r="F635" s="89" t="str">
        <f>IFERROR(VLOOKUP(C635,'Employees List'!$B$1:$G$999,2,0),"")</f>
        <v/>
      </c>
      <c r="G635" s="89" t="str">
        <f t="shared" si="23"/>
        <v>#DIV/0!</v>
      </c>
      <c r="H635" s="98"/>
      <c r="I635" s="89" t="str">
        <f>IFERROR(VLOOKUP(F635,'Employees List'!$C:$F,2,0),"")</f>
        <v/>
      </c>
      <c r="J635" s="93" t="str">
        <f>IFERROR(VLOOKUP(C635,'Employees List'!$B$2:$G$991,5,0),"")</f>
        <v/>
      </c>
      <c r="K635" s="95" t="str">
        <f>IFERROR(VLOOKUP(F635,'Employees List'!$C$1:$AB$991,5,0),"")</f>
        <v/>
      </c>
      <c r="L635" s="91">
        <f t="shared" si="3"/>
        <v>0</v>
      </c>
      <c r="M635" s="91">
        <f t="shared" si="4"/>
        <v>0</v>
      </c>
      <c r="N635" s="89" t="str">
        <f>IFERROR(VLOOKUP(B635,'Employees List'!$A$2:$H$991,8,0),"")</f>
        <v/>
      </c>
      <c r="O635" s="89" t="str">
        <f>IFERROR(VLOOKUP(D635,'Daily Attendance Report 24-25'!A599:BP999,5,0),"")</f>
        <v/>
      </c>
      <c r="P635" s="89" t="str">
        <f>IFERROR(VLOOKUP(E635,'Daily Attendance Report 24-25'!$A$1:$BO$617,5,0),"")</f>
        <v/>
      </c>
      <c r="Q635" s="89"/>
      <c r="R635" s="89"/>
      <c r="S635" s="89" t="str">
        <f t="shared" si="17"/>
        <v>#DIV/0!</v>
      </c>
      <c r="T635" s="89" t="str">
        <f t="shared" si="6"/>
        <v>#DIV/0!</v>
      </c>
      <c r="U635" s="89" t="str">
        <f t="shared" si="25"/>
        <v>#DIV/0!</v>
      </c>
      <c r="V635" s="89" t="str">
        <f t="shared" si="24"/>
        <v>#DIV/0!</v>
      </c>
      <c r="W635" s="89" t="str">
        <f t="shared" si="9"/>
        <v>#DIV/0!</v>
      </c>
      <c r="X635" s="89"/>
      <c r="Y635" s="89"/>
      <c r="Z635" s="89"/>
      <c r="AA635" s="89"/>
      <c r="AB635" s="89"/>
      <c r="AC635" s="89"/>
      <c r="AD635" s="89"/>
      <c r="AE635" s="89"/>
      <c r="AF635" s="89"/>
      <c r="AG635" s="89"/>
      <c r="AH635" s="89"/>
    </row>
    <row r="636">
      <c r="A636" s="8" t="s">
        <v>774</v>
      </c>
      <c r="B636" s="97"/>
      <c r="C636" s="8"/>
      <c r="D636" s="89" t="str">
        <f t="shared" si="1"/>
        <v/>
      </c>
      <c r="E636" s="89" t="str">
        <f t="shared" si="2"/>
        <v>OT Hours</v>
      </c>
      <c r="F636" s="89" t="str">
        <f>IFERROR(VLOOKUP(C636,'Employees List'!$B$1:$G$999,2,0),"")</f>
        <v/>
      </c>
      <c r="G636" s="89" t="str">
        <f t="shared" si="23"/>
        <v>#DIV/0!</v>
      </c>
      <c r="H636" s="98"/>
      <c r="I636" s="89" t="str">
        <f>IFERROR(VLOOKUP(F636,'Employees List'!$C:$F,2,0),"")</f>
        <v/>
      </c>
      <c r="J636" s="93" t="str">
        <f>IFERROR(VLOOKUP(C636,'Employees List'!$B$2:$G$991,5,0),"")</f>
        <v/>
      </c>
      <c r="K636" s="95" t="str">
        <f>IFERROR(VLOOKUP(F636,'Employees List'!$C$1:$AB$991,5,0),"")</f>
        <v/>
      </c>
      <c r="L636" s="91">
        <f t="shared" si="3"/>
        <v>0</v>
      </c>
      <c r="M636" s="91">
        <f t="shared" si="4"/>
        <v>0</v>
      </c>
      <c r="N636" s="89" t="str">
        <f>IFERROR(VLOOKUP(B636,'Employees List'!$A$2:$H$991,8,0),"")</f>
        <v/>
      </c>
      <c r="O636" s="89" t="str">
        <f>IFERROR(VLOOKUP(D636,'Daily Attendance Report 24-25'!A600:BP999,5,0),"")</f>
        <v/>
      </c>
      <c r="P636" s="89" t="str">
        <f>IFERROR(VLOOKUP(E636,'Daily Attendance Report 24-25'!$A$1:$BO$617,5,0),"")</f>
        <v/>
      </c>
      <c r="Q636" s="89"/>
      <c r="R636" s="89"/>
      <c r="S636" s="89" t="str">
        <f t="shared" si="17"/>
        <v>#DIV/0!</v>
      </c>
      <c r="T636" s="89" t="str">
        <f t="shared" si="6"/>
        <v>#DIV/0!</v>
      </c>
      <c r="U636" s="89" t="str">
        <f t="shared" si="25"/>
        <v>#DIV/0!</v>
      </c>
      <c r="V636" s="89" t="str">
        <f t="shared" si="24"/>
        <v>#DIV/0!</v>
      </c>
      <c r="W636" s="89" t="str">
        <f t="shared" si="9"/>
        <v>#DIV/0!</v>
      </c>
      <c r="X636" s="89"/>
      <c r="Y636" s="89"/>
      <c r="Z636" s="89"/>
      <c r="AA636" s="89"/>
      <c r="AB636" s="89"/>
      <c r="AC636" s="89"/>
      <c r="AD636" s="89"/>
      <c r="AE636" s="89"/>
      <c r="AF636" s="89"/>
      <c r="AG636" s="89"/>
      <c r="AH636" s="89"/>
    </row>
    <row r="637">
      <c r="A637" s="8" t="s">
        <v>775</v>
      </c>
      <c r="B637" s="97"/>
      <c r="C637" s="8"/>
      <c r="D637" s="89" t="str">
        <f t="shared" si="1"/>
        <v/>
      </c>
      <c r="E637" s="89" t="str">
        <f t="shared" si="2"/>
        <v>OT Hours</v>
      </c>
      <c r="F637" s="89" t="str">
        <f>IFERROR(VLOOKUP(C637,'Employees List'!$B$1:$G$999,2,0),"")</f>
        <v/>
      </c>
      <c r="G637" s="89" t="str">
        <f t="shared" si="23"/>
        <v>#DIV/0!</v>
      </c>
      <c r="H637" s="98"/>
      <c r="I637" s="89" t="str">
        <f>IFERROR(VLOOKUP(F637,'Employees List'!$C:$F,2,0),"")</f>
        <v/>
      </c>
      <c r="J637" s="93" t="str">
        <f>IFERROR(VLOOKUP(C637,'Employees List'!$B$2:$G$991,5,0),"")</f>
        <v/>
      </c>
      <c r="K637" s="95" t="str">
        <f>IFERROR(VLOOKUP(F637,'Employees List'!$C$1:$AB$991,5,0),"")</f>
        <v/>
      </c>
      <c r="L637" s="91">
        <f t="shared" si="3"/>
        <v>0</v>
      </c>
      <c r="M637" s="91">
        <f t="shared" si="4"/>
        <v>0</v>
      </c>
      <c r="N637" s="89" t="str">
        <f>IFERROR(VLOOKUP(B637,'Employees List'!$A$2:$H$991,8,0),"")</f>
        <v/>
      </c>
      <c r="O637" s="89" t="str">
        <f>IFERROR(VLOOKUP(D637,'Daily Attendance Report 24-25'!A601:BP999,5,0),"")</f>
        <v/>
      </c>
      <c r="P637" s="89" t="str">
        <f>IFERROR(VLOOKUP(E637,'Daily Attendance Report 24-25'!$A$1:$BO$617,5,0),"")</f>
        <v/>
      </c>
      <c r="Q637" s="89"/>
      <c r="R637" s="89"/>
      <c r="S637" s="89" t="str">
        <f t="shared" si="17"/>
        <v>#DIV/0!</v>
      </c>
      <c r="T637" s="89" t="str">
        <f t="shared" si="6"/>
        <v>#DIV/0!</v>
      </c>
      <c r="U637" s="89" t="str">
        <f t="shared" si="25"/>
        <v>#DIV/0!</v>
      </c>
      <c r="V637" s="89" t="str">
        <f t="shared" si="24"/>
        <v>#DIV/0!</v>
      </c>
      <c r="W637" s="89" t="str">
        <f t="shared" si="9"/>
        <v>#DIV/0!</v>
      </c>
      <c r="X637" s="89"/>
      <c r="Y637" s="89"/>
      <c r="Z637" s="89"/>
      <c r="AA637" s="89"/>
      <c r="AB637" s="89"/>
      <c r="AC637" s="89"/>
      <c r="AD637" s="89"/>
      <c r="AE637" s="89"/>
      <c r="AF637" s="89"/>
      <c r="AG637" s="89"/>
      <c r="AH637" s="89"/>
    </row>
    <row r="638">
      <c r="A638" s="8" t="s">
        <v>776</v>
      </c>
      <c r="B638" s="97"/>
      <c r="C638" s="8"/>
      <c r="D638" s="89" t="str">
        <f t="shared" si="1"/>
        <v/>
      </c>
      <c r="E638" s="89" t="str">
        <f t="shared" si="2"/>
        <v>OT Hours</v>
      </c>
      <c r="F638" s="89" t="str">
        <f>IFERROR(VLOOKUP(C638,'Employees List'!$B$1:$G$999,2,0),"")</f>
        <v/>
      </c>
      <c r="G638" s="89" t="str">
        <f t="shared" si="23"/>
        <v>#DIV/0!</v>
      </c>
      <c r="H638" s="98"/>
      <c r="I638" s="89" t="str">
        <f>IFERROR(VLOOKUP(F638,'Employees List'!$C:$F,2,0),"")</f>
        <v/>
      </c>
      <c r="J638" s="93" t="str">
        <f>IFERROR(VLOOKUP(C638,'Employees List'!$B$2:$G$991,5,0),"")</f>
        <v/>
      </c>
      <c r="K638" s="95" t="str">
        <f>IFERROR(VLOOKUP(F638,'Employees List'!$C$1:$AB$991,5,0),"")</f>
        <v/>
      </c>
      <c r="L638" s="91">
        <f t="shared" si="3"/>
        <v>0</v>
      </c>
      <c r="M638" s="91">
        <f t="shared" si="4"/>
        <v>0</v>
      </c>
      <c r="N638" s="89" t="str">
        <f>IFERROR(VLOOKUP(B638,'Employees List'!$A$2:$H$991,8,0),"")</f>
        <v/>
      </c>
      <c r="O638" s="89" t="str">
        <f>IFERROR(VLOOKUP(D638,'Daily Attendance Report 24-25'!A602:BP999,5,0),"")</f>
        <v/>
      </c>
      <c r="P638" s="89" t="str">
        <f>IFERROR(VLOOKUP(E638,'Daily Attendance Report 24-25'!$A$1:$BO$617,5,0),"")</f>
        <v/>
      </c>
      <c r="Q638" s="89"/>
      <c r="R638" s="89"/>
      <c r="S638" s="89" t="str">
        <f t="shared" si="17"/>
        <v>#DIV/0!</v>
      </c>
      <c r="T638" s="89" t="str">
        <f t="shared" si="6"/>
        <v>#DIV/0!</v>
      </c>
      <c r="U638" s="89" t="str">
        <f t="shared" si="25"/>
        <v>#DIV/0!</v>
      </c>
      <c r="V638" s="89" t="str">
        <f t="shared" si="24"/>
        <v>#DIV/0!</v>
      </c>
      <c r="W638" s="89" t="str">
        <f t="shared" si="9"/>
        <v>#DIV/0!</v>
      </c>
      <c r="X638" s="89"/>
      <c r="Y638" s="89"/>
      <c r="Z638" s="89"/>
      <c r="AA638" s="89"/>
      <c r="AB638" s="89"/>
      <c r="AC638" s="89"/>
      <c r="AD638" s="89"/>
      <c r="AE638" s="89"/>
      <c r="AF638" s="89"/>
      <c r="AG638" s="89"/>
      <c r="AH638" s="89"/>
    </row>
    <row r="639">
      <c r="A639" s="8" t="s">
        <v>777</v>
      </c>
      <c r="B639" s="97"/>
      <c r="C639" s="8"/>
      <c r="D639" s="89" t="str">
        <f t="shared" si="1"/>
        <v/>
      </c>
      <c r="E639" s="89" t="str">
        <f t="shared" si="2"/>
        <v>OT Hours</v>
      </c>
      <c r="F639" s="89" t="str">
        <f>IFERROR(VLOOKUP(C639,'Employees List'!$B$1:$G$999,2,0),"")</f>
        <v/>
      </c>
      <c r="G639" s="89" t="str">
        <f t="shared" si="23"/>
        <v>#DIV/0!</v>
      </c>
      <c r="H639" s="98"/>
      <c r="I639" s="89" t="str">
        <f>IFERROR(VLOOKUP(F639,'Employees List'!$C:$F,2,0),"")</f>
        <v/>
      </c>
      <c r="J639" s="93" t="str">
        <f>IFERROR(VLOOKUP(C639,'Employees List'!$B$2:$G$991,5,0),"")</f>
        <v/>
      </c>
      <c r="K639" s="95" t="str">
        <f>IFERROR(VLOOKUP(F639,'Employees List'!$C$1:$AB$991,5,0),"")</f>
        <v/>
      </c>
      <c r="L639" s="91">
        <f t="shared" si="3"/>
        <v>0</v>
      </c>
      <c r="M639" s="91">
        <f t="shared" si="4"/>
        <v>0</v>
      </c>
      <c r="N639" s="89" t="str">
        <f>IFERROR(VLOOKUP(B639,'Employees List'!$A$2:$H$991,8,0),"")</f>
        <v/>
      </c>
      <c r="O639" s="89" t="str">
        <f>IFERROR(VLOOKUP(D639,'Daily Attendance Report 24-25'!A603:BP999,5,0),"")</f>
        <v/>
      </c>
      <c r="P639" s="89" t="str">
        <f>IFERROR(VLOOKUP(E639,'Daily Attendance Report 24-25'!$A$1:$BO$617,5,0),"")</f>
        <v/>
      </c>
      <c r="Q639" s="89"/>
      <c r="R639" s="89"/>
      <c r="S639" s="89" t="str">
        <f t="shared" si="17"/>
        <v>#DIV/0!</v>
      </c>
      <c r="T639" s="89" t="str">
        <f t="shared" si="6"/>
        <v>#DIV/0!</v>
      </c>
      <c r="U639" s="89" t="str">
        <f t="shared" si="25"/>
        <v>#DIV/0!</v>
      </c>
      <c r="V639" s="89" t="str">
        <f t="shared" si="24"/>
        <v>#DIV/0!</v>
      </c>
      <c r="W639" s="89" t="str">
        <f t="shared" si="9"/>
        <v>#DIV/0!</v>
      </c>
      <c r="X639" s="89"/>
      <c r="Y639" s="89"/>
      <c r="Z639" s="89"/>
      <c r="AA639" s="89"/>
      <c r="AB639" s="89"/>
      <c r="AC639" s="89"/>
      <c r="AD639" s="89"/>
      <c r="AE639" s="89"/>
      <c r="AF639" s="89"/>
      <c r="AG639" s="89"/>
      <c r="AH639" s="89"/>
    </row>
    <row r="640">
      <c r="A640" s="8" t="s">
        <v>778</v>
      </c>
      <c r="B640" s="97"/>
      <c r="C640" s="8"/>
      <c r="D640" s="89" t="str">
        <f t="shared" si="1"/>
        <v/>
      </c>
      <c r="E640" s="89" t="str">
        <f t="shared" si="2"/>
        <v>OT Hours</v>
      </c>
      <c r="F640" s="89" t="str">
        <f>IFERROR(VLOOKUP(C640,'Employees List'!$B$1:$G$999,2,0),"")</f>
        <v/>
      </c>
      <c r="G640" s="89" t="str">
        <f t="shared" si="23"/>
        <v>#DIV/0!</v>
      </c>
      <c r="H640" s="98"/>
      <c r="I640" s="89" t="str">
        <f>IFERROR(VLOOKUP(F640,'Employees List'!$C:$F,2,0),"")</f>
        <v/>
      </c>
      <c r="J640" s="93" t="str">
        <f>IFERROR(VLOOKUP(C640,'Employees List'!$B$2:$G$991,5,0),"")</f>
        <v/>
      </c>
      <c r="K640" s="95" t="str">
        <f>IFERROR(VLOOKUP(F640,'Employees List'!$C$1:$AB$991,5,0),"")</f>
        <v/>
      </c>
      <c r="L640" s="91">
        <f t="shared" si="3"/>
        <v>0</v>
      </c>
      <c r="M640" s="91">
        <f t="shared" si="4"/>
        <v>0</v>
      </c>
      <c r="N640" s="89" t="str">
        <f>IFERROR(VLOOKUP(B640,'Employees List'!$A$2:$H$991,8,0),"")</f>
        <v/>
      </c>
      <c r="O640" s="89" t="str">
        <f>IFERROR(VLOOKUP(D640,'Daily Attendance Report 24-25'!A604:BP999,5,0),"")</f>
        <v/>
      </c>
      <c r="P640" s="89" t="str">
        <f>IFERROR(VLOOKUP(E640,'Daily Attendance Report 24-25'!$A$1:$BO$617,5,0),"")</f>
        <v/>
      </c>
      <c r="Q640" s="89"/>
      <c r="R640" s="89"/>
      <c r="S640" s="89" t="str">
        <f t="shared" si="17"/>
        <v>#DIV/0!</v>
      </c>
      <c r="T640" s="89" t="str">
        <f t="shared" si="6"/>
        <v>#DIV/0!</v>
      </c>
      <c r="U640" s="89" t="str">
        <f t="shared" si="25"/>
        <v>#DIV/0!</v>
      </c>
      <c r="V640" s="89" t="str">
        <f t="shared" si="24"/>
        <v>#DIV/0!</v>
      </c>
      <c r="W640" s="89" t="str">
        <f t="shared" si="9"/>
        <v>#DIV/0!</v>
      </c>
      <c r="X640" s="89"/>
      <c r="Y640" s="89"/>
      <c r="Z640" s="89"/>
      <c r="AA640" s="89"/>
      <c r="AB640" s="89"/>
      <c r="AC640" s="89"/>
      <c r="AD640" s="89"/>
      <c r="AE640" s="89"/>
      <c r="AF640" s="89"/>
      <c r="AG640" s="89"/>
      <c r="AH640" s="89"/>
    </row>
    <row r="641">
      <c r="A641" s="8" t="s">
        <v>779</v>
      </c>
      <c r="B641" s="97"/>
      <c r="C641" s="8"/>
      <c r="D641" s="89" t="str">
        <f t="shared" si="1"/>
        <v/>
      </c>
      <c r="E641" s="89" t="str">
        <f t="shared" si="2"/>
        <v>OT Hours</v>
      </c>
      <c r="F641" s="89" t="str">
        <f>IFERROR(VLOOKUP(C641,'Employees List'!$B$1:$G$999,2,0),"")</f>
        <v/>
      </c>
      <c r="G641" s="89" t="str">
        <f t="shared" si="23"/>
        <v>#DIV/0!</v>
      </c>
      <c r="H641" s="98"/>
      <c r="I641" s="89" t="str">
        <f>IFERROR(VLOOKUP(F641,'Employees List'!$C:$F,2,0),"")</f>
        <v/>
      </c>
      <c r="J641" s="93" t="str">
        <f>IFERROR(VLOOKUP(C641,'Employees List'!$B$2:$G$991,5,0),"")</f>
        <v/>
      </c>
      <c r="K641" s="95" t="str">
        <f>IFERROR(VLOOKUP(F641,'Employees List'!$C$1:$AB$991,5,0),"")</f>
        <v/>
      </c>
      <c r="L641" s="91">
        <f t="shared" si="3"/>
        <v>0</v>
      </c>
      <c r="M641" s="91">
        <f t="shared" si="4"/>
        <v>0</v>
      </c>
      <c r="N641" s="89" t="str">
        <f>IFERROR(VLOOKUP(B641,'Employees List'!$A$2:$H$991,8,0),"")</f>
        <v/>
      </c>
      <c r="O641" s="89" t="str">
        <f>IFERROR(VLOOKUP(D641,'Daily Attendance Report 24-25'!A605:BP999,5,0),"")</f>
        <v/>
      </c>
      <c r="P641" s="89" t="str">
        <f>IFERROR(VLOOKUP(E641,'Daily Attendance Report 24-25'!$A$1:$BO$617,5,0),"")</f>
        <v/>
      </c>
      <c r="Q641" s="89"/>
      <c r="R641" s="89"/>
      <c r="S641" s="89" t="str">
        <f t="shared" si="17"/>
        <v>#DIV/0!</v>
      </c>
      <c r="T641" s="89" t="str">
        <f t="shared" si="6"/>
        <v>#DIV/0!</v>
      </c>
      <c r="U641" s="89" t="str">
        <f t="shared" si="25"/>
        <v>#DIV/0!</v>
      </c>
      <c r="V641" s="89" t="str">
        <f t="shared" si="24"/>
        <v>#DIV/0!</v>
      </c>
      <c r="W641" s="89" t="str">
        <f t="shared" si="9"/>
        <v>#DIV/0!</v>
      </c>
      <c r="X641" s="89"/>
      <c r="Y641" s="89"/>
      <c r="Z641" s="89"/>
      <c r="AA641" s="89"/>
      <c r="AB641" s="89"/>
      <c r="AC641" s="89"/>
      <c r="AD641" s="89"/>
      <c r="AE641" s="89"/>
      <c r="AF641" s="89"/>
      <c r="AG641" s="89"/>
      <c r="AH641" s="89"/>
    </row>
    <row r="642">
      <c r="A642" s="8" t="s">
        <v>780</v>
      </c>
      <c r="B642" s="97"/>
      <c r="C642" s="8"/>
      <c r="D642" s="89" t="str">
        <f t="shared" si="1"/>
        <v/>
      </c>
      <c r="E642" s="89" t="str">
        <f t="shared" si="2"/>
        <v>OT Hours</v>
      </c>
      <c r="F642" s="89" t="str">
        <f>IFERROR(VLOOKUP(C642,'Employees List'!$B$1:$G$999,2,0),"")</f>
        <v/>
      </c>
      <c r="G642" s="89" t="str">
        <f t="shared" si="23"/>
        <v>#DIV/0!</v>
      </c>
      <c r="H642" s="98"/>
      <c r="I642" s="89" t="str">
        <f>IFERROR(VLOOKUP(F642,'Employees List'!$C:$F,2,0),"")</f>
        <v/>
      </c>
      <c r="J642" s="93" t="str">
        <f>IFERROR(VLOOKUP(C642,'Employees List'!$B$2:$G$991,5,0),"")</f>
        <v/>
      </c>
      <c r="K642" s="95" t="str">
        <f>IFERROR(VLOOKUP(F642,'Employees List'!$C$1:$AB$991,5,0),"")</f>
        <v/>
      </c>
      <c r="L642" s="91">
        <f t="shared" si="3"/>
        <v>0</v>
      </c>
      <c r="M642" s="91">
        <f t="shared" si="4"/>
        <v>0</v>
      </c>
      <c r="N642" s="89" t="str">
        <f>IFERROR(VLOOKUP(B642,'Employees List'!$A$2:$H$991,8,0),"")</f>
        <v/>
      </c>
      <c r="O642" s="89" t="str">
        <f>IFERROR(VLOOKUP(D642,'Daily Attendance Report 24-25'!A606:BP999,5,0),"")</f>
        <v/>
      </c>
      <c r="P642" s="89" t="str">
        <f>IFERROR(VLOOKUP(E642,'Daily Attendance Report 24-25'!$A$1:$BO$617,5,0),"")</f>
        <v/>
      </c>
      <c r="Q642" s="89"/>
      <c r="R642" s="89"/>
      <c r="S642" s="89" t="str">
        <f t="shared" si="17"/>
        <v>#DIV/0!</v>
      </c>
      <c r="T642" s="89" t="str">
        <f t="shared" si="6"/>
        <v>#DIV/0!</v>
      </c>
      <c r="U642" s="89" t="str">
        <f t="shared" si="25"/>
        <v>#DIV/0!</v>
      </c>
      <c r="V642" s="89" t="str">
        <f t="shared" si="24"/>
        <v>#DIV/0!</v>
      </c>
      <c r="W642" s="89" t="str">
        <f t="shared" si="9"/>
        <v>#DIV/0!</v>
      </c>
      <c r="X642" s="89"/>
      <c r="Y642" s="89"/>
      <c r="Z642" s="89"/>
      <c r="AA642" s="89"/>
      <c r="AB642" s="89"/>
      <c r="AC642" s="89"/>
      <c r="AD642" s="89"/>
      <c r="AE642" s="89"/>
      <c r="AF642" s="89"/>
      <c r="AG642" s="89"/>
      <c r="AH642" s="89"/>
    </row>
    <row r="643">
      <c r="A643" s="8" t="s">
        <v>781</v>
      </c>
      <c r="B643" s="97"/>
      <c r="C643" s="8"/>
      <c r="D643" s="89" t="str">
        <f t="shared" si="1"/>
        <v/>
      </c>
      <c r="E643" s="89" t="str">
        <f t="shared" si="2"/>
        <v>OT Hours</v>
      </c>
      <c r="F643" s="89" t="str">
        <f>IFERROR(VLOOKUP(C643,'Employees List'!$B$1:$G$999,2,0),"")</f>
        <v/>
      </c>
      <c r="G643" s="89" t="str">
        <f t="shared" si="23"/>
        <v>#DIV/0!</v>
      </c>
      <c r="H643" s="98"/>
      <c r="I643" s="89" t="str">
        <f>IFERROR(VLOOKUP(F643,'Employees List'!$C:$F,2,0),"")</f>
        <v/>
      </c>
      <c r="J643" s="93" t="str">
        <f>IFERROR(VLOOKUP(C643,'Employees List'!$B$2:$G$991,5,0),"")</f>
        <v/>
      </c>
      <c r="K643" s="95" t="str">
        <f>IFERROR(VLOOKUP(F643,'Employees List'!$C$1:$AB$991,5,0),"")</f>
        <v/>
      </c>
      <c r="L643" s="91">
        <f t="shared" si="3"/>
        <v>0</v>
      </c>
      <c r="M643" s="91">
        <f t="shared" si="4"/>
        <v>0</v>
      </c>
      <c r="N643" s="89" t="str">
        <f>IFERROR(VLOOKUP(B643,'Employees List'!$A$2:$H$991,8,0),"")</f>
        <v/>
      </c>
      <c r="O643" s="89" t="str">
        <f>IFERROR(VLOOKUP(D643,'Daily Attendance Report 24-25'!A607:BP999,5,0),"")</f>
        <v/>
      </c>
      <c r="P643" s="89" t="str">
        <f>IFERROR(VLOOKUP(E643,'Daily Attendance Report 24-25'!$A$1:$BO$617,5,0),"")</f>
        <v/>
      </c>
      <c r="Q643" s="89"/>
      <c r="R643" s="89"/>
      <c r="S643" s="89" t="str">
        <f t="shared" si="17"/>
        <v>#DIV/0!</v>
      </c>
      <c r="T643" s="89" t="str">
        <f t="shared" si="6"/>
        <v>#DIV/0!</v>
      </c>
      <c r="U643" s="89" t="str">
        <f t="shared" si="25"/>
        <v>#DIV/0!</v>
      </c>
      <c r="V643" s="89" t="str">
        <f t="shared" si="24"/>
        <v>#DIV/0!</v>
      </c>
      <c r="W643" s="89" t="str">
        <f t="shared" si="9"/>
        <v>#DIV/0!</v>
      </c>
      <c r="X643" s="89"/>
      <c r="Y643" s="89"/>
      <c r="Z643" s="89"/>
      <c r="AA643" s="89"/>
      <c r="AB643" s="89"/>
      <c r="AC643" s="89"/>
      <c r="AD643" s="89"/>
      <c r="AE643" s="89"/>
      <c r="AF643" s="89"/>
      <c r="AG643" s="89"/>
      <c r="AH643" s="89"/>
    </row>
    <row r="644">
      <c r="A644" s="8" t="s">
        <v>782</v>
      </c>
      <c r="B644" s="97"/>
      <c r="C644" s="8"/>
      <c r="D644" s="89" t="str">
        <f t="shared" si="1"/>
        <v/>
      </c>
      <c r="E644" s="89" t="str">
        <f t="shared" si="2"/>
        <v>OT Hours</v>
      </c>
      <c r="F644" s="89" t="str">
        <f>IFERROR(VLOOKUP(C644,'Employees List'!$B$1:$G$999,2,0),"")</f>
        <v/>
      </c>
      <c r="G644" s="89" t="str">
        <f t="shared" si="23"/>
        <v>#DIV/0!</v>
      </c>
      <c r="H644" s="98"/>
      <c r="I644" s="89" t="str">
        <f>IFERROR(VLOOKUP(F644,'Employees List'!$C:$F,2,0),"")</f>
        <v/>
      </c>
      <c r="J644" s="93" t="str">
        <f>IFERROR(VLOOKUP(C644,'Employees List'!$B$2:$G$991,5,0),"")</f>
        <v/>
      </c>
      <c r="K644" s="95" t="str">
        <f>IFERROR(VLOOKUP(F644,'Employees List'!$C$1:$AB$991,5,0),"")</f>
        <v/>
      </c>
      <c r="L644" s="91">
        <f t="shared" si="3"/>
        <v>0</v>
      </c>
      <c r="M644" s="91">
        <f t="shared" si="4"/>
        <v>0</v>
      </c>
      <c r="N644" s="89" t="str">
        <f>IFERROR(VLOOKUP(B644,'Employees List'!$A$2:$H$991,8,0),"")</f>
        <v/>
      </c>
      <c r="O644" s="89" t="str">
        <f>IFERROR(VLOOKUP(D644,'Daily Attendance Report 24-25'!A608:BP999,5,0),"")</f>
        <v/>
      </c>
      <c r="P644" s="89" t="str">
        <f>IFERROR(VLOOKUP(E644,'Daily Attendance Report 24-25'!$A$1:$BO$617,5,0),"")</f>
        <v/>
      </c>
      <c r="Q644" s="89"/>
      <c r="R644" s="89"/>
      <c r="S644" s="89" t="str">
        <f t="shared" si="17"/>
        <v>#DIV/0!</v>
      </c>
      <c r="T644" s="89" t="str">
        <f t="shared" si="6"/>
        <v>#DIV/0!</v>
      </c>
      <c r="U644" s="89" t="str">
        <f t="shared" si="25"/>
        <v>#DIV/0!</v>
      </c>
      <c r="V644" s="89" t="str">
        <f t="shared" si="24"/>
        <v>#DIV/0!</v>
      </c>
      <c r="W644" s="89" t="str">
        <f t="shared" si="9"/>
        <v>#DIV/0!</v>
      </c>
      <c r="X644" s="89"/>
      <c r="Y644" s="89"/>
      <c r="Z644" s="89"/>
      <c r="AA644" s="89"/>
      <c r="AB644" s="89"/>
      <c r="AC644" s="89"/>
      <c r="AD644" s="89"/>
      <c r="AE644" s="89"/>
      <c r="AF644" s="89"/>
      <c r="AG644" s="89"/>
      <c r="AH644" s="89"/>
    </row>
    <row r="645">
      <c r="A645" s="8" t="s">
        <v>783</v>
      </c>
      <c r="B645" s="97"/>
      <c r="C645" s="8"/>
      <c r="D645" s="89" t="str">
        <f t="shared" si="1"/>
        <v/>
      </c>
      <c r="E645" s="89" t="str">
        <f t="shared" si="2"/>
        <v>OT Hours</v>
      </c>
      <c r="F645" s="89" t="str">
        <f>IFERROR(VLOOKUP(C645,'Employees List'!$B$1:$G$999,2,0),"")</f>
        <v/>
      </c>
      <c r="G645" s="89" t="str">
        <f t="shared" si="23"/>
        <v>#DIV/0!</v>
      </c>
      <c r="H645" s="98"/>
      <c r="I645" s="89" t="str">
        <f>IFERROR(VLOOKUP(F645,'Employees List'!$C:$F,2,0),"")</f>
        <v/>
      </c>
      <c r="J645" s="93" t="str">
        <f>IFERROR(VLOOKUP(C645,'Employees List'!$B$2:$G$991,5,0),"")</f>
        <v/>
      </c>
      <c r="K645" s="95" t="str">
        <f>IFERROR(VLOOKUP(F645,'Employees List'!$C$1:$AB$991,5,0),"")</f>
        <v/>
      </c>
      <c r="L645" s="91">
        <f t="shared" si="3"/>
        <v>0</v>
      </c>
      <c r="M645" s="91">
        <f t="shared" si="4"/>
        <v>0</v>
      </c>
      <c r="N645" s="89" t="str">
        <f>IFERROR(VLOOKUP(B645,'Employees List'!$A$2:$H$991,8,0),"")</f>
        <v/>
      </c>
      <c r="O645" s="89" t="str">
        <f>IFERROR(VLOOKUP(D645,'Daily Attendance Report 24-25'!A609:BP999,5,0),"")</f>
        <v/>
      </c>
      <c r="P645" s="89" t="str">
        <f>IFERROR(VLOOKUP(E645,'Daily Attendance Report 24-25'!$A$1:$BO$617,5,0),"")</f>
        <v/>
      </c>
      <c r="Q645" s="89"/>
      <c r="R645" s="89"/>
      <c r="S645" s="89" t="str">
        <f t="shared" si="17"/>
        <v>#DIV/0!</v>
      </c>
      <c r="T645" s="89" t="str">
        <f t="shared" si="6"/>
        <v>#DIV/0!</v>
      </c>
      <c r="U645" s="89" t="str">
        <f t="shared" si="25"/>
        <v>#DIV/0!</v>
      </c>
      <c r="V645" s="89" t="str">
        <f t="shared" si="24"/>
        <v>#DIV/0!</v>
      </c>
      <c r="W645" s="89" t="str">
        <f t="shared" si="9"/>
        <v>#DIV/0!</v>
      </c>
      <c r="X645" s="89"/>
      <c r="Y645" s="89"/>
      <c r="Z645" s="89"/>
      <c r="AA645" s="89"/>
      <c r="AB645" s="89"/>
      <c r="AC645" s="89"/>
      <c r="AD645" s="89"/>
      <c r="AE645" s="89"/>
      <c r="AF645" s="89"/>
      <c r="AG645" s="89"/>
      <c r="AH645" s="89"/>
    </row>
    <row r="646">
      <c r="A646" s="8" t="s">
        <v>784</v>
      </c>
      <c r="B646" s="97"/>
      <c r="C646" s="8"/>
      <c r="D646" s="89" t="str">
        <f t="shared" si="1"/>
        <v/>
      </c>
      <c r="E646" s="89" t="str">
        <f t="shared" si="2"/>
        <v>OT Hours</v>
      </c>
      <c r="F646" s="89" t="str">
        <f>IFERROR(VLOOKUP(C646,'Employees List'!$B$1:$G$999,2,0),"")</f>
        <v/>
      </c>
      <c r="G646" s="89" t="str">
        <f t="shared" si="23"/>
        <v>#DIV/0!</v>
      </c>
      <c r="H646" s="98"/>
      <c r="I646" s="89" t="str">
        <f>IFERROR(VLOOKUP(F646,'Employees List'!$C:$F,2,0),"")</f>
        <v/>
      </c>
      <c r="J646" s="93" t="str">
        <f>IFERROR(VLOOKUP(C646,'Employees List'!$B$2:$G$991,5,0),"")</f>
        <v/>
      </c>
      <c r="K646" s="95" t="str">
        <f>IFERROR(VLOOKUP(F646,'Employees List'!$C$1:$AB$991,5,0),"")</f>
        <v/>
      </c>
      <c r="L646" s="91">
        <f t="shared" si="3"/>
        <v>0</v>
      </c>
      <c r="M646" s="91">
        <f t="shared" si="4"/>
        <v>0</v>
      </c>
      <c r="N646" s="89" t="str">
        <f>IFERROR(VLOOKUP(B646,'Employees List'!$A$2:$H$991,8,0),"")</f>
        <v/>
      </c>
      <c r="O646" s="89" t="str">
        <f>IFERROR(VLOOKUP(D646,'Daily Attendance Report 24-25'!A610:BP999,5,0),"")</f>
        <v/>
      </c>
      <c r="P646" s="89" t="str">
        <f>IFERROR(VLOOKUP(E646,'Daily Attendance Report 24-25'!$A$1:$BO$617,5,0),"")</f>
        <v/>
      </c>
      <c r="Q646" s="89"/>
      <c r="R646" s="89"/>
      <c r="S646" s="89" t="str">
        <f t="shared" si="17"/>
        <v>#DIV/0!</v>
      </c>
      <c r="T646" s="89" t="str">
        <f t="shared" si="6"/>
        <v>#DIV/0!</v>
      </c>
      <c r="U646" s="89" t="str">
        <f t="shared" si="25"/>
        <v>#DIV/0!</v>
      </c>
      <c r="V646" s="89" t="str">
        <f t="shared" si="24"/>
        <v>#DIV/0!</v>
      </c>
      <c r="W646" s="89" t="str">
        <f t="shared" si="9"/>
        <v>#DIV/0!</v>
      </c>
      <c r="X646" s="89"/>
      <c r="Y646" s="89"/>
      <c r="Z646" s="89"/>
      <c r="AA646" s="89"/>
      <c r="AB646" s="89"/>
      <c r="AC646" s="89"/>
      <c r="AD646" s="89"/>
      <c r="AE646" s="89"/>
      <c r="AF646" s="89"/>
      <c r="AG646" s="89"/>
      <c r="AH646" s="89"/>
    </row>
    <row r="647">
      <c r="A647" s="8" t="s">
        <v>785</v>
      </c>
      <c r="B647" s="97"/>
      <c r="C647" s="8"/>
      <c r="D647" s="89" t="str">
        <f t="shared" si="1"/>
        <v/>
      </c>
      <c r="E647" s="89" t="str">
        <f t="shared" si="2"/>
        <v>OT Hours</v>
      </c>
      <c r="F647" s="89" t="str">
        <f>IFERROR(VLOOKUP(C647,'Employees List'!$B$1:$G$999,2,0),"")</f>
        <v/>
      </c>
      <c r="G647" s="89" t="str">
        <f t="shared" si="23"/>
        <v>#DIV/0!</v>
      </c>
      <c r="H647" s="98"/>
      <c r="I647" s="89" t="str">
        <f>IFERROR(VLOOKUP(F647,'Employees List'!$C:$F,2,0),"")</f>
        <v/>
      </c>
      <c r="J647" s="93" t="str">
        <f>IFERROR(VLOOKUP(C647,'Employees List'!$B$2:$G$991,5,0),"")</f>
        <v/>
      </c>
      <c r="K647" s="95" t="str">
        <f>IFERROR(VLOOKUP(F647,'Employees List'!$C$1:$AB$991,5,0),"")</f>
        <v/>
      </c>
      <c r="L647" s="91">
        <f t="shared" si="3"/>
        <v>0</v>
      </c>
      <c r="M647" s="91">
        <f t="shared" si="4"/>
        <v>0</v>
      </c>
      <c r="N647" s="89" t="str">
        <f>IFERROR(VLOOKUP(B647,'Employees List'!$A$2:$H$991,8,0),"")</f>
        <v/>
      </c>
      <c r="O647" s="89" t="str">
        <f>IFERROR(VLOOKUP(D647,'Daily Attendance Report 24-25'!A611:BP999,5,0),"")</f>
        <v/>
      </c>
      <c r="P647" s="89" t="str">
        <f>IFERROR(VLOOKUP(E647,'Daily Attendance Report 24-25'!$A$1:$BO$617,5,0),"")</f>
        <v/>
      </c>
      <c r="Q647" s="89"/>
      <c r="R647" s="89"/>
      <c r="S647" s="89" t="str">
        <f t="shared" si="17"/>
        <v>#DIV/0!</v>
      </c>
      <c r="T647" s="89" t="str">
        <f t="shared" si="6"/>
        <v>#DIV/0!</v>
      </c>
      <c r="U647" s="89" t="str">
        <f t="shared" si="25"/>
        <v>#DIV/0!</v>
      </c>
      <c r="V647" s="89" t="str">
        <f t="shared" si="24"/>
        <v>#DIV/0!</v>
      </c>
      <c r="W647" s="89" t="str">
        <f t="shared" si="9"/>
        <v>#DIV/0!</v>
      </c>
      <c r="X647" s="89"/>
      <c r="Y647" s="89"/>
      <c r="Z647" s="89"/>
      <c r="AA647" s="89"/>
      <c r="AB647" s="89"/>
      <c r="AC647" s="89"/>
      <c r="AD647" s="89"/>
      <c r="AE647" s="89"/>
      <c r="AF647" s="89"/>
      <c r="AG647" s="89"/>
      <c r="AH647" s="89"/>
    </row>
    <row r="648">
      <c r="A648" s="8" t="s">
        <v>786</v>
      </c>
      <c r="B648" s="97"/>
      <c r="C648" s="8"/>
      <c r="D648" s="89" t="str">
        <f t="shared" si="1"/>
        <v/>
      </c>
      <c r="E648" s="89" t="str">
        <f t="shared" si="2"/>
        <v>OT Hours</v>
      </c>
      <c r="F648" s="89" t="str">
        <f>IFERROR(VLOOKUP(C648,'Employees List'!$B$1:$G$999,2,0),"")</f>
        <v/>
      </c>
      <c r="G648" s="89" t="str">
        <f t="shared" si="23"/>
        <v>#DIV/0!</v>
      </c>
      <c r="H648" s="98"/>
      <c r="I648" s="89" t="str">
        <f>IFERROR(VLOOKUP(F648,'Employees List'!$C:$F,2,0),"")</f>
        <v/>
      </c>
      <c r="J648" s="93" t="str">
        <f>IFERROR(VLOOKUP(C648,'Employees List'!$B$2:$G$991,5,0),"")</f>
        <v/>
      </c>
      <c r="K648" s="95" t="str">
        <f>IFERROR(VLOOKUP(F648,'Employees List'!$C$1:$AB$991,5,0),"")</f>
        <v/>
      </c>
      <c r="L648" s="91">
        <f t="shared" si="3"/>
        <v>0</v>
      </c>
      <c r="M648" s="91">
        <f t="shared" si="4"/>
        <v>0</v>
      </c>
      <c r="N648" s="89" t="str">
        <f>IFERROR(VLOOKUP(B648,'Employees List'!$A$2:$H$991,8,0),"")</f>
        <v/>
      </c>
      <c r="O648" s="89" t="str">
        <f>IFERROR(VLOOKUP(D648,'Daily Attendance Report 24-25'!A612:BP999,5,0),"")</f>
        <v/>
      </c>
      <c r="P648" s="89" t="str">
        <f>IFERROR(VLOOKUP(E648,'Daily Attendance Report 24-25'!$A$1:$BO$617,5,0),"")</f>
        <v/>
      </c>
      <c r="Q648" s="89"/>
      <c r="R648" s="89"/>
      <c r="S648" s="89" t="str">
        <f t="shared" si="17"/>
        <v>#DIV/0!</v>
      </c>
      <c r="T648" s="89" t="str">
        <f t="shared" si="6"/>
        <v>#DIV/0!</v>
      </c>
      <c r="U648" s="89" t="str">
        <f t="shared" si="25"/>
        <v>#DIV/0!</v>
      </c>
      <c r="V648" s="89" t="str">
        <f t="shared" si="24"/>
        <v>#DIV/0!</v>
      </c>
      <c r="W648" s="89" t="str">
        <f t="shared" si="9"/>
        <v>#DIV/0!</v>
      </c>
      <c r="X648" s="89"/>
      <c r="Y648" s="89"/>
      <c r="Z648" s="89"/>
      <c r="AA648" s="89"/>
      <c r="AB648" s="89"/>
      <c r="AC648" s="89"/>
      <c r="AD648" s="89"/>
      <c r="AE648" s="89"/>
      <c r="AF648" s="89"/>
      <c r="AG648" s="89"/>
      <c r="AH648" s="89"/>
    </row>
    <row r="649">
      <c r="A649" s="8" t="s">
        <v>787</v>
      </c>
      <c r="B649" s="97"/>
      <c r="C649" s="8"/>
      <c r="D649" s="89" t="str">
        <f t="shared" si="1"/>
        <v/>
      </c>
      <c r="E649" s="89" t="str">
        <f t="shared" si="2"/>
        <v>OT Hours</v>
      </c>
      <c r="F649" s="89" t="str">
        <f>IFERROR(VLOOKUP(C649,'Employees List'!$B$1:$G$999,2,0),"")</f>
        <v/>
      </c>
      <c r="G649" s="89" t="str">
        <f t="shared" si="23"/>
        <v>#DIV/0!</v>
      </c>
      <c r="H649" s="98"/>
      <c r="I649" s="89" t="str">
        <f>IFERROR(VLOOKUP(F649,'Employees List'!$C:$F,2,0),"")</f>
        <v/>
      </c>
      <c r="J649" s="93" t="str">
        <f>IFERROR(VLOOKUP(C649,'Employees List'!$B$2:$G$991,5,0),"")</f>
        <v/>
      </c>
      <c r="K649" s="95" t="str">
        <f>IFERROR(VLOOKUP(F649,'Employees List'!$C$1:$AB$991,5,0),"")</f>
        <v/>
      </c>
      <c r="L649" s="91">
        <f t="shared" si="3"/>
        <v>0</v>
      </c>
      <c r="M649" s="91">
        <f t="shared" si="4"/>
        <v>0</v>
      </c>
      <c r="N649" s="89" t="str">
        <f>IFERROR(VLOOKUP(B649,'Employees List'!$A$2:$H$991,8,0),"")</f>
        <v/>
      </c>
      <c r="O649" s="89" t="str">
        <f>IFERROR(VLOOKUP(D649,'Daily Attendance Report 24-25'!A613:BP999,5,0),"")</f>
        <v/>
      </c>
      <c r="P649" s="89" t="str">
        <f>IFERROR(VLOOKUP(E649,'Daily Attendance Report 24-25'!$A$1:$BO$617,5,0),"")</f>
        <v/>
      </c>
      <c r="Q649" s="89"/>
      <c r="R649" s="89"/>
      <c r="S649" s="89" t="str">
        <f t="shared" si="17"/>
        <v>#DIV/0!</v>
      </c>
      <c r="T649" s="89" t="str">
        <f t="shared" si="6"/>
        <v>#DIV/0!</v>
      </c>
      <c r="U649" s="89" t="str">
        <f t="shared" si="25"/>
        <v>#DIV/0!</v>
      </c>
      <c r="V649" s="89" t="str">
        <f t="shared" si="24"/>
        <v>#DIV/0!</v>
      </c>
      <c r="W649" s="89" t="str">
        <f t="shared" si="9"/>
        <v>#DIV/0!</v>
      </c>
      <c r="X649" s="89"/>
      <c r="Y649" s="89"/>
      <c r="Z649" s="89"/>
      <c r="AA649" s="89"/>
      <c r="AB649" s="89"/>
      <c r="AC649" s="89"/>
      <c r="AD649" s="89"/>
      <c r="AE649" s="89"/>
      <c r="AF649" s="89"/>
      <c r="AG649" s="89"/>
      <c r="AH649" s="89"/>
    </row>
    <row r="650">
      <c r="A650" s="8" t="s">
        <v>788</v>
      </c>
      <c r="B650" s="97"/>
      <c r="C650" s="8"/>
      <c r="D650" s="89" t="str">
        <f t="shared" si="1"/>
        <v/>
      </c>
      <c r="E650" s="89" t="str">
        <f t="shared" si="2"/>
        <v>OT Hours</v>
      </c>
      <c r="F650" s="89" t="str">
        <f>IFERROR(VLOOKUP(C650,'Employees List'!$B$1:$G$999,2,0),"")</f>
        <v/>
      </c>
      <c r="G650" s="89" t="str">
        <f t="shared" si="23"/>
        <v>#DIV/0!</v>
      </c>
      <c r="H650" s="98"/>
      <c r="I650" s="89" t="str">
        <f>IFERROR(VLOOKUP(F650,'Employees List'!$C:$F,2,0),"")</f>
        <v/>
      </c>
      <c r="J650" s="93" t="str">
        <f>IFERROR(VLOOKUP(C650,'Employees List'!$B$2:$G$991,5,0),"")</f>
        <v/>
      </c>
      <c r="K650" s="95" t="str">
        <f>IFERROR(VLOOKUP(F650,'Employees List'!$C$1:$AB$991,5,0),"")</f>
        <v/>
      </c>
      <c r="L650" s="91">
        <f t="shared" si="3"/>
        <v>0</v>
      </c>
      <c r="M650" s="91">
        <f t="shared" si="4"/>
        <v>0</v>
      </c>
      <c r="N650" s="89" t="str">
        <f>IFERROR(VLOOKUP(B650,'Employees List'!$A$2:$H$991,8,0),"")</f>
        <v/>
      </c>
      <c r="O650" s="89" t="str">
        <f>IFERROR(VLOOKUP(D650,'Daily Attendance Report 24-25'!A614:BP999,5,0),"")</f>
        <v/>
      </c>
      <c r="P650" s="89" t="str">
        <f>IFERROR(VLOOKUP(E650,'Daily Attendance Report 24-25'!$A$1:$BO$617,5,0),"")</f>
        <v/>
      </c>
      <c r="Q650" s="89"/>
      <c r="R650" s="89"/>
      <c r="S650" s="89" t="str">
        <f t="shared" si="17"/>
        <v>#DIV/0!</v>
      </c>
      <c r="T650" s="89" t="str">
        <f t="shared" si="6"/>
        <v>#DIV/0!</v>
      </c>
      <c r="U650" s="89" t="str">
        <f t="shared" si="25"/>
        <v>#DIV/0!</v>
      </c>
      <c r="V650" s="89" t="str">
        <f t="shared" si="24"/>
        <v>#DIV/0!</v>
      </c>
      <c r="W650" s="89" t="str">
        <f t="shared" si="9"/>
        <v>#DIV/0!</v>
      </c>
      <c r="X650" s="89"/>
      <c r="Y650" s="89"/>
      <c r="Z650" s="89"/>
      <c r="AA650" s="89"/>
      <c r="AB650" s="89"/>
      <c r="AC650" s="89"/>
      <c r="AD650" s="89"/>
      <c r="AE650" s="89"/>
      <c r="AF650" s="89"/>
      <c r="AG650" s="89"/>
      <c r="AH650" s="89"/>
    </row>
    <row r="651">
      <c r="A651" s="8" t="s">
        <v>789</v>
      </c>
      <c r="B651" s="97"/>
      <c r="C651" s="8"/>
      <c r="D651" s="89" t="str">
        <f t="shared" si="1"/>
        <v/>
      </c>
      <c r="E651" s="89" t="str">
        <f t="shared" si="2"/>
        <v>OT Hours</v>
      </c>
      <c r="F651" s="89" t="str">
        <f>IFERROR(VLOOKUP(C651,'Employees List'!$B$1:$G$999,2,0),"")</f>
        <v/>
      </c>
      <c r="G651" s="89" t="str">
        <f t="shared" si="23"/>
        <v>#DIV/0!</v>
      </c>
      <c r="H651" s="98"/>
      <c r="I651" s="89" t="str">
        <f>IFERROR(VLOOKUP(F651,'Employees List'!$C:$F,2,0),"")</f>
        <v/>
      </c>
      <c r="J651" s="93" t="str">
        <f>IFERROR(VLOOKUP(C651,'Employees List'!$B$2:$G$991,5,0),"")</f>
        <v/>
      </c>
      <c r="K651" s="95" t="str">
        <f>IFERROR(VLOOKUP(F651,'Employees List'!$C$1:$AB$991,5,0),"")</f>
        <v/>
      </c>
      <c r="L651" s="91">
        <f t="shared" si="3"/>
        <v>0</v>
      </c>
      <c r="M651" s="91">
        <f t="shared" si="4"/>
        <v>0</v>
      </c>
      <c r="N651" s="89" t="str">
        <f>IFERROR(VLOOKUP(B651,'Employees List'!$A$2:$H$991,8,0),"")</f>
        <v/>
      </c>
      <c r="O651" s="89" t="str">
        <f>IFERROR(VLOOKUP(D651,'Daily Attendance Report 24-25'!A615:BP999,5,0),"")</f>
        <v/>
      </c>
      <c r="P651" s="89" t="str">
        <f>IFERROR(VLOOKUP(E651,'Daily Attendance Report 24-25'!$A$1:$BO$617,5,0),"")</f>
        <v/>
      </c>
      <c r="Q651" s="89"/>
      <c r="R651" s="89"/>
      <c r="S651" s="89" t="str">
        <f t="shared" si="17"/>
        <v>#DIV/0!</v>
      </c>
      <c r="T651" s="89" t="str">
        <f t="shared" si="6"/>
        <v>#DIV/0!</v>
      </c>
      <c r="U651" s="89" t="str">
        <f t="shared" si="25"/>
        <v>#DIV/0!</v>
      </c>
      <c r="V651" s="89" t="str">
        <f t="shared" si="24"/>
        <v>#DIV/0!</v>
      </c>
      <c r="W651" s="89" t="str">
        <f t="shared" si="9"/>
        <v>#DIV/0!</v>
      </c>
      <c r="X651" s="89"/>
      <c r="Y651" s="89"/>
      <c r="Z651" s="89"/>
      <c r="AA651" s="89"/>
      <c r="AB651" s="89"/>
      <c r="AC651" s="89"/>
      <c r="AD651" s="89"/>
      <c r="AE651" s="89"/>
      <c r="AF651" s="89"/>
      <c r="AG651" s="89"/>
      <c r="AH651" s="89"/>
    </row>
    <row r="652">
      <c r="A652" s="8" t="s">
        <v>790</v>
      </c>
      <c r="B652" s="97"/>
      <c r="C652" s="8"/>
      <c r="D652" s="89" t="str">
        <f t="shared" si="1"/>
        <v/>
      </c>
      <c r="E652" s="89" t="str">
        <f t="shared" si="2"/>
        <v>OT Hours</v>
      </c>
      <c r="F652" s="89" t="str">
        <f>IFERROR(VLOOKUP(C652,'Employees List'!$B$1:$G$999,2,0),"")</f>
        <v/>
      </c>
      <c r="G652" s="89" t="str">
        <f t="shared" si="23"/>
        <v>#DIV/0!</v>
      </c>
      <c r="H652" s="98"/>
      <c r="I652" s="89" t="str">
        <f>IFERROR(VLOOKUP(F652,'Employees List'!$C:$F,2,0),"")</f>
        <v/>
      </c>
      <c r="J652" s="93" t="str">
        <f>IFERROR(VLOOKUP(C652,'Employees List'!$B$2:$G$991,5,0),"")</f>
        <v/>
      </c>
      <c r="K652" s="95" t="str">
        <f>IFERROR(VLOOKUP(F652,'Employees List'!$C$1:$AB$991,5,0),"")</f>
        <v/>
      </c>
      <c r="L652" s="91">
        <f t="shared" si="3"/>
        <v>0</v>
      </c>
      <c r="M652" s="91">
        <f t="shared" si="4"/>
        <v>0</v>
      </c>
      <c r="N652" s="89" t="str">
        <f>IFERROR(VLOOKUP(B652,'Employees List'!$A$2:$H$991,8,0),"")</f>
        <v/>
      </c>
      <c r="O652" s="89" t="str">
        <f>IFERROR(VLOOKUP(D652,'Daily Attendance Report 24-25'!A616:BP999,5,0),"")</f>
        <v/>
      </c>
      <c r="P652" s="89" t="str">
        <f>IFERROR(VLOOKUP(E652,'Daily Attendance Report 24-25'!$A$1:$BO$617,5,0),"")</f>
        <v/>
      </c>
      <c r="Q652" s="89"/>
      <c r="R652" s="89"/>
      <c r="S652" s="89" t="str">
        <f t="shared" si="17"/>
        <v>#DIV/0!</v>
      </c>
      <c r="T652" s="89" t="str">
        <f t="shared" si="6"/>
        <v>#DIV/0!</v>
      </c>
      <c r="U652" s="89" t="str">
        <f t="shared" si="25"/>
        <v>#DIV/0!</v>
      </c>
      <c r="V652" s="89" t="str">
        <f t="shared" si="24"/>
        <v>#DIV/0!</v>
      </c>
      <c r="W652" s="89" t="str">
        <f t="shared" si="9"/>
        <v>#DIV/0!</v>
      </c>
      <c r="X652" s="89"/>
      <c r="Y652" s="89"/>
      <c r="Z652" s="89"/>
      <c r="AA652" s="89"/>
      <c r="AB652" s="89"/>
      <c r="AC652" s="89"/>
      <c r="AD652" s="89"/>
      <c r="AE652" s="89"/>
      <c r="AF652" s="89"/>
      <c r="AG652" s="89"/>
      <c r="AH652" s="89"/>
    </row>
    <row r="653">
      <c r="A653" s="8" t="s">
        <v>791</v>
      </c>
      <c r="B653" s="97"/>
      <c r="C653" s="8"/>
      <c r="D653" s="89" t="str">
        <f t="shared" si="1"/>
        <v/>
      </c>
      <c r="E653" s="89" t="str">
        <f t="shared" si="2"/>
        <v>OT Hours</v>
      </c>
      <c r="F653" s="89" t="str">
        <f>IFERROR(VLOOKUP(C653,'Employees List'!$B$1:$G$999,2,0),"")</f>
        <v/>
      </c>
      <c r="G653" s="89" t="str">
        <f t="shared" si="23"/>
        <v>#DIV/0!</v>
      </c>
      <c r="H653" s="98"/>
      <c r="I653" s="89" t="str">
        <f>IFERROR(VLOOKUP(F653,'Employees List'!$C:$F,2,0),"")</f>
        <v/>
      </c>
      <c r="J653" s="93" t="str">
        <f>IFERROR(VLOOKUP(C653,'Employees List'!$B$2:$G$991,5,0),"")</f>
        <v/>
      </c>
      <c r="K653" s="95" t="str">
        <f>IFERROR(VLOOKUP(F653,'Employees List'!$C$1:$AB$991,5,0),"")</f>
        <v/>
      </c>
      <c r="L653" s="91">
        <f t="shared" si="3"/>
        <v>0</v>
      </c>
      <c r="M653" s="91">
        <f t="shared" si="4"/>
        <v>0</v>
      </c>
      <c r="N653" s="89" t="str">
        <f>IFERROR(VLOOKUP(B653,'Employees List'!$A$2:$H$991,8,0),"")</f>
        <v/>
      </c>
      <c r="O653" s="89" t="str">
        <f>IFERROR(VLOOKUP(D653,'Daily Attendance Report 24-25'!A617:BP999,5,0),"")</f>
        <v/>
      </c>
      <c r="P653" s="89" t="str">
        <f>IFERROR(VLOOKUP(E653,'Daily Attendance Report 24-25'!$A$1:$BO$617,5,0),"")</f>
        <v/>
      </c>
      <c r="Q653" s="89"/>
      <c r="R653" s="89"/>
      <c r="S653" s="89" t="str">
        <f t="shared" si="17"/>
        <v>#DIV/0!</v>
      </c>
      <c r="T653" s="89" t="str">
        <f t="shared" si="6"/>
        <v>#DIV/0!</v>
      </c>
      <c r="U653" s="89" t="str">
        <f t="shared" si="25"/>
        <v>#DIV/0!</v>
      </c>
      <c r="V653" s="89" t="str">
        <f t="shared" si="24"/>
        <v>#DIV/0!</v>
      </c>
      <c r="W653" s="89" t="str">
        <f t="shared" si="9"/>
        <v>#DIV/0!</v>
      </c>
      <c r="X653" s="89"/>
      <c r="Y653" s="89"/>
      <c r="Z653" s="89"/>
      <c r="AA653" s="89"/>
      <c r="AB653" s="89"/>
      <c r="AC653" s="89"/>
      <c r="AD653" s="89"/>
      <c r="AE653" s="89"/>
      <c r="AF653" s="89"/>
      <c r="AG653" s="89"/>
      <c r="AH653" s="89"/>
    </row>
    <row r="654">
      <c r="A654" s="8" t="s">
        <v>792</v>
      </c>
      <c r="B654" s="97"/>
      <c r="C654" s="8"/>
      <c r="D654" s="89" t="str">
        <f t="shared" si="1"/>
        <v/>
      </c>
      <c r="E654" s="89" t="str">
        <f t="shared" si="2"/>
        <v>OT Hours</v>
      </c>
      <c r="F654" s="89" t="str">
        <f>IFERROR(VLOOKUP(C654,'Employees List'!$B$1:$G$999,2,0),"")</f>
        <v/>
      </c>
      <c r="G654" s="89" t="str">
        <f t="shared" si="23"/>
        <v>#DIV/0!</v>
      </c>
      <c r="H654" s="98"/>
      <c r="I654" s="89" t="str">
        <f>IFERROR(VLOOKUP(F654,'Employees List'!$C:$F,2,0),"")</f>
        <v/>
      </c>
      <c r="J654" s="93" t="str">
        <f>IFERROR(VLOOKUP(C654,'Employees List'!$B$2:$G$991,5,0),"")</f>
        <v/>
      </c>
      <c r="K654" s="95" t="str">
        <f>IFERROR(VLOOKUP(F654,'Employees List'!$C$1:$AB$991,5,0),"")</f>
        <v/>
      </c>
      <c r="L654" s="91">
        <f t="shared" si="3"/>
        <v>0</v>
      </c>
      <c r="M654" s="91">
        <f t="shared" si="4"/>
        <v>0</v>
      </c>
      <c r="N654" s="89" t="str">
        <f>IFERROR(VLOOKUP(B654,'Employees List'!$A$2:$H$991,8,0),"")</f>
        <v/>
      </c>
      <c r="O654" s="89" t="str">
        <f>IFERROR(VLOOKUP(D654,'Daily Attendance Report 24-25'!A618:BP999,5,0),"")</f>
        <v/>
      </c>
      <c r="P654" s="89" t="str">
        <f>IFERROR(VLOOKUP(E654,'Daily Attendance Report 24-25'!$A$1:$BO$617,5,0),"")</f>
        <v/>
      </c>
      <c r="Q654" s="89"/>
      <c r="R654" s="89"/>
      <c r="S654" s="89" t="str">
        <f t="shared" si="17"/>
        <v>#DIV/0!</v>
      </c>
      <c r="T654" s="89" t="str">
        <f t="shared" si="6"/>
        <v>#DIV/0!</v>
      </c>
      <c r="U654" s="89" t="str">
        <f t="shared" si="25"/>
        <v>#DIV/0!</v>
      </c>
      <c r="V654" s="89" t="str">
        <f t="shared" si="24"/>
        <v>#DIV/0!</v>
      </c>
      <c r="W654" s="89" t="str">
        <f t="shared" si="9"/>
        <v>#DIV/0!</v>
      </c>
      <c r="X654" s="89"/>
      <c r="Y654" s="89"/>
      <c r="Z654" s="89"/>
      <c r="AA654" s="89"/>
      <c r="AB654" s="89"/>
      <c r="AC654" s="89"/>
      <c r="AD654" s="89"/>
      <c r="AE654" s="89"/>
      <c r="AF654" s="89"/>
      <c r="AG654" s="89"/>
      <c r="AH654" s="89"/>
    </row>
    <row r="655">
      <c r="A655" s="8" t="s">
        <v>793</v>
      </c>
      <c r="B655" s="97"/>
      <c r="C655" s="8"/>
      <c r="D655" s="89" t="str">
        <f t="shared" si="1"/>
        <v/>
      </c>
      <c r="E655" s="89" t="str">
        <f t="shared" si="2"/>
        <v>OT Hours</v>
      </c>
      <c r="F655" s="89" t="str">
        <f>IFERROR(VLOOKUP(C655,'Employees List'!$B$1:$G$999,2,0),"")</f>
        <v/>
      </c>
      <c r="G655" s="89" t="str">
        <f t="shared" si="23"/>
        <v>#DIV/0!</v>
      </c>
      <c r="H655" s="98"/>
      <c r="I655" s="89" t="str">
        <f>IFERROR(VLOOKUP(F655,'Employees List'!$C:$F,2,0),"")</f>
        <v/>
      </c>
      <c r="J655" s="93" t="str">
        <f>IFERROR(VLOOKUP(C655,'Employees List'!$B$2:$G$991,5,0),"")</f>
        <v/>
      </c>
      <c r="K655" s="95" t="str">
        <f>IFERROR(VLOOKUP(F655,'Employees List'!$C$1:$AB$991,5,0),"")</f>
        <v/>
      </c>
      <c r="L655" s="91">
        <f t="shared" si="3"/>
        <v>0</v>
      </c>
      <c r="M655" s="91">
        <f t="shared" si="4"/>
        <v>0</v>
      </c>
      <c r="N655" s="89" t="str">
        <f>IFERROR(VLOOKUP(B655,'Employees List'!$A$2:$H$991,8,0),"")</f>
        <v/>
      </c>
      <c r="O655" s="89" t="str">
        <f>IFERROR(VLOOKUP(D655,'Daily Attendance Report 24-25'!A619:BP999,5,0),"")</f>
        <v/>
      </c>
      <c r="P655" s="89" t="str">
        <f>IFERROR(VLOOKUP(E655,'Daily Attendance Report 24-25'!$A$1:$BO$617,5,0),"")</f>
        <v/>
      </c>
      <c r="Q655" s="89"/>
      <c r="R655" s="89"/>
      <c r="S655" s="89" t="str">
        <f t="shared" si="17"/>
        <v>#DIV/0!</v>
      </c>
      <c r="T655" s="89" t="str">
        <f t="shared" si="6"/>
        <v>#DIV/0!</v>
      </c>
      <c r="U655" s="89" t="str">
        <f t="shared" si="25"/>
        <v>#DIV/0!</v>
      </c>
      <c r="V655" s="89" t="str">
        <f t="shared" si="24"/>
        <v>#DIV/0!</v>
      </c>
      <c r="W655" s="89" t="str">
        <f t="shared" si="9"/>
        <v>#DIV/0!</v>
      </c>
      <c r="X655" s="89"/>
      <c r="Y655" s="89"/>
      <c r="Z655" s="89"/>
      <c r="AA655" s="89"/>
      <c r="AB655" s="89"/>
      <c r="AC655" s="89"/>
      <c r="AD655" s="89"/>
      <c r="AE655" s="89"/>
      <c r="AF655" s="89"/>
      <c r="AG655" s="89"/>
      <c r="AH655" s="89"/>
    </row>
    <row r="656">
      <c r="A656" s="8" t="s">
        <v>794</v>
      </c>
      <c r="B656" s="97"/>
      <c r="C656" s="8"/>
      <c r="D656" s="89" t="str">
        <f t="shared" si="1"/>
        <v/>
      </c>
      <c r="E656" s="89" t="str">
        <f t="shared" si="2"/>
        <v>OT Hours</v>
      </c>
      <c r="F656" s="89" t="str">
        <f>IFERROR(VLOOKUP(C656,'Employees List'!$B$1:$G$999,2,0),"")</f>
        <v/>
      </c>
      <c r="G656" s="89" t="str">
        <f t="shared" si="23"/>
        <v>#DIV/0!</v>
      </c>
      <c r="H656" s="98"/>
      <c r="I656" s="89" t="str">
        <f>IFERROR(VLOOKUP(F656,'Employees List'!$C:$F,2,0),"")</f>
        <v/>
      </c>
      <c r="J656" s="93" t="str">
        <f>IFERROR(VLOOKUP(C656,'Employees List'!$B$2:$G$991,5,0),"")</f>
        <v/>
      </c>
      <c r="K656" s="95" t="str">
        <f>IFERROR(VLOOKUP(F656,'Employees List'!$C$1:$AB$991,5,0),"")</f>
        <v/>
      </c>
      <c r="L656" s="91">
        <f t="shared" si="3"/>
        <v>0</v>
      </c>
      <c r="M656" s="91">
        <f t="shared" si="4"/>
        <v>0</v>
      </c>
      <c r="N656" s="89" t="str">
        <f>IFERROR(VLOOKUP(B656,'Employees List'!$A$2:$H$991,8,0),"")</f>
        <v/>
      </c>
      <c r="O656" s="89" t="str">
        <f>IFERROR(VLOOKUP(D656,'Daily Attendance Report 24-25'!A620:BP999,5,0),"")</f>
        <v/>
      </c>
      <c r="P656" s="89" t="str">
        <f>IFERROR(VLOOKUP(E656,'Daily Attendance Report 24-25'!$A$1:$BO$617,5,0),"")</f>
        <v/>
      </c>
      <c r="Q656" s="89"/>
      <c r="R656" s="89"/>
      <c r="S656" s="89" t="str">
        <f t="shared" si="17"/>
        <v>#DIV/0!</v>
      </c>
      <c r="T656" s="89" t="str">
        <f t="shared" si="6"/>
        <v>#DIV/0!</v>
      </c>
      <c r="U656" s="89" t="str">
        <f t="shared" si="25"/>
        <v>#DIV/0!</v>
      </c>
      <c r="V656" s="89" t="str">
        <f t="shared" si="24"/>
        <v>#DIV/0!</v>
      </c>
      <c r="W656" s="89" t="str">
        <f t="shared" si="9"/>
        <v>#DIV/0!</v>
      </c>
      <c r="X656" s="89"/>
      <c r="Y656" s="89"/>
      <c r="Z656" s="89"/>
      <c r="AA656" s="89"/>
      <c r="AB656" s="89"/>
      <c r="AC656" s="89"/>
      <c r="AD656" s="89"/>
      <c r="AE656" s="89"/>
      <c r="AF656" s="89"/>
      <c r="AG656" s="89"/>
      <c r="AH656" s="89"/>
    </row>
    <row r="657">
      <c r="A657" s="8" t="s">
        <v>795</v>
      </c>
      <c r="B657" s="97"/>
      <c r="C657" s="8"/>
      <c r="D657" s="89" t="str">
        <f t="shared" si="1"/>
        <v/>
      </c>
      <c r="E657" s="89" t="str">
        <f t="shared" si="2"/>
        <v>OT Hours</v>
      </c>
      <c r="F657" s="89" t="str">
        <f>IFERROR(VLOOKUP(C657,'Employees List'!$B$1:$G$999,2,0),"")</f>
        <v/>
      </c>
      <c r="G657" s="89" t="str">
        <f t="shared" si="23"/>
        <v>#DIV/0!</v>
      </c>
      <c r="H657" s="98"/>
      <c r="I657" s="89" t="str">
        <f>IFERROR(VLOOKUP(F657,'Employees List'!$C:$F,2,0),"")</f>
        <v/>
      </c>
      <c r="J657" s="93" t="str">
        <f>IFERROR(VLOOKUP(C657,'Employees List'!$B$2:$G$991,5,0),"")</f>
        <v/>
      </c>
      <c r="K657" s="95" t="str">
        <f>IFERROR(VLOOKUP(F657,'Employees List'!$C$1:$AB$991,5,0),"")</f>
        <v/>
      </c>
      <c r="L657" s="91">
        <f t="shared" si="3"/>
        <v>0</v>
      </c>
      <c r="M657" s="91">
        <f t="shared" si="4"/>
        <v>0</v>
      </c>
      <c r="N657" s="89" t="str">
        <f>IFERROR(VLOOKUP(B657,'Employees List'!$A$2:$H$991,8,0),"")</f>
        <v/>
      </c>
      <c r="O657" s="89" t="str">
        <f>IFERROR(VLOOKUP(D657,'Daily Attendance Report 24-25'!A621:BP999,5,0),"")</f>
        <v/>
      </c>
      <c r="P657" s="89" t="str">
        <f>IFERROR(VLOOKUP(E657,'Daily Attendance Report 24-25'!$A$1:$BO$617,5,0),"")</f>
        <v/>
      </c>
      <c r="Q657" s="89"/>
      <c r="R657" s="89"/>
      <c r="S657" s="89" t="str">
        <f t="shared" si="17"/>
        <v>#DIV/0!</v>
      </c>
      <c r="T657" s="89" t="str">
        <f t="shared" si="6"/>
        <v>#DIV/0!</v>
      </c>
      <c r="U657" s="89" t="str">
        <f t="shared" si="25"/>
        <v>#DIV/0!</v>
      </c>
      <c r="V657" s="89" t="str">
        <f t="shared" si="24"/>
        <v>#DIV/0!</v>
      </c>
      <c r="W657" s="89" t="str">
        <f t="shared" si="9"/>
        <v>#DIV/0!</v>
      </c>
      <c r="X657" s="89"/>
      <c r="Y657" s="89"/>
      <c r="Z657" s="89"/>
      <c r="AA657" s="89"/>
      <c r="AB657" s="89"/>
      <c r="AC657" s="89"/>
      <c r="AD657" s="89"/>
      <c r="AE657" s="89"/>
      <c r="AF657" s="89"/>
      <c r="AG657" s="89"/>
      <c r="AH657" s="89"/>
    </row>
    <row r="658">
      <c r="A658" s="8" t="s">
        <v>796</v>
      </c>
      <c r="B658" s="97"/>
      <c r="C658" s="8"/>
      <c r="D658" s="89" t="str">
        <f t="shared" si="1"/>
        <v/>
      </c>
      <c r="E658" s="89" t="str">
        <f t="shared" si="2"/>
        <v>OT Hours</v>
      </c>
      <c r="F658" s="89" t="str">
        <f>IFERROR(VLOOKUP(C658,'Employees List'!$B$1:$G$999,2,0),"")</f>
        <v/>
      </c>
      <c r="G658" s="89" t="str">
        <f t="shared" si="23"/>
        <v>#DIV/0!</v>
      </c>
      <c r="H658" s="98"/>
      <c r="I658" s="89" t="str">
        <f>IFERROR(VLOOKUP(F658,'Employees List'!$C:$F,2,0),"")</f>
        <v/>
      </c>
      <c r="J658" s="93" t="str">
        <f>IFERROR(VLOOKUP(C658,'Employees List'!$B$2:$G$991,5,0),"")</f>
        <v/>
      </c>
      <c r="K658" s="95" t="str">
        <f>IFERROR(VLOOKUP(F658,'Employees List'!$C$1:$AB$991,5,0),"")</f>
        <v/>
      </c>
      <c r="L658" s="91">
        <f t="shared" si="3"/>
        <v>0</v>
      </c>
      <c r="M658" s="91">
        <f t="shared" si="4"/>
        <v>0</v>
      </c>
      <c r="N658" s="89" t="str">
        <f>IFERROR(VLOOKUP(B658,'Employees List'!$A$2:$H$991,8,0),"")</f>
        <v/>
      </c>
      <c r="O658" s="89" t="str">
        <f>IFERROR(VLOOKUP(D658,'Daily Attendance Report 24-25'!A622:BP999,5,0),"")</f>
        <v/>
      </c>
      <c r="P658" s="89" t="str">
        <f>IFERROR(VLOOKUP(E658,'Daily Attendance Report 24-25'!$A$1:$BO$617,5,0),"")</f>
        <v/>
      </c>
      <c r="Q658" s="89"/>
      <c r="R658" s="89"/>
      <c r="S658" s="89" t="str">
        <f t="shared" si="17"/>
        <v>#DIV/0!</v>
      </c>
      <c r="T658" s="89" t="str">
        <f t="shared" si="6"/>
        <v>#DIV/0!</v>
      </c>
      <c r="U658" s="89" t="str">
        <f t="shared" si="25"/>
        <v>#DIV/0!</v>
      </c>
      <c r="V658" s="89" t="str">
        <f t="shared" si="24"/>
        <v>#DIV/0!</v>
      </c>
      <c r="W658" s="89" t="str">
        <f t="shared" si="9"/>
        <v>#DIV/0!</v>
      </c>
      <c r="X658" s="89"/>
      <c r="Y658" s="89"/>
      <c r="Z658" s="89"/>
      <c r="AA658" s="89"/>
      <c r="AB658" s="89"/>
      <c r="AC658" s="89"/>
      <c r="AD658" s="89"/>
      <c r="AE658" s="89"/>
      <c r="AF658" s="89"/>
      <c r="AG658" s="89"/>
      <c r="AH658" s="89"/>
    </row>
    <row r="659">
      <c r="A659" s="8" t="s">
        <v>797</v>
      </c>
      <c r="B659" s="97"/>
      <c r="C659" s="8"/>
      <c r="D659" s="89" t="str">
        <f t="shared" si="1"/>
        <v/>
      </c>
      <c r="E659" s="89" t="str">
        <f t="shared" si="2"/>
        <v>OT Hours</v>
      </c>
      <c r="F659" s="89" t="str">
        <f>IFERROR(VLOOKUP(C659,'Employees List'!$B$1:$G$999,2,0),"")</f>
        <v/>
      </c>
      <c r="G659" s="89" t="str">
        <f t="shared" si="23"/>
        <v>#DIV/0!</v>
      </c>
      <c r="H659" s="98"/>
      <c r="I659" s="89" t="str">
        <f>IFERROR(VLOOKUP(F659,'Employees List'!$C:$F,2,0),"")</f>
        <v/>
      </c>
      <c r="J659" s="93" t="str">
        <f>IFERROR(VLOOKUP(C659,'Employees List'!$B$2:$G$991,5,0),"")</f>
        <v/>
      </c>
      <c r="K659" s="95" t="str">
        <f>IFERROR(VLOOKUP(F659,'Employees List'!$C$1:$AB$991,5,0),"")</f>
        <v/>
      </c>
      <c r="L659" s="91">
        <f t="shared" si="3"/>
        <v>0</v>
      </c>
      <c r="M659" s="91">
        <f t="shared" si="4"/>
        <v>0</v>
      </c>
      <c r="N659" s="89" t="str">
        <f>IFERROR(VLOOKUP(B659,'Employees List'!$A$2:$H$991,8,0),"")</f>
        <v/>
      </c>
      <c r="O659" s="89" t="str">
        <f>IFERROR(VLOOKUP(D659,'Daily Attendance Report 24-25'!A623:BP999,5,0),"")</f>
        <v/>
      </c>
      <c r="P659" s="89" t="str">
        <f>IFERROR(VLOOKUP(E659,'Daily Attendance Report 24-25'!$A$1:$BO$617,5,0),"")</f>
        <v/>
      </c>
      <c r="Q659" s="89"/>
      <c r="R659" s="89"/>
      <c r="S659" s="89" t="str">
        <f t="shared" si="17"/>
        <v>#DIV/0!</v>
      </c>
      <c r="T659" s="89" t="str">
        <f t="shared" si="6"/>
        <v>#DIV/0!</v>
      </c>
      <c r="U659" s="89" t="str">
        <f t="shared" si="25"/>
        <v>#DIV/0!</v>
      </c>
      <c r="V659" s="89" t="str">
        <f t="shared" si="24"/>
        <v>#DIV/0!</v>
      </c>
      <c r="W659" s="89" t="str">
        <f t="shared" si="9"/>
        <v>#DIV/0!</v>
      </c>
      <c r="X659" s="89"/>
      <c r="Y659" s="89"/>
      <c r="Z659" s="89"/>
      <c r="AA659" s="89"/>
      <c r="AB659" s="89"/>
      <c r="AC659" s="89"/>
      <c r="AD659" s="89"/>
      <c r="AE659" s="89"/>
      <c r="AF659" s="89"/>
      <c r="AG659" s="89"/>
      <c r="AH659" s="89"/>
    </row>
    <row r="660">
      <c r="A660" s="8" t="s">
        <v>798</v>
      </c>
      <c r="B660" s="97"/>
      <c r="C660" s="8"/>
      <c r="D660" s="89" t="str">
        <f t="shared" si="1"/>
        <v/>
      </c>
      <c r="E660" s="89" t="str">
        <f t="shared" si="2"/>
        <v>OT Hours</v>
      </c>
      <c r="F660" s="89" t="str">
        <f>IFERROR(VLOOKUP(C660,'Employees List'!$B$1:$G$999,2,0),"")</f>
        <v/>
      </c>
      <c r="G660" s="89" t="str">
        <f t="shared" si="23"/>
        <v>#DIV/0!</v>
      </c>
      <c r="H660" s="98"/>
      <c r="I660" s="89" t="str">
        <f>IFERROR(VLOOKUP(F660,'Employees List'!$C:$F,2,0),"")</f>
        <v/>
      </c>
      <c r="J660" s="93" t="str">
        <f>IFERROR(VLOOKUP(C660,'Employees List'!$B$2:$G$991,5,0),"")</f>
        <v/>
      </c>
      <c r="K660" s="95" t="str">
        <f>IFERROR(VLOOKUP(F660,'Employees List'!$C$1:$AB$991,5,0),"")</f>
        <v/>
      </c>
      <c r="L660" s="91">
        <f t="shared" si="3"/>
        <v>0</v>
      </c>
      <c r="M660" s="91">
        <f t="shared" si="4"/>
        <v>0</v>
      </c>
      <c r="N660" s="89" t="str">
        <f>IFERROR(VLOOKUP(B660,'Employees List'!$A$2:$H$991,8,0),"")</f>
        <v/>
      </c>
      <c r="O660" s="89" t="str">
        <f>IFERROR(VLOOKUP(D660,'Daily Attendance Report 24-25'!A624:BP999,5,0),"")</f>
        <v/>
      </c>
      <c r="P660" s="89" t="str">
        <f>IFERROR(VLOOKUP(E660,'Daily Attendance Report 24-25'!$A$1:$BO$617,5,0),"")</f>
        <v/>
      </c>
      <c r="Q660" s="89"/>
      <c r="R660" s="89"/>
      <c r="S660" s="89" t="str">
        <f t="shared" si="17"/>
        <v>#DIV/0!</v>
      </c>
      <c r="T660" s="89" t="str">
        <f t="shared" si="6"/>
        <v>#DIV/0!</v>
      </c>
      <c r="U660" s="89" t="str">
        <f t="shared" si="25"/>
        <v>#DIV/0!</v>
      </c>
      <c r="V660" s="89" t="str">
        <f t="shared" si="24"/>
        <v>#DIV/0!</v>
      </c>
      <c r="W660" s="89" t="str">
        <f t="shared" si="9"/>
        <v>#DIV/0!</v>
      </c>
      <c r="X660" s="89"/>
      <c r="Y660" s="89"/>
      <c r="Z660" s="89"/>
      <c r="AA660" s="89"/>
      <c r="AB660" s="89"/>
      <c r="AC660" s="89"/>
      <c r="AD660" s="89"/>
      <c r="AE660" s="89"/>
      <c r="AF660" s="89"/>
      <c r="AG660" s="89"/>
      <c r="AH660" s="89"/>
    </row>
    <row r="661">
      <c r="A661" s="8" t="s">
        <v>799</v>
      </c>
      <c r="B661" s="97"/>
      <c r="C661" s="8"/>
      <c r="D661" s="89" t="str">
        <f t="shared" si="1"/>
        <v/>
      </c>
      <c r="E661" s="89" t="str">
        <f t="shared" si="2"/>
        <v>OT Hours</v>
      </c>
      <c r="F661" s="89" t="str">
        <f>IFERROR(VLOOKUP(C661,'Employees List'!$B$1:$G$999,2,0),"")</f>
        <v/>
      </c>
      <c r="G661" s="89" t="str">
        <f t="shared" si="23"/>
        <v>#DIV/0!</v>
      </c>
      <c r="H661" s="98"/>
      <c r="I661" s="89" t="str">
        <f>IFERROR(VLOOKUP(F661,'Employees List'!$C:$F,2,0),"")</f>
        <v/>
      </c>
      <c r="J661" s="93" t="str">
        <f>IFERROR(VLOOKUP(C661,'Employees List'!$B$2:$G$991,5,0),"")</f>
        <v/>
      </c>
      <c r="K661" s="95" t="str">
        <f>IFERROR(VLOOKUP(F661,'Employees List'!$C$1:$AB$991,5,0),"")</f>
        <v/>
      </c>
      <c r="L661" s="91">
        <f t="shared" si="3"/>
        <v>0</v>
      </c>
      <c r="M661" s="91">
        <f t="shared" si="4"/>
        <v>0</v>
      </c>
      <c r="N661" s="89" t="str">
        <f>IFERROR(VLOOKUP(B661,'Employees List'!$A$2:$H$991,8,0),"")</f>
        <v/>
      </c>
      <c r="O661" s="89" t="str">
        <f>IFERROR(VLOOKUP(D661,'Daily Attendance Report 24-25'!A625:BP999,5,0),"")</f>
        <v/>
      </c>
      <c r="P661" s="89" t="str">
        <f>IFERROR(VLOOKUP(E661,'Daily Attendance Report 24-25'!$A$1:$BO$617,5,0),"")</f>
        <v/>
      </c>
      <c r="Q661" s="89"/>
      <c r="R661" s="89"/>
      <c r="S661" s="89" t="str">
        <f t="shared" si="17"/>
        <v>#DIV/0!</v>
      </c>
      <c r="T661" s="89" t="str">
        <f t="shared" si="6"/>
        <v>#DIV/0!</v>
      </c>
      <c r="U661" s="89" t="str">
        <f t="shared" si="25"/>
        <v>#DIV/0!</v>
      </c>
      <c r="V661" s="89" t="str">
        <f t="shared" si="24"/>
        <v>#DIV/0!</v>
      </c>
      <c r="W661" s="89" t="str">
        <f t="shared" si="9"/>
        <v>#DIV/0!</v>
      </c>
      <c r="X661" s="89"/>
      <c r="Y661" s="89"/>
      <c r="Z661" s="89"/>
      <c r="AA661" s="89"/>
      <c r="AB661" s="89"/>
      <c r="AC661" s="89"/>
      <c r="AD661" s="89"/>
      <c r="AE661" s="89"/>
      <c r="AF661" s="89"/>
      <c r="AG661" s="89"/>
      <c r="AH661" s="89"/>
    </row>
    <row r="662">
      <c r="A662" s="8" t="s">
        <v>800</v>
      </c>
      <c r="B662" s="97"/>
      <c r="C662" s="8"/>
      <c r="D662" s="89" t="str">
        <f t="shared" si="1"/>
        <v/>
      </c>
      <c r="E662" s="89" t="str">
        <f t="shared" si="2"/>
        <v>OT Hours</v>
      </c>
      <c r="F662" s="89" t="str">
        <f>IFERROR(VLOOKUP(C662,'Employees List'!$B$1:$G$999,2,0),"")</f>
        <v/>
      </c>
      <c r="G662" s="89" t="str">
        <f t="shared" si="23"/>
        <v>#DIV/0!</v>
      </c>
      <c r="H662" s="98"/>
      <c r="I662" s="89" t="str">
        <f>IFERROR(VLOOKUP(F662,'Employees List'!$C:$F,2,0),"")</f>
        <v/>
      </c>
      <c r="J662" s="93" t="str">
        <f>IFERROR(VLOOKUP(C662,'Employees List'!$B$2:$G$991,5,0),"")</f>
        <v/>
      </c>
      <c r="K662" s="95" t="str">
        <f>IFERROR(VLOOKUP(F662,'Employees List'!$C$1:$AB$991,5,0),"")</f>
        <v/>
      </c>
      <c r="L662" s="91">
        <f t="shared" si="3"/>
        <v>0</v>
      </c>
      <c r="M662" s="91">
        <f t="shared" si="4"/>
        <v>0</v>
      </c>
      <c r="N662" s="89" t="str">
        <f>IFERROR(VLOOKUP(B662,'Employees List'!$A$2:$H$991,8,0),"")</f>
        <v/>
      </c>
      <c r="O662" s="89" t="str">
        <f>IFERROR(VLOOKUP(D662,'Daily Attendance Report 24-25'!A626:BP999,5,0),"")</f>
        <v/>
      </c>
      <c r="P662" s="89" t="str">
        <f>IFERROR(VLOOKUP(E662,'Daily Attendance Report 24-25'!$A$1:$BO$617,5,0),"")</f>
        <v/>
      </c>
      <c r="Q662" s="89"/>
      <c r="R662" s="89"/>
      <c r="S662" s="89" t="str">
        <f t="shared" si="17"/>
        <v>#DIV/0!</v>
      </c>
      <c r="T662" s="89" t="str">
        <f t="shared" si="6"/>
        <v>#DIV/0!</v>
      </c>
      <c r="U662" s="89" t="str">
        <f t="shared" si="25"/>
        <v>#DIV/0!</v>
      </c>
      <c r="V662" s="89" t="str">
        <f t="shared" si="24"/>
        <v>#DIV/0!</v>
      </c>
      <c r="W662" s="89" t="str">
        <f t="shared" si="9"/>
        <v>#DIV/0!</v>
      </c>
      <c r="X662" s="89"/>
      <c r="Y662" s="89"/>
      <c r="Z662" s="89"/>
      <c r="AA662" s="89"/>
      <c r="AB662" s="89"/>
      <c r="AC662" s="89"/>
      <c r="AD662" s="89"/>
      <c r="AE662" s="89"/>
      <c r="AF662" s="89"/>
      <c r="AG662" s="89"/>
      <c r="AH662" s="89"/>
    </row>
    <row r="663">
      <c r="A663" s="8" t="s">
        <v>801</v>
      </c>
      <c r="B663" s="97"/>
      <c r="C663" s="8"/>
      <c r="D663" s="89" t="str">
        <f t="shared" si="1"/>
        <v/>
      </c>
      <c r="E663" s="89" t="str">
        <f t="shared" si="2"/>
        <v>OT Hours</v>
      </c>
      <c r="F663" s="89" t="str">
        <f>IFERROR(VLOOKUP(C663,'Employees List'!$B$1:$G$999,2,0),"")</f>
        <v/>
      </c>
      <c r="G663" s="89" t="str">
        <f t="shared" si="23"/>
        <v>#DIV/0!</v>
      </c>
      <c r="H663" s="98"/>
      <c r="I663" s="89" t="str">
        <f>IFERROR(VLOOKUP(F663,'Employees List'!$C:$F,2,0),"")</f>
        <v/>
      </c>
      <c r="J663" s="93" t="str">
        <f>IFERROR(VLOOKUP(C663,'Employees List'!$B$2:$G$991,5,0),"")</f>
        <v/>
      </c>
      <c r="K663" s="95" t="str">
        <f>IFERROR(VLOOKUP(F663,'Employees List'!$C$1:$AB$991,5,0),"")</f>
        <v/>
      </c>
      <c r="L663" s="91">
        <f t="shared" si="3"/>
        <v>0</v>
      </c>
      <c r="M663" s="91">
        <f t="shared" si="4"/>
        <v>0</v>
      </c>
      <c r="N663" s="89" t="str">
        <f>IFERROR(VLOOKUP(B663,'Employees List'!$A$2:$H$991,8,0),"")</f>
        <v/>
      </c>
      <c r="O663" s="89" t="str">
        <f>IFERROR(VLOOKUP(D663,'Daily Attendance Report 24-25'!A627:BP999,5,0),"")</f>
        <v/>
      </c>
      <c r="P663" s="89" t="str">
        <f>IFERROR(VLOOKUP(E663,'Daily Attendance Report 24-25'!$A$1:$BO$617,5,0),"")</f>
        <v/>
      </c>
      <c r="Q663" s="89"/>
      <c r="R663" s="89"/>
      <c r="S663" s="89" t="str">
        <f t="shared" si="17"/>
        <v>#DIV/0!</v>
      </c>
      <c r="T663" s="89" t="str">
        <f t="shared" si="6"/>
        <v>#DIV/0!</v>
      </c>
      <c r="U663" s="89" t="str">
        <f t="shared" si="25"/>
        <v>#DIV/0!</v>
      </c>
      <c r="V663" s="89" t="str">
        <f t="shared" si="24"/>
        <v>#DIV/0!</v>
      </c>
      <c r="W663" s="89" t="str">
        <f t="shared" si="9"/>
        <v>#DIV/0!</v>
      </c>
      <c r="X663" s="89"/>
      <c r="Y663" s="89"/>
      <c r="Z663" s="89"/>
      <c r="AA663" s="89"/>
      <c r="AB663" s="89"/>
      <c r="AC663" s="89"/>
      <c r="AD663" s="89"/>
      <c r="AE663" s="89"/>
      <c r="AF663" s="89"/>
      <c r="AG663" s="89"/>
      <c r="AH663" s="89"/>
    </row>
    <row r="664">
      <c r="A664" s="8" t="s">
        <v>802</v>
      </c>
      <c r="B664" s="97"/>
      <c r="C664" s="8"/>
      <c r="D664" s="89" t="str">
        <f t="shared" si="1"/>
        <v/>
      </c>
      <c r="E664" s="89" t="str">
        <f t="shared" si="2"/>
        <v>OT Hours</v>
      </c>
      <c r="F664" s="89" t="str">
        <f>IFERROR(VLOOKUP(C664,'Employees List'!$B$1:$G$999,2,0),"")</f>
        <v/>
      </c>
      <c r="G664" s="89" t="str">
        <f t="shared" si="23"/>
        <v>#DIV/0!</v>
      </c>
      <c r="H664" s="98"/>
      <c r="I664" s="89" t="str">
        <f>IFERROR(VLOOKUP(F664,'Employees List'!$C:$F,2,0),"")</f>
        <v/>
      </c>
      <c r="J664" s="93" t="str">
        <f>IFERROR(VLOOKUP(C664,'Employees List'!$B$2:$G$991,5,0),"")</f>
        <v/>
      </c>
      <c r="K664" s="95" t="str">
        <f>IFERROR(VLOOKUP(F664,'Employees List'!$C$1:$AB$991,5,0),"")</f>
        <v/>
      </c>
      <c r="L664" s="91">
        <f t="shared" si="3"/>
        <v>0</v>
      </c>
      <c r="M664" s="91">
        <f t="shared" si="4"/>
        <v>0</v>
      </c>
      <c r="N664" s="89" t="str">
        <f>IFERROR(VLOOKUP(B664,'Employees List'!$A$2:$H$991,8,0),"")</f>
        <v/>
      </c>
      <c r="O664" s="89" t="str">
        <f>IFERROR(VLOOKUP(D664,'Daily Attendance Report 24-25'!A628:BP999,5,0),"")</f>
        <v/>
      </c>
      <c r="P664" s="89" t="str">
        <f>IFERROR(VLOOKUP(E664,'Daily Attendance Report 24-25'!$A$1:$BO$617,5,0),"")</f>
        <v/>
      </c>
      <c r="Q664" s="89"/>
      <c r="R664" s="89"/>
      <c r="S664" s="89" t="str">
        <f t="shared" si="17"/>
        <v>#DIV/0!</v>
      </c>
      <c r="T664" s="89" t="str">
        <f t="shared" si="6"/>
        <v>#DIV/0!</v>
      </c>
      <c r="U664" s="89" t="str">
        <f t="shared" si="25"/>
        <v>#DIV/0!</v>
      </c>
      <c r="V664" s="89" t="str">
        <f t="shared" si="24"/>
        <v>#DIV/0!</v>
      </c>
      <c r="W664" s="89" t="str">
        <f t="shared" si="9"/>
        <v>#DIV/0!</v>
      </c>
      <c r="X664" s="89"/>
      <c r="Y664" s="89"/>
      <c r="Z664" s="89"/>
      <c r="AA664" s="89"/>
      <c r="AB664" s="89"/>
      <c r="AC664" s="89"/>
      <c r="AD664" s="89"/>
      <c r="AE664" s="89"/>
      <c r="AF664" s="89"/>
      <c r="AG664" s="89"/>
      <c r="AH664" s="89"/>
    </row>
    <row r="665">
      <c r="A665" s="8" t="s">
        <v>803</v>
      </c>
      <c r="B665" s="97"/>
      <c r="C665" s="8"/>
      <c r="D665" s="89" t="str">
        <f t="shared" si="1"/>
        <v/>
      </c>
      <c r="E665" s="89" t="str">
        <f t="shared" si="2"/>
        <v>OT Hours</v>
      </c>
      <c r="F665" s="89" t="str">
        <f>IFERROR(VLOOKUP(C665,'Employees List'!$B$1:$G$999,2,0),"")</f>
        <v/>
      </c>
      <c r="G665" s="89" t="str">
        <f t="shared" si="23"/>
        <v>#DIV/0!</v>
      </c>
      <c r="H665" s="98"/>
      <c r="I665" s="89" t="str">
        <f>IFERROR(VLOOKUP(F665,'Employees List'!$C:$F,2,0),"")</f>
        <v/>
      </c>
      <c r="J665" s="93" t="str">
        <f>IFERROR(VLOOKUP(C665,'Employees List'!$B$2:$G$991,5,0),"")</f>
        <v/>
      </c>
      <c r="K665" s="95" t="str">
        <f>IFERROR(VLOOKUP(F665,'Employees List'!$C$1:$AB$991,5,0),"")</f>
        <v/>
      </c>
      <c r="L665" s="91">
        <f t="shared" si="3"/>
        <v>0</v>
      </c>
      <c r="M665" s="91">
        <f t="shared" si="4"/>
        <v>0</v>
      </c>
      <c r="N665" s="89" t="str">
        <f>IFERROR(VLOOKUP(B665,'Employees List'!$A$2:$H$991,8,0),"")</f>
        <v/>
      </c>
      <c r="O665" s="89" t="str">
        <f>IFERROR(VLOOKUP(D665,'Daily Attendance Report 24-25'!A629:BP999,5,0),"")</f>
        <v/>
      </c>
      <c r="P665" s="89" t="str">
        <f>IFERROR(VLOOKUP(E665,'Daily Attendance Report 24-25'!$A$1:$BO$617,5,0),"")</f>
        <v/>
      </c>
      <c r="Q665" s="89"/>
      <c r="R665" s="89"/>
      <c r="S665" s="89" t="str">
        <f t="shared" si="17"/>
        <v>#DIV/0!</v>
      </c>
      <c r="T665" s="89" t="str">
        <f t="shared" si="6"/>
        <v>#DIV/0!</v>
      </c>
      <c r="U665" s="89" t="str">
        <f t="shared" si="25"/>
        <v>#DIV/0!</v>
      </c>
      <c r="V665" s="89" t="str">
        <f t="shared" si="24"/>
        <v>#DIV/0!</v>
      </c>
      <c r="W665" s="89" t="str">
        <f t="shared" si="9"/>
        <v>#DIV/0!</v>
      </c>
      <c r="X665" s="89"/>
      <c r="Y665" s="89"/>
      <c r="Z665" s="89"/>
      <c r="AA665" s="89"/>
      <c r="AB665" s="89"/>
      <c r="AC665" s="89"/>
      <c r="AD665" s="89"/>
      <c r="AE665" s="89"/>
      <c r="AF665" s="89"/>
      <c r="AG665" s="89"/>
      <c r="AH665" s="89"/>
    </row>
    <row r="666">
      <c r="A666" s="8" t="s">
        <v>804</v>
      </c>
      <c r="B666" s="97"/>
      <c r="C666" s="8"/>
      <c r="D666" s="89" t="str">
        <f t="shared" si="1"/>
        <v/>
      </c>
      <c r="E666" s="89" t="str">
        <f t="shared" si="2"/>
        <v>OT Hours</v>
      </c>
      <c r="F666" s="89" t="str">
        <f>IFERROR(VLOOKUP(C666,'Employees List'!$B$1:$G$999,2,0),"")</f>
        <v/>
      </c>
      <c r="G666" s="89" t="str">
        <f t="shared" si="23"/>
        <v>#DIV/0!</v>
      </c>
      <c r="H666" s="98"/>
      <c r="I666" s="89" t="str">
        <f>IFERROR(VLOOKUP(F666,'Employees List'!$C:$F,2,0),"")</f>
        <v/>
      </c>
      <c r="J666" s="93" t="str">
        <f>IFERROR(VLOOKUP(C666,'Employees List'!$B$2:$G$991,5,0),"")</f>
        <v/>
      </c>
      <c r="K666" s="95" t="str">
        <f>IFERROR(VLOOKUP(F666,'Employees List'!$C$1:$AB$991,5,0),"")</f>
        <v/>
      </c>
      <c r="L666" s="91">
        <f t="shared" si="3"/>
        <v>0</v>
      </c>
      <c r="M666" s="91">
        <f t="shared" si="4"/>
        <v>0</v>
      </c>
      <c r="N666" s="89" t="str">
        <f>IFERROR(VLOOKUP(B666,'Employees List'!$A$2:$H$991,8,0),"")</f>
        <v/>
      </c>
      <c r="O666" s="89" t="str">
        <f>IFERROR(VLOOKUP(D666,'Daily Attendance Report 24-25'!A630:BP999,5,0),"")</f>
        <v/>
      </c>
      <c r="P666" s="89" t="str">
        <f>IFERROR(VLOOKUP(E666,'Daily Attendance Report 24-25'!$A$1:$BO$617,5,0),"")</f>
        <v/>
      </c>
      <c r="Q666" s="89"/>
      <c r="R666" s="89"/>
      <c r="S666" s="89" t="str">
        <f t="shared" si="17"/>
        <v>#DIV/0!</v>
      </c>
      <c r="T666" s="89" t="str">
        <f t="shared" si="6"/>
        <v>#DIV/0!</v>
      </c>
      <c r="U666" s="89" t="str">
        <f t="shared" si="25"/>
        <v>#DIV/0!</v>
      </c>
      <c r="V666" s="89" t="str">
        <f t="shared" si="24"/>
        <v>#DIV/0!</v>
      </c>
      <c r="W666" s="89" t="str">
        <f t="shared" si="9"/>
        <v>#DIV/0!</v>
      </c>
      <c r="X666" s="89"/>
      <c r="Y666" s="89"/>
      <c r="Z666" s="89"/>
      <c r="AA666" s="89"/>
      <c r="AB666" s="89"/>
      <c r="AC666" s="89"/>
      <c r="AD666" s="89"/>
      <c r="AE666" s="89"/>
      <c r="AF666" s="89"/>
      <c r="AG666" s="89"/>
      <c r="AH666" s="89"/>
    </row>
    <row r="667">
      <c r="A667" s="8" t="s">
        <v>805</v>
      </c>
      <c r="B667" s="97"/>
      <c r="C667" s="8"/>
      <c r="D667" s="89" t="str">
        <f t="shared" si="1"/>
        <v/>
      </c>
      <c r="E667" s="89" t="str">
        <f t="shared" si="2"/>
        <v>OT Hours</v>
      </c>
      <c r="F667" s="89" t="str">
        <f>IFERROR(VLOOKUP(C667,'Employees List'!$B$1:$G$999,2,0),"")</f>
        <v/>
      </c>
      <c r="G667" s="89" t="str">
        <f t="shared" si="23"/>
        <v>#DIV/0!</v>
      </c>
      <c r="H667" s="98"/>
      <c r="I667" s="89" t="str">
        <f>IFERROR(VLOOKUP(F667,'Employees List'!$C:$F,2,0),"")</f>
        <v/>
      </c>
      <c r="J667" s="93" t="str">
        <f>IFERROR(VLOOKUP(C667,'Employees List'!$B$2:$G$991,5,0),"")</f>
        <v/>
      </c>
      <c r="K667" s="95" t="str">
        <f>IFERROR(VLOOKUP(F667,'Employees List'!$C$1:$AB$991,5,0),"")</f>
        <v/>
      </c>
      <c r="L667" s="91">
        <f t="shared" si="3"/>
        <v>0</v>
      </c>
      <c r="M667" s="91">
        <f t="shared" si="4"/>
        <v>0</v>
      </c>
      <c r="N667" s="89" t="str">
        <f>IFERROR(VLOOKUP(B667,'Employees List'!$A$2:$H$991,8,0),"")</f>
        <v/>
      </c>
      <c r="O667" s="89" t="str">
        <f>IFERROR(VLOOKUP(D667,'Daily Attendance Report 24-25'!A631:BP999,5,0),"")</f>
        <v/>
      </c>
      <c r="P667" s="89" t="str">
        <f>IFERROR(VLOOKUP(E667,'Daily Attendance Report 24-25'!$A$1:$BO$617,5,0),"")</f>
        <v/>
      </c>
      <c r="Q667" s="89"/>
      <c r="R667" s="89"/>
      <c r="S667" s="89" t="str">
        <f t="shared" si="17"/>
        <v>#DIV/0!</v>
      </c>
      <c r="T667" s="89" t="str">
        <f t="shared" si="6"/>
        <v>#DIV/0!</v>
      </c>
      <c r="U667" s="89" t="str">
        <f t="shared" si="25"/>
        <v>#DIV/0!</v>
      </c>
      <c r="V667" s="89" t="str">
        <f t="shared" si="24"/>
        <v>#DIV/0!</v>
      </c>
      <c r="W667" s="89" t="str">
        <f t="shared" si="9"/>
        <v>#DIV/0!</v>
      </c>
      <c r="X667" s="89"/>
      <c r="Y667" s="89"/>
      <c r="Z667" s="89"/>
      <c r="AA667" s="89"/>
      <c r="AB667" s="89"/>
      <c r="AC667" s="89"/>
      <c r="AD667" s="89"/>
      <c r="AE667" s="89"/>
      <c r="AF667" s="89"/>
      <c r="AG667" s="89"/>
      <c r="AH667" s="89"/>
    </row>
    <row r="668">
      <c r="A668" s="8" t="s">
        <v>806</v>
      </c>
      <c r="B668" s="97"/>
      <c r="C668" s="8"/>
      <c r="D668" s="89" t="str">
        <f t="shared" si="1"/>
        <v/>
      </c>
      <c r="E668" s="89" t="str">
        <f t="shared" si="2"/>
        <v>OT Hours</v>
      </c>
      <c r="F668" s="89" t="str">
        <f>IFERROR(VLOOKUP(C668,'Employees List'!$B$1:$G$999,2,0),"")</f>
        <v/>
      </c>
      <c r="G668" s="89" t="str">
        <f t="shared" si="23"/>
        <v>#DIV/0!</v>
      </c>
      <c r="H668" s="98"/>
      <c r="I668" s="89" t="str">
        <f>IFERROR(VLOOKUP(F668,'Employees List'!$C:$F,2,0),"")</f>
        <v/>
      </c>
      <c r="J668" s="93" t="str">
        <f>IFERROR(VLOOKUP(C668,'Employees List'!$B$2:$G$991,5,0),"")</f>
        <v/>
      </c>
      <c r="K668" s="95" t="str">
        <f>IFERROR(VLOOKUP(F668,'Employees List'!$C$1:$AB$991,5,0),"")</f>
        <v/>
      </c>
      <c r="L668" s="91">
        <f t="shared" si="3"/>
        <v>0</v>
      </c>
      <c r="M668" s="91">
        <f t="shared" si="4"/>
        <v>0</v>
      </c>
      <c r="N668" s="89" t="str">
        <f>IFERROR(VLOOKUP(B668,'Employees List'!$A$2:$H$991,8,0),"")</f>
        <v/>
      </c>
      <c r="O668" s="89" t="str">
        <f>IFERROR(VLOOKUP(D668,'Daily Attendance Report 24-25'!A632:BP999,5,0),"")</f>
        <v/>
      </c>
      <c r="P668" s="89" t="str">
        <f>IFERROR(VLOOKUP(E668,'Daily Attendance Report 24-25'!$A$1:$BO$617,5,0),"")</f>
        <v/>
      </c>
      <c r="Q668" s="89"/>
      <c r="R668" s="89"/>
      <c r="S668" s="89" t="str">
        <f t="shared" si="17"/>
        <v>#DIV/0!</v>
      </c>
      <c r="T668" s="89" t="str">
        <f t="shared" si="6"/>
        <v>#DIV/0!</v>
      </c>
      <c r="U668" s="89" t="str">
        <f t="shared" si="25"/>
        <v>#DIV/0!</v>
      </c>
      <c r="V668" s="89" t="str">
        <f t="shared" si="24"/>
        <v>#DIV/0!</v>
      </c>
      <c r="W668" s="89" t="str">
        <f t="shared" si="9"/>
        <v>#DIV/0!</v>
      </c>
      <c r="X668" s="89"/>
      <c r="Y668" s="89"/>
      <c r="Z668" s="89"/>
      <c r="AA668" s="89"/>
      <c r="AB668" s="89"/>
      <c r="AC668" s="89"/>
      <c r="AD668" s="89"/>
      <c r="AE668" s="89"/>
      <c r="AF668" s="89"/>
      <c r="AG668" s="89"/>
      <c r="AH668" s="89"/>
    </row>
    <row r="669">
      <c r="A669" s="8" t="s">
        <v>807</v>
      </c>
      <c r="B669" s="97"/>
      <c r="C669" s="8"/>
      <c r="D669" s="89" t="str">
        <f t="shared" si="1"/>
        <v/>
      </c>
      <c r="E669" s="89" t="str">
        <f t="shared" si="2"/>
        <v>OT Hours</v>
      </c>
      <c r="F669" s="89" t="str">
        <f>IFERROR(VLOOKUP(C669,'Employees List'!$B$1:$G$999,2,0),"")</f>
        <v/>
      </c>
      <c r="G669" s="89" t="str">
        <f t="shared" si="23"/>
        <v>#DIV/0!</v>
      </c>
      <c r="H669" s="98"/>
      <c r="I669" s="89" t="str">
        <f>IFERROR(VLOOKUP(F669,'Employees List'!$C:$F,2,0),"")</f>
        <v/>
      </c>
      <c r="J669" s="93" t="str">
        <f>IFERROR(VLOOKUP(C669,'Employees List'!$B$2:$G$991,5,0),"")</f>
        <v/>
      </c>
      <c r="K669" s="95" t="str">
        <f>IFERROR(VLOOKUP(F669,'Employees List'!$C$1:$AB$991,5,0),"")</f>
        <v/>
      </c>
      <c r="L669" s="91">
        <f t="shared" si="3"/>
        <v>0</v>
      </c>
      <c r="M669" s="91">
        <f t="shared" si="4"/>
        <v>0</v>
      </c>
      <c r="N669" s="89" t="str">
        <f>IFERROR(VLOOKUP(B669,'Employees List'!$A$2:$H$991,8,0),"")</f>
        <v/>
      </c>
      <c r="O669" s="89" t="str">
        <f>IFERROR(VLOOKUP(D669,'Daily Attendance Report 24-25'!A633:BP999,5,0),"")</f>
        <v/>
      </c>
      <c r="P669" s="89" t="str">
        <f>IFERROR(VLOOKUP(E669,'Daily Attendance Report 24-25'!$A$1:$BO$617,5,0),"")</f>
        <v/>
      </c>
      <c r="Q669" s="89"/>
      <c r="R669" s="89"/>
      <c r="S669" s="89" t="str">
        <f t="shared" si="17"/>
        <v>#DIV/0!</v>
      </c>
      <c r="T669" s="89" t="str">
        <f t="shared" si="6"/>
        <v>#DIV/0!</v>
      </c>
      <c r="U669" s="89" t="str">
        <f t="shared" si="25"/>
        <v>#DIV/0!</v>
      </c>
      <c r="V669" s="89" t="str">
        <f t="shared" si="24"/>
        <v>#DIV/0!</v>
      </c>
      <c r="W669" s="89" t="str">
        <f t="shared" si="9"/>
        <v>#DIV/0!</v>
      </c>
      <c r="X669" s="89"/>
      <c r="Y669" s="89"/>
      <c r="Z669" s="89"/>
      <c r="AA669" s="89"/>
      <c r="AB669" s="89"/>
      <c r="AC669" s="89"/>
      <c r="AD669" s="89"/>
      <c r="AE669" s="89"/>
      <c r="AF669" s="89"/>
      <c r="AG669" s="89"/>
      <c r="AH669" s="89"/>
    </row>
    <row r="670">
      <c r="A670" s="8" t="s">
        <v>808</v>
      </c>
      <c r="B670" s="97"/>
      <c r="C670" s="8"/>
      <c r="D670" s="89" t="str">
        <f t="shared" si="1"/>
        <v/>
      </c>
      <c r="E670" s="89" t="str">
        <f t="shared" si="2"/>
        <v>OT Hours</v>
      </c>
      <c r="F670" s="89" t="str">
        <f>IFERROR(VLOOKUP(C670,'Employees List'!$B$1:$G$999,2,0),"")</f>
        <v/>
      </c>
      <c r="G670" s="89" t="str">
        <f t="shared" si="23"/>
        <v>#DIV/0!</v>
      </c>
      <c r="H670" s="98"/>
      <c r="I670" s="89" t="str">
        <f>IFERROR(VLOOKUP(F670,'Employees List'!$C:$F,2,0),"")</f>
        <v/>
      </c>
      <c r="J670" s="93" t="str">
        <f>IFERROR(VLOOKUP(C670,'Employees List'!$B$2:$G$991,5,0),"")</f>
        <v/>
      </c>
      <c r="K670" s="95" t="str">
        <f>IFERROR(VLOOKUP(F670,'Employees List'!$C$1:$AB$991,5,0),"")</f>
        <v/>
      </c>
      <c r="L670" s="91">
        <f t="shared" si="3"/>
        <v>0</v>
      </c>
      <c r="M670" s="91">
        <f t="shared" si="4"/>
        <v>0</v>
      </c>
      <c r="N670" s="89" t="str">
        <f>IFERROR(VLOOKUP(B670,'Employees List'!$A$2:$H$991,8,0),"")</f>
        <v/>
      </c>
      <c r="O670" s="89" t="str">
        <f>IFERROR(VLOOKUP(D670,'Daily Attendance Report 24-25'!A634:BP999,5,0),"")</f>
        <v/>
      </c>
      <c r="P670" s="89" t="str">
        <f>IFERROR(VLOOKUP(E670,'Daily Attendance Report 24-25'!$A$1:$BO$617,5,0),"")</f>
        <v/>
      </c>
      <c r="Q670" s="89"/>
      <c r="R670" s="89"/>
      <c r="S670" s="89" t="str">
        <f t="shared" si="17"/>
        <v>#DIV/0!</v>
      </c>
      <c r="T670" s="89" t="str">
        <f t="shared" si="6"/>
        <v>#DIV/0!</v>
      </c>
      <c r="U670" s="89" t="str">
        <f t="shared" si="25"/>
        <v>#DIV/0!</v>
      </c>
      <c r="V670" s="89" t="str">
        <f t="shared" si="24"/>
        <v>#DIV/0!</v>
      </c>
      <c r="W670" s="89" t="str">
        <f t="shared" si="9"/>
        <v>#DIV/0!</v>
      </c>
      <c r="X670" s="89"/>
      <c r="Y670" s="89"/>
      <c r="Z670" s="89"/>
      <c r="AA670" s="89"/>
      <c r="AB670" s="89"/>
      <c r="AC670" s="89"/>
      <c r="AD670" s="89"/>
      <c r="AE670" s="89"/>
      <c r="AF670" s="89"/>
      <c r="AG670" s="89"/>
      <c r="AH670" s="89"/>
    </row>
    <row r="671">
      <c r="A671" s="8" t="s">
        <v>809</v>
      </c>
      <c r="B671" s="97"/>
      <c r="C671" s="8"/>
      <c r="D671" s="89" t="str">
        <f t="shared" si="1"/>
        <v/>
      </c>
      <c r="E671" s="89" t="str">
        <f t="shared" si="2"/>
        <v>OT Hours</v>
      </c>
      <c r="F671" s="89" t="str">
        <f>IFERROR(VLOOKUP(C671,'Employees List'!$B$1:$G$999,2,0),"")</f>
        <v/>
      </c>
      <c r="G671" s="89" t="str">
        <f t="shared" si="23"/>
        <v>#DIV/0!</v>
      </c>
      <c r="H671" s="98"/>
      <c r="I671" s="89" t="str">
        <f>IFERROR(VLOOKUP(F671,'Employees List'!$C:$F,2,0),"")</f>
        <v/>
      </c>
      <c r="J671" s="93" t="str">
        <f>IFERROR(VLOOKUP(C671,'Employees List'!$B$2:$G$991,5,0),"")</f>
        <v/>
      </c>
      <c r="K671" s="95" t="str">
        <f>IFERROR(VLOOKUP(F671,'Employees List'!$C$1:$AB$991,5,0),"")</f>
        <v/>
      </c>
      <c r="L671" s="91">
        <f t="shared" si="3"/>
        <v>0</v>
      </c>
      <c r="M671" s="91">
        <f t="shared" si="4"/>
        <v>0</v>
      </c>
      <c r="N671" s="89" t="str">
        <f>IFERROR(VLOOKUP(B671,'Employees List'!$A$2:$H$991,8,0),"")</f>
        <v/>
      </c>
      <c r="O671" s="89" t="str">
        <f>IFERROR(VLOOKUP(D671,'Daily Attendance Report 24-25'!A635:BP999,5,0),"")</f>
        <v/>
      </c>
      <c r="P671" s="89" t="str">
        <f>IFERROR(VLOOKUP(E671,'Daily Attendance Report 24-25'!$A$1:$BO$617,5,0),"")</f>
        <v/>
      </c>
      <c r="Q671" s="89"/>
      <c r="R671" s="89"/>
      <c r="S671" s="89" t="str">
        <f t="shared" si="17"/>
        <v>#DIV/0!</v>
      </c>
      <c r="T671" s="89" t="str">
        <f t="shared" si="6"/>
        <v>#DIV/0!</v>
      </c>
      <c r="U671" s="89" t="str">
        <f t="shared" si="25"/>
        <v>#DIV/0!</v>
      </c>
      <c r="V671" s="89" t="str">
        <f t="shared" si="24"/>
        <v>#DIV/0!</v>
      </c>
      <c r="W671" s="89" t="str">
        <f t="shared" si="9"/>
        <v>#DIV/0!</v>
      </c>
      <c r="X671" s="89"/>
      <c r="Y671" s="89"/>
      <c r="Z671" s="89"/>
      <c r="AA671" s="89"/>
      <c r="AB671" s="89"/>
      <c r="AC671" s="89"/>
      <c r="AD671" s="89"/>
      <c r="AE671" s="89"/>
      <c r="AF671" s="89"/>
      <c r="AG671" s="89"/>
      <c r="AH671" s="89"/>
    </row>
    <row r="672">
      <c r="A672" s="8" t="s">
        <v>810</v>
      </c>
      <c r="B672" s="97"/>
      <c r="C672" s="8"/>
      <c r="D672" s="89" t="str">
        <f t="shared" si="1"/>
        <v/>
      </c>
      <c r="E672" s="89" t="str">
        <f t="shared" si="2"/>
        <v>OT Hours</v>
      </c>
      <c r="F672" s="89" t="str">
        <f>IFERROR(VLOOKUP(C672,'Employees List'!$B$1:$G$999,2,0),"")</f>
        <v/>
      </c>
      <c r="G672" s="89" t="str">
        <f t="shared" si="23"/>
        <v>#DIV/0!</v>
      </c>
      <c r="H672" s="98"/>
      <c r="I672" s="89" t="str">
        <f>IFERROR(VLOOKUP(F672,'Employees List'!$C:$F,2,0),"")</f>
        <v/>
      </c>
      <c r="J672" s="93" t="str">
        <f>IFERROR(VLOOKUP(C672,'Employees List'!$B$2:$G$991,5,0),"")</f>
        <v/>
      </c>
      <c r="K672" s="95" t="str">
        <f>IFERROR(VLOOKUP(F672,'Employees List'!$C$1:$AB$991,5,0),"")</f>
        <v/>
      </c>
      <c r="L672" s="91">
        <f t="shared" si="3"/>
        <v>0</v>
      </c>
      <c r="M672" s="91">
        <f t="shared" si="4"/>
        <v>0</v>
      </c>
      <c r="N672" s="89" t="str">
        <f>IFERROR(VLOOKUP(B672,'Employees List'!$A$2:$H$991,8,0),"")</f>
        <v/>
      </c>
      <c r="O672" s="89" t="str">
        <f>IFERROR(VLOOKUP(D672,'Daily Attendance Report 24-25'!A636:BP999,5,0),"")</f>
        <v/>
      </c>
      <c r="P672" s="89" t="str">
        <f>IFERROR(VLOOKUP(E672,'Daily Attendance Report 24-25'!$A$1:$BO$617,5,0),"")</f>
        <v/>
      </c>
      <c r="Q672" s="89"/>
      <c r="R672" s="89"/>
      <c r="S672" s="89" t="str">
        <f t="shared" si="17"/>
        <v>#DIV/0!</v>
      </c>
      <c r="T672" s="89" t="str">
        <f t="shared" si="6"/>
        <v>#DIV/0!</v>
      </c>
      <c r="U672" s="89" t="str">
        <f t="shared" si="25"/>
        <v>#DIV/0!</v>
      </c>
      <c r="V672" s="89" t="str">
        <f t="shared" si="24"/>
        <v>#DIV/0!</v>
      </c>
      <c r="W672" s="89" t="str">
        <f t="shared" si="9"/>
        <v>#DIV/0!</v>
      </c>
      <c r="X672" s="89"/>
      <c r="Y672" s="89"/>
      <c r="Z672" s="89"/>
      <c r="AA672" s="89"/>
      <c r="AB672" s="89"/>
      <c r="AC672" s="89"/>
      <c r="AD672" s="89"/>
      <c r="AE672" s="89"/>
      <c r="AF672" s="89"/>
      <c r="AG672" s="89"/>
      <c r="AH672" s="89"/>
    </row>
    <row r="673">
      <c r="A673" s="8" t="s">
        <v>811</v>
      </c>
      <c r="B673" s="97"/>
      <c r="C673" s="8"/>
      <c r="D673" s="89" t="str">
        <f t="shared" si="1"/>
        <v/>
      </c>
      <c r="E673" s="89" t="str">
        <f t="shared" si="2"/>
        <v>OT Hours</v>
      </c>
      <c r="F673" s="89" t="str">
        <f>IFERROR(VLOOKUP(C673,'Employees List'!$B$1:$G$999,2,0),"")</f>
        <v/>
      </c>
      <c r="G673" s="89" t="str">
        <f t="shared" si="23"/>
        <v>#DIV/0!</v>
      </c>
      <c r="H673" s="98"/>
      <c r="I673" s="89" t="str">
        <f>IFERROR(VLOOKUP(F673,'Employees List'!$C:$F,2,0),"")</f>
        <v/>
      </c>
      <c r="J673" s="93" t="str">
        <f>IFERROR(VLOOKUP(C673,'Employees List'!$B$2:$G$991,5,0),"")</f>
        <v/>
      </c>
      <c r="K673" s="95" t="str">
        <f>IFERROR(VLOOKUP(F673,'Employees List'!$C$1:$AB$991,5,0),"")</f>
        <v/>
      </c>
      <c r="L673" s="91">
        <f t="shared" si="3"/>
        <v>0</v>
      </c>
      <c r="M673" s="91">
        <f t="shared" si="4"/>
        <v>0</v>
      </c>
      <c r="N673" s="89" t="str">
        <f>IFERROR(VLOOKUP(B673,'Employees List'!$A$2:$H$991,8,0),"")</f>
        <v/>
      </c>
      <c r="O673" s="89" t="str">
        <f>IFERROR(VLOOKUP(D673,'Daily Attendance Report 24-25'!A637:BP999,5,0),"")</f>
        <v/>
      </c>
      <c r="P673" s="89" t="str">
        <f>IFERROR(VLOOKUP(E673,'Daily Attendance Report 24-25'!$A$1:$BO$617,5,0),"")</f>
        <v/>
      </c>
      <c r="Q673" s="89"/>
      <c r="R673" s="89"/>
      <c r="S673" s="89" t="str">
        <f t="shared" si="17"/>
        <v>#DIV/0!</v>
      </c>
      <c r="T673" s="89" t="str">
        <f t="shared" si="6"/>
        <v>#DIV/0!</v>
      </c>
      <c r="U673" s="89" t="str">
        <f t="shared" si="25"/>
        <v>#DIV/0!</v>
      </c>
      <c r="V673" s="89" t="str">
        <f t="shared" si="24"/>
        <v>#DIV/0!</v>
      </c>
      <c r="W673" s="89" t="str">
        <f t="shared" si="9"/>
        <v>#DIV/0!</v>
      </c>
      <c r="X673" s="89"/>
      <c r="Y673" s="89"/>
      <c r="Z673" s="89"/>
      <c r="AA673" s="89"/>
      <c r="AB673" s="89"/>
      <c r="AC673" s="89"/>
      <c r="AD673" s="89"/>
      <c r="AE673" s="89"/>
      <c r="AF673" s="89"/>
      <c r="AG673" s="89"/>
      <c r="AH673" s="89"/>
    </row>
    <row r="674">
      <c r="A674" s="8" t="s">
        <v>812</v>
      </c>
      <c r="B674" s="97"/>
      <c r="C674" s="8"/>
      <c r="D674" s="89" t="str">
        <f t="shared" si="1"/>
        <v/>
      </c>
      <c r="E674" s="89" t="str">
        <f t="shared" si="2"/>
        <v>OT Hours</v>
      </c>
      <c r="F674" s="89" t="str">
        <f>IFERROR(VLOOKUP(C674,'Employees List'!$B$1:$G$999,2,0),"")</f>
        <v/>
      </c>
      <c r="G674" s="89" t="str">
        <f t="shared" si="23"/>
        <v>#DIV/0!</v>
      </c>
      <c r="H674" s="98"/>
      <c r="I674" s="89" t="str">
        <f>IFERROR(VLOOKUP(F674,'Employees List'!$C:$F,2,0),"")</f>
        <v/>
      </c>
      <c r="J674" s="93" t="str">
        <f>IFERROR(VLOOKUP(C674,'Employees List'!$B$2:$G$991,5,0),"")</f>
        <v/>
      </c>
      <c r="K674" s="95" t="str">
        <f>IFERROR(VLOOKUP(F674,'Employees List'!$C$1:$AB$991,5,0),"")</f>
        <v/>
      </c>
      <c r="L674" s="91">
        <f t="shared" si="3"/>
        <v>0</v>
      </c>
      <c r="M674" s="91">
        <f t="shared" si="4"/>
        <v>0</v>
      </c>
      <c r="N674" s="89" t="str">
        <f>IFERROR(VLOOKUP(B674,'Employees List'!$A$2:$H$991,8,0),"")</f>
        <v/>
      </c>
      <c r="O674" s="89" t="str">
        <f>IFERROR(VLOOKUP(D674,'Daily Attendance Report 24-25'!A638:BP999,5,0),"")</f>
        <v/>
      </c>
      <c r="P674" s="89" t="str">
        <f>IFERROR(VLOOKUP(E674,'Daily Attendance Report 24-25'!$A$1:$BO$617,5,0),"")</f>
        <v/>
      </c>
      <c r="Q674" s="89"/>
      <c r="R674" s="89"/>
      <c r="S674" s="89" t="str">
        <f t="shared" si="17"/>
        <v>#DIV/0!</v>
      </c>
      <c r="T674" s="89" t="str">
        <f t="shared" si="6"/>
        <v>#DIV/0!</v>
      </c>
      <c r="U674" s="89" t="str">
        <f t="shared" si="25"/>
        <v>#DIV/0!</v>
      </c>
      <c r="V674" s="89" t="str">
        <f t="shared" si="24"/>
        <v>#DIV/0!</v>
      </c>
      <c r="W674" s="89" t="str">
        <f t="shared" si="9"/>
        <v>#DIV/0!</v>
      </c>
      <c r="X674" s="89"/>
      <c r="Y674" s="89"/>
      <c r="Z674" s="89"/>
      <c r="AA674" s="89"/>
      <c r="AB674" s="89"/>
      <c r="AC674" s="89"/>
      <c r="AD674" s="89"/>
      <c r="AE674" s="89"/>
      <c r="AF674" s="89"/>
      <c r="AG674" s="89"/>
      <c r="AH674" s="89"/>
    </row>
    <row r="675">
      <c r="A675" s="8" t="s">
        <v>813</v>
      </c>
      <c r="B675" s="97"/>
      <c r="C675" s="8"/>
      <c r="D675" s="89" t="str">
        <f t="shared" si="1"/>
        <v/>
      </c>
      <c r="E675" s="89" t="str">
        <f t="shared" si="2"/>
        <v>OT Hours</v>
      </c>
      <c r="F675" s="89" t="str">
        <f>IFERROR(VLOOKUP(C675,'Employees List'!$B$1:$G$999,2,0),"")</f>
        <v/>
      </c>
      <c r="G675" s="89" t="str">
        <f t="shared" si="23"/>
        <v>#DIV/0!</v>
      </c>
      <c r="H675" s="98"/>
      <c r="I675" s="89" t="str">
        <f>IFERROR(VLOOKUP(F675,'Employees List'!$C:$F,2,0),"")</f>
        <v/>
      </c>
      <c r="J675" s="93" t="str">
        <f>IFERROR(VLOOKUP(C675,'Employees List'!$B$2:$G$991,5,0),"")</f>
        <v/>
      </c>
      <c r="K675" s="95" t="str">
        <f>IFERROR(VLOOKUP(F675,'Employees List'!$C$1:$AB$991,5,0),"")</f>
        <v/>
      </c>
      <c r="L675" s="91">
        <f t="shared" si="3"/>
        <v>0</v>
      </c>
      <c r="M675" s="91">
        <f t="shared" si="4"/>
        <v>0</v>
      </c>
      <c r="N675" s="89" t="str">
        <f>IFERROR(VLOOKUP(B675,'Employees List'!$A$2:$H$991,8,0),"")</f>
        <v/>
      </c>
      <c r="O675" s="89" t="str">
        <f>IFERROR(VLOOKUP(D675,'Daily Attendance Report 24-25'!A639:BP999,5,0),"")</f>
        <v/>
      </c>
      <c r="P675" s="89" t="str">
        <f>IFERROR(VLOOKUP(E675,'Daily Attendance Report 24-25'!$A$1:$BO$617,5,0),"")</f>
        <v/>
      </c>
      <c r="Q675" s="89"/>
      <c r="R675" s="89"/>
      <c r="S675" s="89" t="str">
        <f t="shared" si="17"/>
        <v>#DIV/0!</v>
      </c>
      <c r="T675" s="89" t="str">
        <f t="shared" si="6"/>
        <v>#DIV/0!</v>
      </c>
      <c r="U675" s="89" t="str">
        <f t="shared" si="25"/>
        <v>#DIV/0!</v>
      </c>
      <c r="V675" s="89" t="str">
        <f t="shared" si="24"/>
        <v>#DIV/0!</v>
      </c>
      <c r="W675" s="89" t="str">
        <f t="shared" si="9"/>
        <v>#DIV/0!</v>
      </c>
      <c r="X675" s="89"/>
      <c r="Y675" s="89"/>
      <c r="Z675" s="89"/>
      <c r="AA675" s="89"/>
      <c r="AB675" s="89"/>
      <c r="AC675" s="89"/>
      <c r="AD675" s="89"/>
      <c r="AE675" s="89"/>
      <c r="AF675" s="89"/>
      <c r="AG675" s="89"/>
      <c r="AH675" s="89"/>
    </row>
    <row r="676">
      <c r="A676" s="8" t="s">
        <v>814</v>
      </c>
      <c r="B676" s="97"/>
      <c r="C676" s="8"/>
      <c r="D676" s="89" t="str">
        <f t="shared" si="1"/>
        <v/>
      </c>
      <c r="E676" s="89" t="str">
        <f t="shared" si="2"/>
        <v>OT Hours</v>
      </c>
      <c r="F676" s="89" t="str">
        <f>IFERROR(VLOOKUP(C676,'Employees List'!$B$1:$G$999,2,0),"")</f>
        <v/>
      </c>
      <c r="G676" s="89" t="str">
        <f t="shared" si="23"/>
        <v>#DIV/0!</v>
      </c>
      <c r="H676" s="98"/>
      <c r="I676" s="89" t="str">
        <f>IFERROR(VLOOKUP(F676,'Employees List'!$C:$F,2,0),"")</f>
        <v/>
      </c>
      <c r="J676" s="93" t="str">
        <f>IFERROR(VLOOKUP(C676,'Employees List'!$B$2:$G$991,5,0),"")</f>
        <v/>
      </c>
      <c r="K676" s="95" t="str">
        <f>IFERROR(VLOOKUP(F676,'Employees List'!$C$1:$AB$991,5,0),"")</f>
        <v/>
      </c>
      <c r="L676" s="91">
        <f t="shared" si="3"/>
        <v>0</v>
      </c>
      <c r="M676" s="91">
        <f t="shared" si="4"/>
        <v>0</v>
      </c>
      <c r="N676" s="89" t="str">
        <f>IFERROR(VLOOKUP(B676,'Employees List'!$A$2:$H$991,8,0),"")</f>
        <v/>
      </c>
      <c r="O676" s="89" t="str">
        <f>IFERROR(VLOOKUP(D676,'Daily Attendance Report 24-25'!A640:BP999,5,0),"")</f>
        <v/>
      </c>
      <c r="P676" s="89" t="str">
        <f>IFERROR(VLOOKUP(E676,'Daily Attendance Report 24-25'!$A$1:$BO$617,5,0),"")</f>
        <v/>
      </c>
      <c r="Q676" s="89"/>
      <c r="R676" s="89"/>
      <c r="S676" s="89" t="str">
        <f t="shared" si="17"/>
        <v>#DIV/0!</v>
      </c>
      <c r="T676" s="89" t="str">
        <f t="shared" si="6"/>
        <v>#DIV/0!</v>
      </c>
      <c r="U676" s="89" t="str">
        <f t="shared" si="25"/>
        <v>#DIV/0!</v>
      </c>
      <c r="V676" s="89" t="str">
        <f t="shared" si="24"/>
        <v>#DIV/0!</v>
      </c>
      <c r="W676" s="89" t="str">
        <f t="shared" si="9"/>
        <v>#DIV/0!</v>
      </c>
      <c r="X676" s="89"/>
      <c r="Y676" s="89"/>
      <c r="Z676" s="89"/>
      <c r="AA676" s="89"/>
      <c r="AB676" s="89"/>
      <c r="AC676" s="89"/>
      <c r="AD676" s="89"/>
      <c r="AE676" s="89"/>
      <c r="AF676" s="89"/>
      <c r="AG676" s="89"/>
      <c r="AH676" s="89"/>
    </row>
    <row r="677">
      <c r="A677" s="8" t="s">
        <v>815</v>
      </c>
      <c r="B677" s="97"/>
      <c r="C677" s="8"/>
      <c r="D677" s="89" t="str">
        <f t="shared" si="1"/>
        <v/>
      </c>
      <c r="E677" s="89" t="str">
        <f t="shared" si="2"/>
        <v>OT Hours</v>
      </c>
      <c r="F677" s="89" t="str">
        <f>IFERROR(VLOOKUP(C677,'Employees List'!$B$1:$G$999,2,0),"")</f>
        <v/>
      </c>
      <c r="G677" s="89" t="str">
        <f t="shared" si="23"/>
        <v>#DIV/0!</v>
      </c>
      <c r="H677" s="98"/>
      <c r="I677" s="89" t="str">
        <f>IFERROR(VLOOKUP(F677,'Employees List'!$C:$F,2,0),"")</f>
        <v/>
      </c>
      <c r="J677" s="93" t="str">
        <f>IFERROR(VLOOKUP(C677,'Employees List'!$B$2:$G$991,5,0),"")</f>
        <v/>
      </c>
      <c r="K677" s="95" t="str">
        <f>IFERROR(VLOOKUP(F677,'Employees List'!$C$1:$AB$991,5,0),"")</f>
        <v/>
      </c>
      <c r="L677" s="91">
        <f t="shared" si="3"/>
        <v>0</v>
      </c>
      <c r="M677" s="91">
        <f t="shared" si="4"/>
        <v>0</v>
      </c>
      <c r="N677" s="89" t="str">
        <f>IFERROR(VLOOKUP(B677,'Employees List'!$A$2:$H$991,8,0),"")</f>
        <v/>
      </c>
      <c r="O677" s="89" t="str">
        <f>IFERROR(VLOOKUP(D677,'Daily Attendance Report 24-25'!A641:BP999,5,0),"")</f>
        <v/>
      </c>
      <c r="P677" s="89" t="str">
        <f>IFERROR(VLOOKUP(E677,'Daily Attendance Report 24-25'!$A$1:$BO$617,5,0),"")</f>
        <v/>
      </c>
      <c r="Q677" s="89"/>
      <c r="R677" s="89"/>
      <c r="S677" s="89" t="str">
        <f t="shared" si="17"/>
        <v>#DIV/0!</v>
      </c>
      <c r="T677" s="89" t="str">
        <f t="shared" si="6"/>
        <v>#DIV/0!</v>
      </c>
      <c r="U677" s="89" t="str">
        <f t="shared" si="25"/>
        <v>#DIV/0!</v>
      </c>
      <c r="V677" s="89" t="str">
        <f t="shared" si="24"/>
        <v>#DIV/0!</v>
      </c>
      <c r="W677" s="89" t="str">
        <f t="shared" si="9"/>
        <v>#DIV/0!</v>
      </c>
      <c r="X677" s="89"/>
      <c r="Y677" s="89"/>
      <c r="Z677" s="89"/>
      <c r="AA677" s="89"/>
      <c r="AB677" s="89"/>
      <c r="AC677" s="89"/>
      <c r="AD677" s="89"/>
      <c r="AE677" s="89"/>
      <c r="AF677" s="89"/>
      <c r="AG677" s="89"/>
      <c r="AH677" s="89"/>
    </row>
    <row r="678">
      <c r="A678" s="8" t="s">
        <v>816</v>
      </c>
      <c r="B678" s="97"/>
      <c r="C678" s="8"/>
      <c r="D678" s="89" t="str">
        <f t="shared" si="1"/>
        <v/>
      </c>
      <c r="E678" s="89" t="str">
        <f t="shared" si="2"/>
        <v>OT Hours</v>
      </c>
      <c r="F678" s="89" t="str">
        <f>IFERROR(VLOOKUP(C678,'Employees List'!$B$1:$G$999,2,0),"")</f>
        <v/>
      </c>
      <c r="G678" s="89" t="str">
        <f t="shared" si="23"/>
        <v>#DIV/0!</v>
      </c>
      <c r="H678" s="98"/>
      <c r="I678" s="89" t="str">
        <f>IFERROR(VLOOKUP(F678,'Employees List'!$C:$F,2,0),"")</f>
        <v/>
      </c>
      <c r="J678" s="93" t="str">
        <f>IFERROR(VLOOKUP(C678,'Employees List'!$B$2:$G$991,5,0),"")</f>
        <v/>
      </c>
      <c r="K678" s="95" t="str">
        <f>IFERROR(VLOOKUP(F678,'Employees List'!$C$1:$AB$991,5,0),"")</f>
        <v/>
      </c>
      <c r="L678" s="91">
        <f t="shared" si="3"/>
        <v>0</v>
      </c>
      <c r="M678" s="91">
        <f t="shared" si="4"/>
        <v>0</v>
      </c>
      <c r="N678" s="89" t="str">
        <f>IFERROR(VLOOKUP(B678,'Employees List'!$A$2:$H$991,8,0),"")</f>
        <v/>
      </c>
      <c r="O678" s="89" t="str">
        <f>IFERROR(VLOOKUP(D678,'Daily Attendance Report 24-25'!A642:BP999,5,0),"")</f>
        <v/>
      </c>
      <c r="P678" s="89" t="str">
        <f>IFERROR(VLOOKUP(E678,'Daily Attendance Report 24-25'!$A$1:$BO$617,5,0),"")</f>
        <v/>
      </c>
      <c r="Q678" s="89"/>
      <c r="R678" s="89"/>
      <c r="S678" s="89" t="str">
        <f t="shared" si="17"/>
        <v>#DIV/0!</v>
      </c>
      <c r="T678" s="89" t="str">
        <f t="shared" si="6"/>
        <v>#DIV/0!</v>
      </c>
      <c r="U678" s="89" t="str">
        <f t="shared" si="25"/>
        <v>#DIV/0!</v>
      </c>
      <c r="V678" s="89" t="str">
        <f t="shared" si="24"/>
        <v>#DIV/0!</v>
      </c>
      <c r="W678" s="89" t="str">
        <f t="shared" si="9"/>
        <v>#DIV/0!</v>
      </c>
      <c r="X678" s="89"/>
      <c r="Y678" s="89"/>
      <c r="Z678" s="89"/>
      <c r="AA678" s="89"/>
      <c r="AB678" s="89"/>
      <c r="AC678" s="89"/>
      <c r="AD678" s="89"/>
      <c r="AE678" s="89"/>
      <c r="AF678" s="89"/>
      <c r="AG678" s="89"/>
      <c r="AH678" s="89"/>
    </row>
    <row r="679">
      <c r="A679" s="8" t="s">
        <v>817</v>
      </c>
      <c r="B679" s="97"/>
      <c r="C679" s="8"/>
      <c r="D679" s="89" t="str">
        <f t="shared" si="1"/>
        <v/>
      </c>
      <c r="E679" s="89" t="str">
        <f t="shared" si="2"/>
        <v>OT Hours</v>
      </c>
      <c r="F679" s="89" t="str">
        <f>IFERROR(VLOOKUP(C679,'Employees List'!$B$1:$G$999,2,0),"")</f>
        <v/>
      </c>
      <c r="G679" s="89" t="str">
        <f t="shared" si="23"/>
        <v>#DIV/0!</v>
      </c>
      <c r="H679" s="98"/>
      <c r="I679" s="89" t="str">
        <f>IFERROR(VLOOKUP(F679,'Employees List'!$C:$F,2,0),"")</f>
        <v/>
      </c>
      <c r="J679" s="93" t="str">
        <f>IFERROR(VLOOKUP(C679,'Employees List'!$B$2:$G$991,5,0),"")</f>
        <v/>
      </c>
      <c r="K679" s="95" t="str">
        <f>IFERROR(VLOOKUP(F679,'Employees List'!$C$1:$AB$991,5,0),"")</f>
        <v/>
      </c>
      <c r="L679" s="91">
        <f t="shared" si="3"/>
        <v>0</v>
      </c>
      <c r="M679" s="91">
        <f t="shared" si="4"/>
        <v>0</v>
      </c>
      <c r="N679" s="89" t="str">
        <f>IFERROR(VLOOKUP(B679,'Employees List'!$A$2:$H$991,8,0),"")</f>
        <v/>
      </c>
      <c r="O679" s="89" t="str">
        <f>IFERROR(VLOOKUP(D679,'Daily Attendance Report 24-25'!A643:BP999,5,0),"")</f>
        <v/>
      </c>
      <c r="P679" s="89" t="str">
        <f>IFERROR(VLOOKUP(E679,'Daily Attendance Report 24-25'!$A$1:$BO$617,5,0),"")</f>
        <v/>
      </c>
      <c r="Q679" s="89"/>
      <c r="R679" s="89"/>
      <c r="S679" s="89" t="str">
        <f t="shared" si="17"/>
        <v>#DIV/0!</v>
      </c>
      <c r="T679" s="89" t="str">
        <f t="shared" si="6"/>
        <v>#DIV/0!</v>
      </c>
      <c r="U679" s="89" t="str">
        <f t="shared" si="25"/>
        <v>#DIV/0!</v>
      </c>
      <c r="V679" s="89" t="str">
        <f t="shared" si="24"/>
        <v>#DIV/0!</v>
      </c>
      <c r="W679" s="89" t="str">
        <f t="shared" si="9"/>
        <v>#DIV/0!</v>
      </c>
      <c r="X679" s="89"/>
      <c r="Y679" s="89"/>
      <c r="Z679" s="89"/>
      <c r="AA679" s="89"/>
      <c r="AB679" s="89"/>
      <c r="AC679" s="89"/>
      <c r="AD679" s="89"/>
      <c r="AE679" s="89"/>
      <c r="AF679" s="89"/>
      <c r="AG679" s="89"/>
      <c r="AH679" s="89"/>
    </row>
    <row r="680">
      <c r="A680" s="8" t="s">
        <v>818</v>
      </c>
      <c r="B680" s="97"/>
      <c r="C680" s="8"/>
      <c r="D680" s="89" t="str">
        <f t="shared" si="1"/>
        <v/>
      </c>
      <c r="E680" s="89" t="str">
        <f t="shared" si="2"/>
        <v>OT Hours</v>
      </c>
      <c r="F680" s="89" t="str">
        <f>IFERROR(VLOOKUP(C680,'Employees List'!$B$1:$G$999,2,0),"")</f>
        <v/>
      </c>
      <c r="G680" s="89" t="str">
        <f t="shared" si="23"/>
        <v>#DIV/0!</v>
      </c>
      <c r="H680" s="98"/>
      <c r="I680" s="89" t="str">
        <f>IFERROR(VLOOKUP(F680,'Employees List'!$C:$F,2,0),"")</f>
        <v/>
      </c>
      <c r="J680" s="93" t="str">
        <f>IFERROR(VLOOKUP(C680,'Employees List'!$B$2:$G$991,5,0),"")</f>
        <v/>
      </c>
      <c r="K680" s="95" t="str">
        <f>IFERROR(VLOOKUP(F680,'Employees List'!$C$1:$AB$991,5,0),"")</f>
        <v/>
      </c>
      <c r="L680" s="91">
        <f t="shared" si="3"/>
        <v>0</v>
      </c>
      <c r="M680" s="91">
        <f t="shared" si="4"/>
        <v>0</v>
      </c>
      <c r="N680" s="89" t="str">
        <f>IFERROR(VLOOKUP(B680,'Employees List'!$A$2:$H$991,8,0),"")</f>
        <v/>
      </c>
      <c r="O680" s="89" t="str">
        <f>IFERROR(VLOOKUP(D680,'Daily Attendance Report 24-25'!A644:BP999,5,0),"")</f>
        <v/>
      </c>
      <c r="P680" s="89" t="str">
        <f>IFERROR(VLOOKUP(E680,'Daily Attendance Report 24-25'!$A$1:$BO$617,5,0),"")</f>
        <v/>
      </c>
      <c r="Q680" s="89"/>
      <c r="R680" s="89"/>
      <c r="S680" s="89" t="str">
        <f t="shared" si="17"/>
        <v>#DIV/0!</v>
      </c>
      <c r="T680" s="89" t="str">
        <f t="shared" si="6"/>
        <v>#DIV/0!</v>
      </c>
      <c r="U680" s="89" t="str">
        <f t="shared" si="25"/>
        <v>#DIV/0!</v>
      </c>
      <c r="V680" s="89" t="str">
        <f t="shared" si="24"/>
        <v>#DIV/0!</v>
      </c>
      <c r="W680" s="89" t="str">
        <f t="shared" si="9"/>
        <v>#DIV/0!</v>
      </c>
      <c r="X680" s="89"/>
      <c r="Y680" s="89"/>
      <c r="Z680" s="89"/>
      <c r="AA680" s="89"/>
      <c r="AB680" s="89"/>
      <c r="AC680" s="89"/>
      <c r="AD680" s="89"/>
      <c r="AE680" s="89"/>
      <c r="AF680" s="89"/>
      <c r="AG680" s="89"/>
      <c r="AH680" s="89"/>
    </row>
    <row r="681">
      <c r="A681" s="8" t="s">
        <v>819</v>
      </c>
      <c r="B681" s="97"/>
      <c r="C681" s="8"/>
      <c r="D681" s="89" t="str">
        <f t="shared" si="1"/>
        <v/>
      </c>
      <c r="E681" s="89" t="str">
        <f t="shared" si="2"/>
        <v>OT Hours</v>
      </c>
      <c r="F681" s="89" t="str">
        <f>IFERROR(VLOOKUP(C681,'Employees List'!$B$1:$G$999,2,0),"")</f>
        <v/>
      </c>
      <c r="G681" s="89" t="str">
        <f t="shared" si="23"/>
        <v>#DIV/0!</v>
      </c>
      <c r="H681" s="98"/>
      <c r="I681" s="89" t="str">
        <f>IFERROR(VLOOKUP(F681,'Employees List'!$C:$F,2,0),"")</f>
        <v/>
      </c>
      <c r="J681" s="93" t="str">
        <f>IFERROR(VLOOKUP(C681,'Employees List'!$B$2:$G$991,5,0),"")</f>
        <v/>
      </c>
      <c r="K681" s="95" t="str">
        <f>IFERROR(VLOOKUP(F681,'Employees List'!$C$1:$AB$991,5,0),"")</f>
        <v/>
      </c>
      <c r="L681" s="91">
        <f t="shared" si="3"/>
        <v>0</v>
      </c>
      <c r="M681" s="91">
        <f t="shared" si="4"/>
        <v>0</v>
      </c>
      <c r="N681" s="89" t="str">
        <f>IFERROR(VLOOKUP(B681,'Employees List'!$A$2:$H$991,8,0),"")</f>
        <v/>
      </c>
      <c r="O681" s="89" t="str">
        <f>IFERROR(VLOOKUP(D681,'Daily Attendance Report 24-25'!A645:BP999,5,0),"")</f>
        <v/>
      </c>
      <c r="P681" s="89" t="str">
        <f>IFERROR(VLOOKUP(E681,'Daily Attendance Report 24-25'!$A$1:$BO$617,5,0),"")</f>
        <v/>
      </c>
      <c r="Q681" s="89"/>
      <c r="R681" s="89"/>
      <c r="S681" s="89" t="str">
        <f t="shared" si="17"/>
        <v>#DIV/0!</v>
      </c>
      <c r="T681" s="89" t="str">
        <f t="shared" si="6"/>
        <v>#DIV/0!</v>
      </c>
      <c r="U681" s="89" t="str">
        <f t="shared" si="25"/>
        <v>#DIV/0!</v>
      </c>
      <c r="V681" s="89" t="str">
        <f t="shared" si="24"/>
        <v>#DIV/0!</v>
      </c>
      <c r="W681" s="89" t="str">
        <f t="shared" si="9"/>
        <v>#DIV/0!</v>
      </c>
      <c r="X681" s="89"/>
      <c r="Y681" s="89"/>
      <c r="Z681" s="89"/>
      <c r="AA681" s="89"/>
      <c r="AB681" s="89"/>
      <c r="AC681" s="89"/>
      <c r="AD681" s="89"/>
      <c r="AE681" s="89"/>
      <c r="AF681" s="89"/>
      <c r="AG681" s="89"/>
      <c r="AH681" s="89"/>
    </row>
    <row r="682">
      <c r="A682" s="8" t="s">
        <v>820</v>
      </c>
      <c r="B682" s="97"/>
      <c r="C682" s="8"/>
      <c r="D682" s="89" t="str">
        <f t="shared" si="1"/>
        <v/>
      </c>
      <c r="E682" s="89" t="str">
        <f t="shared" si="2"/>
        <v>OT Hours</v>
      </c>
      <c r="F682" s="89" t="str">
        <f>IFERROR(VLOOKUP(C682,'Employees List'!$B$1:$G$999,2,0),"")</f>
        <v/>
      </c>
      <c r="G682" s="89" t="str">
        <f t="shared" si="23"/>
        <v>#DIV/0!</v>
      </c>
      <c r="H682" s="98"/>
      <c r="I682" s="89" t="str">
        <f>IFERROR(VLOOKUP(F682,'Employees List'!$C:$F,2,0),"")</f>
        <v/>
      </c>
      <c r="J682" s="93" t="str">
        <f>IFERROR(VLOOKUP(C682,'Employees List'!$B$2:$G$991,5,0),"")</f>
        <v/>
      </c>
      <c r="K682" s="95" t="str">
        <f>IFERROR(VLOOKUP(F682,'Employees List'!$C$1:$AB$991,5,0),"")</f>
        <v/>
      </c>
      <c r="L682" s="91">
        <f t="shared" si="3"/>
        <v>0</v>
      </c>
      <c r="M682" s="91">
        <f t="shared" si="4"/>
        <v>0</v>
      </c>
      <c r="N682" s="89" t="str">
        <f>IFERROR(VLOOKUP(B682,'Employees List'!$A$2:$H$991,8,0),"")</f>
        <v/>
      </c>
      <c r="O682" s="89" t="str">
        <f>IFERROR(VLOOKUP(D682,'Daily Attendance Report 24-25'!A646:BP999,5,0),"")</f>
        <v/>
      </c>
      <c r="P682" s="89" t="str">
        <f>IFERROR(VLOOKUP(E682,'Daily Attendance Report 24-25'!$A$1:$BO$617,5,0),"")</f>
        <v/>
      </c>
      <c r="Q682" s="89"/>
      <c r="R682" s="89"/>
      <c r="S682" s="89" t="str">
        <f t="shared" si="17"/>
        <v>#DIV/0!</v>
      </c>
      <c r="T682" s="89" t="str">
        <f t="shared" si="6"/>
        <v>#DIV/0!</v>
      </c>
      <c r="U682" s="89" t="str">
        <f t="shared" si="25"/>
        <v>#DIV/0!</v>
      </c>
      <c r="V682" s="89" t="str">
        <f t="shared" si="24"/>
        <v>#DIV/0!</v>
      </c>
      <c r="W682" s="89" t="str">
        <f t="shared" si="9"/>
        <v>#DIV/0!</v>
      </c>
      <c r="X682" s="89"/>
      <c r="Y682" s="89"/>
      <c r="Z682" s="89"/>
      <c r="AA682" s="89"/>
      <c r="AB682" s="89"/>
      <c r="AC682" s="89"/>
      <c r="AD682" s="89"/>
      <c r="AE682" s="89"/>
      <c r="AF682" s="89"/>
      <c r="AG682" s="89"/>
      <c r="AH682" s="89"/>
    </row>
    <row r="683">
      <c r="A683" s="8" t="s">
        <v>821</v>
      </c>
      <c r="B683" s="97"/>
      <c r="C683" s="8"/>
      <c r="D683" s="89" t="str">
        <f t="shared" si="1"/>
        <v/>
      </c>
      <c r="E683" s="89" t="str">
        <f t="shared" si="2"/>
        <v>OT Hours</v>
      </c>
      <c r="F683" s="89" t="str">
        <f>IFERROR(VLOOKUP(C683,'Employees List'!$B$1:$G$999,2,0),"")</f>
        <v/>
      </c>
      <c r="G683" s="89" t="str">
        <f t="shared" si="23"/>
        <v>#DIV/0!</v>
      </c>
      <c r="H683" s="98"/>
      <c r="I683" s="89" t="str">
        <f>IFERROR(VLOOKUP(F683,'Employees List'!$C:$F,2,0),"")</f>
        <v/>
      </c>
      <c r="J683" s="93" t="str">
        <f>IFERROR(VLOOKUP(C683,'Employees List'!$B$2:$G$991,5,0),"")</f>
        <v/>
      </c>
      <c r="K683" s="95" t="str">
        <f>IFERROR(VLOOKUP(F683,'Employees List'!$C$1:$AB$991,5,0),"")</f>
        <v/>
      </c>
      <c r="L683" s="91">
        <f t="shared" si="3"/>
        <v>0</v>
      </c>
      <c r="M683" s="91">
        <f t="shared" si="4"/>
        <v>0</v>
      </c>
      <c r="N683" s="89" t="str">
        <f>IFERROR(VLOOKUP(B683,'Employees List'!$A$2:$H$991,8,0),"")</f>
        <v/>
      </c>
      <c r="O683" s="89" t="str">
        <f>IFERROR(VLOOKUP(D683,'Daily Attendance Report 24-25'!A647:BP999,5,0),"")</f>
        <v/>
      </c>
      <c r="P683" s="89" t="str">
        <f>IFERROR(VLOOKUP(E683,'Daily Attendance Report 24-25'!$A$1:$BO$617,5,0),"")</f>
        <v/>
      </c>
      <c r="Q683" s="89"/>
      <c r="R683" s="89"/>
      <c r="S683" s="89" t="str">
        <f t="shared" si="17"/>
        <v>#DIV/0!</v>
      </c>
      <c r="T683" s="89" t="str">
        <f t="shared" si="6"/>
        <v>#DIV/0!</v>
      </c>
      <c r="U683" s="89" t="str">
        <f t="shared" si="25"/>
        <v>#DIV/0!</v>
      </c>
      <c r="V683" s="89" t="str">
        <f t="shared" si="24"/>
        <v>#DIV/0!</v>
      </c>
      <c r="W683" s="89" t="str">
        <f t="shared" si="9"/>
        <v>#DIV/0!</v>
      </c>
      <c r="X683" s="89"/>
      <c r="Y683" s="89"/>
      <c r="Z683" s="89"/>
      <c r="AA683" s="89"/>
      <c r="AB683" s="89"/>
      <c r="AC683" s="89"/>
      <c r="AD683" s="89"/>
      <c r="AE683" s="89"/>
      <c r="AF683" s="89"/>
      <c r="AG683" s="89"/>
      <c r="AH683" s="89"/>
    </row>
    <row r="684">
      <c r="A684" s="8" t="s">
        <v>822</v>
      </c>
      <c r="B684" s="97"/>
      <c r="C684" s="8"/>
      <c r="D684" s="89" t="str">
        <f t="shared" si="1"/>
        <v/>
      </c>
      <c r="E684" s="89" t="str">
        <f t="shared" si="2"/>
        <v>OT Hours</v>
      </c>
      <c r="F684" s="89" t="str">
        <f>IFERROR(VLOOKUP(C684,'Employees List'!$B$1:$G$999,2,0),"")</f>
        <v/>
      </c>
      <c r="G684" s="89" t="str">
        <f t="shared" si="23"/>
        <v>#DIV/0!</v>
      </c>
      <c r="H684" s="98"/>
      <c r="I684" s="89" t="str">
        <f>IFERROR(VLOOKUP(F684,'Employees List'!$C:$F,2,0),"")</f>
        <v/>
      </c>
      <c r="J684" s="93" t="str">
        <f>IFERROR(VLOOKUP(C684,'Employees List'!$B$2:$G$991,5,0),"")</f>
        <v/>
      </c>
      <c r="K684" s="95" t="str">
        <f>IFERROR(VLOOKUP(F684,'Employees List'!$C$1:$AB$991,5,0),"")</f>
        <v/>
      </c>
      <c r="L684" s="91">
        <f t="shared" si="3"/>
        <v>0</v>
      </c>
      <c r="M684" s="91">
        <f t="shared" si="4"/>
        <v>0</v>
      </c>
      <c r="N684" s="89" t="str">
        <f>IFERROR(VLOOKUP(B684,'Employees List'!$A$2:$H$991,8,0),"")</f>
        <v/>
      </c>
      <c r="O684" s="89" t="str">
        <f>IFERROR(VLOOKUP(D684,'Daily Attendance Report 24-25'!A648:BP999,5,0),"")</f>
        <v/>
      </c>
      <c r="P684" s="89" t="str">
        <f>IFERROR(VLOOKUP(E684,'Daily Attendance Report 24-25'!$A$1:$BO$617,5,0),"")</f>
        <v/>
      </c>
      <c r="Q684" s="89"/>
      <c r="R684" s="89"/>
      <c r="S684" s="89" t="str">
        <f t="shared" si="17"/>
        <v>#DIV/0!</v>
      </c>
      <c r="T684" s="89" t="str">
        <f t="shared" si="6"/>
        <v>#DIV/0!</v>
      </c>
      <c r="U684" s="89" t="str">
        <f t="shared" si="25"/>
        <v>#DIV/0!</v>
      </c>
      <c r="V684" s="89" t="str">
        <f t="shared" si="24"/>
        <v>#DIV/0!</v>
      </c>
      <c r="W684" s="89" t="str">
        <f t="shared" si="9"/>
        <v>#DIV/0!</v>
      </c>
      <c r="X684" s="89"/>
      <c r="Y684" s="89"/>
      <c r="Z684" s="89"/>
      <c r="AA684" s="89"/>
      <c r="AB684" s="89"/>
      <c r="AC684" s="89"/>
      <c r="AD684" s="89"/>
      <c r="AE684" s="89"/>
      <c r="AF684" s="89"/>
      <c r="AG684" s="89"/>
      <c r="AH684" s="89"/>
    </row>
    <row r="685">
      <c r="A685" s="8" t="s">
        <v>823</v>
      </c>
      <c r="B685" s="97"/>
      <c r="C685" s="8"/>
      <c r="D685" s="89" t="str">
        <f t="shared" si="1"/>
        <v/>
      </c>
      <c r="E685" s="89" t="str">
        <f t="shared" si="2"/>
        <v>OT Hours</v>
      </c>
      <c r="F685" s="89" t="str">
        <f>IFERROR(VLOOKUP(C685,'Employees List'!$B$1:$G$999,2,0),"")</f>
        <v/>
      </c>
      <c r="G685" s="89" t="str">
        <f t="shared" si="23"/>
        <v>#DIV/0!</v>
      </c>
      <c r="H685" s="98"/>
      <c r="I685" s="89" t="str">
        <f>IFERROR(VLOOKUP(F685,'Employees List'!$C:$F,2,0),"")</f>
        <v/>
      </c>
      <c r="J685" s="93" t="str">
        <f>IFERROR(VLOOKUP(C685,'Employees List'!$B$2:$G$991,5,0),"")</f>
        <v/>
      </c>
      <c r="K685" s="95" t="str">
        <f>IFERROR(VLOOKUP(F685,'Employees List'!$C$1:$AB$991,5,0),"")</f>
        <v/>
      </c>
      <c r="L685" s="91">
        <f t="shared" si="3"/>
        <v>0</v>
      </c>
      <c r="M685" s="91">
        <f t="shared" si="4"/>
        <v>0</v>
      </c>
      <c r="N685" s="89" t="str">
        <f>IFERROR(VLOOKUP(B685,'Employees List'!$A$2:$H$991,8,0),"")</f>
        <v/>
      </c>
      <c r="O685" s="89" t="str">
        <f>IFERROR(VLOOKUP(D685,'Daily Attendance Report 24-25'!A649:BP999,5,0),"")</f>
        <v/>
      </c>
      <c r="P685" s="89" t="str">
        <f>IFERROR(VLOOKUP(E685,'Daily Attendance Report 24-25'!$A$1:$BO$617,5,0),"")</f>
        <v/>
      </c>
      <c r="Q685" s="89"/>
      <c r="R685" s="89"/>
      <c r="S685" s="89" t="str">
        <f t="shared" si="17"/>
        <v>#DIV/0!</v>
      </c>
      <c r="T685" s="89" t="str">
        <f t="shared" si="6"/>
        <v>#DIV/0!</v>
      </c>
      <c r="U685" s="89" t="str">
        <f t="shared" si="25"/>
        <v>#DIV/0!</v>
      </c>
      <c r="V685" s="89" t="str">
        <f t="shared" si="24"/>
        <v>#DIV/0!</v>
      </c>
      <c r="W685" s="89" t="str">
        <f t="shared" si="9"/>
        <v>#DIV/0!</v>
      </c>
      <c r="X685" s="89"/>
      <c r="Y685" s="89"/>
      <c r="Z685" s="89"/>
      <c r="AA685" s="89"/>
      <c r="AB685" s="89"/>
      <c r="AC685" s="89"/>
      <c r="AD685" s="89"/>
      <c r="AE685" s="89"/>
      <c r="AF685" s="89"/>
      <c r="AG685" s="89"/>
      <c r="AH685" s="89"/>
    </row>
    <row r="686">
      <c r="A686" s="8" t="s">
        <v>824</v>
      </c>
      <c r="B686" s="97"/>
      <c r="C686" s="8"/>
      <c r="D686" s="89" t="str">
        <f t="shared" si="1"/>
        <v/>
      </c>
      <c r="E686" s="89" t="str">
        <f t="shared" si="2"/>
        <v>OT Hours</v>
      </c>
      <c r="F686" s="89" t="str">
        <f>IFERROR(VLOOKUP(C686,'Employees List'!$B$1:$G$999,2,0),"")</f>
        <v/>
      </c>
      <c r="G686" s="89" t="str">
        <f t="shared" si="23"/>
        <v>#DIV/0!</v>
      </c>
      <c r="H686" s="98"/>
      <c r="I686" s="89" t="str">
        <f>IFERROR(VLOOKUP(F686,'Employees List'!$C:$F,2,0),"")</f>
        <v/>
      </c>
      <c r="J686" s="93" t="str">
        <f>IFERROR(VLOOKUP(C686,'Employees List'!$B$2:$G$991,5,0),"")</f>
        <v/>
      </c>
      <c r="K686" s="95" t="str">
        <f>IFERROR(VLOOKUP(F686,'Employees List'!$C$1:$AB$991,5,0),"")</f>
        <v/>
      </c>
      <c r="L686" s="91">
        <f t="shared" si="3"/>
        <v>0</v>
      </c>
      <c r="M686" s="91">
        <f t="shared" si="4"/>
        <v>0</v>
      </c>
      <c r="N686" s="89" t="str">
        <f>IFERROR(VLOOKUP(B686,'Employees List'!$A$2:$H$991,8,0),"")</f>
        <v/>
      </c>
      <c r="O686" s="89" t="str">
        <f>IFERROR(VLOOKUP(D686,'Daily Attendance Report 24-25'!A650:BP999,5,0),"")</f>
        <v/>
      </c>
      <c r="P686" s="89" t="str">
        <f>IFERROR(VLOOKUP(E686,'Daily Attendance Report 24-25'!$A$1:$BO$617,5,0),"")</f>
        <v/>
      </c>
      <c r="Q686" s="89"/>
      <c r="R686" s="89"/>
      <c r="S686" s="89" t="str">
        <f t="shared" si="17"/>
        <v>#DIV/0!</v>
      </c>
      <c r="T686" s="89" t="str">
        <f t="shared" si="6"/>
        <v>#DIV/0!</v>
      </c>
      <c r="U686" s="89" t="str">
        <f t="shared" si="25"/>
        <v>#DIV/0!</v>
      </c>
      <c r="V686" s="89" t="str">
        <f t="shared" si="24"/>
        <v>#DIV/0!</v>
      </c>
      <c r="W686" s="89" t="str">
        <f t="shared" si="9"/>
        <v>#DIV/0!</v>
      </c>
      <c r="X686" s="89"/>
      <c r="Y686" s="89"/>
      <c r="Z686" s="89"/>
      <c r="AA686" s="89"/>
      <c r="AB686" s="89"/>
      <c r="AC686" s="89"/>
      <c r="AD686" s="89"/>
      <c r="AE686" s="89"/>
      <c r="AF686" s="89"/>
      <c r="AG686" s="89"/>
      <c r="AH686" s="89"/>
    </row>
    <row r="687">
      <c r="A687" s="8" t="s">
        <v>825</v>
      </c>
      <c r="B687" s="97"/>
      <c r="C687" s="8"/>
      <c r="D687" s="89" t="str">
        <f t="shared" si="1"/>
        <v/>
      </c>
      <c r="E687" s="89" t="str">
        <f t="shared" si="2"/>
        <v>OT Hours</v>
      </c>
      <c r="F687" s="89" t="str">
        <f>IFERROR(VLOOKUP(C687,'Employees List'!$B$1:$G$999,2,0),"")</f>
        <v/>
      </c>
      <c r="G687" s="89" t="str">
        <f t="shared" si="23"/>
        <v>#DIV/0!</v>
      </c>
      <c r="H687" s="98"/>
      <c r="I687" s="89" t="str">
        <f>IFERROR(VLOOKUP(F687,'Employees List'!$C:$F,2,0),"")</f>
        <v/>
      </c>
      <c r="J687" s="93" t="str">
        <f>IFERROR(VLOOKUP(C687,'Employees List'!$B$2:$G$991,5,0),"")</f>
        <v/>
      </c>
      <c r="K687" s="95" t="str">
        <f>IFERROR(VLOOKUP(F687,'Employees List'!$C$1:$AB$991,5,0),"")</f>
        <v/>
      </c>
      <c r="L687" s="91">
        <f t="shared" si="3"/>
        <v>0</v>
      </c>
      <c r="M687" s="91">
        <f t="shared" si="4"/>
        <v>0</v>
      </c>
      <c r="N687" s="89" t="str">
        <f>IFERROR(VLOOKUP(B687,'Employees List'!$A$2:$H$991,8,0),"")</f>
        <v/>
      </c>
      <c r="O687" s="89" t="str">
        <f>IFERROR(VLOOKUP(D687,'Daily Attendance Report 24-25'!A651:BP999,5,0),"")</f>
        <v/>
      </c>
      <c r="P687" s="89" t="str">
        <f>IFERROR(VLOOKUP(E687,'Daily Attendance Report 24-25'!$A$1:$BO$617,5,0),"")</f>
        <v/>
      </c>
      <c r="Q687" s="89"/>
      <c r="R687" s="89"/>
      <c r="S687" s="89" t="str">
        <f t="shared" si="17"/>
        <v>#DIV/0!</v>
      </c>
      <c r="T687" s="89" t="str">
        <f t="shared" si="6"/>
        <v>#DIV/0!</v>
      </c>
      <c r="U687" s="89" t="str">
        <f t="shared" si="25"/>
        <v>#DIV/0!</v>
      </c>
      <c r="V687" s="89" t="str">
        <f t="shared" si="24"/>
        <v>#DIV/0!</v>
      </c>
      <c r="W687" s="89" t="str">
        <f t="shared" si="9"/>
        <v>#DIV/0!</v>
      </c>
      <c r="X687" s="89"/>
      <c r="Y687" s="89"/>
      <c r="Z687" s="89"/>
      <c r="AA687" s="89"/>
      <c r="AB687" s="89"/>
      <c r="AC687" s="89"/>
      <c r="AD687" s="89"/>
      <c r="AE687" s="89"/>
      <c r="AF687" s="89"/>
      <c r="AG687" s="89"/>
      <c r="AH687" s="89"/>
    </row>
    <row r="688">
      <c r="A688" s="8" t="s">
        <v>826</v>
      </c>
      <c r="B688" s="97"/>
      <c r="C688" s="8"/>
      <c r="D688" s="89" t="str">
        <f t="shared" si="1"/>
        <v/>
      </c>
      <c r="E688" s="89" t="str">
        <f t="shared" si="2"/>
        <v>OT Hours</v>
      </c>
      <c r="F688" s="89" t="str">
        <f>IFERROR(VLOOKUP(C688,'Employees List'!$B$1:$G$999,2,0),"")</f>
        <v/>
      </c>
      <c r="G688" s="89" t="str">
        <f t="shared" si="23"/>
        <v>#DIV/0!</v>
      </c>
      <c r="H688" s="98"/>
      <c r="I688" s="89" t="str">
        <f>IFERROR(VLOOKUP(F688,'Employees List'!$C:$F,2,0),"")</f>
        <v/>
      </c>
      <c r="J688" s="93" t="str">
        <f>IFERROR(VLOOKUP(C688,'Employees List'!$B$2:$G$991,5,0),"")</f>
        <v/>
      </c>
      <c r="K688" s="95" t="str">
        <f>IFERROR(VLOOKUP(F688,'Employees List'!$C$1:$AB$991,5,0),"")</f>
        <v/>
      </c>
      <c r="L688" s="91">
        <f t="shared" si="3"/>
        <v>0</v>
      </c>
      <c r="M688" s="91">
        <f t="shared" si="4"/>
        <v>0</v>
      </c>
      <c r="N688" s="89" t="str">
        <f>IFERROR(VLOOKUP(B688,'Employees List'!$A$2:$H$991,8,0),"")</f>
        <v/>
      </c>
      <c r="O688" s="89" t="str">
        <f>IFERROR(VLOOKUP(D688,'Daily Attendance Report 24-25'!A652:BP999,5,0),"")</f>
        <v/>
      </c>
      <c r="P688" s="89" t="str">
        <f>IFERROR(VLOOKUP(E688,'Daily Attendance Report 24-25'!$A$1:$BO$617,5,0),"")</f>
        <v/>
      </c>
      <c r="Q688" s="89"/>
      <c r="R688" s="89"/>
      <c r="S688" s="89" t="str">
        <f t="shared" si="17"/>
        <v>#DIV/0!</v>
      </c>
      <c r="T688" s="89" t="str">
        <f t="shared" si="6"/>
        <v>#DIV/0!</v>
      </c>
      <c r="U688" s="89" t="str">
        <f t="shared" si="25"/>
        <v>#DIV/0!</v>
      </c>
      <c r="V688" s="89" t="str">
        <f t="shared" si="24"/>
        <v>#DIV/0!</v>
      </c>
      <c r="W688" s="89" t="str">
        <f t="shared" si="9"/>
        <v>#DIV/0!</v>
      </c>
      <c r="X688" s="89"/>
      <c r="Y688" s="89"/>
      <c r="Z688" s="89"/>
      <c r="AA688" s="89"/>
      <c r="AB688" s="89"/>
      <c r="AC688" s="89"/>
      <c r="AD688" s="89"/>
      <c r="AE688" s="89"/>
      <c r="AF688" s="89"/>
      <c r="AG688" s="89"/>
      <c r="AH688" s="89"/>
    </row>
    <row r="689">
      <c r="A689" s="8" t="s">
        <v>827</v>
      </c>
      <c r="B689" s="97"/>
      <c r="C689" s="8"/>
      <c r="D689" s="89" t="str">
        <f t="shared" si="1"/>
        <v/>
      </c>
      <c r="E689" s="89" t="str">
        <f t="shared" si="2"/>
        <v>OT Hours</v>
      </c>
      <c r="F689" s="89" t="str">
        <f>IFERROR(VLOOKUP(C689,'Employees List'!$B$1:$G$999,2,0),"")</f>
        <v/>
      </c>
      <c r="G689" s="89" t="str">
        <f t="shared" si="23"/>
        <v>#DIV/0!</v>
      </c>
      <c r="H689" s="98"/>
      <c r="I689" s="89" t="str">
        <f>IFERROR(VLOOKUP(F689,'Employees List'!$C:$F,2,0),"")</f>
        <v/>
      </c>
      <c r="J689" s="93" t="str">
        <f>IFERROR(VLOOKUP(C689,'Employees List'!$B$2:$G$991,5,0),"")</f>
        <v/>
      </c>
      <c r="K689" s="95" t="str">
        <f>IFERROR(VLOOKUP(F689,'Employees List'!$C$1:$AB$991,5,0),"")</f>
        <v/>
      </c>
      <c r="L689" s="91">
        <f t="shared" si="3"/>
        <v>0</v>
      </c>
      <c r="M689" s="91">
        <f t="shared" si="4"/>
        <v>0</v>
      </c>
      <c r="N689" s="89" t="str">
        <f>IFERROR(VLOOKUP(B689,'Employees List'!$A$2:$H$991,8,0),"")</f>
        <v/>
      </c>
      <c r="O689" s="89" t="str">
        <f>IFERROR(VLOOKUP(D689,'Daily Attendance Report 24-25'!A653:BP999,5,0),"")</f>
        <v/>
      </c>
      <c r="P689" s="89" t="str">
        <f>IFERROR(VLOOKUP(E689,'Daily Attendance Report 24-25'!$A$1:$BO$617,5,0),"")</f>
        <v/>
      </c>
      <c r="Q689" s="89"/>
      <c r="R689" s="89"/>
      <c r="S689" s="89" t="str">
        <f t="shared" si="17"/>
        <v>#DIV/0!</v>
      </c>
      <c r="T689" s="89" t="str">
        <f t="shared" si="6"/>
        <v>#DIV/0!</v>
      </c>
      <c r="U689" s="89" t="str">
        <f t="shared" si="25"/>
        <v>#DIV/0!</v>
      </c>
      <c r="V689" s="89" t="str">
        <f t="shared" si="24"/>
        <v>#DIV/0!</v>
      </c>
      <c r="W689" s="89" t="str">
        <f t="shared" si="9"/>
        <v>#DIV/0!</v>
      </c>
      <c r="X689" s="89"/>
      <c r="Y689" s="89"/>
      <c r="Z689" s="89"/>
      <c r="AA689" s="89"/>
      <c r="AB689" s="89"/>
      <c r="AC689" s="89"/>
      <c r="AD689" s="89"/>
      <c r="AE689" s="89"/>
      <c r="AF689" s="89"/>
      <c r="AG689" s="89"/>
      <c r="AH689" s="89"/>
    </row>
    <row r="690">
      <c r="A690" s="8" t="s">
        <v>828</v>
      </c>
      <c r="B690" s="97"/>
      <c r="C690" s="8"/>
      <c r="D690" s="89" t="str">
        <f t="shared" si="1"/>
        <v/>
      </c>
      <c r="E690" s="89" t="str">
        <f t="shared" si="2"/>
        <v>OT Hours</v>
      </c>
      <c r="F690" s="89" t="str">
        <f>IFERROR(VLOOKUP(C690,'Employees List'!$B$1:$G$999,2,0),"")</f>
        <v/>
      </c>
      <c r="G690" s="89" t="str">
        <f t="shared" si="23"/>
        <v>#DIV/0!</v>
      </c>
      <c r="H690" s="98"/>
      <c r="I690" s="89" t="str">
        <f>IFERROR(VLOOKUP(F690,'Employees List'!$C:$F,2,0),"")</f>
        <v/>
      </c>
      <c r="J690" s="93" t="str">
        <f>IFERROR(VLOOKUP(C690,'Employees List'!$B$2:$G$991,5,0),"")</f>
        <v/>
      </c>
      <c r="K690" s="95" t="str">
        <f>IFERROR(VLOOKUP(F690,'Employees List'!$C$1:$AB$991,5,0),"")</f>
        <v/>
      </c>
      <c r="L690" s="91">
        <f t="shared" si="3"/>
        <v>0</v>
      </c>
      <c r="M690" s="91">
        <f t="shared" si="4"/>
        <v>0</v>
      </c>
      <c r="N690" s="89" t="str">
        <f>IFERROR(VLOOKUP(B690,'Employees List'!$A$2:$H$991,8,0),"")</f>
        <v/>
      </c>
      <c r="O690" s="89" t="str">
        <f>IFERROR(VLOOKUP(D690,'Daily Attendance Report 24-25'!A654:BP999,5,0),"")</f>
        <v/>
      </c>
      <c r="P690" s="89" t="str">
        <f>IFERROR(VLOOKUP(E690,'Daily Attendance Report 24-25'!$A$1:$BO$617,5,0),"")</f>
        <v/>
      </c>
      <c r="Q690" s="89"/>
      <c r="R690" s="89"/>
      <c r="S690" s="89" t="str">
        <f t="shared" si="17"/>
        <v>#DIV/0!</v>
      </c>
      <c r="T690" s="89" t="str">
        <f t="shared" si="6"/>
        <v>#DIV/0!</v>
      </c>
      <c r="U690" s="89" t="str">
        <f t="shared" si="25"/>
        <v>#DIV/0!</v>
      </c>
      <c r="V690" s="89" t="str">
        <f t="shared" si="24"/>
        <v>#DIV/0!</v>
      </c>
      <c r="W690" s="89" t="str">
        <f t="shared" si="9"/>
        <v>#DIV/0!</v>
      </c>
      <c r="X690" s="89"/>
      <c r="Y690" s="89"/>
      <c r="Z690" s="89"/>
      <c r="AA690" s="89"/>
      <c r="AB690" s="89"/>
      <c r="AC690" s="89"/>
      <c r="AD690" s="89"/>
      <c r="AE690" s="89"/>
      <c r="AF690" s="89"/>
      <c r="AG690" s="89"/>
      <c r="AH690" s="89"/>
    </row>
    <row r="691">
      <c r="A691" s="8" t="s">
        <v>829</v>
      </c>
      <c r="B691" s="97"/>
      <c r="C691" s="8"/>
      <c r="D691" s="89" t="str">
        <f t="shared" si="1"/>
        <v/>
      </c>
      <c r="E691" s="89" t="str">
        <f t="shared" si="2"/>
        <v>OT Hours</v>
      </c>
      <c r="F691" s="89" t="str">
        <f>IFERROR(VLOOKUP(C691,'Employees List'!$B$1:$G$999,2,0),"")</f>
        <v/>
      </c>
      <c r="G691" s="89" t="str">
        <f t="shared" si="23"/>
        <v>#DIV/0!</v>
      </c>
      <c r="H691" s="98"/>
      <c r="I691" s="89" t="str">
        <f>IFERROR(VLOOKUP(F691,'Employees List'!$C:$F,2,0),"")</f>
        <v/>
      </c>
      <c r="J691" s="93" t="str">
        <f>IFERROR(VLOOKUP(C691,'Employees List'!$B$2:$G$991,5,0),"")</f>
        <v/>
      </c>
      <c r="K691" s="95" t="str">
        <f>IFERROR(VLOOKUP(F691,'Employees List'!$C$1:$AB$991,5,0),"")</f>
        <v/>
      </c>
      <c r="L691" s="91">
        <f t="shared" si="3"/>
        <v>0</v>
      </c>
      <c r="M691" s="91">
        <f t="shared" si="4"/>
        <v>0</v>
      </c>
      <c r="N691" s="89" t="str">
        <f>IFERROR(VLOOKUP(B691,'Employees List'!$A$2:$H$991,8,0),"")</f>
        <v/>
      </c>
      <c r="O691" s="89" t="str">
        <f>IFERROR(VLOOKUP(D691,'Daily Attendance Report 24-25'!A655:BP999,5,0),"")</f>
        <v/>
      </c>
      <c r="P691" s="89" t="str">
        <f>IFERROR(VLOOKUP(E691,'Daily Attendance Report 24-25'!$A$1:$BO$617,5,0),"")</f>
        <v/>
      </c>
      <c r="Q691" s="89"/>
      <c r="R691" s="89"/>
      <c r="S691" s="89" t="str">
        <f t="shared" si="17"/>
        <v>#DIV/0!</v>
      </c>
      <c r="T691" s="89" t="str">
        <f t="shared" si="6"/>
        <v>#DIV/0!</v>
      </c>
      <c r="U691" s="89" t="str">
        <f t="shared" si="25"/>
        <v>#DIV/0!</v>
      </c>
      <c r="V691" s="89" t="str">
        <f t="shared" si="24"/>
        <v>#DIV/0!</v>
      </c>
      <c r="W691" s="89" t="str">
        <f t="shared" si="9"/>
        <v>#DIV/0!</v>
      </c>
      <c r="X691" s="89"/>
      <c r="Y691" s="89"/>
      <c r="Z691" s="89"/>
      <c r="AA691" s="89"/>
      <c r="AB691" s="89"/>
      <c r="AC691" s="89"/>
      <c r="AD691" s="89"/>
      <c r="AE691" s="89"/>
      <c r="AF691" s="89"/>
      <c r="AG691" s="89"/>
      <c r="AH691" s="89"/>
    </row>
    <row r="692">
      <c r="A692" s="8" t="s">
        <v>830</v>
      </c>
      <c r="B692" s="97"/>
      <c r="C692" s="8"/>
      <c r="D692" s="89" t="str">
        <f t="shared" si="1"/>
        <v/>
      </c>
      <c r="E692" s="89" t="str">
        <f t="shared" si="2"/>
        <v>OT Hours</v>
      </c>
      <c r="F692" s="89" t="str">
        <f>IFERROR(VLOOKUP(C692,'Employees List'!$B$1:$G$999,2,0),"")</f>
        <v/>
      </c>
      <c r="G692" s="89" t="str">
        <f t="shared" si="23"/>
        <v>#DIV/0!</v>
      </c>
      <c r="H692" s="98"/>
      <c r="I692" s="89" t="str">
        <f>IFERROR(VLOOKUP(F692,'Employees List'!$C:$F,2,0),"")</f>
        <v/>
      </c>
      <c r="J692" s="93" t="str">
        <f>IFERROR(VLOOKUP(C692,'Employees List'!$B$2:$G$991,5,0),"")</f>
        <v/>
      </c>
      <c r="K692" s="95" t="str">
        <f>IFERROR(VLOOKUP(F692,'Employees List'!$C$1:$AB$991,5,0),"")</f>
        <v/>
      </c>
      <c r="L692" s="91">
        <f t="shared" si="3"/>
        <v>0</v>
      </c>
      <c r="M692" s="91">
        <f t="shared" si="4"/>
        <v>0</v>
      </c>
      <c r="N692" s="89" t="str">
        <f>IFERROR(VLOOKUP(B692,'Employees List'!$A$2:$H$991,8,0),"")</f>
        <v/>
      </c>
      <c r="O692" s="89" t="str">
        <f>IFERROR(VLOOKUP(D692,'Daily Attendance Report 24-25'!A656:BP999,5,0),"")</f>
        <v/>
      </c>
      <c r="P692" s="89" t="str">
        <f>IFERROR(VLOOKUP(E692,'Daily Attendance Report 24-25'!$A$1:$BO$617,5,0),"")</f>
        <v/>
      </c>
      <c r="Q692" s="89"/>
      <c r="R692" s="89"/>
      <c r="S692" s="89" t="str">
        <f t="shared" si="17"/>
        <v>#DIV/0!</v>
      </c>
      <c r="T692" s="89" t="str">
        <f t="shared" si="6"/>
        <v>#DIV/0!</v>
      </c>
      <c r="U692" s="89" t="str">
        <f t="shared" si="25"/>
        <v>#DIV/0!</v>
      </c>
      <c r="V692" s="89" t="str">
        <f t="shared" si="24"/>
        <v>#DIV/0!</v>
      </c>
      <c r="W692" s="89" t="str">
        <f t="shared" si="9"/>
        <v>#DIV/0!</v>
      </c>
      <c r="X692" s="89"/>
      <c r="Y692" s="89"/>
      <c r="Z692" s="89"/>
      <c r="AA692" s="89"/>
      <c r="AB692" s="89"/>
      <c r="AC692" s="89"/>
      <c r="AD692" s="89"/>
      <c r="AE692" s="89"/>
      <c r="AF692" s="89"/>
      <c r="AG692" s="89"/>
      <c r="AH692" s="89"/>
    </row>
    <row r="693">
      <c r="A693" s="8" t="s">
        <v>831</v>
      </c>
      <c r="B693" s="97"/>
      <c r="C693" s="8"/>
      <c r="D693" s="89" t="str">
        <f t="shared" si="1"/>
        <v/>
      </c>
      <c r="E693" s="89" t="str">
        <f t="shared" si="2"/>
        <v>OT Hours</v>
      </c>
      <c r="F693" s="89" t="str">
        <f>IFERROR(VLOOKUP(C693,'Employees List'!$B$1:$G$999,2,0),"")</f>
        <v/>
      </c>
      <c r="G693" s="89" t="str">
        <f t="shared" si="23"/>
        <v>#DIV/0!</v>
      </c>
      <c r="H693" s="98"/>
      <c r="I693" s="89" t="str">
        <f>IFERROR(VLOOKUP(F693,'Employees List'!$C:$F,2,0),"")</f>
        <v/>
      </c>
      <c r="J693" s="93" t="str">
        <f>IFERROR(VLOOKUP(C693,'Employees List'!$B$2:$G$991,5,0),"")</f>
        <v/>
      </c>
      <c r="K693" s="95" t="str">
        <f>IFERROR(VLOOKUP(F693,'Employees List'!$C$1:$AB$991,5,0),"")</f>
        <v/>
      </c>
      <c r="L693" s="91">
        <f t="shared" si="3"/>
        <v>0</v>
      </c>
      <c r="M693" s="91">
        <f t="shared" si="4"/>
        <v>0</v>
      </c>
      <c r="N693" s="89" t="str">
        <f>IFERROR(VLOOKUP(B693,'Employees List'!$A$2:$H$991,8,0),"")</f>
        <v/>
      </c>
      <c r="O693" s="89" t="str">
        <f>IFERROR(VLOOKUP(D693,'Daily Attendance Report 24-25'!A657:BP999,5,0),"")</f>
        <v/>
      </c>
      <c r="P693" s="89" t="str">
        <f>IFERROR(VLOOKUP(E693,'Daily Attendance Report 24-25'!$A$1:$BO$617,5,0),"")</f>
        <v/>
      </c>
      <c r="Q693" s="89"/>
      <c r="R693" s="89"/>
      <c r="S693" s="89" t="str">
        <f t="shared" si="17"/>
        <v>#DIV/0!</v>
      </c>
      <c r="T693" s="89" t="str">
        <f t="shared" si="6"/>
        <v>#DIV/0!</v>
      </c>
      <c r="U693" s="89" t="str">
        <f t="shared" si="25"/>
        <v>#DIV/0!</v>
      </c>
      <c r="V693" s="89" t="str">
        <f t="shared" si="24"/>
        <v>#DIV/0!</v>
      </c>
      <c r="W693" s="89" t="str">
        <f t="shared" si="9"/>
        <v>#DIV/0!</v>
      </c>
      <c r="X693" s="89"/>
      <c r="Y693" s="89"/>
      <c r="Z693" s="89"/>
      <c r="AA693" s="89"/>
      <c r="AB693" s="89"/>
      <c r="AC693" s="89"/>
      <c r="AD693" s="89"/>
      <c r="AE693" s="89"/>
      <c r="AF693" s="89"/>
      <c r="AG693" s="89"/>
      <c r="AH693" s="89"/>
    </row>
    <row r="694">
      <c r="A694" s="8" t="s">
        <v>832</v>
      </c>
      <c r="B694" s="97"/>
      <c r="C694" s="8"/>
      <c r="D694" s="89" t="str">
        <f t="shared" si="1"/>
        <v/>
      </c>
      <c r="E694" s="89" t="str">
        <f t="shared" si="2"/>
        <v>OT Hours</v>
      </c>
      <c r="F694" s="89" t="str">
        <f>IFERROR(VLOOKUP(C694,'Employees List'!$B$1:$G$999,2,0),"")</f>
        <v/>
      </c>
      <c r="G694" s="89" t="str">
        <f t="shared" si="23"/>
        <v>#DIV/0!</v>
      </c>
      <c r="H694" s="98"/>
      <c r="I694" s="89" t="str">
        <f>IFERROR(VLOOKUP(F694,'Employees List'!$C:$F,2,0),"")</f>
        <v/>
      </c>
      <c r="J694" s="93" t="str">
        <f>IFERROR(VLOOKUP(C694,'Employees List'!$B$2:$G$991,5,0),"")</f>
        <v/>
      </c>
      <c r="K694" s="95" t="str">
        <f>IFERROR(VLOOKUP(F694,'Employees List'!$C$1:$AB$991,5,0),"")</f>
        <v/>
      </c>
      <c r="L694" s="91">
        <f t="shared" si="3"/>
        <v>0</v>
      </c>
      <c r="M694" s="91">
        <f t="shared" si="4"/>
        <v>0</v>
      </c>
      <c r="N694" s="89" t="str">
        <f>IFERROR(VLOOKUP(B694,'Employees List'!$A$2:$H$991,8,0),"")</f>
        <v/>
      </c>
      <c r="O694" s="89" t="str">
        <f>IFERROR(VLOOKUP(D694,'Daily Attendance Report 24-25'!A658:BP999,5,0),"")</f>
        <v/>
      </c>
      <c r="P694" s="89" t="str">
        <f>IFERROR(VLOOKUP(E694,'Daily Attendance Report 24-25'!$A$1:$BO$617,5,0),"")</f>
        <v/>
      </c>
      <c r="Q694" s="89"/>
      <c r="R694" s="89"/>
      <c r="S694" s="89" t="str">
        <f t="shared" si="17"/>
        <v>#DIV/0!</v>
      </c>
      <c r="T694" s="89" t="str">
        <f t="shared" si="6"/>
        <v>#DIV/0!</v>
      </c>
      <c r="U694" s="89" t="str">
        <f t="shared" si="25"/>
        <v>#DIV/0!</v>
      </c>
      <c r="V694" s="89" t="str">
        <f t="shared" si="24"/>
        <v>#DIV/0!</v>
      </c>
      <c r="W694" s="89" t="str">
        <f t="shared" si="9"/>
        <v>#DIV/0!</v>
      </c>
      <c r="X694" s="89"/>
      <c r="Y694" s="89"/>
      <c r="Z694" s="89"/>
      <c r="AA694" s="89"/>
      <c r="AB694" s="89"/>
      <c r="AC694" s="89"/>
      <c r="AD694" s="89"/>
      <c r="AE694" s="89"/>
      <c r="AF694" s="89"/>
      <c r="AG694" s="89"/>
      <c r="AH694" s="89"/>
    </row>
    <row r="695">
      <c r="A695" s="8" t="s">
        <v>833</v>
      </c>
      <c r="B695" s="97"/>
      <c r="C695" s="8"/>
      <c r="D695" s="89" t="str">
        <f t="shared" si="1"/>
        <v/>
      </c>
      <c r="E695" s="89" t="str">
        <f t="shared" si="2"/>
        <v>OT Hours</v>
      </c>
      <c r="F695" s="89" t="str">
        <f>IFERROR(VLOOKUP(C695,'Employees List'!$B$1:$G$999,2,0),"")</f>
        <v/>
      </c>
      <c r="G695" s="89" t="str">
        <f t="shared" si="23"/>
        <v>#DIV/0!</v>
      </c>
      <c r="H695" s="98"/>
      <c r="I695" s="89" t="str">
        <f>IFERROR(VLOOKUP(F695,'Employees List'!$C:$F,2,0),"")</f>
        <v/>
      </c>
      <c r="J695" s="93" t="str">
        <f>IFERROR(VLOOKUP(C695,'Employees List'!$B$2:$G$991,5,0),"")</f>
        <v/>
      </c>
      <c r="K695" s="95" t="str">
        <f>IFERROR(VLOOKUP(F695,'Employees List'!$C$1:$AB$991,5,0),"")</f>
        <v/>
      </c>
      <c r="L695" s="91">
        <f t="shared" si="3"/>
        <v>0</v>
      </c>
      <c r="M695" s="91">
        <f t="shared" si="4"/>
        <v>0</v>
      </c>
      <c r="N695" s="89" t="str">
        <f>IFERROR(VLOOKUP(B695,'Employees List'!$A$2:$H$991,8,0),"")</f>
        <v/>
      </c>
      <c r="O695" s="89" t="str">
        <f>IFERROR(VLOOKUP(D695,'Daily Attendance Report 24-25'!A659:BP999,5,0),"")</f>
        <v/>
      </c>
      <c r="P695" s="89" t="str">
        <f>IFERROR(VLOOKUP(E695,'Daily Attendance Report 24-25'!$A$1:$BO$617,5,0),"")</f>
        <v/>
      </c>
      <c r="Q695" s="89"/>
      <c r="R695" s="89"/>
      <c r="S695" s="89" t="str">
        <f t="shared" si="17"/>
        <v>#DIV/0!</v>
      </c>
      <c r="T695" s="89" t="str">
        <f t="shared" si="6"/>
        <v>#DIV/0!</v>
      </c>
      <c r="U695" s="89" t="str">
        <f t="shared" si="25"/>
        <v>#DIV/0!</v>
      </c>
      <c r="V695" s="89" t="str">
        <f t="shared" si="24"/>
        <v>#DIV/0!</v>
      </c>
      <c r="W695" s="89" t="str">
        <f t="shared" si="9"/>
        <v>#DIV/0!</v>
      </c>
      <c r="X695" s="89"/>
      <c r="Y695" s="89"/>
      <c r="Z695" s="89"/>
      <c r="AA695" s="89"/>
      <c r="AB695" s="89"/>
      <c r="AC695" s="89"/>
      <c r="AD695" s="89"/>
      <c r="AE695" s="89"/>
      <c r="AF695" s="89"/>
      <c r="AG695" s="89"/>
      <c r="AH695" s="89"/>
    </row>
    <row r="696">
      <c r="A696" s="8" t="s">
        <v>834</v>
      </c>
      <c r="B696" s="97"/>
      <c r="C696" s="8"/>
      <c r="D696" s="89" t="str">
        <f t="shared" si="1"/>
        <v/>
      </c>
      <c r="E696" s="89" t="str">
        <f t="shared" si="2"/>
        <v>OT Hours</v>
      </c>
      <c r="F696" s="89" t="str">
        <f>IFERROR(VLOOKUP(C696,'Employees List'!$B$1:$G$999,2,0),"")</f>
        <v/>
      </c>
      <c r="G696" s="89" t="str">
        <f t="shared" si="23"/>
        <v>#DIV/0!</v>
      </c>
      <c r="H696" s="98"/>
      <c r="I696" s="89" t="str">
        <f>IFERROR(VLOOKUP(F696,'Employees List'!$C:$F,2,0),"")</f>
        <v/>
      </c>
      <c r="J696" s="93" t="str">
        <f>IFERROR(VLOOKUP(C696,'Employees List'!$B$2:$G$991,5,0),"")</f>
        <v/>
      </c>
      <c r="K696" s="95" t="str">
        <f>IFERROR(VLOOKUP(F696,'Employees List'!$C$1:$AB$991,5,0),"")</f>
        <v/>
      </c>
      <c r="L696" s="91">
        <f t="shared" si="3"/>
        <v>0</v>
      </c>
      <c r="M696" s="91">
        <f t="shared" si="4"/>
        <v>0</v>
      </c>
      <c r="N696" s="89" t="str">
        <f>IFERROR(VLOOKUP(B696,'Employees List'!$A$2:$H$991,8,0),"")</f>
        <v/>
      </c>
      <c r="O696" s="89" t="str">
        <f>IFERROR(VLOOKUP(D696,'Daily Attendance Report 24-25'!A660:BP999,5,0),"")</f>
        <v/>
      </c>
      <c r="P696" s="89" t="str">
        <f>IFERROR(VLOOKUP(E696,'Daily Attendance Report 24-25'!$A$1:$BO$617,5,0),"")</f>
        <v/>
      </c>
      <c r="Q696" s="89"/>
      <c r="R696" s="89"/>
      <c r="S696" s="89" t="str">
        <f t="shared" si="17"/>
        <v>#DIV/0!</v>
      </c>
      <c r="T696" s="89" t="str">
        <f t="shared" si="6"/>
        <v>#DIV/0!</v>
      </c>
      <c r="U696" s="89" t="str">
        <f t="shared" si="25"/>
        <v>#DIV/0!</v>
      </c>
      <c r="V696" s="89" t="str">
        <f t="shared" si="24"/>
        <v>#DIV/0!</v>
      </c>
      <c r="W696" s="89" t="str">
        <f t="shared" si="9"/>
        <v>#DIV/0!</v>
      </c>
      <c r="X696" s="89"/>
      <c r="Y696" s="89"/>
      <c r="Z696" s="89"/>
      <c r="AA696" s="89"/>
      <c r="AB696" s="89"/>
      <c r="AC696" s="89"/>
      <c r="AD696" s="89"/>
      <c r="AE696" s="89"/>
      <c r="AF696" s="89"/>
      <c r="AG696" s="89"/>
      <c r="AH696" s="89"/>
    </row>
    <row r="697">
      <c r="A697" s="8" t="s">
        <v>835</v>
      </c>
      <c r="B697" s="97"/>
      <c r="C697" s="8"/>
      <c r="D697" s="89" t="str">
        <f t="shared" si="1"/>
        <v/>
      </c>
      <c r="E697" s="89" t="str">
        <f t="shared" si="2"/>
        <v>OT Hours</v>
      </c>
      <c r="F697" s="89" t="str">
        <f>IFERROR(VLOOKUP(C697,'Employees List'!$B$1:$G$999,2,0),"")</f>
        <v/>
      </c>
      <c r="G697" s="89" t="str">
        <f t="shared" si="23"/>
        <v>#DIV/0!</v>
      </c>
      <c r="H697" s="98"/>
      <c r="I697" s="89" t="str">
        <f>IFERROR(VLOOKUP(F697,'Employees List'!$C:$F,2,0),"")</f>
        <v/>
      </c>
      <c r="J697" s="93" t="str">
        <f>IFERROR(VLOOKUP(C697,'Employees List'!$B$2:$G$991,5,0),"")</f>
        <v/>
      </c>
      <c r="K697" s="95" t="str">
        <f>IFERROR(VLOOKUP(F697,'Employees List'!$C$1:$AB$991,5,0),"")</f>
        <v/>
      </c>
      <c r="L697" s="91">
        <f t="shared" si="3"/>
        <v>0</v>
      </c>
      <c r="M697" s="91">
        <f t="shared" si="4"/>
        <v>0</v>
      </c>
      <c r="N697" s="89" t="str">
        <f>IFERROR(VLOOKUP(B697,'Employees List'!$A$2:$H$991,8,0),"")</f>
        <v/>
      </c>
      <c r="O697" s="89" t="str">
        <f>IFERROR(VLOOKUP(D697,'Daily Attendance Report 24-25'!A661:BP999,5,0),"")</f>
        <v/>
      </c>
      <c r="P697" s="89" t="str">
        <f>IFERROR(VLOOKUP(E697,'Daily Attendance Report 24-25'!$A$1:$BO$617,5,0),"")</f>
        <v/>
      </c>
      <c r="Q697" s="89"/>
      <c r="R697" s="89"/>
      <c r="S697" s="89" t="str">
        <f t="shared" si="17"/>
        <v>#DIV/0!</v>
      </c>
      <c r="T697" s="89" t="str">
        <f t="shared" si="6"/>
        <v>#DIV/0!</v>
      </c>
      <c r="U697" s="89" t="str">
        <f t="shared" si="25"/>
        <v>#DIV/0!</v>
      </c>
      <c r="V697" s="89" t="str">
        <f t="shared" si="24"/>
        <v>#DIV/0!</v>
      </c>
      <c r="W697" s="89" t="str">
        <f t="shared" si="9"/>
        <v>#DIV/0!</v>
      </c>
      <c r="X697" s="89"/>
      <c r="Y697" s="89"/>
      <c r="Z697" s="89"/>
      <c r="AA697" s="89"/>
      <c r="AB697" s="89"/>
      <c r="AC697" s="89"/>
      <c r="AD697" s="89"/>
      <c r="AE697" s="89"/>
      <c r="AF697" s="89"/>
      <c r="AG697" s="89"/>
      <c r="AH697" s="89"/>
    </row>
    <row r="698">
      <c r="A698" s="8" t="s">
        <v>836</v>
      </c>
      <c r="B698" s="97"/>
      <c r="C698" s="8"/>
      <c r="D698" s="89" t="str">
        <f t="shared" si="1"/>
        <v/>
      </c>
      <c r="E698" s="89" t="str">
        <f t="shared" si="2"/>
        <v>OT Hours</v>
      </c>
      <c r="F698" s="89" t="str">
        <f>IFERROR(VLOOKUP(C698,'Employees List'!$B$1:$G$999,2,0),"")</f>
        <v/>
      </c>
      <c r="G698" s="89" t="str">
        <f t="shared" si="23"/>
        <v>#DIV/0!</v>
      </c>
      <c r="H698" s="98"/>
      <c r="I698" s="89" t="str">
        <f>IFERROR(VLOOKUP(F698,'Employees List'!$C:$F,2,0),"")</f>
        <v/>
      </c>
      <c r="J698" s="93" t="str">
        <f>IFERROR(VLOOKUP(C698,'Employees List'!$B$2:$G$991,5,0),"")</f>
        <v/>
      </c>
      <c r="K698" s="95" t="str">
        <f>IFERROR(VLOOKUP(F698,'Employees List'!$C$1:$AB$991,5,0),"")</f>
        <v/>
      </c>
      <c r="L698" s="91">
        <f t="shared" si="3"/>
        <v>0</v>
      </c>
      <c r="M698" s="91">
        <f t="shared" si="4"/>
        <v>0</v>
      </c>
      <c r="N698" s="89" t="str">
        <f>IFERROR(VLOOKUP(B698,'Employees List'!$A$2:$H$991,8,0),"")</f>
        <v/>
      </c>
      <c r="O698" s="89" t="str">
        <f>IFERROR(VLOOKUP(D698,'Daily Attendance Report 24-25'!A662:BP999,5,0),"")</f>
        <v/>
      </c>
      <c r="P698" s="89" t="str">
        <f>IFERROR(VLOOKUP(E698,'Daily Attendance Report 24-25'!$A$1:$BO$617,5,0),"")</f>
        <v/>
      </c>
      <c r="Q698" s="89"/>
      <c r="R698" s="89"/>
      <c r="S698" s="89" t="str">
        <f t="shared" si="17"/>
        <v>#DIV/0!</v>
      </c>
      <c r="T698" s="89" t="str">
        <f t="shared" si="6"/>
        <v>#DIV/0!</v>
      </c>
      <c r="U698" s="89" t="str">
        <f t="shared" si="25"/>
        <v>#DIV/0!</v>
      </c>
      <c r="V698" s="89" t="str">
        <f t="shared" si="24"/>
        <v>#DIV/0!</v>
      </c>
      <c r="W698" s="89" t="str">
        <f t="shared" si="9"/>
        <v>#DIV/0!</v>
      </c>
      <c r="X698" s="89"/>
      <c r="Y698" s="89"/>
      <c r="Z698" s="89"/>
      <c r="AA698" s="89"/>
      <c r="AB698" s="89"/>
      <c r="AC698" s="89"/>
      <c r="AD698" s="89"/>
      <c r="AE698" s="89"/>
      <c r="AF698" s="89"/>
      <c r="AG698" s="89"/>
      <c r="AH698" s="89"/>
    </row>
    <row r="699">
      <c r="A699" s="8" t="s">
        <v>837</v>
      </c>
      <c r="B699" s="97"/>
      <c r="C699" s="8"/>
      <c r="D699" s="89" t="str">
        <f t="shared" si="1"/>
        <v/>
      </c>
      <c r="E699" s="89" t="str">
        <f t="shared" si="2"/>
        <v>OT Hours</v>
      </c>
      <c r="F699" s="89" t="str">
        <f>IFERROR(VLOOKUP(C699,'Employees List'!$B$1:$G$999,2,0),"")</f>
        <v/>
      </c>
      <c r="G699" s="89" t="str">
        <f t="shared" si="23"/>
        <v>#DIV/0!</v>
      </c>
      <c r="H699" s="98"/>
      <c r="I699" s="89" t="str">
        <f>IFERROR(VLOOKUP(F699,'Employees List'!$C:$F,2,0),"")</f>
        <v/>
      </c>
      <c r="J699" s="93" t="str">
        <f>IFERROR(VLOOKUP(C699,'Employees List'!$B$2:$G$991,5,0),"")</f>
        <v/>
      </c>
      <c r="K699" s="95" t="str">
        <f>IFERROR(VLOOKUP(F699,'Employees List'!$C$1:$AB$991,5,0),"")</f>
        <v/>
      </c>
      <c r="L699" s="91">
        <f t="shared" si="3"/>
        <v>0</v>
      </c>
      <c r="M699" s="91">
        <f t="shared" si="4"/>
        <v>0</v>
      </c>
      <c r="N699" s="89" t="str">
        <f>IFERROR(VLOOKUP(B699,'Employees List'!$A$2:$H$991,8,0),"")</f>
        <v/>
      </c>
      <c r="O699" s="89" t="str">
        <f>IFERROR(VLOOKUP(D699,'Daily Attendance Report 24-25'!A663:BP999,5,0),"")</f>
        <v/>
      </c>
      <c r="P699" s="89" t="str">
        <f>IFERROR(VLOOKUP(E699,'Daily Attendance Report 24-25'!$A$1:$BO$617,5,0),"")</f>
        <v/>
      </c>
      <c r="Q699" s="89"/>
      <c r="R699" s="89"/>
      <c r="S699" s="89" t="str">
        <f t="shared" si="17"/>
        <v>#DIV/0!</v>
      </c>
      <c r="T699" s="89" t="str">
        <f t="shared" si="6"/>
        <v>#DIV/0!</v>
      </c>
      <c r="U699" s="89" t="str">
        <f t="shared" si="25"/>
        <v>#DIV/0!</v>
      </c>
      <c r="V699" s="89" t="str">
        <f t="shared" si="24"/>
        <v>#DIV/0!</v>
      </c>
      <c r="W699" s="89" t="str">
        <f t="shared" si="9"/>
        <v>#DIV/0!</v>
      </c>
      <c r="X699" s="89"/>
      <c r="Y699" s="89"/>
      <c r="Z699" s="89"/>
      <c r="AA699" s="89"/>
      <c r="AB699" s="89"/>
      <c r="AC699" s="89"/>
      <c r="AD699" s="89"/>
      <c r="AE699" s="89"/>
      <c r="AF699" s="89"/>
      <c r="AG699" s="89"/>
      <c r="AH699" s="89"/>
    </row>
    <row r="700">
      <c r="A700" s="8" t="s">
        <v>838</v>
      </c>
      <c r="B700" s="97"/>
      <c r="C700" s="8"/>
      <c r="D700" s="89" t="str">
        <f t="shared" si="1"/>
        <v/>
      </c>
      <c r="E700" s="89" t="str">
        <f t="shared" si="2"/>
        <v>OT Hours</v>
      </c>
      <c r="F700" s="89" t="str">
        <f>IFERROR(VLOOKUP(C700,'Employees List'!$B$1:$G$999,2,0),"")</f>
        <v/>
      </c>
      <c r="G700" s="89" t="str">
        <f t="shared" si="23"/>
        <v>#DIV/0!</v>
      </c>
      <c r="H700" s="98"/>
      <c r="I700" s="89" t="str">
        <f>IFERROR(VLOOKUP(F700,'Employees List'!$C:$F,2,0),"")</f>
        <v/>
      </c>
      <c r="J700" s="93" t="str">
        <f>IFERROR(VLOOKUP(C700,'Employees List'!$B$2:$G$991,5,0),"")</f>
        <v/>
      </c>
      <c r="K700" s="95" t="str">
        <f>IFERROR(VLOOKUP(F700,'Employees List'!$C$1:$AB$991,5,0),"")</f>
        <v/>
      </c>
      <c r="L700" s="91">
        <f t="shared" si="3"/>
        <v>0</v>
      </c>
      <c r="M700" s="91">
        <f t="shared" si="4"/>
        <v>0</v>
      </c>
      <c r="N700" s="89" t="str">
        <f>IFERROR(VLOOKUP(B700,'Employees List'!$A$2:$H$991,8,0),"")</f>
        <v/>
      </c>
      <c r="O700" s="89" t="str">
        <f>IFERROR(VLOOKUP(D700,'Daily Attendance Report 24-25'!A664:BP999,5,0),"")</f>
        <v/>
      </c>
      <c r="P700" s="89" t="str">
        <f>IFERROR(VLOOKUP(E700,'Daily Attendance Report 24-25'!$A$1:$BO$617,5,0),"")</f>
        <v/>
      </c>
      <c r="Q700" s="89"/>
      <c r="R700" s="89"/>
      <c r="S700" s="89" t="str">
        <f t="shared" si="17"/>
        <v>#DIV/0!</v>
      </c>
      <c r="T700" s="89" t="str">
        <f t="shared" si="6"/>
        <v>#DIV/0!</v>
      </c>
      <c r="U700" s="89" t="str">
        <f t="shared" si="25"/>
        <v>#DIV/0!</v>
      </c>
      <c r="V700" s="89" t="str">
        <f t="shared" si="24"/>
        <v>#DIV/0!</v>
      </c>
      <c r="W700" s="89" t="str">
        <f t="shared" si="9"/>
        <v>#DIV/0!</v>
      </c>
      <c r="X700" s="89"/>
      <c r="Y700" s="89"/>
      <c r="Z700" s="89"/>
      <c r="AA700" s="89"/>
      <c r="AB700" s="89"/>
      <c r="AC700" s="89"/>
      <c r="AD700" s="89"/>
      <c r="AE700" s="89"/>
      <c r="AF700" s="89"/>
      <c r="AG700" s="89"/>
      <c r="AH700" s="89"/>
    </row>
    <row r="701">
      <c r="A701" s="8" t="s">
        <v>839</v>
      </c>
      <c r="B701" s="97"/>
      <c r="C701" s="8"/>
      <c r="D701" s="89" t="str">
        <f t="shared" si="1"/>
        <v/>
      </c>
      <c r="E701" s="89" t="str">
        <f t="shared" si="2"/>
        <v>OT Hours</v>
      </c>
      <c r="F701" s="89" t="str">
        <f>IFERROR(VLOOKUP(C701,'Employees List'!$B$1:$G$999,2,0),"")</f>
        <v/>
      </c>
      <c r="G701" s="89" t="str">
        <f t="shared" si="23"/>
        <v>#DIV/0!</v>
      </c>
      <c r="H701" s="98"/>
      <c r="I701" s="89" t="str">
        <f>IFERROR(VLOOKUP(F701,'Employees List'!$C:$F,2,0),"")</f>
        <v/>
      </c>
      <c r="J701" s="93" t="str">
        <f>IFERROR(VLOOKUP(C701,'Employees List'!$B$2:$G$991,5,0),"")</f>
        <v/>
      </c>
      <c r="K701" s="95" t="str">
        <f>IFERROR(VLOOKUP(F701,'Employees List'!$C$1:$AB$991,5,0),"")</f>
        <v/>
      </c>
      <c r="L701" s="91">
        <f t="shared" si="3"/>
        <v>0</v>
      </c>
      <c r="M701" s="91">
        <f t="shared" si="4"/>
        <v>0</v>
      </c>
      <c r="N701" s="89" t="str">
        <f>IFERROR(VLOOKUP(B701,'Employees List'!$A$2:$H$991,8,0),"")</f>
        <v/>
      </c>
      <c r="O701" s="89" t="str">
        <f>IFERROR(VLOOKUP(D701,'Daily Attendance Report 24-25'!A665:BP999,5,0),"")</f>
        <v/>
      </c>
      <c r="P701" s="89" t="str">
        <f>IFERROR(VLOOKUP(E701,'Daily Attendance Report 24-25'!$A$1:$BO$617,5,0),"")</f>
        <v/>
      </c>
      <c r="Q701" s="89"/>
      <c r="R701" s="89"/>
      <c r="S701" s="89" t="str">
        <f t="shared" si="17"/>
        <v>#DIV/0!</v>
      </c>
      <c r="T701" s="89" t="str">
        <f t="shared" si="6"/>
        <v>#DIV/0!</v>
      </c>
      <c r="U701" s="89" t="str">
        <f t="shared" si="25"/>
        <v>#DIV/0!</v>
      </c>
      <c r="V701" s="89" t="str">
        <f t="shared" si="24"/>
        <v>#DIV/0!</v>
      </c>
      <c r="W701" s="89" t="str">
        <f t="shared" si="9"/>
        <v>#DIV/0!</v>
      </c>
      <c r="X701" s="89"/>
      <c r="Y701" s="89"/>
      <c r="Z701" s="89"/>
      <c r="AA701" s="89"/>
      <c r="AB701" s="89"/>
      <c r="AC701" s="89"/>
      <c r="AD701" s="89"/>
      <c r="AE701" s="89"/>
      <c r="AF701" s="89"/>
      <c r="AG701" s="89"/>
      <c r="AH701" s="89"/>
    </row>
    <row r="702">
      <c r="A702" s="8" t="s">
        <v>840</v>
      </c>
      <c r="B702" s="97"/>
      <c r="C702" s="8"/>
      <c r="D702" s="89" t="str">
        <f t="shared" si="1"/>
        <v/>
      </c>
      <c r="E702" s="89" t="str">
        <f t="shared" si="2"/>
        <v>OT Hours</v>
      </c>
      <c r="F702" s="89" t="str">
        <f>IFERROR(VLOOKUP(C702,'Employees List'!$B$1:$G$999,2,0),"")</f>
        <v/>
      </c>
      <c r="G702" s="89" t="str">
        <f t="shared" si="23"/>
        <v>#DIV/0!</v>
      </c>
      <c r="H702" s="98"/>
      <c r="I702" s="89" t="str">
        <f>IFERROR(VLOOKUP(F702,'Employees List'!$C:$F,2,0),"")</f>
        <v/>
      </c>
      <c r="J702" s="93" t="str">
        <f>IFERROR(VLOOKUP(C702,'Employees List'!$B$2:$G$991,5,0),"")</f>
        <v/>
      </c>
      <c r="K702" s="95" t="str">
        <f>IFERROR(VLOOKUP(F702,'Employees List'!$C$1:$AB$991,5,0),"")</f>
        <v/>
      </c>
      <c r="L702" s="91">
        <f t="shared" si="3"/>
        <v>0</v>
      </c>
      <c r="M702" s="91">
        <f t="shared" si="4"/>
        <v>0</v>
      </c>
      <c r="N702" s="89" t="str">
        <f>IFERROR(VLOOKUP(B702,'Employees List'!$A$2:$H$991,8,0),"")</f>
        <v/>
      </c>
      <c r="O702" s="89" t="str">
        <f>IFERROR(VLOOKUP(D702,'Daily Attendance Report 24-25'!A666:BP999,5,0),"")</f>
        <v/>
      </c>
      <c r="P702" s="89" t="str">
        <f>IFERROR(VLOOKUP(E702,'Daily Attendance Report 24-25'!$A$1:$BO$617,5,0),"")</f>
        <v/>
      </c>
      <c r="Q702" s="89"/>
      <c r="R702" s="89"/>
      <c r="S702" s="89" t="str">
        <f t="shared" si="17"/>
        <v>#DIV/0!</v>
      </c>
      <c r="T702" s="89" t="str">
        <f t="shared" si="6"/>
        <v>#DIV/0!</v>
      </c>
      <c r="U702" s="89" t="str">
        <f t="shared" si="25"/>
        <v>#DIV/0!</v>
      </c>
      <c r="V702" s="89" t="str">
        <f t="shared" si="24"/>
        <v>#DIV/0!</v>
      </c>
      <c r="W702" s="89" t="str">
        <f t="shared" si="9"/>
        <v>#DIV/0!</v>
      </c>
      <c r="X702" s="89"/>
      <c r="Y702" s="89"/>
      <c r="Z702" s="89"/>
      <c r="AA702" s="89"/>
      <c r="AB702" s="89"/>
      <c r="AC702" s="89"/>
      <c r="AD702" s="89"/>
      <c r="AE702" s="89"/>
      <c r="AF702" s="89"/>
      <c r="AG702" s="89"/>
      <c r="AH702" s="89"/>
    </row>
    <row r="703">
      <c r="A703" s="8" t="s">
        <v>841</v>
      </c>
      <c r="B703" s="97"/>
      <c r="C703" s="8"/>
      <c r="D703" s="89" t="str">
        <f t="shared" si="1"/>
        <v/>
      </c>
      <c r="E703" s="89" t="str">
        <f t="shared" si="2"/>
        <v>OT Hours</v>
      </c>
      <c r="F703" s="89" t="str">
        <f>IFERROR(VLOOKUP(C703,'Employees List'!$B$1:$G$999,2,0),"")</f>
        <v/>
      </c>
      <c r="G703" s="89" t="str">
        <f t="shared" si="23"/>
        <v>#DIV/0!</v>
      </c>
      <c r="H703" s="98"/>
      <c r="I703" s="89" t="str">
        <f>IFERROR(VLOOKUP(F703,'Employees List'!$C:$F,2,0),"")</f>
        <v/>
      </c>
      <c r="J703" s="93" t="str">
        <f>IFERROR(VLOOKUP(C703,'Employees List'!$B$2:$G$991,5,0),"")</f>
        <v/>
      </c>
      <c r="K703" s="95" t="str">
        <f>IFERROR(VLOOKUP(F703,'Employees List'!$C$1:$AB$991,5,0),"")</f>
        <v/>
      </c>
      <c r="L703" s="91">
        <f t="shared" si="3"/>
        <v>0</v>
      </c>
      <c r="M703" s="91">
        <f t="shared" si="4"/>
        <v>0</v>
      </c>
      <c r="N703" s="89" t="str">
        <f>IFERROR(VLOOKUP(B703,'Employees List'!$A$2:$H$991,8,0),"")</f>
        <v/>
      </c>
      <c r="O703" s="89" t="str">
        <f>IFERROR(VLOOKUP(D703,'Daily Attendance Report 24-25'!A667:BP999,5,0),"")</f>
        <v/>
      </c>
      <c r="P703" s="89" t="str">
        <f>IFERROR(VLOOKUP(E703,'Daily Attendance Report 24-25'!$A$1:$BO$617,5,0),"")</f>
        <v/>
      </c>
      <c r="Q703" s="89"/>
      <c r="R703" s="89"/>
      <c r="S703" s="89" t="str">
        <f t="shared" si="17"/>
        <v>#DIV/0!</v>
      </c>
      <c r="T703" s="89" t="str">
        <f t="shared" si="6"/>
        <v>#DIV/0!</v>
      </c>
      <c r="U703" s="89" t="str">
        <f t="shared" si="25"/>
        <v>#DIV/0!</v>
      </c>
      <c r="V703" s="89" t="str">
        <f t="shared" si="24"/>
        <v>#DIV/0!</v>
      </c>
      <c r="W703" s="89" t="str">
        <f t="shared" si="9"/>
        <v>#DIV/0!</v>
      </c>
      <c r="X703" s="89"/>
      <c r="Y703" s="89"/>
      <c r="Z703" s="89"/>
      <c r="AA703" s="89"/>
      <c r="AB703" s="89"/>
      <c r="AC703" s="89"/>
      <c r="AD703" s="89"/>
      <c r="AE703" s="89"/>
      <c r="AF703" s="89"/>
      <c r="AG703" s="89"/>
      <c r="AH703" s="89"/>
    </row>
    <row r="704">
      <c r="A704" s="8" t="s">
        <v>842</v>
      </c>
      <c r="B704" s="97"/>
      <c r="C704" s="8"/>
      <c r="D704" s="89" t="str">
        <f t="shared" si="1"/>
        <v/>
      </c>
      <c r="E704" s="89" t="str">
        <f t="shared" si="2"/>
        <v>OT Hours</v>
      </c>
      <c r="F704" s="89" t="str">
        <f>IFERROR(VLOOKUP(C704,'Employees List'!$B$1:$G$999,2,0),"")</f>
        <v/>
      </c>
      <c r="G704" s="89" t="str">
        <f t="shared" si="23"/>
        <v>#DIV/0!</v>
      </c>
      <c r="H704" s="98"/>
      <c r="I704" s="89" t="str">
        <f>IFERROR(VLOOKUP(F704,'Employees List'!$C:$F,2,0),"")</f>
        <v/>
      </c>
      <c r="J704" s="93" t="str">
        <f>IFERROR(VLOOKUP(C704,'Employees List'!$B$2:$G$991,5,0),"")</f>
        <v/>
      </c>
      <c r="K704" s="95" t="str">
        <f>IFERROR(VLOOKUP(F704,'Employees List'!$C$1:$AB$991,5,0),"")</f>
        <v/>
      </c>
      <c r="L704" s="91">
        <f t="shared" si="3"/>
        <v>0</v>
      </c>
      <c r="M704" s="91">
        <f t="shared" si="4"/>
        <v>0</v>
      </c>
      <c r="N704" s="89" t="str">
        <f>IFERROR(VLOOKUP(B704,'Employees List'!$A$2:$H$991,8,0),"")</f>
        <v/>
      </c>
      <c r="O704" s="89" t="str">
        <f>IFERROR(VLOOKUP(D704,'Daily Attendance Report 24-25'!A668:BP999,5,0),"")</f>
        <v/>
      </c>
      <c r="P704" s="89" t="str">
        <f>IFERROR(VLOOKUP(E704,'Daily Attendance Report 24-25'!$A$1:$BO$617,5,0),"")</f>
        <v/>
      </c>
      <c r="Q704" s="89"/>
      <c r="R704" s="89"/>
      <c r="S704" s="89" t="str">
        <f t="shared" si="17"/>
        <v>#DIV/0!</v>
      </c>
      <c r="T704" s="89" t="str">
        <f t="shared" si="6"/>
        <v>#DIV/0!</v>
      </c>
      <c r="U704" s="89" t="str">
        <f t="shared" si="25"/>
        <v>#DIV/0!</v>
      </c>
      <c r="V704" s="89" t="str">
        <f t="shared" si="24"/>
        <v>#DIV/0!</v>
      </c>
      <c r="W704" s="89" t="str">
        <f t="shared" si="9"/>
        <v>#DIV/0!</v>
      </c>
      <c r="X704" s="89"/>
      <c r="Y704" s="89"/>
      <c r="Z704" s="89"/>
      <c r="AA704" s="89"/>
      <c r="AB704" s="89"/>
      <c r="AC704" s="89"/>
      <c r="AD704" s="89"/>
      <c r="AE704" s="89"/>
      <c r="AF704" s="89"/>
      <c r="AG704" s="89"/>
      <c r="AH704" s="89"/>
    </row>
    <row r="705">
      <c r="A705" s="8" t="s">
        <v>843</v>
      </c>
      <c r="B705" s="97"/>
      <c r="C705" s="8"/>
      <c r="D705" s="89" t="str">
        <f t="shared" si="1"/>
        <v/>
      </c>
      <c r="E705" s="89" t="str">
        <f t="shared" si="2"/>
        <v>OT Hours</v>
      </c>
      <c r="F705" s="89" t="str">
        <f>IFERROR(VLOOKUP(C705,'Employees List'!$B$1:$G$999,2,0),"")</f>
        <v/>
      </c>
      <c r="G705" s="89" t="str">
        <f t="shared" si="23"/>
        <v>#DIV/0!</v>
      </c>
      <c r="H705" s="98"/>
      <c r="I705" s="89" t="str">
        <f>IFERROR(VLOOKUP(F705,'Employees List'!$C:$F,2,0),"")</f>
        <v/>
      </c>
      <c r="J705" s="93" t="str">
        <f>IFERROR(VLOOKUP(C705,'Employees List'!$B$2:$G$991,5,0),"")</f>
        <v/>
      </c>
      <c r="K705" s="95" t="str">
        <f>IFERROR(VLOOKUP(F705,'Employees List'!$C$1:$AB$991,5,0),"")</f>
        <v/>
      </c>
      <c r="L705" s="91">
        <f t="shared" si="3"/>
        <v>0</v>
      </c>
      <c r="M705" s="91">
        <f t="shared" si="4"/>
        <v>0</v>
      </c>
      <c r="N705" s="89" t="str">
        <f>IFERROR(VLOOKUP(B705,'Employees List'!$A$2:$H$991,8,0),"")</f>
        <v/>
      </c>
      <c r="O705" s="89" t="str">
        <f>IFERROR(VLOOKUP(D705,'Daily Attendance Report 24-25'!A669:BP999,5,0),"")</f>
        <v/>
      </c>
      <c r="P705" s="89" t="str">
        <f>IFERROR(VLOOKUP(E705,'Daily Attendance Report 24-25'!$A$1:$BO$617,5,0),"")</f>
        <v/>
      </c>
      <c r="Q705" s="89"/>
      <c r="R705" s="89"/>
      <c r="S705" s="89" t="str">
        <f t="shared" si="17"/>
        <v>#DIV/0!</v>
      </c>
      <c r="T705" s="89" t="str">
        <f t="shared" si="6"/>
        <v>#DIV/0!</v>
      </c>
      <c r="U705" s="89" t="str">
        <f t="shared" si="25"/>
        <v>#DIV/0!</v>
      </c>
      <c r="V705" s="89" t="str">
        <f t="shared" si="24"/>
        <v>#DIV/0!</v>
      </c>
      <c r="W705" s="89" t="str">
        <f t="shared" si="9"/>
        <v>#DIV/0!</v>
      </c>
      <c r="X705" s="89"/>
      <c r="Y705" s="89"/>
      <c r="Z705" s="89"/>
      <c r="AA705" s="89"/>
      <c r="AB705" s="89"/>
      <c r="AC705" s="89"/>
      <c r="AD705" s="89"/>
      <c r="AE705" s="89"/>
      <c r="AF705" s="89"/>
      <c r="AG705" s="89"/>
      <c r="AH705" s="89"/>
    </row>
    <row r="706">
      <c r="A706" s="8" t="s">
        <v>844</v>
      </c>
      <c r="B706" s="97"/>
      <c r="C706" s="8"/>
      <c r="D706" s="89" t="str">
        <f t="shared" si="1"/>
        <v/>
      </c>
      <c r="E706" s="89" t="str">
        <f t="shared" si="2"/>
        <v>OT Hours</v>
      </c>
      <c r="F706" s="89" t="str">
        <f>IFERROR(VLOOKUP(C706,'Employees List'!$B$1:$G$999,2,0),"")</f>
        <v/>
      </c>
      <c r="G706" s="89" t="str">
        <f t="shared" si="23"/>
        <v>#DIV/0!</v>
      </c>
      <c r="H706" s="98"/>
      <c r="I706" s="89" t="str">
        <f>IFERROR(VLOOKUP(F706,'Employees List'!$C:$F,2,0),"")</f>
        <v/>
      </c>
      <c r="J706" s="93" t="str">
        <f>IFERROR(VLOOKUP(C706,'Employees List'!$B$2:$G$991,5,0),"")</f>
        <v/>
      </c>
      <c r="K706" s="95" t="str">
        <f>IFERROR(VLOOKUP(F706,'Employees List'!$C$1:$AB$991,5,0),"")</f>
        <v/>
      </c>
      <c r="L706" s="91">
        <f t="shared" si="3"/>
        <v>0</v>
      </c>
      <c r="M706" s="91">
        <f t="shared" si="4"/>
        <v>0</v>
      </c>
      <c r="N706" s="89" t="str">
        <f>IFERROR(VLOOKUP(B706,'Employees List'!$A$2:$H$991,8,0),"")</f>
        <v/>
      </c>
      <c r="O706" s="89" t="str">
        <f>IFERROR(VLOOKUP(D706,'Daily Attendance Report 24-25'!A670:BP999,5,0),"")</f>
        <v/>
      </c>
      <c r="P706" s="89" t="str">
        <f>IFERROR(VLOOKUP(E706,'Daily Attendance Report 24-25'!$A$1:$BO$617,5,0),"")</f>
        <v/>
      </c>
      <c r="Q706" s="89"/>
      <c r="R706" s="89"/>
      <c r="S706" s="89" t="str">
        <f t="shared" si="17"/>
        <v>#DIV/0!</v>
      </c>
      <c r="T706" s="89" t="str">
        <f t="shared" si="6"/>
        <v>#DIV/0!</v>
      </c>
      <c r="U706" s="89" t="str">
        <f t="shared" si="25"/>
        <v>#DIV/0!</v>
      </c>
      <c r="V706" s="89" t="str">
        <f t="shared" si="24"/>
        <v>#DIV/0!</v>
      </c>
      <c r="W706" s="89" t="str">
        <f t="shared" si="9"/>
        <v>#DIV/0!</v>
      </c>
      <c r="X706" s="89"/>
      <c r="Y706" s="89"/>
      <c r="Z706" s="89"/>
      <c r="AA706" s="89"/>
      <c r="AB706" s="89"/>
      <c r="AC706" s="89"/>
      <c r="AD706" s="89"/>
      <c r="AE706" s="89"/>
      <c r="AF706" s="89"/>
      <c r="AG706" s="89"/>
      <c r="AH706" s="89"/>
    </row>
    <row r="707">
      <c r="A707" s="8" t="s">
        <v>845</v>
      </c>
      <c r="B707" s="97"/>
      <c r="C707" s="8"/>
      <c r="D707" s="89" t="str">
        <f t="shared" si="1"/>
        <v/>
      </c>
      <c r="E707" s="89" t="str">
        <f t="shared" si="2"/>
        <v>OT Hours</v>
      </c>
      <c r="F707" s="89" t="str">
        <f>IFERROR(VLOOKUP(C707,'Employees List'!$B$1:$G$999,2,0),"")</f>
        <v/>
      </c>
      <c r="G707" s="89" t="str">
        <f t="shared" si="23"/>
        <v>#DIV/0!</v>
      </c>
      <c r="H707" s="98"/>
      <c r="I707" s="89" t="str">
        <f>IFERROR(VLOOKUP(F707,'Employees List'!$C:$F,2,0),"")</f>
        <v/>
      </c>
      <c r="J707" s="93" t="str">
        <f>IFERROR(VLOOKUP(C707,'Employees List'!$B$2:$G$991,5,0),"")</f>
        <v/>
      </c>
      <c r="K707" s="95" t="str">
        <f>IFERROR(VLOOKUP(F707,'Employees List'!$C$1:$AB$991,5,0),"")</f>
        <v/>
      </c>
      <c r="L707" s="91">
        <f t="shared" si="3"/>
        <v>0</v>
      </c>
      <c r="M707" s="91">
        <f t="shared" si="4"/>
        <v>0</v>
      </c>
      <c r="N707" s="89" t="str">
        <f>IFERROR(VLOOKUP(B707,'Employees List'!$A$2:$H$991,8,0),"")</f>
        <v/>
      </c>
      <c r="O707" s="89" t="str">
        <f>IFERROR(VLOOKUP(D707,'Daily Attendance Report 24-25'!A671:BP999,5,0),"")</f>
        <v/>
      </c>
      <c r="P707" s="89" t="str">
        <f>IFERROR(VLOOKUP(E707,'Daily Attendance Report 24-25'!$A$1:$BO$617,5,0),"")</f>
        <v/>
      </c>
      <c r="Q707" s="89"/>
      <c r="R707" s="89"/>
      <c r="S707" s="89" t="str">
        <f t="shared" si="17"/>
        <v>#DIV/0!</v>
      </c>
      <c r="T707" s="89" t="str">
        <f t="shared" si="6"/>
        <v>#DIV/0!</v>
      </c>
      <c r="U707" s="89" t="str">
        <f t="shared" si="25"/>
        <v>#DIV/0!</v>
      </c>
      <c r="V707" s="89" t="str">
        <f t="shared" si="24"/>
        <v>#DIV/0!</v>
      </c>
      <c r="W707" s="89" t="str">
        <f t="shared" si="9"/>
        <v>#DIV/0!</v>
      </c>
      <c r="X707" s="89"/>
      <c r="Y707" s="89"/>
      <c r="Z707" s="89"/>
      <c r="AA707" s="89"/>
      <c r="AB707" s="89"/>
      <c r="AC707" s="89"/>
      <c r="AD707" s="89"/>
      <c r="AE707" s="89"/>
      <c r="AF707" s="89"/>
      <c r="AG707" s="89"/>
      <c r="AH707" s="89"/>
    </row>
    <row r="708">
      <c r="A708" s="8" t="s">
        <v>846</v>
      </c>
      <c r="B708" s="97"/>
      <c r="C708" s="8"/>
      <c r="D708" s="89" t="str">
        <f t="shared" si="1"/>
        <v/>
      </c>
      <c r="E708" s="89" t="str">
        <f t="shared" si="2"/>
        <v>OT Hours</v>
      </c>
      <c r="F708" s="89" t="str">
        <f>IFERROR(VLOOKUP(C708,'Employees List'!$B$1:$G$999,2,0),"")</f>
        <v/>
      </c>
      <c r="G708" s="89" t="str">
        <f t="shared" si="23"/>
        <v>#DIV/0!</v>
      </c>
      <c r="H708" s="98"/>
      <c r="I708" s="89" t="str">
        <f>IFERROR(VLOOKUP(F708,'Employees List'!$C:$F,2,0),"")</f>
        <v/>
      </c>
      <c r="J708" s="93" t="str">
        <f>IFERROR(VLOOKUP(C708,'Employees List'!$B$2:$G$991,5,0),"")</f>
        <v/>
      </c>
      <c r="K708" s="95" t="str">
        <f>IFERROR(VLOOKUP(F708,'Employees List'!$C$1:$AB$991,5,0),"")</f>
        <v/>
      </c>
      <c r="L708" s="91">
        <f t="shared" si="3"/>
        <v>0</v>
      </c>
      <c r="M708" s="91">
        <f t="shared" si="4"/>
        <v>0</v>
      </c>
      <c r="N708" s="89" t="str">
        <f>IFERROR(VLOOKUP(B708,'Employees List'!$A$2:$H$991,8,0),"")</f>
        <v/>
      </c>
      <c r="O708" s="89" t="str">
        <f>IFERROR(VLOOKUP(D708,'Daily Attendance Report 24-25'!A672:BP999,5,0),"")</f>
        <v/>
      </c>
      <c r="P708" s="89" t="str">
        <f>IFERROR(VLOOKUP(E708,'Daily Attendance Report 24-25'!$A$1:$BO$617,5,0),"")</f>
        <v/>
      </c>
      <c r="Q708" s="89"/>
      <c r="R708" s="89"/>
      <c r="S708" s="89" t="str">
        <f t="shared" si="17"/>
        <v>#DIV/0!</v>
      </c>
      <c r="T708" s="89" t="str">
        <f t="shared" si="6"/>
        <v>#DIV/0!</v>
      </c>
      <c r="U708" s="89" t="str">
        <f t="shared" si="25"/>
        <v>#DIV/0!</v>
      </c>
      <c r="V708" s="89" t="str">
        <f t="shared" si="24"/>
        <v>#DIV/0!</v>
      </c>
      <c r="W708" s="89" t="str">
        <f t="shared" si="9"/>
        <v>#DIV/0!</v>
      </c>
      <c r="X708" s="89"/>
      <c r="Y708" s="89"/>
      <c r="Z708" s="89"/>
      <c r="AA708" s="89"/>
      <c r="AB708" s="89"/>
      <c r="AC708" s="89"/>
      <c r="AD708" s="89"/>
      <c r="AE708" s="89"/>
      <c r="AF708" s="89"/>
      <c r="AG708" s="89"/>
      <c r="AH708" s="89"/>
    </row>
    <row r="709">
      <c r="A709" s="8" t="s">
        <v>847</v>
      </c>
      <c r="B709" s="97"/>
      <c r="C709" s="8"/>
      <c r="D709" s="89" t="str">
        <f t="shared" si="1"/>
        <v/>
      </c>
      <c r="E709" s="89" t="str">
        <f t="shared" si="2"/>
        <v>OT Hours</v>
      </c>
      <c r="F709" s="89" t="str">
        <f>IFERROR(VLOOKUP(C709,'Employees List'!$B$1:$G$999,2,0),"")</f>
        <v/>
      </c>
      <c r="G709" s="89" t="str">
        <f t="shared" si="23"/>
        <v>#DIV/0!</v>
      </c>
      <c r="H709" s="98"/>
      <c r="I709" s="89" t="str">
        <f>IFERROR(VLOOKUP(F709,'Employees List'!$C:$F,2,0),"")</f>
        <v/>
      </c>
      <c r="J709" s="93" t="str">
        <f>IFERROR(VLOOKUP(C709,'Employees List'!$B$2:$G$991,5,0),"")</f>
        <v/>
      </c>
      <c r="K709" s="95" t="str">
        <f>IFERROR(VLOOKUP(F709,'Employees List'!$C$1:$AB$991,5,0),"")</f>
        <v/>
      </c>
      <c r="L709" s="91">
        <f t="shared" si="3"/>
        <v>0</v>
      </c>
      <c r="M709" s="91">
        <f t="shared" si="4"/>
        <v>0</v>
      </c>
      <c r="N709" s="89" t="str">
        <f>IFERROR(VLOOKUP(B709,'Employees List'!$A$2:$H$991,8,0),"")</f>
        <v/>
      </c>
      <c r="O709" s="89" t="str">
        <f>IFERROR(VLOOKUP(D709,'Daily Attendance Report 24-25'!A673:BP999,5,0),"")</f>
        <v/>
      </c>
      <c r="P709" s="89" t="str">
        <f>IFERROR(VLOOKUP(E709,'Daily Attendance Report 24-25'!$A$1:$BO$617,5,0),"")</f>
        <v/>
      </c>
      <c r="Q709" s="89"/>
      <c r="R709" s="89"/>
      <c r="S709" s="89" t="str">
        <f t="shared" si="17"/>
        <v>#DIV/0!</v>
      </c>
      <c r="T709" s="89" t="str">
        <f t="shared" si="6"/>
        <v>#DIV/0!</v>
      </c>
      <c r="U709" s="89" t="str">
        <f t="shared" si="25"/>
        <v>#DIV/0!</v>
      </c>
      <c r="V709" s="89" t="str">
        <f t="shared" si="24"/>
        <v>#DIV/0!</v>
      </c>
      <c r="W709" s="89" t="str">
        <f t="shared" si="9"/>
        <v>#DIV/0!</v>
      </c>
      <c r="X709" s="89"/>
      <c r="Y709" s="89"/>
      <c r="Z709" s="89"/>
      <c r="AA709" s="89"/>
      <c r="AB709" s="89"/>
      <c r="AC709" s="89"/>
      <c r="AD709" s="89"/>
      <c r="AE709" s="89"/>
      <c r="AF709" s="89"/>
      <c r="AG709" s="89"/>
      <c r="AH709" s="89"/>
    </row>
    <row r="710">
      <c r="A710" s="8" t="s">
        <v>848</v>
      </c>
      <c r="B710" s="97"/>
      <c r="C710" s="8"/>
      <c r="D710" s="89" t="str">
        <f t="shared" si="1"/>
        <v/>
      </c>
      <c r="E710" s="89" t="str">
        <f t="shared" si="2"/>
        <v>OT Hours</v>
      </c>
      <c r="F710" s="89" t="str">
        <f>IFERROR(VLOOKUP(C710,'Employees List'!$B$1:$G$999,2,0),"")</f>
        <v/>
      </c>
      <c r="G710" s="89" t="str">
        <f t="shared" si="23"/>
        <v>#DIV/0!</v>
      </c>
      <c r="H710" s="98"/>
      <c r="I710" s="89" t="str">
        <f>IFERROR(VLOOKUP(F710,'Employees List'!$C:$F,2,0),"")</f>
        <v/>
      </c>
      <c r="J710" s="93" t="str">
        <f>IFERROR(VLOOKUP(C710,'Employees List'!$B$2:$G$991,5,0),"")</f>
        <v/>
      </c>
      <c r="K710" s="95" t="str">
        <f>IFERROR(VLOOKUP(F710,'Employees List'!$C$1:$AB$991,5,0),"")</f>
        <v/>
      </c>
      <c r="L710" s="91">
        <f t="shared" si="3"/>
        <v>0</v>
      </c>
      <c r="M710" s="91">
        <f t="shared" si="4"/>
        <v>0</v>
      </c>
      <c r="N710" s="89" t="str">
        <f>IFERROR(VLOOKUP(B710,'Employees List'!$A$2:$H$991,8,0),"")</f>
        <v/>
      </c>
      <c r="O710" s="89" t="str">
        <f>IFERROR(VLOOKUP(D710,'Daily Attendance Report 24-25'!A674:BP999,5,0),"")</f>
        <v/>
      </c>
      <c r="P710" s="89" t="str">
        <f>IFERROR(VLOOKUP(E710,'Daily Attendance Report 24-25'!$A$1:$BO$617,5,0),"")</f>
        <v/>
      </c>
      <c r="Q710" s="89"/>
      <c r="R710" s="89"/>
      <c r="S710" s="89" t="str">
        <f t="shared" si="17"/>
        <v>#DIV/0!</v>
      </c>
      <c r="T710" s="89" t="str">
        <f t="shared" si="6"/>
        <v>#DIV/0!</v>
      </c>
      <c r="U710" s="89" t="str">
        <f t="shared" si="25"/>
        <v>#DIV/0!</v>
      </c>
      <c r="V710" s="89" t="str">
        <f t="shared" si="24"/>
        <v>#DIV/0!</v>
      </c>
      <c r="W710" s="89" t="str">
        <f t="shared" si="9"/>
        <v>#DIV/0!</v>
      </c>
      <c r="X710" s="89"/>
      <c r="Y710" s="89"/>
      <c r="Z710" s="89"/>
      <c r="AA710" s="89"/>
      <c r="AB710" s="89"/>
      <c r="AC710" s="89"/>
      <c r="AD710" s="89"/>
      <c r="AE710" s="89"/>
      <c r="AF710" s="89"/>
      <c r="AG710" s="89"/>
      <c r="AH710" s="89"/>
    </row>
    <row r="711">
      <c r="A711" s="8" t="s">
        <v>849</v>
      </c>
      <c r="B711" s="97"/>
      <c r="C711" s="8"/>
      <c r="D711" s="89" t="str">
        <f t="shared" si="1"/>
        <v/>
      </c>
      <c r="E711" s="89" t="str">
        <f t="shared" si="2"/>
        <v>OT Hours</v>
      </c>
      <c r="F711" s="89" t="str">
        <f>IFERROR(VLOOKUP(C711,'Employees List'!$B$1:$G$999,2,0),"")</f>
        <v/>
      </c>
      <c r="G711" s="89" t="str">
        <f t="shared" si="23"/>
        <v>#DIV/0!</v>
      </c>
      <c r="H711" s="98"/>
      <c r="I711" s="89" t="str">
        <f>IFERROR(VLOOKUP(F711,'Employees List'!$C:$F,2,0),"")</f>
        <v/>
      </c>
      <c r="J711" s="93" t="str">
        <f>IFERROR(VLOOKUP(C711,'Employees List'!$B$2:$G$991,5,0),"")</f>
        <v/>
      </c>
      <c r="K711" s="95" t="str">
        <f>IFERROR(VLOOKUP(F711,'Employees List'!$C$1:$AB$991,5,0),"")</f>
        <v/>
      </c>
      <c r="L711" s="91">
        <f t="shared" si="3"/>
        <v>0</v>
      </c>
      <c r="M711" s="91">
        <f t="shared" si="4"/>
        <v>0</v>
      </c>
      <c r="N711" s="89" t="str">
        <f>IFERROR(VLOOKUP(B711,'Employees List'!$A$2:$H$991,8,0),"")</f>
        <v/>
      </c>
      <c r="O711" s="89" t="str">
        <f>IFERROR(VLOOKUP(D711,'Daily Attendance Report 24-25'!A675:BP999,5,0),"")</f>
        <v/>
      </c>
      <c r="P711" s="89" t="str">
        <f>IFERROR(VLOOKUP(E711,'Daily Attendance Report 24-25'!$A$1:$BO$617,5,0),"")</f>
        <v/>
      </c>
      <c r="Q711" s="89"/>
      <c r="R711" s="89"/>
      <c r="S711" s="89" t="str">
        <f t="shared" si="17"/>
        <v>#DIV/0!</v>
      </c>
      <c r="T711" s="89" t="str">
        <f t="shared" si="6"/>
        <v>#DIV/0!</v>
      </c>
      <c r="U711" s="89" t="str">
        <f t="shared" si="25"/>
        <v>#DIV/0!</v>
      </c>
      <c r="V711" s="89" t="str">
        <f t="shared" si="24"/>
        <v>#DIV/0!</v>
      </c>
      <c r="W711" s="89" t="str">
        <f t="shared" si="9"/>
        <v>#DIV/0!</v>
      </c>
      <c r="X711" s="89"/>
      <c r="Y711" s="89"/>
      <c r="Z711" s="89"/>
      <c r="AA711" s="89"/>
      <c r="AB711" s="89"/>
      <c r="AC711" s="89"/>
      <c r="AD711" s="89"/>
      <c r="AE711" s="89"/>
      <c r="AF711" s="89"/>
      <c r="AG711" s="89"/>
      <c r="AH711" s="89"/>
    </row>
    <row r="712">
      <c r="A712" s="8" t="s">
        <v>850</v>
      </c>
      <c r="B712" s="97"/>
      <c r="C712" s="8"/>
      <c r="D712" s="89" t="str">
        <f t="shared" si="1"/>
        <v/>
      </c>
      <c r="E712" s="89" t="str">
        <f t="shared" si="2"/>
        <v>OT Hours</v>
      </c>
      <c r="F712" s="89" t="str">
        <f>IFERROR(VLOOKUP(C712,'Employees List'!$B$1:$G$999,2,0),"")</f>
        <v/>
      </c>
      <c r="G712" s="89" t="str">
        <f t="shared" si="23"/>
        <v>#DIV/0!</v>
      </c>
      <c r="H712" s="98"/>
      <c r="I712" s="89" t="str">
        <f>IFERROR(VLOOKUP(F712,'Employees List'!$C:$F,2,0),"")</f>
        <v/>
      </c>
      <c r="J712" s="93" t="str">
        <f>IFERROR(VLOOKUP(C712,'Employees List'!$B$2:$G$991,5,0),"")</f>
        <v/>
      </c>
      <c r="K712" s="95" t="str">
        <f>IFERROR(VLOOKUP(F712,'Employees List'!$C$1:$AB$991,5,0),"")</f>
        <v/>
      </c>
      <c r="L712" s="91">
        <f t="shared" si="3"/>
        <v>0</v>
      </c>
      <c r="M712" s="91">
        <f t="shared" si="4"/>
        <v>0</v>
      </c>
      <c r="N712" s="89" t="str">
        <f>IFERROR(VLOOKUP(B712,'Employees List'!$A$2:$H$991,8,0),"")</f>
        <v/>
      </c>
      <c r="O712" s="89" t="str">
        <f>IFERROR(VLOOKUP(D712,'Daily Attendance Report 24-25'!A676:BP999,5,0),"")</f>
        <v/>
      </c>
      <c r="P712" s="89" t="str">
        <f>IFERROR(VLOOKUP(E712,'Daily Attendance Report 24-25'!$A$1:$BO$617,5,0),"")</f>
        <v/>
      </c>
      <c r="Q712" s="89"/>
      <c r="R712" s="89"/>
      <c r="S712" s="89" t="str">
        <f t="shared" si="17"/>
        <v>#DIV/0!</v>
      </c>
      <c r="T712" s="89" t="str">
        <f t="shared" si="6"/>
        <v>#DIV/0!</v>
      </c>
      <c r="U712" s="89" t="str">
        <f t="shared" si="25"/>
        <v>#DIV/0!</v>
      </c>
      <c r="V712" s="89" t="str">
        <f t="shared" si="24"/>
        <v>#DIV/0!</v>
      </c>
      <c r="W712" s="89" t="str">
        <f t="shared" si="9"/>
        <v>#DIV/0!</v>
      </c>
      <c r="X712" s="89"/>
      <c r="Y712" s="89"/>
      <c r="Z712" s="89"/>
      <c r="AA712" s="89"/>
      <c r="AB712" s="89"/>
      <c r="AC712" s="89"/>
      <c r="AD712" s="89"/>
      <c r="AE712" s="89"/>
      <c r="AF712" s="89"/>
      <c r="AG712" s="89"/>
      <c r="AH712" s="89"/>
    </row>
    <row r="713">
      <c r="A713" s="8" t="s">
        <v>851</v>
      </c>
      <c r="B713" s="97"/>
      <c r="C713" s="8"/>
      <c r="D713" s="89" t="str">
        <f t="shared" si="1"/>
        <v/>
      </c>
      <c r="E713" s="89" t="str">
        <f t="shared" si="2"/>
        <v>OT Hours</v>
      </c>
      <c r="F713" s="89" t="str">
        <f>IFERROR(VLOOKUP(C713,'Employees List'!$B$1:$G$999,2,0),"")</f>
        <v/>
      </c>
      <c r="G713" s="89" t="str">
        <f t="shared" si="23"/>
        <v>#DIV/0!</v>
      </c>
      <c r="H713" s="98"/>
      <c r="I713" s="89" t="str">
        <f>IFERROR(VLOOKUP(F713,'Employees List'!$C:$F,2,0),"")</f>
        <v/>
      </c>
      <c r="J713" s="93" t="str">
        <f>IFERROR(VLOOKUP(C713,'Employees List'!$B$2:$G$991,5,0),"")</f>
        <v/>
      </c>
      <c r="K713" s="95" t="str">
        <f>IFERROR(VLOOKUP(F713,'Employees List'!$C$1:$AB$991,5,0),"")</f>
        <v/>
      </c>
      <c r="L713" s="91">
        <f t="shared" si="3"/>
        <v>0</v>
      </c>
      <c r="M713" s="91">
        <f t="shared" si="4"/>
        <v>0</v>
      </c>
      <c r="N713" s="89" t="str">
        <f>IFERROR(VLOOKUP(B713,'Employees List'!$A$2:$H$991,8,0),"")</f>
        <v/>
      </c>
      <c r="O713" s="89" t="str">
        <f>IFERROR(VLOOKUP(D713,'Daily Attendance Report 24-25'!A677:BP999,5,0),"")</f>
        <v/>
      </c>
      <c r="P713" s="89" t="str">
        <f>IFERROR(VLOOKUP(E713,'Daily Attendance Report 24-25'!$A$1:$BO$617,5,0),"")</f>
        <v/>
      </c>
      <c r="Q713" s="89"/>
      <c r="R713" s="89"/>
      <c r="S713" s="89" t="str">
        <f t="shared" si="17"/>
        <v>#DIV/0!</v>
      </c>
      <c r="T713" s="89" t="str">
        <f t="shared" si="6"/>
        <v>#DIV/0!</v>
      </c>
      <c r="U713" s="89" t="str">
        <f t="shared" si="25"/>
        <v>#DIV/0!</v>
      </c>
      <c r="V713" s="89" t="str">
        <f t="shared" si="24"/>
        <v>#DIV/0!</v>
      </c>
      <c r="W713" s="89" t="str">
        <f t="shared" si="9"/>
        <v>#DIV/0!</v>
      </c>
      <c r="X713" s="89"/>
      <c r="Y713" s="89"/>
      <c r="Z713" s="89"/>
      <c r="AA713" s="89"/>
      <c r="AB713" s="89"/>
      <c r="AC713" s="89"/>
      <c r="AD713" s="89"/>
      <c r="AE713" s="89"/>
      <c r="AF713" s="89"/>
      <c r="AG713" s="89"/>
      <c r="AH713" s="89"/>
    </row>
    <row r="714">
      <c r="A714" s="8" t="s">
        <v>852</v>
      </c>
      <c r="B714" s="97"/>
      <c r="C714" s="8"/>
      <c r="D714" s="89" t="str">
        <f t="shared" si="1"/>
        <v/>
      </c>
      <c r="E714" s="89" t="str">
        <f t="shared" si="2"/>
        <v>OT Hours</v>
      </c>
      <c r="F714" s="89" t="str">
        <f>IFERROR(VLOOKUP(C714,'Employees List'!$B$1:$G$999,2,0),"")</f>
        <v/>
      </c>
      <c r="G714" s="89" t="str">
        <f t="shared" si="23"/>
        <v>#DIV/0!</v>
      </c>
      <c r="H714" s="98"/>
      <c r="I714" s="89" t="str">
        <f>IFERROR(VLOOKUP(F714,'Employees List'!$C:$F,2,0),"")</f>
        <v/>
      </c>
      <c r="J714" s="93" t="str">
        <f>IFERROR(VLOOKUP(C714,'Employees List'!$B$2:$G$991,5,0),"")</f>
        <v/>
      </c>
      <c r="K714" s="95" t="str">
        <f>IFERROR(VLOOKUP(F714,'Employees List'!$C$1:$AB$991,5,0),"")</f>
        <v/>
      </c>
      <c r="L714" s="91">
        <f t="shared" si="3"/>
        <v>0</v>
      </c>
      <c r="M714" s="91">
        <f t="shared" si="4"/>
        <v>0</v>
      </c>
      <c r="N714" s="89" t="str">
        <f>IFERROR(VLOOKUP(B714,'Employees List'!$A$2:$H$991,8,0),"")</f>
        <v/>
      </c>
      <c r="O714" s="89" t="str">
        <f>IFERROR(VLOOKUP(D714,'Daily Attendance Report 24-25'!A678:BP999,5,0),"")</f>
        <v/>
      </c>
      <c r="P714" s="89" t="str">
        <f>IFERROR(VLOOKUP(E714,'Daily Attendance Report 24-25'!$A$1:$BO$617,5,0),"")</f>
        <v/>
      </c>
      <c r="Q714" s="89"/>
      <c r="R714" s="89"/>
      <c r="S714" s="89" t="str">
        <f t="shared" si="17"/>
        <v>#DIV/0!</v>
      </c>
      <c r="T714" s="89" t="str">
        <f t="shared" si="6"/>
        <v>#DIV/0!</v>
      </c>
      <c r="U714" s="89" t="str">
        <f t="shared" si="25"/>
        <v>#DIV/0!</v>
      </c>
      <c r="V714" s="89" t="str">
        <f t="shared" si="24"/>
        <v>#DIV/0!</v>
      </c>
      <c r="W714" s="89" t="str">
        <f t="shared" si="9"/>
        <v>#DIV/0!</v>
      </c>
      <c r="X714" s="89"/>
      <c r="Y714" s="89"/>
      <c r="Z714" s="89"/>
      <c r="AA714" s="89"/>
      <c r="AB714" s="89"/>
      <c r="AC714" s="89"/>
      <c r="AD714" s="89"/>
      <c r="AE714" s="89"/>
      <c r="AF714" s="89"/>
      <c r="AG714" s="89"/>
      <c r="AH714" s="89"/>
    </row>
    <row r="715">
      <c r="A715" s="8" t="s">
        <v>853</v>
      </c>
      <c r="B715" s="97"/>
      <c r="C715" s="8"/>
      <c r="D715" s="89" t="str">
        <f t="shared" si="1"/>
        <v/>
      </c>
      <c r="E715" s="89" t="str">
        <f t="shared" si="2"/>
        <v>OT Hours</v>
      </c>
      <c r="F715" s="89" t="str">
        <f>IFERROR(VLOOKUP(C715,'Employees List'!$B$1:$G$999,2,0),"")</f>
        <v/>
      </c>
      <c r="G715" s="89" t="str">
        <f t="shared" si="23"/>
        <v>#DIV/0!</v>
      </c>
      <c r="H715" s="98"/>
      <c r="I715" s="89" t="str">
        <f>IFERROR(VLOOKUP(F715,'Employees List'!$C:$F,2,0),"")</f>
        <v/>
      </c>
      <c r="J715" s="93" t="str">
        <f>IFERROR(VLOOKUP(C715,'Employees List'!$B$2:$G$991,5,0),"")</f>
        <v/>
      </c>
      <c r="K715" s="95" t="str">
        <f>IFERROR(VLOOKUP(F715,'Employees List'!$C$1:$AB$991,5,0),"")</f>
        <v/>
      </c>
      <c r="L715" s="91">
        <f t="shared" si="3"/>
        <v>0</v>
      </c>
      <c r="M715" s="91">
        <f t="shared" si="4"/>
        <v>0</v>
      </c>
      <c r="N715" s="89" t="str">
        <f>IFERROR(VLOOKUP(B715,'Employees List'!$A$2:$H$991,8,0),"")</f>
        <v/>
      </c>
      <c r="O715" s="89" t="str">
        <f>IFERROR(VLOOKUP(D715,'Daily Attendance Report 24-25'!A679:BP999,5,0),"")</f>
        <v/>
      </c>
      <c r="P715" s="89" t="str">
        <f>IFERROR(VLOOKUP(E715,'Daily Attendance Report 24-25'!$A$1:$BO$617,5,0),"")</f>
        <v/>
      </c>
      <c r="Q715" s="89"/>
      <c r="R715" s="89"/>
      <c r="S715" s="89" t="str">
        <f t="shared" si="17"/>
        <v>#DIV/0!</v>
      </c>
      <c r="T715" s="89" t="str">
        <f t="shared" si="6"/>
        <v>#DIV/0!</v>
      </c>
      <c r="U715" s="89" t="str">
        <f t="shared" si="25"/>
        <v>#DIV/0!</v>
      </c>
      <c r="V715" s="89" t="str">
        <f t="shared" si="24"/>
        <v>#DIV/0!</v>
      </c>
      <c r="W715" s="89" t="str">
        <f t="shared" si="9"/>
        <v>#DIV/0!</v>
      </c>
      <c r="X715" s="89"/>
      <c r="Y715" s="89"/>
      <c r="Z715" s="89"/>
      <c r="AA715" s="89"/>
      <c r="AB715" s="89"/>
      <c r="AC715" s="89"/>
      <c r="AD715" s="89"/>
      <c r="AE715" s="89"/>
      <c r="AF715" s="89"/>
      <c r="AG715" s="89"/>
      <c r="AH715" s="89"/>
    </row>
    <row r="716">
      <c r="A716" s="8" t="s">
        <v>854</v>
      </c>
      <c r="B716" s="97"/>
      <c r="C716" s="8"/>
      <c r="D716" s="89" t="str">
        <f t="shared" si="1"/>
        <v/>
      </c>
      <c r="E716" s="89" t="str">
        <f t="shared" si="2"/>
        <v>OT Hours</v>
      </c>
      <c r="F716" s="89" t="str">
        <f>IFERROR(VLOOKUP(C716,'Employees List'!$B$1:$G$999,2,0),"")</f>
        <v/>
      </c>
      <c r="G716" s="89" t="str">
        <f t="shared" si="23"/>
        <v>#DIV/0!</v>
      </c>
      <c r="H716" s="98"/>
      <c r="I716" s="89" t="str">
        <f>IFERROR(VLOOKUP(F716,'Employees List'!$C:$F,2,0),"")</f>
        <v/>
      </c>
      <c r="J716" s="93" t="str">
        <f>IFERROR(VLOOKUP(C716,'Employees List'!$B$2:$G$991,5,0),"")</f>
        <v/>
      </c>
      <c r="K716" s="95" t="str">
        <f>IFERROR(VLOOKUP(F716,'Employees List'!$C$1:$AB$991,5,0),"")</f>
        <v/>
      </c>
      <c r="L716" s="91">
        <f t="shared" si="3"/>
        <v>0</v>
      </c>
      <c r="M716" s="91">
        <f t="shared" si="4"/>
        <v>0</v>
      </c>
      <c r="N716" s="89" t="str">
        <f>IFERROR(VLOOKUP(B716,'Employees List'!$A$2:$H$991,8,0),"")</f>
        <v/>
      </c>
      <c r="O716" s="89" t="str">
        <f>IFERROR(VLOOKUP(D716,'Daily Attendance Report 24-25'!A680:BP999,5,0),"")</f>
        <v/>
      </c>
      <c r="P716" s="89" t="str">
        <f>IFERROR(VLOOKUP(E716,'Daily Attendance Report 24-25'!$A$1:$BO$617,5,0),"")</f>
        <v/>
      </c>
      <c r="Q716" s="89"/>
      <c r="R716" s="89"/>
      <c r="S716" s="89" t="str">
        <f t="shared" si="17"/>
        <v>#DIV/0!</v>
      </c>
      <c r="T716" s="89" t="str">
        <f t="shared" si="6"/>
        <v>#DIV/0!</v>
      </c>
      <c r="U716" s="89" t="str">
        <f t="shared" si="25"/>
        <v>#DIV/0!</v>
      </c>
      <c r="V716" s="89" t="str">
        <f t="shared" si="24"/>
        <v>#DIV/0!</v>
      </c>
      <c r="W716" s="89" t="str">
        <f t="shared" si="9"/>
        <v>#DIV/0!</v>
      </c>
      <c r="X716" s="89"/>
      <c r="Y716" s="89"/>
      <c r="Z716" s="89"/>
      <c r="AA716" s="89"/>
      <c r="AB716" s="89"/>
      <c r="AC716" s="89"/>
      <c r="AD716" s="89"/>
      <c r="AE716" s="89"/>
      <c r="AF716" s="89"/>
      <c r="AG716" s="89"/>
      <c r="AH716" s="89"/>
    </row>
    <row r="717">
      <c r="A717" s="8" t="s">
        <v>855</v>
      </c>
      <c r="B717" s="97"/>
      <c r="C717" s="8"/>
      <c r="D717" s="89" t="str">
        <f t="shared" si="1"/>
        <v/>
      </c>
      <c r="E717" s="89" t="str">
        <f t="shared" si="2"/>
        <v>OT Hours</v>
      </c>
      <c r="F717" s="89" t="str">
        <f>IFERROR(VLOOKUP(C717,'Employees List'!$B$1:$G$999,2,0),"")</f>
        <v/>
      </c>
      <c r="G717" s="89" t="str">
        <f t="shared" si="23"/>
        <v>#DIV/0!</v>
      </c>
      <c r="H717" s="98"/>
      <c r="I717" s="89" t="str">
        <f>IFERROR(VLOOKUP(F717,'Employees List'!$C:$F,2,0),"")</f>
        <v/>
      </c>
      <c r="J717" s="93" t="str">
        <f>IFERROR(VLOOKUP(C717,'Employees List'!$B$2:$G$991,5,0),"")</f>
        <v/>
      </c>
      <c r="K717" s="95" t="str">
        <f>IFERROR(VLOOKUP(F717,'Employees List'!$C$1:$AB$991,5,0),"")</f>
        <v/>
      </c>
      <c r="L717" s="91">
        <f t="shared" si="3"/>
        <v>0</v>
      </c>
      <c r="M717" s="91">
        <f t="shared" si="4"/>
        <v>0</v>
      </c>
      <c r="N717" s="89" t="str">
        <f>IFERROR(VLOOKUP(B717,'Employees List'!$A$2:$H$991,8,0),"")</f>
        <v/>
      </c>
      <c r="O717" s="89" t="str">
        <f>IFERROR(VLOOKUP(D717,'Daily Attendance Report 24-25'!A681:BP999,5,0),"")</f>
        <v/>
      </c>
      <c r="P717" s="89" t="str">
        <f>IFERROR(VLOOKUP(E717,'Daily Attendance Report 24-25'!$A$1:$BO$617,5,0),"")</f>
        <v/>
      </c>
      <c r="Q717" s="89"/>
      <c r="R717" s="89"/>
      <c r="S717" s="89" t="str">
        <f t="shared" si="17"/>
        <v>#DIV/0!</v>
      </c>
      <c r="T717" s="89" t="str">
        <f t="shared" si="6"/>
        <v>#DIV/0!</v>
      </c>
      <c r="U717" s="89" t="str">
        <f t="shared" si="25"/>
        <v>#DIV/0!</v>
      </c>
      <c r="V717" s="89" t="str">
        <f t="shared" si="24"/>
        <v>#DIV/0!</v>
      </c>
      <c r="W717" s="89" t="str">
        <f t="shared" si="9"/>
        <v>#DIV/0!</v>
      </c>
      <c r="X717" s="89"/>
      <c r="Y717" s="89"/>
      <c r="Z717" s="89"/>
      <c r="AA717" s="89"/>
      <c r="AB717" s="89"/>
      <c r="AC717" s="89"/>
      <c r="AD717" s="89"/>
      <c r="AE717" s="89"/>
      <c r="AF717" s="89"/>
      <c r="AG717" s="89"/>
      <c r="AH717" s="89"/>
    </row>
    <row r="718">
      <c r="A718" s="8" t="s">
        <v>856</v>
      </c>
      <c r="B718" s="97"/>
      <c r="C718" s="8"/>
      <c r="D718" s="89" t="str">
        <f t="shared" si="1"/>
        <v/>
      </c>
      <c r="E718" s="89" t="str">
        <f t="shared" si="2"/>
        <v>OT Hours</v>
      </c>
      <c r="F718" s="89" t="str">
        <f>IFERROR(VLOOKUP(C718,'Employees List'!$B$1:$G$999,2,0),"")</f>
        <v/>
      </c>
      <c r="G718" s="89" t="str">
        <f t="shared" si="23"/>
        <v>#DIV/0!</v>
      </c>
      <c r="H718" s="98"/>
      <c r="I718" s="89" t="str">
        <f>IFERROR(VLOOKUP(F718,'Employees List'!$C:$F,2,0),"")</f>
        <v/>
      </c>
      <c r="J718" s="93" t="str">
        <f>IFERROR(VLOOKUP(C718,'Employees List'!$B$2:$G$991,5,0),"")</f>
        <v/>
      </c>
      <c r="K718" s="95" t="str">
        <f>IFERROR(VLOOKUP(F718,'Employees List'!$C$1:$AB$991,5,0),"")</f>
        <v/>
      </c>
      <c r="L718" s="91">
        <f t="shared" si="3"/>
        <v>0</v>
      </c>
      <c r="M718" s="91">
        <f t="shared" si="4"/>
        <v>0</v>
      </c>
      <c r="N718" s="89" t="str">
        <f>IFERROR(VLOOKUP(B718,'Employees List'!$A$2:$H$991,8,0),"")</f>
        <v/>
      </c>
      <c r="O718" s="89" t="str">
        <f>IFERROR(VLOOKUP(D718,'Daily Attendance Report 24-25'!A682:BP999,5,0),"")</f>
        <v/>
      </c>
      <c r="P718" s="89" t="str">
        <f>IFERROR(VLOOKUP(E718,'Daily Attendance Report 24-25'!$A$1:$BO$617,5,0),"")</f>
        <v/>
      </c>
      <c r="Q718" s="89"/>
      <c r="R718" s="89"/>
      <c r="S718" s="89" t="str">
        <f t="shared" si="17"/>
        <v>#DIV/0!</v>
      </c>
      <c r="T718" s="89" t="str">
        <f t="shared" si="6"/>
        <v>#DIV/0!</v>
      </c>
      <c r="U718" s="89" t="str">
        <f t="shared" si="25"/>
        <v>#DIV/0!</v>
      </c>
      <c r="V718" s="89" t="str">
        <f t="shared" si="24"/>
        <v>#DIV/0!</v>
      </c>
      <c r="W718" s="89" t="str">
        <f t="shared" si="9"/>
        <v>#DIV/0!</v>
      </c>
      <c r="X718" s="89"/>
      <c r="Y718" s="89"/>
      <c r="Z718" s="89"/>
      <c r="AA718" s="89"/>
      <c r="AB718" s="89"/>
      <c r="AC718" s="89"/>
      <c r="AD718" s="89"/>
      <c r="AE718" s="89"/>
      <c r="AF718" s="89"/>
      <c r="AG718" s="89"/>
      <c r="AH718" s="89"/>
    </row>
    <row r="719">
      <c r="A719" s="8" t="s">
        <v>857</v>
      </c>
      <c r="B719" s="97"/>
      <c r="C719" s="8"/>
      <c r="D719" s="89" t="str">
        <f t="shared" si="1"/>
        <v/>
      </c>
      <c r="E719" s="89" t="str">
        <f t="shared" si="2"/>
        <v>OT Hours</v>
      </c>
      <c r="F719" s="89" t="str">
        <f>IFERROR(VLOOKUP(C719,'Employees List'!$B$1:$G$999,2,0),"")</f>
        <v/>
      </c>
      <c r="G719" s="89" t="str">
        <f t="shared" si="23"/>
        <v>#DIV/0!</v>
      </c>
      <c r="H719" s="98"/>
      <c r="I719" s="89" t="str">
        <f>IFERROR(VLOOKUP(F719,'Employees List'!$C:$F,2,0),"")</f>
        <v/>
      </c>
      <c r="J719" s="93" t="str">
        <f>IFERROR(VLOOKUP(C719,'Employees List'!$B$2:$G$991,5,0),"")</f>
        <v/>
      </c>
      <c r="K719" s="95" t="str">
        <f>IFERROR(VLOOKUP(F719,'Employees List'!$C$1:$AB$991,5,0),"")</f>
        <v/>
      </c>
      <c r="L719" s="91">
        <f t="shared" si="3"/>
        <v>0</v>
      </c>
      <c r="M719" s="91">
        <f t="shared" si="4"/>
        <v>0</v>
      </c>
      <c r="N719" s="89" t="str">
        <f>IFERROR(VLOOKUP(B719,'Employees List'!$A$2:$H$991,8,0),"")</f>
        <v/>
      </c>
      <c r="O719" s="89" t="str">
        <f>IFERROR(VLOOKUP(D719,'Daily Attendance Report 24-25'!A683:BP999,5,0),"")</f>
        <v/>
      </c>
      <c r="P719" s="89" t="str">
        <f>IFERROR(VLOOKUP(E719,'Daily Attendance Report 24-25'!$A$1:$BO$617,5,0),"")</f>
        <v/>
      </c>
      <c r="Q719" s="89"/>
      <c r="R719" s="89"/>
      <c r="S719" s="89" t="str">
        <f t="shared" si="17"/>
        <v>#DIV/0!</v>
      </c>
      <c r="T719" s="89" t="str">
        <f t="shared" si="6"/>
        <v>#DIV/0!</v>
      </c>
      <c r="U719" s="89" t="str">
        <f t="shared" si="25"/>
        <v>#DIV/0!</v>
      </c>
      <c r="V719" s="89" t="str">
        <f t="shared" si="24"/>
        <v>#DIV/0!</v>
      </c>
      <c r="W719" s="89" t="str">
        <f t="shared" si="9"/>
        <v>#DIV/0!</v>
      </c>
      <c r="X719" s="89"/>
      <c r="Y719" s="89"/>
      <c r="Z719" s="89"/>
      <c r="AA719" s="89"/>
      <c r="AB719" s="89"/>
      <c r="AC719" s="89"/>
      <c r="AD719" s="89"/>
      <c r="AE719" s="89"/>
      <c r="AF719" s="89"/>
      <c r="AG719" s="89"/>
      <c r="AH719" s="89"/>
    </row>
    <row r="720">
      <c r="A720" s="8" t="s">
        <v>858</v>
      </c>
      <c r="B720" s="97"/>
      <c r="C720" s="8"/>
      <c r="D720" s="89" t="str">
        <f t="shared" si="1"/>
        <v/>
      </c>
      <c r="E720" s="89" t="str">
        <f t="shared" si="2"/>
        <v>OT Hours</v>
      </c>
      <c r="F720" s="89" t="str">
        <f>IFERROR(VLOOKUP(C720,'Employees List'!$B$1:$G$999,2,0),"")</f>
        <v/>
      </c>
      <c r="G720" s="89" t="str">
        <f t="shared" si="23"/>
        <v>#DIV/0!</v>
      </c>
      <c r="H720" s="98"/>
      <c r="I720" s="89" t="str">
        <f>IFERROR(VLOOKUP(F720,'Employees List'!$C:$F,2,0),"")</f>
        <v/>
      </c>
      <c r="J720" s="93" t="str">
        <f>IFERROR(VLOOKUP(C720,'Employees List'!$B$2:$G$991,5,0),"")</f>
        <v/>
      </c>
      <c r="K720" s="95" t="str">
        <f>IFERROR(VLOOKUP(F720,'Employees List'!$C$1:$AB$991,5,0),"")</f>
        <v/>
      </c>
      <c r="L720" s="91">
        <f t="shared" si="3"/>
        <v>0</v>
      </c>
      <c r="M720" s="91">
        <f t="shared" si="4"/>
        <v>0</v>
      </c>
      <c r="N720" s="89" t="str">
        <f>IFERROR(VLOOKUP(B720,'Employees List'!$A$2:$H$991,8,0),"")</f>
        <v/>
      </c>
      <c r="O720" s="89" t="str">
        <f>IFERROR(VLOOKUP(D720,'Daily Attendance Report 24-25'!A684:BP999,5,0),"")</f>
        <v/>
      </c>
      <c r="P720" s="89" t="str">
        <f>IFERROR(VLOOKUP(E720,'Daily Attendance Report 24-25'!$A$1:$BO$617,5,0),"")</f>
        <v/>
      </c>
      <c r="Q720" s="89"/>
      <c r="R720" s="89"/>
      <c r="S720" s="89" t="str">
        <f t="shared" si="17"/>
        <v>#DIV/0!</v>
      </c>
      <c r="T720" s="89" t="str">
        <f t="shared" si="6"/>
        <v>#DIV/0!</v>
      </c>
      <c r="U720" s="89" t="str">
        <f t="shared" si="25"/>
        <v>#DIV/0!</v>
      </c>
      <c r="V720" s="89" t="str">
        <f t="shared" si="24"/>
        <v>#DIV/0!</v>
      </c>
      <c r="W720" s="89" t="str">
        <f t="shared" si="9"/>
        <v>#DIV/0!</v>
      </c>
      <c r="X720" s="89"/>
      <c r="Y720" s="89"/>
      <c r="Z720" s="89"/>
      <c r="AA720" s="89"/>
      <c r="AB720" s="89"/>
      <c r="AC720" s="89"/>
      <c r="AD720" s="89"/>
      <c r="AE720" s="89"/>
      <c r="AF720" s="89"/>
      <c r="AG720" s="89"/>
      <c r="AH720" s="89"/>
    </row>
    <row r="721">
      <c r="A721" s="8" t="s">
        <v>859</v>
      </c>
      <c r="B721" s="97"/>
      <c r="C721" s="8"/>
      <c r="D721" s="89" t="str">
        <f t="shared" si="1"/>
        <v/>
      </c>
      <c r="E721" s="89" t="str">
        <f t="shared" si="2"/>
        <v>OT Hours</v>
      </c>
      <c r="F721" s="89" t="str">
        <f>IFERROR(VLOOKUP(C721,'Employees List'!$B$1:$G$999,2,0),"")</f>
        <v/>
      </c>
      <c r="G721" s="89" t="str">
        <f t="shared" si="23"/>
        <v>#DIV/0!</v>
      </c>
      <c r="H721" s="98"/>
      <c r="I721" s="89" t="str">
        <f>IFERROR(VLOOKUP(F721,'Employees List'!$C:$F,2,0),"")</f>
        <v/>
      </c>
      <c r="J721" s="93" t="str">
        <f>IFERROR(VLOOKUP(C721,'Employees List'!$B$2:$G$991,5,0),"")</f>
        <v/>
      </c>
      <c r="K721" s="95" t="str">
        <f>IFERROR(VLOOKUP(F721,'Employees List'!$C$1:$AB$991,5,0),"")</f>
        <v/>
      </c>
      <c r="L721" s="91">
        <f t="shared" si="3"/>
        <v>0</v>
      </c>
      <c r="M721" s="91">
        <f t="shared" si="4"/>
        <v>0</v>
      </c>
      <c r="N721" s="89" t="str">
        <f>IFERROR(VLOOKUP(B721,'Employees List'!$A$2:$H$991,8,0),"")</f>
        <v/>
      </c>
      <c r="O721" s="89" t="str">
        <f>IFERROR(VLOOKUP(D721,'Daily Attendance Report 24-25'!A685:BP999,5,0),"")</f>
        <v/>
      </c>
      <c r="P721" s="89" t="str">
        <f>IFERROR(VLOOKUP(E721,'Daily Attendance Report 24-25'!$A$1:$BO$617,5,0),"")</f>
        <v/>
      </c>
      <c r="Q721" s="89"/>
      <c r="R721" s="89"/>
      <c r="S721" s="89" t="str">
        <f t="shared" si="17"/>
        <v>#DIV/0!</v>
      </c>
      <c r="T721" s="89" t="str">
        <f t="shared" si="6"/>
        <v>#DIV/0!</v>
      </c>
      <c r="U721" s="89" t="str">
        <f t="shared" si="25"/>
        <v>#DIV/0!</v>
      </c>
      <c r="V721" s="89" t="str">
        <f t="shared" si="24"/>
        <v>#DIV/0!</v>
      </c>
      <c r="W721" s="89" t="str">
        <f t="shared" si="9"/>
        <v>#DIV/0!</v>
      </c>
      <c r="X721" s="89"/>
      <c r="Y721" s="89"/>
      <c r="Z721" s="89"/>
      <c r="AA721" s="89"/>
      <c r="AB721" s="89"/>
      <c r="AC721" s="89"/>
      <c r="AD721" s="89"/>
      <c r="AE721" s="89"/>
      <c r="AF721" s="89"/>
      <c r="AG721" s="89"/>
      <c r="AH721" s="89"/>
    </row>
    <row r="722">
      <c r="A722" s="8" t="s">
        <v>860</v>
      </c>
      <c r="B722" s="97"/>
      <c r="C722" s="8"/>
      <c r="D722" s="89" t="str">
        <f t="shared" si="1"/>
        <v/>
      </c>
      <c r="E722" s="89" t="str">
        <f t="shared" si="2"/>
        <v>OT Hours</v>
      </c>
      <c r="F722" s="89" t="str">
        <f>IFERROR(VLOOKUP(C722,'Employees List'!$B$1:$G$999,2,0),"")</f>
        <v/>
      </c>
      <c r="G722" s="89" t="str">
        <f t="shared" si="23"/>
        <v>#DIV/0!</v>
      </c>
      <c r="H722" s="98"/>
      <c r="I722" s="89" t="str">
        <f>IFERROR(VLOOKUP(F722,'Employees List'!$C:$F,2,0),"")</f>
        <v/>
      </c>
      <c r="J722" s="93" t="str">
        <f>IFERROR(VLOOKUP(C722,'Employees List'!$B$2:$G$991,5,0),"")</f>
        <v/>
      </c>
      <c r="K722" s="95" t="str">
        <f>IFERROR(VLOOKUP(F722,'Employees List'!$C$1:$AB$991,5,0),"")</f>
        <v/>
      </c>
      <c r="L722" s="91">
        <f t="shared" si="3"/>
        <v>0</v>
      </c>
      <c r="M722" s="91">
        <f t="shared" si="4"/>
        <v>0</v>
      </c>
      <c r="N722" s="89" t="str">
        <f>IFERROR(VLOOKUP(B722,'Employees List'!$A$2:$H$991,8,0),"")</f>
        <v/>
      </c>
      <c r="O722" s="89" t="str">
        <f>IFERROR(VLOOKUP(D722,'Daily Attendance Report 24-25'!A686:BP999,5,0),"")</f>
        <v/>
      </c>
      <c r="P722" s="89" t="str">
        <f>IFERROR(VLOOKUP(E722,'Daily Attendance Report 24-25'!$A$1:$BO$617,5,0),"")</f>
        <v/>
      </c>
      <c r="Q722" s="89"/>
      <c r="R722" s="89"/>
      <c r="S722" s="89" t="str">
        <f t="shared" si="17"/>
        <v>#DIV/0!</v>
      </c>
      <c r="T722" s="89" t="str">
        <f t="shared" si="6"/>
        <v>#DIV/0!</v>
      </c>
      <c r="U722" s="89" t="str">
        <f t="shared" si="25"/>
        <v>#DIV/0!</v>
      </c>
      <c r="V722" s="89" t="str">
        <f t="shared" si="24"/>
        <v>#DIV/0!</v>
      </c>
      <c r="W722" s="89" t="str">
        <f t="shared" si="9"/>
        <v>#DIV/0!</v>
      </c>
      <c r="X722" s="89"/>
      <c r="Y722" s="89"/>
      <c r="Z722" s="89"/>
      <c r="AA722" s="89"/>
      <c r="AB722" s="89"/>
      <c r="AC722" s="89"/>
      <c r="AD722" s="89"/>
      <c r="AE722" s="89"/>
      <c r="AF722" s="89"/>
      <c r="AG722" s="89"/>
      <c r="AH722" s="89"/>
    </row>
    <row r="723">
      <c r="A723" s="8" t="s">
        <v>861</v>
      </c>
      <c r="B723" s="97"/>
      <c r="C723" s="8"/>
      <c r="D723" s="89" t="str">
        <f t="shared" si="1"/>
        <v/>
      </c>
      <c r="E723" s="89" t="str">
        <f t="shared" si="2"/>
        <v>OT Hours</v>
      </c>
      <c r="F723" s="89" t="str">
        <f>IFERROR(VLOOKUP(C723,'Employees List'!$B$1:$G$999,2,0),"")</f>
        <v/>
      </c>
      <c r="G723" s="89" t="str">
        <f t="shared" si="23"/>
        <v>#DIV/0!</v>
      </c>
      <c r="H723" s="98"/>
      <c r="I723" s="89" t="str">
        <f>IFERROR(VLOOKUP(F723,'Employees List'!$C:$F,2,0),"")</f>
        <v/>
      </c>
      <c r="J723" s="93" t="str">
        <f>IFERROR(VLOOKUP(C723,'Employees List'!$B$2:$G$991,5,0),"")</f>
        <v/>
      </c>
      <c r="K723" s="95" t="str">
        <f>IFERROR(VLOOKUP(F723,'Employees List'!$C$1:$AB$991,5,0),"")</f>
        <v/>
      </c>
      <c r="L723" s="91">
        <f t="shared" si="3"/>
        <v>0</v>
      </c>
      <c r="M723" s="91">
        <f t="shared" si="4"/>
        <v>0</v>
      </c>
      <c r="N723" s="89" t="str">
        <f>IFERROR(VLOOKUP(B723,'Employees List'!$A$2:$H$991,8,0),"")</f>
        <v/>
      </c>
      <c r="O723" s="89" t="str">
        <f>IFERROR(VLOOKUP(D723,'Daily Attendance Report 24-25'!A687:BP999,5,0),"")</f>
        <v/>
      </c>
      <c r="P723" s="89" t="str">
        <f>IFERROR(VLOOKUP(E723,'Daily Attendance Report 24-25'!$A$1:$BO$617,5,0),"")</f>
        <v/>
      </c>
      <c r="Q723" s="89"/>
      <c r="R723" s="89"/>
      <c r="S723" s="89" t="str">
        <f t="shared" si="17"/>
        <v>#DIV/0!</v>
      </c>
      <c r="T723" s="89" t="str">
        <f t="shared" si="6"/>
        <v>#DIV/0!</v>
      </c>
      <c r="U723" s="89" t="str">
        <f t="shared" si="25"/>
        <v>#DIV/0!</v>
      </c>
      <c r="V723" s="89" t="str">
        <f t="shared" si="24"/>
        <v>#DIV/0!</v>
      </c>
      <c r="W723" s="89" t="str">
        <f t="shared" si="9"/>
        <v>#DIV/0!</v>
      </c>
      <c r="X723" s="89"/>
      <c r="Y723" s="89"/>
      <c r="Z723" s="89"/>
      <c r="AA723" s="89"/>
      <c r="AB723" s="89"/>
      <c r="AC723" s="89"/>
      <c r="AD723" s="89"/>
      <c r="AE723" s="89"/>
      <c r="AF723" s="89"/>
      <c r="AG723" s="89"/>
      <c r="AH723" s="89"/>
    </row>
    <row r="724">
      <c r="A724" s="8" t="s">
        <v>862</v>
      </c>
      <c r="B724" s="97"/>
      <c r="C724" s="8"/>
      <c r="D724" s="89" t="str">
        <f t="shared" si="1"/>
        <v/>
      </c>
      <c r="E724" s="89" t="str">
        <f t="shared" si="2"/>
        <v>OT Hours</v>
      </c>
      <c r="F724" s="89" t="str">
        <f>IFERROR(VLOOKUP(C724,'Employees List'!$B$1:$G$999,2,0),"")</f>
        <v/>
      </c>
      <c r="G724" s="89" t="str">
        <f t="shared" si="23"/>
        <v>#DIV/0!</v>
      </c>
      <c r="H724" s="98"/>
      <c r="I724" s="89" t="str">
        <f>IFERROR(VLOOKUP(F724,'Employees List'!$C:$F,2,0),"")</f>
        <v/>
      </c>
      <c r="J724" s="93" t="str">
        <f>IFERROR(VLOOKUP(C724,'Employees List'!$B$2:$G$991,5,0),"")</f>
        <v/>
      </c>
      <c r="K724" s="95" t="str">
        <f>IFERROR(VLOOKUP(F724,'Employees List'!$C$1:$AB$991,5,0),"")</f>
        <v/>
      </c>
      <c r="L724" s="91">
        <f t="shared" si="3"/>
        <v>0</v>
      </c>
      <c r="M724" s="91">
        <f t="shared" si="4"/>
        <v>0</v>
      </c>
      <c r="N724" s="89" t="str">
        <f>IFERROR(VLOOKUP(B724,'Employees List'!$A$2:$H$991,8,0),"")</f>
        <v/>
      </c>
      <c r="O724" s="89" t="str">
        <f>IFERROR(VLOOKUP(D724,'Daily Attendance Report 24-25'!A688:BP999,5,0),"")</f>
        <v/>
      </c>
      <c r="P724" s="89" t="str">
        <f>IFERROR(VLOOKUP(E724,'Daily Attendance Report 24-25'!$A$1:$BO$617,5,0),"")</f>
        <v/>
      </c>
      <c r="Q724" s="89"/>
      <c r="R724" s="89"/>
      <c r="S724" s="89" t="str">
        <f t="shared" si="17"/>
        <v>#DIV/0!</v>
      </c>
      <c r="T724" s="89" t="str">
        <f t="shared" si="6"/>
        <v>#DIV/0!</v>
      </c>
      <c r="U724" s="89" t="str">
        <f t="shared" si="25"/>
        <v>#DIV/0!</v>
      </c>
      <c r="V724" s="89" t="str">
        <f t="shared" si="24"/>
        <v>#DIV/0!</v>
      </c>
      <c r="W724" s="89" t="str">
        <f t="shared" si="9"/>
        <v>#DIV/0!</v>
      </c>
      <c r="X724" s="89"/>
      <c r="Y724" s="89"/>
      <c r="Z724" s="89"/>
      <c r="AA724" s="89"/>
      <c r="AB724" s="89"/>
      <c r="AC724" s="89"/>
      <c r="AD724" s="89"/>
      <c r="AE724" s="89"/>
      <c r="AF724" s="89"/>
      <c r="AG724" s="89"/>
      <c r="AH724" s="89"/>
    </row>
    <row r="725">
      <c r="A725" s="8" t="s">
        <v>863</v>
      </c>
      <c r="B725" s="97"/>
      <c r="C725" s="8"/>
      <c r="D725" s="89" t="str">
        <f t="shared" si="1"/>
        <v/>
      </c>
      <c r="E725" s="89" t="str">
        <f t="shared" si="2"/>
        <v>OT Hours</v>
      </c>
      <c r="F725" s="89" t="str">
        <f>IFERROR(VLOOKUP(C725,'Employees List'!$B$1:$G$999,2,0),"")</f>
        <v/>
      </c>
      <c r="G725" s="89" t="str">
        <f t="shared" si="23"/>
        <v>#DIV/0!</v>
      </c>
      <c r="H725" s="98"/>
      <c r="I725" s="89" t="str">
        <f>IFERROR(VLOOKUP(F725,'Employees List'!$C:$F,2,0),"")</f>
        <v/>
      </c>
      <c r="J725" s="93" t="str">
        <f>IFERROR(VLOOKUP(C725,'Employees List'!$B$2:$G$991,5,0),"")</f>
        <v/>
      </c>
      <c r="K725" s="95" t="str">
        <f>IFERROR(VLOOKUP(F725,'Employees List'!$C$1:$AB$991,5,0),"")</f>
        <v/>
      </c>
      <c r="L725" s="91">
        <f t="shared" si="3"/>
        <v>0</v>
      </c>
      <c r="M725" s="91">
        <f t="shared" si="4"/>
        <v>0</v>
      </c>
      <c r="N725" s="89" t="str">
        <f>IFERROR(VLOOKUP(B725,'Employees List'!$A$2:$H$991,8,0),"")</f>
        <v/>
      </c>
      <c r="O725" s="89" t="str">
        <f>IFERROR(VLOOKUP(D725,'Daily Attendance Report 24-25'!A689:BP999,5,0),"")</f>
        <v/>
      </c>
      <c r="P725" s="89" t="str">
        <f>IFERROR(VLOOKUP(E725,'Daily Attendance Report 24-25'!$A$1:$BO$617,5,0),"")</f>
        <v/>
      </c>
      <c r="Q725" s="89"/>
      <c r="R725" s="89"/>
      <c r="S725" s="89" t="str">
        <f t="shared" si="17"/>
        <v>#DIV/0!</v>
      </c>
      <c r="T725" s="89" t="str">
        <f t="shared" si="6"/>
        <v>#DIV/0!</v>
      </c>
      <c r="U725" s="89" t="str">
        <f t="shared" si="25"/>
        <v>#DIV/0!</v>
      </c>
      <c r="V725" s="89" t="str">
        <f t="shared" si="24"/>
        <v>#DIV/0!</v>
      </c>
      <c r="W725" s="89" t="str">
        <f t="shared" si="9"/>
        <v>#DIV/0!</v>
      </c>
      <c r="X725" s="89"/>
      <c r="Y725" s="89"/>
      <c r="Z725" s="89"/>
      <c r="AA725" s="89"/>
      <c r="AB725" s="89"/>
      <c r="AC725" s="89"/>
      <c r="AD725" s="89"/>
      <c r="AE725" s="89"/>
      <c r="AF725" s="89"/>
      <c r="AG725" s="89"/>
      <c r="AH725" s="89"/>
    </row>
    <row r="726">
      <c r="A726" s="8" t="s">
        <v>864</v>
      </c>
      <c r="B726" s="97"/>
      <c r="C726" s="8"/>
      <c r="D726" s="89" t="str">
        <f t="shared" si="1"/>
        <v/>
      </c>
      <c r="E726" s="89" t="str">
        <f t="shared" si="2"/>
        <v>OT Hours</v>
      </c>
      <c r="F726" s="89" t="str">
        <f>IFERROR(VLOOKUP(C726,'Employees List'!$B$1:$G$999,2,0),"")</f>
        <v/>
      </c>
      <c r="G726" s="89" t="str">
        <f t="shared" si="23"/>
        <v>#DIV/0!</v>
      </c>
      <c r="H726" s="98"/>
      <c r="I726" s="89" t="str">
        <f>IFERROR(VLOOKUP(F726,'Employees List'!$C:$F,2,0),"")</f>
        <v/>
      </c>
      <c r="J726" s="93" t="str">
        <f>IFERROR(VLOOKUP(C726,'Employees List'!$B$2:$G$991,5,0),"")</f>
        <v/>
      </c>
      <c r="K726" s="95" t="str">
        <f>IFERROR(VLOOKUP(F726,'Employees List'!$C$1:$AB$991,5,0),"")</f>
        <v/>
      </c>
      <c r="L726" s="91">
        <f t="shared" si="3"/>
        <v>0</v>
      </c>
      <c r="M726" s="91">
        <f t="shared" si="4"/>
        <v>0</v>
      </c>
      <c r="N726" s="89" t="str">
        <f>IFERROR(VLOOKUP(B726,'Employees List'!$A$2:$H$991,8,0),"")</f>
        <v/>
      </c>
      <c r="O726" s="89" t="str">
        <f>IFERROR(VLOOKUP(D726,'Daily Attendance Report 24-25'!A690:BP999,5,0),"")</f>
        <v/>
      </c>
      <c r="P726" s="89" t="str">
        <f>IFERROR(VLOOKUP(E726,'Daily Attendance Report 24-25'!$A$1:$BO$617,5,0),"")</f>
        <v/>
      </c>
      <c r="Q726" s="89"/>
      <c r="R726" s="89"/>
      <c r="S726" s="89" t="str">
        <f t="shared" si="17"/>
        <v>#DIV/0!</v>
      </c>
      <c r="T726" s="89" t="str">
        <f t="shared" si="6"/>
        <v>#DIV/0!</v>
      </c>
      <c r="U726" s="89" t="str">
        <f t="shared" si="25"/>
        <v>#DIV/0!</v>
      </c>
      <c r="V726" s="89" t="str">
        <f t="shared" si="24"/>
        <v>#DIV/0!</v>
      </c>
      <c r="W726" s="89" t="str">
        <f t="shared" si="9"/>
        <v>#DIV/0!</v>
      </c>
      <c r="X726" s="89"/>
      <c r="Y726" s="89"/>
      <c r="Z726" s="89"/>
      <c r="AA726" s="89"/>
      <c r="AB726" s="89"/>
      <c r="AC726" s="89"/>
      <c r="AD726" s="89"/>
      <c r="AE726" s="89"/>
      <c r="AF726" s="89"/>
      <c r="AG726" s="89"/>
      <c r="AH726" s="89"/>
    </row>
    <row r="727">
      <c r="A727" s="8" t="s">
        <v>865</v>
      </c>
      <c r="B727" s="97"/>
      <c r="C727" s="8"/>
      <c r="D727" s="89" t="str">
        <f t="shared" si="1"/>
        <v/>
      </c>
      <c r="E727" s="89" t="str">
        <f t="shared" si="2"/>
        <v>OT Hours</v>
      </c>
      <c r="F727" s="89" t="str">
        <f>IFERROR(VLOOKUP(C727,'Employees List'!$B$1:$G$999,2,0),"")</f>
        <v/>
      </c>
      <c r="G727" s="89" t="str">
        <f t="shared" si="23"/>
        <v>#DIV/0!</v>
      </c>
      <c r="H727" s="98"/>
      <c r="I727" s="89" t="str">
        <f>IFERROR(VLOOKUP(F727,'Employees List'!$C:$F,2,0),"")</f>
        <v/>
      </c>
      <c r="J727" s="93" t="str">
        <f>IFERROR(VLOOKUP(C727,'Employees List'!$B$2:$G$991,5,0),"")</f>
        <v/>
      </c>
      <c r="K727" s="95" t="str">
        <f>IFERROR(VLOOKUP(F727,'Employees List'!$C$1:$AB$991,5,0),"")</f>
        <v/>
      </c>
      <c r="L727" s="91">
        <f t="shared" si="3"/>
        <v>0</v>
      </c>
      <c r="M727" s="91">
        <f t="shared" si="4"/>
        <v>0</v>
      </c>
      <c r="N727" s="89" t="str">
        <f>IFERROR(VLOOKUP(B727,'Employees List'!$A$2:$H$991,8,0),"")</f>
        <v/>
      </c>
      <c r="O727" s="89" t="str">
        <f>IFERROR(VLOOKUP(D727,'Daily Attendance Report 24-25'!A691:BP999,5,0),"")</f>
        <v/>
      </c>
      <c r="P727" s="89" t="str">
        <f>IFERROR(VLOOKUP(E727,'Daily Attendance Report 24-25'!$A$1:$BO$617,5,0),"")</f>
        <v/>
      </c>
      <c r="Q727" s="89"/>
      <c r="R727" s="89"/>
      <c r="S727" s="89" t="str">
        <f t="shared" si="17"/>
        <v>#DIV/0!</v>
      </c>
      <c r="T727" s="89" t="str">
        <f t="shared" si="6"/>
        <v>#DIV/0!</v>
      </c>
      <c r="U727" s="89" t="str">
        <f t="shared" si="25"/>
        <v>#DIV/0!</v>
      </c>
      <c r="V727" s="89" t="str">
        <f t="shared" si="24"/>
        <v>#DIV/0!</v>
      </c>
      <c r="W727" s="89" t="str">
        <f t="shared" si="9"/>
        <v>#DIV/0!</v>
      </c>
      <c r="X727" s="89"/>
      <c r="Y727" s="89"/>
      <c r="Z727" s="89"/>
      <c r="AA727" s="89"/>
      <c r="AB727" s="89"/>
      <c r="AC727" s="89"/>
      <c r="AD727" s="89"/>
      <c r="AE727" s="89"/>
      <c r="AF727" s="89"/>
      <c r="AG727" s="89"/>
      <c r="AH727" s="89"/>
    </row>
    <row r="728">
      <c r="A728" s="8" t="s">
        <v>866</v>
      </c>
      <c r="B728" s="97"/>
      <c r="C728" s="8"/>
      <c r="D728" s="89" t="str">
        <f t="shared" si="1"/>
        <v/>
      </c>
      <c r="E728" s="89" t="str">
        <f t="shared" si="2"/>
        <v>OT Hours</v>
      </c>
      <c r="F728" s="89" t="str">
        <f>IFERROR(VLOOKUP(C728,'Employees List'!$B$1:$G$999,2,0),"")</f>
        <v/>
      </c>
      <c r="G728" s="89" t="str">
        <f t="shared" si="23"/>
        <v>#DIV/0!</v>
      </c>
      <c r="H728" s="98"/>
      <c r="I728" s="89" t="str">
        <f>IFERROR(VLOOKUP(F728,'Employees List'!$C:$F,2,0),"")</f>
        <v/>
      </c>
      <c r="J728" s="93" t="str">
        <f>IFERROR(VLOOKUP(C728,'Employees List'!$B$2:$G$991,5,0),"")</f>
        <v/>
      </c>
      <c r="K728" s="95" t="str">
        <f>IFERROR(VLOOKUP(F728,'Employees List'!$C$1:$AB$991,5,0),"")</f>
        <v/>
      </c>
      <c r="L728" s="91">
        <f t="shared" si="3"/>
        <v>0</v>
      </c>
      <c r="M728" s="91">
        <f t="shared" si="4"/>
        <v>0</v>
      </c>
      <c r="N728" s="89" t="str">
        <f>IFERROR(VLOOKUP(B728,'Employees List'!$A$2:$H$991,8,0),"")</f>
        <v/>
      </c>
      <c r="O728" s="89" t="str">
        <f>IFERROR(VLOOKUP(D728,'Daily Attendance Report 24-25'!A692:BP999,5,0),"")</f>
        <v/>
      </c>
      <c r="P728" s="89" t="str">
        <f>IFERROR(VLOOKUP(E728,'Daily Attendance Report 24-25'!$A$1:$BO$617,5,0),"")</f>
        <v/>
      </c>
      <c r="Q728" s="89"/>
      <c r="R728" s="89"/>
      <c r="S728" s="89" t="str">
        <f t="shared" si="17"/>
        <v>#DIV/0!</v>
      </c>
      <c r="T728" s="89" t="str">
        <f t="shared" si="6"/>
        <v>#DIV/0!</v>
      </c>
      <c r="U728" s="89" t="str">
        <f t="shared" si="25"/>
        <v>#DIV/0!</v>
      </c>
      <c r="V728" s="89" t="str">
        <f t="shared" si="24"/>
        <v>#DIV/0!</v>
      </c>
      <c r="W728" s="89" t="str">
        <f t="shared" si="9"/>
        <v>#DIV/0!</v>
      </c>
      <c r="X728" s="89"/>
      <c r="Y728" s="89"/>
      <c r="Z728" s="89"/>
      <c r="AA728" s="89"/>
      <c r="AB728" s="89"/>
      <c r="AC728" s="89"/>
      <c r="AD728" s="89"/>
      <c r="AE728" s="89"/>
      <c r="AF728" s="89"/>
      <c r="AG728" s="89"/>
      <c r="AH728" s="89"/>
    </row>
    <row r="729">
      <c r="A729" s="8" t="s">
        <v>867</v>
      </c>
      <c r="B729" s="97"/>
      <c r="C729" s="8"/>
      <c r="D729" s="89" t="str">
        <f t="shared" si="1"/>
        <v/>
      </c>
      <c r="E729" s="89" t="str">
        <f t="shared" si="2"/>
        <v>OT Hours</v>
      </c>
      <c r="F729" s="89" t="str">
        <f>IFERROR(VLOOKUP(C729,'Employees List'!$B$1:$G$999,2,0),"")</f>
        <v/>
      </c>
      <c r="G729" s="89" t="str">
        <f t="shared" si="23"/>
        <v>#DIV/0!</v>
      </c>
      <c r="H729" s="98"/>
      <c r="I729" s="89" t="str">
        <f>IFERROR(VLOOKUP(F729,'Employees List'!$C:$F,2,0),"")</f>
        <v/>
      </c>
      <c r="J729" s="93" t="str">
        <f>IFERROR(VLOOKUP(C729,'Employees List'!$B$2:$G$991,5,0),"")</f>
        <v/>
      </c>
      <c r="K729" s="95" t="str">
        <f>IFERROR(VLOOKUP(F729,'Employees List'!$C$1:$AB$991,5,0),"")</f>
        <v/>
      </c>
      <c r="L729" s="91">
        <f t="shared" si="3"/>
        <v>0</v>
      </c>
      <c r="M729" s="91">
        <f t="shared" si="4"/>
        <v>0</v>
      </c>
      <c r="N729" s="89" t="str">
        <f>IFERROR(VLOOKUP(B729,'Employees List'!$A$2:$H$991,8,0),"")</f>
        <v/>
      </c>
      <c r="O729" s="89" t="str">
        <f>IFERROR(VLOOKUP(D729,'Daily Attendance Report 24-25'!A693:BP999,5,0),"")</f>
        <v/>
      </c>
      <c r="P729" s="89" t="str">
        <f>IFERROR(VLOOKUP(E729,'Daily Attendance Report 24-25'!$A$1:$BO$617,5,0),"")</f>
        <v/>
      </c>
      <c r="Q729" s="89"/>
      <c r="R729" s="89"/>
      <c r="S729" s="89" t="str">
        <f t="shared" si="17"/>
        <v>#DIV/0!</v>
      </c>
      <c r="T729" s="89" t="str">
        <f t="shared" si="6"/>
        <v>#DIV/0!</v>
      </c>
      <c r="U729" s="89" t="str">
        <f t="shared" si="25"/>
        <v>#DIV/0!</v>
      </c>
      <c r="V729" s="89" t="str">
        <f t="shared" si="24"/>
        <v>#DIV/0!</v>
      </c>
      <c r="W729" s="89" t="str">
        <f t="shared" si="9"/>
        <v>#DIV/0!</v>
      </c>
      <c r="X729" s="89"/>
      <c r="Y729" s="89"/>
      <c r="Z729" s="89"/>
      <c r="AA729" s="89"/>
      <c r="AB729" s="89"/>
      <c r="AC729" s="89"/>
      <c r="AD729" s="89"/>
      <c r="AE729" s="89"/>
      <c r="AF729" s="89"/>
      <c r="AG729" s="89"/>
      <c r="AH729" s="89"/>
    </row>
    <row r="730">
      <c r="A730" s="8" t="s">
        <v>868</v>
      </c>
      <c r="B730" s="97"/>
      <c r="C730" s="8"/>
      <c r="D730" s="89" t="str">
        <f t="shared" si="1"/>
        <v/>
      </c>
      <c r="E730" s="89" t="str">
        <f t="shared" si="2"/>
        <v>OT Hours</v>
      </c>
      <c r="F730" s="89" t="str">
        <f>IFERROR(VLOOKUP(C730,'Employees List'!$B$1:$G$999,2,0),"")</f>
        <v/>
      </c>
      <c r="G730" s="89" t="str">
        <f t="shared" si="23"/>
        <v>#DIV/0!</v>
      </c>
      <c r="H730" s="98"/>
      <c r="I730" s="89" t="str">
        <f>IFERROR(VLOOKUP(F730,'Employees List'!$C:$F,2,0),"")</f>
        <v/>
      </c>
      <c r="J730" s="93" t="str">
        <f>IFERROR(VLOOKUP(C730,'Employees List'!$B$2:$G$991,5,0),"")</f>
        <v/>
      </c>
      <c r="K730" s="95" t="str">
        <f>IFERROR(VLOOKUP(F730,'Employees List'!$C$1:$AB$991,5,0),"")</f>
        <v/>
      </c>
      <c r="L730" s="91">
        <f t="shared" si="3"/>
        <v>0</v>
      </c>
      <c r="M730" s="91">
        <f t="shared" si="4"/>
        <v>0</v>
      </c>
      <c r="N730" s="89" t="str">
        <f>IFERROR(VLOOKUP(B730,'Employees List'!$A$2:$H$991,8,0),"")</f>
        <v/>
      </c>
      <c r="O730" s="89" t="str">
        <f>IFERROR(VLOOKUP(D730,'Daily Attendance Report 24-25'!A694:BP999,5,0),"")</f>
        <v/>
      </c>
      <c r="P730" s="89" t="str">
        <f>IFERROR(VLOOKUP(E730,'Daily Attendance Report 24-25'!$A$1:$BO$617,5,0),"")</f>
        <v/>
      </c>
      <c r="Q730" s="89"/>
      <c r="R730" s="89"/>
      <c r="S730" s="89" t="str">
        <f t="shared" si="17"/>
        <v>#DIV/0!</v>
      </c>
      <c r="T730" s="89" t="str">
        <f t="shared" si="6"/>
        <v>#DIV/0!</v>
      </c>
      <c r="U730" s="89" t="str">
        <f t="shared" si="25"/>
        <v>#DIV/0!</v>
      </c>
      <c r="V730" s="89" t="str">
        <f t="shared" si="24"/>
        <v>#DIV/0!</v>
      </c>
      <c r="W730" s="89" t="str">
        <f t="shared" si="9"/>
        <v>#DIV/0!</v>
      </c>
      <c r="X730" s="89"/>
      <c r="Y730" s="89"/>
      <c r="Z730" s="89"/>
      <c r="AA730" s="89"/>
      <c r="AB730" s="89"/>
      <c r="AC730" s="89"/>
      <c r="AD730" s="89"/>
      <c r="AE730" s="89"/>
      <c r="AF730" s="89"/>
      <c r="AG730" s="89"/>
      <c r="AH730" s="89"/>
    </row>
    <row r="731">
      <c r="A731" s="8" t="s">
        <v>869</v>
      </c>
      <c r="B731" s="97"/>
      <c r="C731" s="8"/>
      <c r="D731" s="89" t="str">
        <f t="shared" si="1"/>
        <v/>
      </c>
      <c r="E731" s="89" t="str">
        <f t="shared" si="2"/>
        <v>OT Hours</v>
      </c>
      <c r="F731" s="89" t="str">
        <f>IFERROR(VLOOKUP(C731,'Employees List'!$B$1:$G$999,2,0),"")</f>
        <v/>
      </c>
      <c r="G731" s="89" t="str">
        <f t="shared" si="23"/>
        <v>#DIV/0!</v>
      </c>
      <c r="H731" s="98"/>
      <c r="I731" s="89" t="str">
        <f>IFERROR(VLOOKUP(F731,'Employees List'!$C:$F,2,0),"")</f>
        <v/>
      </c>
      <c r="J731" s="93" t="str">
        <f>IFERROR(VLOOKUP(C731,'Employees List'!$B$2:$G$991,5,0),"")</f>
        <v/>
      </c>
      <c r="K731" s="95" t="str">
        <f>IFERROR(VLOOKUP(F731,'Employees List'!$C$1:$AB$991,5,0),"")</f>
        <v/>
      </c>
      <c r="L731" s="91">
        <f t="shared" si="3"/>
        <v>0</v>
      </c>
      <c r="M731" s="91">
        <f t="shared" si="4"/>
        <v>0</v>
      </c>
      <c r="N731" s="89" t="str">
        <f>IFERROR(VLOOKUP(B731,'Employees List'!$A$2:$H$991,8,0),"")</f>
        <v/>
      </c>
      <c r="O731" s="89" t="str">
        <f>IFERROR(VLOOKUP(D731,'Daily Attendance Report 24-25'!A695:BP999,5,0),"")</f>
        <v/>
      </c>
      <c r="P731" s="89" t="str">
        <f>IFERROR(VLOOKUP(E731,'Daily Attendance Report 24-25'!$A$1:$BO$617,5,0),"")</f>
        <v/>
      </c>
      <c r="Q731" s="89"/>
      <c r="R731" s="89"/>
      <c r="S731" s="89" t="str">
        <f t="shared" si="17"/>
        <v>#DIV/0!</v>
      </c>
      <c r="T731" s="89" t="str">
        <f t="shared" si="6"/>
        <v>#DIV/0!</v>
      </c>
      <c r="U731" s="89" t="str">
        <f t="shared" si="25"/>
        <v>#DIV/0!</v>
      </c>
      <c r="V731" s="89" t="str">
        <f t="shared" si="24"/>
        <v>#DIV/0!</v>
      </c>
      <c r="W731" s="89" t="str">
        <f t="shared" si="9"/>
        <v>#DIV/0!</v>
      </c>
      <c r="X731" s="89"/>
      <c r="Y731" s="89"/>
      <c r="Z731" s="89"/>
      <c r="AA731" s="89"/>
      <c r="AB731" s="89"/>
      <c r="AC731" s="89"/>
      <c r="AD731" s="89"/>
      <c r="AE731" s="89"/>
      <c r="AF731" s="89"/>
      <c r="AG731" s="89"/>
      <c r="AH731" s="89"/>
    </row>
    <row r="732">
      <c r="A732" s="8" t="s">
        <v>870</v>
      </c>
      <c r="B732" s="97"/>
      <c r="C732" s="8"/>
      <c r="D732" s="89" t="str">
        <f t="shared" si="1"/>
        <v/>
      </c>
      <c r="E732" s="89" t="str">
        <f t="shared" si="2"/>
        <v>OT Hours</v>
      </c>
      <c r="F732" s="89" t="str">
        <f>IFERROR(VLOOKUP(C732,'Employees List'!$B$1:$G$999,2,0),"")</f>
        <v/>
      </c>
      <c r="G732" s="89" t="str">
        <f t="shared" si="23"/>
        <v>#DIV/0!</v>
      </c>
      <c r="H732" s="98"/>
      <c r="I732" s="89" t="str">
        <f>IFERROR(VLOOKUP(F732,'Employees List'!$C:$F,2,0),"")</f>
        <v/>
      </c>
      <c r="J732" s="93" t="str">
        <f>IFERROR(VLOOKUP(C732,'Employees List'!$B$2:$G$991,5,0),"")</f>
        <v/>
      </c>
      <c r="K732" s="95" t="str">
        <f>IFERROR(VLOOKUP(F732,'Employees List'!$C$1:$AB$991,5,0),"")</f>
        <v/>
      </c>
      <c r="L732" s="91">
        <f t="shared" si="3"/>
        <v>0</v>
      </c>
      <c r="M732" s="91">
        <f t="shared" si="4"/>
        <v>0</v>
      </c>
      <c r="N732" s="89" t="str">
        <f>IFERROR(VLOOKUP(B732,'Employees List'!$A$2:$H$991,8,0),"")</f>
        <v/>
      </c>
      <c r="O732" s="89" t="str">
        <f>IFERROR(VLOOKUP(D732,'Daily Attendance Report 24-25'!A696:BP999,5,0),"")</f>
        <v/>
      </c>
      <c r="P732" s="89" t="str">
        <f>IFERROR(VLOOKUP(E732,'Daily Attendance Report 24-25'!$A$1:$BO$617,5,0),"")</f>
        <v/>
      </c>
      <c r="Q732" s="89"/>
      <c r="R732" s="89"/>
      <c r="S732" s="89" t="str">
        <f t="shared" si="17"/>
        <v>#DIV/0!</v>
      </c>
      <c r="T732" s="89" t="str">
        <f t="shared" si="6"/>
        <v>#DIV/0!</v>
      </c>
      <c r="U732" s="89" t="str">
        <f t="shared" si="25"/>
        <v>#DIV/0!</v>
      </c>
      <c r="V732" s="89" t="str">
        <f t="shared" si="24"/>
        <v>#DIV/0!</v>
      </c>
      <c r="W732" s="89" t="str">
        <f t="shared" si="9"/>
        <v>#DIV/0!</v>
      </c>
      <c r="X732" s="89"/>
      <c r="Y732" s="89"/>
      <c r="Z732" s="89"/>
      <c r="AA732" s="89"/>
      <c r="AB732" s="89"/>
      <c r="AC732" s="89"/>
      <c r="AD732" s="89"/>
      <c r="AE732" s="89"/>
      <c r="AF732" s="89"/>
      <c r="AG732" s="89"/>
      <c r="AH732" s="89"/>
    </row>
    <row r="733">
      <c r="A733" s="8" t="s">
        <v>871</v>
      </c>
      <c r="B733" s="97"/>
      <c r="C733" s="8"/>
      <c r="D733" s="89" t="str">
        <f t="shared" si="1"/>
        <v/>
      </c>
      <c r="E733" s="89" t="str">
        <f t="shared" si="2"/>
        <v>OT Hours</v>
      </c>
      <c r="F733" s="89" t="str">
        <f>IFERROR(VLOOKUP(C733,'Employees List'!$B$1:$G$999,2,0),"")</f>
        <v/>
      </c>
      <c r="G733" s="89" t="str">
        <f t="shared" si="23"/>
        <v>#DIV/0!</v>
      </c>
      <c r="H733" s="98"/>
      <c r="I733" s="89" t="str">
        <f>IFERROR(VLOOKUP(F733,'Employees List'!$C:$F,2,0),"")</f>
        <v/>
      </c>
      <c r="J733" s="93" t="str">
        <f>IFERROR(VLOOKUP(C733,'Employees List'!$B$2:$G$991,5,0),"")</f>
        <v/>
      </c>
      <c r="K733" s="95" t="str">
        <f>IFERROR(VLOOKUP(F733,'Employees List'!$C$1:$AB$991,5,0),"")</f>
        <v/>
      </c>
      <c r="L733" s="91">
        <f t="shared" si="3"/>
        <v>0</v>
      </c>
      <c r="M733" s="91">
        <f t="shared" si="4"/>
        <v>0</v>
      </c>
      <c r="N733" s="89" t="str">
        <f>IFERROR(VLOOKUP(B733,'Employees List'!$A$2:$H$991,8,0),"")</f>
        <v/>
      </c>
      <c r="O733" s="89" t="str">
        <f>IFERROR(VLOOKUP(D733,'Daily Attendance Report 24-25'!A697:BP999,5,0),"")</f>
        <v/>
      </c>
      <c r="P733" s="89" t="str">
        <f>IFERROR(VLOOKUP(E733,'Daily Attendance Report 24-25'!$A$1:$BO$617,5,0),"")</f>
        <v/>
      </c>
      <c r="Q733" s="89"/>
      <c r="R733" s="89"/>
      <c r="S733" s="89" t="str">
        <f t="shared" si="17"/>
        <v>#DIV/0!</v>
      </c>
      <c r="T733" s="89" t="str">
        <f t="shared" si="6"/>
        <v>#DIV/0!</v>
      </c>
      <c r="U733" s="89" t="str">
        <f t="shared" si="25"/>
        <v>#DIV/0!</v>
      </c>
      <c r="V733" s="89" t="str">
        <f t="shared" si="24"/>
        <v>#DIV/0!</v>
      </c>
      <c r="W733" s="89" t="str">
        <f t="shared" si="9"/>
        <v>#DIV/0!</v>
      </c>
      <c r="X733" s="89"/>
      <c r="Y733" s="89"/>
      <c r="Z733" s="89"/>
      <c r="AA733" s="89"/>
      <c r="AB733" s="89"/>
      <c r="AC733" s="89"/>
      <c r="AD733" s="89"/>
      <c r="AE733" s="89"/>
      <c r="AF733" s="89"/>
      <c r="AG733" s="89"/>
      <c r="AH733" s="89"/>
    </row>
    <row r="734">
      <c r="A734" s="8" t="s">
        <v>872</v>
      </c>
      <c r="B734" s="97"/>
      <c r="C734" s="8"/>
      <c r="D734" s="89" t="str">
        <f t="shared" si="1"/>
        <v/>
      </c>
      <c r="E734" s="89" t="str">
        <f t="shared" si="2"/>
        <v>OT Hours</v>
      </c>
      <c r="F734" s="89" t="str">
        <f>IFERROR(VLOOKUP(C734,'Employees List'!$B$1:$G$999,2,0),"")</f>
        <v/>
      </c>
      <c r="G734" s="89" t="str">
        <f t="shared" si="23"/>
        <v>#DIV/0!</v>
      </c>
      <c r="H734" s="98"/>
      <c r="I734" s="89" t="str">
        <f>IFERROR(VLOOKUP(F734,'Employees List'!$C:$F,2,0),"")</f>
        <v/>
      </c>
      <c r="J734" s="93" t="str">
        <f>IFERROR(VLOOKUP(C734,'Employees List'!$B$2:$G$991,5,0),"")</f>
        <v/>
      </c>
      <c r="K734" s="95" t="str">
        <f>IFERROR(VLOOKUP(F734,'Employees List'!$C$1:$AB$991,5,0),"")</f>
        <v/>
      </c>
      <c r="L734" s="91">
        <f t="shared" si="3"/>
        <v>0</v>
      </c>
      <c r="M734" s="91">
        <f t="shared" si="4"/>
        <v>0</v>
      </c>
      <c r="N734" s="89" t="str">
        <f>IFERROR(VLOOKUP(B734,'Employees List'!$A$2:$H$991,8,0),"")</f>
        <v/>
      </c>
      <c r="O734" s="89" t="str">
        <f>IFERROR(VLOOKUP(D734,'Daily Attendance Report 24-25'!A698:BP999,5,0),"")</f>
        <v/>
      </c>
      <c r="P734" s="89" t="str">
        <f>IFERROR(VLOOKUP(E734,'Daily Attendance Report 24-25'!$A$1:$BO$617,5,0),"")</f>
        <v/>
      </c>
      <c r="Q734" s="89"/>
      <c r="R734" s="89"/>
      <c r="S734" s="89" t="str">
        <f t="shared" si="17"/>
        <v>#DIV/0!</v>
      </c>
      <c r="T734" s="89" t="str">
        <f t="shared" si="6"/>
        <v>#DIV/0!</v>
      </c>
      <c r="U734" s="89" t="str">
        <f t="shared" si="25"/>
        <v>#DIV/0!</v>
      </c>
      <c r="V734" s="89" t="str">
        <f t="shared" si="24"/>
        <v>#DIV/0!</v>
      </c>
      <c r="W734" s="89" t="str">
        <f t="shared" si="9"/>
        <v>#DIV/0!</v>
      </c>
      <c r="X734" s="89"/>
      <c r="Y734" s="89"/>
      <c r="Z734" s="89"/>
      <c r="AA734" s="89"/>
      <c r="AB734" s="89"/>
      <c r="AC734" s="89"/>
      <c r="AD734" s="89"/>
      <c r="AE734" s="89"/>
      <c r="AF734" s="89"/>
      <c r="AG734" s="89"/>
      <c r="AH734" s="89"/>
    </row>
    <row r="735">
      <c r="A735" s="8" t="s">
        <v>873</v>
      </c>
      <c r="B735" s="97"/>
      <c r="C735" s="8"/>
      <c r="D735" s="89" t="str">
        <f t="shared" si="1"/>
        <v/>
      </c>
      <c r="E735" s="89" t="str">
        <f t="shared" si="2"/>
        <v>OT Hours</v>
      </c>
      <c r="F735" s="89" t="str">
        <f>IFERROR(VLOOKUP(C735,'Employees List'!$B$1:$G$999,2,0),"")</f>
        <v/>
      </c>
      <c r="G735" s="89" t="str">
        <f t="shared" si="23"/>
        <v>#DIV/0!</v>
      </c>
      <c r="H735" s="98"/>
      <c r="I735" s="89" t="str">
        <f>IFERROR(VLOOKUP(F735,'Employees List'!$C:$F,2,0),"")</f>
        <v/>
      </c>
      <c r="J735" s="93" t="str">
        <f>IFERROR(VLOOKUP(C735,'Employees List'!$B$2:$G$991,5,0),"")</f>
        <v/>
      </c>
      <c r="K735" s="95" t="str">
        <f>IFERROR(VLOOKUP(F735,'Employees List'!$C$1:$AB$991,5,0),"")</f>
        <v/>
      </c>
      <c r="L735" s="91">
        <f t="shared" si="3"/>
        <v>0</v>
      </c>
      <c r="M735" s="91">
        <f t="shared" si="4"/>
        <v>0</v>
      </c>
      <c r="N735" s="89" t="str">
        <f>IFERROR(VLOOKUP(B735,'Employees List'!$A$2:$H$991,8,0),"")</f>
        <v/>
      </c>
      <c r="O735" s="89" t="str">
        <f>IFERROR(VLOOKUP(D735,'Daily Attendance Report 24-25'!A699:BP999,5,0),"")</f>
        <v/>
      </c>
      <c r="P735" s="89" t="str">
        <f>IFERROR(VLOOKUP(E735,'Daily Attendance Report 24-25'!$A$1:$BO$617,5,0),"")</f>
        <v/>
      </c>
      <c r="Q735" s="89"/>
      <c r="R735" s="89"/>
      <c r="S735" s="89" t="str">
        <f t="shared" si="17"/>
        <v>#DIV/0!</v>
      </c>
      <c r="T735" s="89" t="str">
        <f t="shared" si="6"/>
        <v>#DIV/0!</v>
      </c>
      <c r="U735" s="89" t="str">
        <f t="shared" si="25"/>
        <v>#DIV/0!</v>
      </c>
      <c r="V735" s="89" t="str">
        <f t="shared" si="24"/>
        <v>#DIV/0!</v>
      </c>
      <c r="W735" s="89" t="str">
        <f t="shared" si="9"/>
        <v>#DIV/0!</v>
      </c>
      <c r="X735" s="89"/>
      <c r="Y735" s="89"/>
      <c r="Z735" s="89"/>
      <c r="AA735" s="89"/>
      <c r="AB735" s="89"/>
      <c r="AC735" s="89"/>
      <c r="AD735" s="89"/>
      <c r="AE735" s="89"/>
      <c r="AF735" s="89"/>
      <c r="AG735" s="89"/>
      <c r="AH735" s="89"/>
    </row>
    <row r="736">
      <c r="A736" s="8" t="s">
        <v>874</v>
      </c>
      <c r="B736" s="97"/>
      <c r="C736" s="8"/>
      <c r="D736" s="89" t="str">
        <f t="shared" si="1"/>
        <v/>
      </c>
      <c r="E736" s="89" t="str">
        <f t="shared" si="2"/>
        <v>OT Hours</v>
      </c>
      <c r="F736" s="89" t="str">
        <f>IFERROR(VLOOKUP(C736,'Employees List'!$B$1:$G$999,2,0),"")</f>
        <v/>
      </c>
      <c r="G736" s="89" t="str">
        <f t="shared" si="23"/>
        <v>#DIV/0!</v>
      </c>
      <c r="H736" s="98"/>
      <c r="I736" s="89" t="str">
        <f>IFERROR(VLOOKUP(F736,'Employees List'!$C:$F,2,0),"")</f>
        <v/>
      </c>
      <c r="J736" s="93" t="str">
        <f>IFERROR(VLOOKUP(C736,'Employees List'!$B$2:$G$991,5,0),"")</f>
        <v/>
      </c>
      <c r="K736" s="95" t="str">
        <f>IFERROR(VLOOKUP(F736,'Employees List'!$C$1:$AB$991,5,0),"")</f>
        <v/>
      </c>
      <c r="L736" s="91">
        <f t="shared" si="3"/>
        <v>0</v>
      </c>
      <c r="M736" s="91">
        <f t="shared" si="4"/>
        <v>0</v>
      </c>
      <c r="N736" s="89" t="str">
        <f>IFERROR(VLOOKUP(B736,'Employees List'!$A$2:$H$991,8,0),"")</f>
        <v/>
      </c>
      <c r="O736" s="89" t="str">
        <f>IFERROR(VLOOKUP(D736,'Daily Attendance Report 24-25'!A700:BP999,5,0),"")</f>
        <v/>
      </c>
      <c r="P736" s="89" t="str">
        <f>IFERROR(VLOOKUP(E736,'Daily Attendance Report 24-25'!$A$1:$BO$617,5,0),"")</f>
        <v/>
      </c>
      <c r="Q736" s="89"/>
      <c r="R736" s="89"/>
      <c r="S736" s="89" t="str">
        <f t="shared" si="17"/>
        <v>#DIV/0!</v>
      </c>
      <c r="T736" s="89" t="str">
        <f t="shared" si="6"/>
        <v>#DIV/0!</v>
      </c>
      <c r="U736" s="89" t="str">
        <f t="shared" si="25"/>
        <v>#DIV/0!</v>
      </c>
      <c r="V736" s="89" t="str">
        <f t="shared" si="24"/>
        <v>#DIV/0!</v>
      </c>
      <c r="W736" s="89" t="str">
        <f t="shared" si="9"/>
        <v>#DIV/0!</v>
      </c>
      <c r="X736" s="89"/>
      <c r="Y736" s="89"/>
      <c r="Z736" s="89"/>
      <c r="AA736" s="89"/>
      <c r="AB736" s="89"/>
      <c r="AC736" s="89"/>
      <c r="AD736" s="89"/>
      <c r="AE736" s="89"/>
      <c r="AF736" s="89"/>
      <c r="AG736" s="89"/>
      <c r="AH736" s="89"/>
    </row>
    <row r="737">
      <c r="A737" s="8" t="s">
        <v>875</v>
      </c>
      <c r="B737" s="97"/>
      <c r="C737" s="8"/>
      <c r="D737" s="89" t="str">
        <f t="shared" si="1"/>
        <v/>
      </c>
      <c r="E737" s="89" t="str">
        <f t="shared" si="2"/>
        <v>OT Hours</v>
      </c>
      <c r="F737" s="89" t="str">
        <f>IFERROR(VLOOKUP(C737,'Employees List'!$B$1:$G$999,2,0),"")</f>
        <v/>
      </c>
      <c r="G737" s="89" t="str">
        <f t="shared" si="23"/>
        <v>#DIV/0!</v>
      </c>
      <c r="H737" s="98"/>
      <c r="I737" s="89" t="str">
        <f>IFERROR(VLOOKUP(F737,'Employees List'!$C:$F,2,0),"")</f>
        <v/>
      </c>
      <c r="J737" s="93" t="str">
        <f>IFERROR(VLOOKUP(C737,'Employees List'!$B$2:$G$991,5,0),"")</f>
        <v/>
      </c>
      <c r="K737" s="95" t="str">
        <f>IFERROR(VLOOKUP(F737,'Employees List'!$C$1:$AB$991,5,0),"")</f>
        <v/>
      </c>
      <c r="L737" s="91">
        <f t="shared" si="3"/>
        <v>0</v>
      </c>
      <c r="M737" s="91">
        <f t="shared" si="4"/>
        <v>0</v>
      </c>
      <c r="N737" s="89" t="str">
        <f>IFERROR(VLOOKUP(B737,'Employees List'!$A$2:$H$991,8,0),"")</f>
        <v/>
      </c>
      <c r="O737" s="89" t="str">
        <f>IFERROR(VLOOKUP(D737,'Daily Attendance Report 24-25'!A701:BP999,5,0),"")</f>
        <v/>
      </c>
      <c r="P737" s="89" t="str">
        <f>IFERROR(VLOOKUP(E737,'Daily Attendance Report 24-25'!$A$1:$BO$617,5,0),"")</f>
        <v/>
      </c>
      <c r="Q737" s="89"/>
      <c r="R737" s="89"/>
      <c r="S737" s="89" t="str">
        <f t="shared" si="17"/>
        <v>#DIV/0!</v>
      </c>
      <c r="T737" s="89" t="str">
        <f t="shared" si="6"/>
        <v>#DIV/0!</v>
      </c>
      <c r="U737" s="89" t="str">
        <f t="shared" si="25"/>
        <v>#DIV/0!</v>
      </c>
      <c r="V737" s="89" t="str">
        <f t="shared" si="24"/>
        <v>#DIV/0!</v>
      </c>
      <c r="W737" s="89" t="str">
        <f t="shared" si="9"/>
        <v>#DIV/0!</v>
      </c>
      <c r="X737" s="89"/>
      <c r="Y737" s="89"/>
      <c r="Z737" s="89"/>
      <c r="AA737" s="89"/>
      <c r="AB737" s="89"/>
      <c r="AC737" s="89"/>
      <c r="AD737" s="89"/>
      <c r="AE737" s="89"/>
      <c r="AF737" s="89"/>
      <c r="AG737" s="89"/>
      <c r="AH737" s="89"/>
    </row>
    <row r="738">
      <c r="A738" s="8" t="s">
        <v>876</v>
      </c>
      <c r="B738" s="97"/>
      <c r="C738" s="8"/>
      <c r="D738" s="89" t="str">
        <f t="shared" si="1"/>
        <v/>
      </c>
      <c r="E738" s="89" t="str">
        <f t="shared" si="2"/>
        <v>OT Hours</v>
      </c>
      <c r="F738" s="89" t="str">
        <f>IFERROR(VLOOKUP(C738,'Employees List'!$B$1:$G$999,2,0),"")</f>
        <v/>
      </c>
      <c r="G738" s="89" t="str">
        <f t="shared" si="23"/>
        <v>#DIV/0!</v>
      </c>
      <c r="H738" s="98"/>
      <c r="I738" s="89" t="str">
        <f>IFERROR(VLOOKUP(F738,'Employees List'!$C:$F,2,0),"")</f>
        <v/>
      </c>
      <c r="J738" s="93" t="str">
        <f>IFERROR(VLOOKUP(C738,'Employees List'!$B$2:$G$991,5,0),"")</f>
        <v/>
      </c>
      <c r="K738" s="95" t="str">
        <f>IFERROR(VLOOKUP(F738,'Employees List'!$C$1:$AB$991,5,0),"")</f>
        <v/>
      </c>
      <c r="L738" s="91">
        <f t="shared" si="3"/>
        <v>0</v>
      </c>
      <c r="M738" s="91">
        <f t="shared" si="4"/>
        <v>0</v>
      </c>
      <c r="N738" s="89" t="str">
        <f>IFERROR(VLOOKUP(B738,'Employees List'!$A$2:$H$991,8,0),"")</f>
        <v/>
      </c>
      <c r="O738" s="89" t="str">
        <f>IFERROR(VLOOKUP(D738,'Daily Attendance Report 24-25'!A702:BP999,5,0),"")</f>
        <v/>
      </c>
      <c r="P738" s="89" t="str">
        <f>IFERROR(VLOOKUP(E738,'Daily Attendance Report 24-25'!$A$1:$BO$617,5,0),"")</f>
        <v/>
      </c>
      <c r="Q738" s="89"/>
      <c r="R738" s="89"/>
      <c r="S738" s="89" t="str">
        <f t="shared" si="17"/>
        <v>#DIV/0!</v>
      </c>
      <c r="T738" s="89" t="str">
        <f t="shared" si="6"/>
        <v>#DIV/0!</v>
      </c>
      <c r="U738" s="89" t="str">
        <f t="shared" si="25"/>
        <v>#DIV/0!</v>
      </c>
      <c r="V738" s="89" t="str">
        <f t="shared" si="24"/>
        <v>#DIV/0!</v>
      </c>
      <c r="W738" s="89" t="str">
        <f t="shared" si="9"/>
        <v>#DIV/0!</v>
      </c>
      <c r="X738" s="89"/>
      <c r="Y738" s="89"/>
      <c r="Z738" s="89"/>
      <c r="AA738" s="89"/>
      <c r="AB738" s="89"/>
      <c r="AC738" s="89"/>
      <c r="AD738" s="89"/>
      <c r="AE738" s="89"/>
      <c r="AF738" s="89"/>
      <c r="AG738" s="89"/>
      <c r="AH738" s="89"/>
    </row>
    <row r="739">
      <c r="A739" s="8" t="s">
        <v>877</v>
      </c>
      <c r="B739" s="97"/>
      <c r="C739" s="8"/>
      <c r="D739" s="89" t="str">
        <f t="shared" si="1"/>
        <v/>
      </c>
      <c r="E739" s="89" t="str">
        <f t="shared" si="2"/>
        <v>OT Hours</v>
      </c>
      <c r="F739" s="89" t="str">
        <f>IFERROR(VLOOKUP(C739,'Employees List'!$B$1:$G$999,2,0),"")</f>
        <v/>
      </c>
      <c r="G739" s="89" t="str">
        <f t="shared" si="23"/>
        <v>#DIV/0!</v>
      </c>
      <c r="H739" s="98"/>
      <c r="I739" s="89" t="str">
        <f>IFERROR(VLOOKUP(F739,'Employees List'!$C:$F,2,0),"")</f>
        <v/>
      </c>
      <c r="J739" s="93" t="str">
        <f>IFERROR(VLOOKUP(C739,'Employees List'!$B$2:$G$991,5,0),"")</f>
        <v/>
      </c>
      <c r="K739" s="95" t="str">
        <f>IFERROR(VLOOKUP(F739,'Employees List'!$C$1:$AB$991,5,0),"")</f>
        <v/>
      </c>
      <c r="L739" s="91">
        <f t="shared" si="3"/>
        <v>0</v>
      </c>
      <c r="M739" s="91">
        <f t="shared" si="4"/>
        <v>0</v>
      </c>
      <c r="N739" s="89" t="str">
        <f>IFERROR(VLOOKUP(B739,'Employees List'!$A$2:$H$991,8,0),"")</f>
        <v/>
      </c>
      <c r="O739" s="89" t="str">
        <f>IFERROR(VLOOKUP(D739,'Daily Attendance Report 24-25'!A703:BP999,5,0),"")</f>
        <v/>
      </c>
      <c r="P739" s="89" t="str">
        <f>IFERROR(VLOOKUP(E739,'Daily Attendance Report 24-25'!$A$1:$BO$617,5,0),"")</f>
        <v/>
      </c>
      <c r="Q739" s="89"/>
      <c r="R739" s="89"/>
      <c r="S739" s="89" t="str">
        <f t="shared" si="17"/>
        <v>#DIV/0!</v>
      </c>
      <c r="T739" s="89" t="str">
        <f t="shared" si="6"/>
        <v>#DIV/0!</v>
      </c>
      <c r="U739" s="89" t="str">
        <f t="shared" si="25"/>
        <v>#DIV/0!</v>
      </c>
      <c r="V739" s="89" t="str">
        <f t="shared" si="24"/>
        <v>#DIV/0!</v>
      </c>
      <c r="W739" s="89" t="str">
        <f t="shared" si="9"/>
        <v>#DIV/0!</v>
      </c>
      <c r="X739" s="89"/>
      <c r="Y739" s="89"/>
      <c r="Z739" s="89"/>
      <c r="AA739" s="89"/>
      <c r="AB739" s="89"/>
      <c r="AC739" s="89"/>
      <c r="AD739" s="89"/>
      <c r="AE739" s="89"/>
      <c r="AF739" s="89"/>
      <c r="AG739" s="89"/>
      <c r="AH739" s="89"/>
    </row>
    <row r="740">
      <c r="A740" s="8" t="s">
        <v>878</v>
      </c>
      <c r="B740" s="97"/>
      <c r="C740" s="8"/>
      <c r="D740" s="89" t="str">
        <f t="shared" si="1"/>
        <v/>
      </c>
      <c r="E740" s="89" t="str">
        <f t="shared" si="2"/>
        <v>OT Hours</v>
      </c>
      <c r="F740" s="89" t="str">
        <f>IFERROR(VLOOKUP(C740,'Employees List'!$B$1:$G$999,2,0),"")</f>
        <v/>
      </c>
      <c r="G740" s="89" t="str">
        <f t="shared" si="23"/>
        <v>#DIV/0!</v>
      </c>
      <c r="H740" s="98"/>
      <c r="I740" s="89" t="str">
        <f>IFERROR(VLOOKUP(F740,'Employees List'!$C:$F,2,0),"")</f>
        <v/>
      </c>
      <c r="J740" s="93" t="str">
        <f>IFERROR(VLOOKUP(C740,'Employees List'!$B$2:$G$991,5,0),"")</f>
        <v/>
      </c>
      <c r="K740" s="95" t="str">
        <f>IFERROR(VLOOKUP(F740,'Employees List'!$C$1:$AB$991,5,0),"")</f>
        <v/>
      </c>
      <c r="L740" s="91">
        <f t="shared" si="3"/>
        <v>0</v>
      </c>
      <c r="M740" s="91">
        <f t="shared" si="4"/>
        <v>0</v>
      </c>
      <c r="N740" s="89" t="str">
        <f>IFERROR(VLOOKUP(B740,'Employees List'!$A$2:$H$991,8,0),"")</f>
        <v/>
      </c>
      <c r="O740" s="89" t="str">
        <f>IFERROR(VLOOKUP(D740,'Daily Attendance Report 24-25'!A704:BP999,5,0),"")</f>
        <v/>
      </c>
      <c r="P740" s="89" t="str">
        <f>IFERROR(VLOOKUP(E740,'Daily Attendance Report 24-25'!$A$1:$BO$617,5,0),"")</f>
        <v/>
      </c>
      <c r="Q740" s="89"/>
      <c r="R740" s="89"/>
      <c r="S740" s="89" t="str">
        <f t="shared" si="17"/>
        <v>#DIV/0!</v>
      </c>
      <c r="T740" s="89" t="str">
        <f t="shared" si="6"/>
        <v>#DIV/0!</v>
      </c>
      <c r="U740" s="89" t="str">
        <f t="shared" si="25"/>
        <v>#DIV/0!</v>
      </c>
      <c r="V740" s="89" t="str">
        <f t="shared" si="24"/>
        <v>#DIV/0!</v>
      </c>
      <c r="W740" s="89" t="str">
        <f t="shared" si="9"/>
        <v>#DIV/0!</v>
      </c>
      <c r="X740" s="89"/>
      <c r="Y740" s="89"/>
      <c r="Z740" s="89"/>
      <c r="AA740" s="89"/>
      <c r="AB740" s="89"/>
      <c r="AC740" s="89"/>
      <c r="AD740" s="89"/>
      <c r="AE740" s="89"/>
      <c r="AF740" s="89"/>
      <c r="AG740" s="89"/>
      <c r="AH740" s="89"/>
    </row>
    <row r="741">
      <c r="A741" s="8" t="s">
        <v>879</v>
      </c>
      <c r="B741" s="97"/>
      <c r="C741" s="8"/>
      <c r="D741" s="89" t="str">
        <f t="shared" si="1"/>
        <v/>
      </c>
      <c r="E741" s="89" t="str">
        <f t="shared" si="2"/>
        <v>OT Hours</v>
      </c>
      <c r="F741" s="89" t="str">
        <f>IFERROR(VLOOKUP(C741,'Employees List'!$B$1:$G$999,2,0),"")</f>
        <v/>
      </c>
      <c r="G741" s="89" t="str">
        <f t="shared" si="23"/>
        <v>#DIV/0!</v>
      </c>
      <c r="H741" s="98"/>
      <c r="I741" s="89" t="str">
        <f>IFERROR(VLOOKUP(F741,'Employees List'!$C:$F,2,0),"")</f>
        <v/>
      </c>
      <c r="J741" s="93" t="str">
        <f>IFERROR(VLOOKUP(C741,'Employees List'!$B$2:$G$991,5,0),"")</f>
        <v/>
      </c>
      <c r="K741" s="95" t="str">
        <f>IFERROR(VLOOKUP(F741,'Employees List'!$C$1:$AB$991,5,0),"")</f>
        <v/>
      </c>
      <c r="L741" s="91">
        <f t="shared" si="3"/>
        <v>0</v>
      </c>
      <c r="M741" s="91">
        <f t="shared" si="4"/>
        <v>0</v>
      </c>
      <c r="N741" s="89" t="str">
        <f>IFERROR(VLOOKUP(B741,'Employees List'!$A$2:$H$991,8,0),"")</f>
        <v/>
      </c>
      <c r="O741" s="89" t="str">
        <f>IFERROR(VLOOKUP(D741,'Daily Attendance Report 24-25'!A705:BP999,5,0),"")</f>
        <v/>
      </c>
      <c r="P741" s="89" t="str">
        <f>IFERROR(VLOOKUP(E741,'Daily Attendance Report 24-25'!$A$1:$BO$617,5,0),"")</f>
        <v/>
      </c>
      <c r="Q741" s="89"/>
      <c r="R741" s="89"/>
      <c r="S741" s="89" t="str">
        <f t="shared" si="17"/>
        <v>#DIV/0!</v>
      </c>
      <c r="T741" s="89" t="str">
        <f t="shared" si="6"/>
        <v>#DIV/0!</v>
      </c>
      <c r="U741" s="89" t="str">
        <f t="shared" si="25"/>
        <v>#DIV/0!</v>
      </c>
      <c r="V741" s="89" t="str">
        <f t="shared" si="24"/>
        <v>#DIV/0!</v>
      </c>
      <c r="W741" s="89" t="str">
        <f t="shared" si="9"/>
        <v>#DIV/0!</v>
      </c>
      <c r="X741" s="89"/>
      <c r="Y741" s="89"/>
      <c r="Z741" s="89"/>
      <c r="AA741" s="89"/>
      <c r="AB741" s="89"/>
      <c r="AC741" s="89"/>
      <c r="AD741" s="89"/>
      <c r="AE741" s="89"/>
      <c r="AF741" s="89"/>
      <c r="AG741" s="89"/>
      <c r="AH741" s="89"/>
    </row>
    <row r="742">
      <c r="A742" s="8" t="s">
        <v>880</v>
      </c>
      <c r="B742" s="97"/>
      <c r="C742" s="8"/>
      <c r="D742" s="89" t="str">
        <f t="shared" si="1"/>
        <v/>
      </c>
      <c r="E742" s="89" t="str">
        <f t="shared" si="2"/>
        <v>OT Hours</v>
      </c>
      <c r="F742" s="89" t="str">
        <f>IFERROR(VLOOKUP(C742,'Employees List'!$B$1:$G$999,2,0),"")</f>
        <v/>
      </c>
      <c r="G742" s="89" t="str">
        <f t="shared" si="23"/>
        <v>#DIV/0!</v>
      </c>
      <c r="H742" s="98"/>
      <c r="I742" s="89" t="str">
        <f>IFERROR(VLOOKUP(F742,'Employees List'!$C:$F,2,0),"")</f>
        <v/>
      </c>
      <c r="J742" s="93" t="str">
        <f>IFERROR(VLOOKUP(C742,'Employees List'!$B$2:$G$991,5,0),"")</f>
        <v/>
      </c>
      <c r="K742" s="95" t="str">
        <f>IFERROR(VLOOKUP(F742,'Employees List'!$C$1:$AB$991,5,0),"")</f>
        <v/>
      </c>
      <c r="L742" s="91">
        <f t="shared" si="3"/>
        <v>0</v>
      </c>
      <c r="M742" s="91">
        <f t="shared" si="4"/>
        <v>0</v>
      </c>
      <c r="N742" s="89" t="str">
        <f>IFERROR(VLOOKUP(B742,'Employees List'!$A$2:$H$991,8,0),"")</f>
        <v/>
      </c>
      <c r="O742" s="89" t="str">
        <f>IFERROR(VLOOKUP(D742,'Daily Attendance Report 24-25'!A706:BP999,5,0),"")</f>
        <v/>
      </c>
      <c r="P742" s="89" t="str">
        <f>IFERROR(VLOOKUP(E742,'Daily Attendance Report 24-25'!$A$1:$BO$617,5,0),"")</f>
        <v/>
      </c>
      <c r="Q742" s="89"/>
      <c r="R742" s="89"/>
      <c r="S742" s="89" t="str">
        <f t="shared" si="17"/>
        <v>#DIV/0!</v>
      </c>
      <c r="T742" s="89" t="str">
        <f t="shared" si="6"/>
        <v>#DIV/0!</v>
      </c>
      <c r="U742" s="89" t="str">
        <f t="shared" si="25"/>
        <v>#DIV/0!</v>
      </c>
      <c r="V742" s="89" t="str">
        <f t="shared" si="24"/>
        <v>#DIV/0!</v>
      </c>
      <c r="W742" s="89" t="str">
        <f t="shared" si="9"/>
        <v>#DIV/0!</v>
      </c>
      <c r="X742" s="89"/>
      <c r="Y742" s="89"/>
      <c r="Z742" s="89"/>
      <c r="AA742" s="89"/>
      <c r="AB742" s="89"/>
      <c r="AC742" s="89"/>
      <c r="AD742" s="89"/>
      <c r="AE742" s="89"/>
      <c r="AF742" s="89"/>
      <c r="AG742" s="89"/>
      <c r="AH742" s="89"/>
    </row>
    <row r="743">
      <c r="A743" s="8" t="s">
        <v>881</v>
      </c>
      <c r="B743" s="97"/>
      <c r="C743" s="8"/>
      <c r="D743" s="89" t="str">
        <f t="shared" si="1"/>
        <v/>
      </c>
      <c r="E743" s="89" t="str">
        <f t="shared" si="2"/>
        <v>OT Hours</v>
      </c>
      <c r="F743" s="89" t="str">
        <f>IFERROR(VLOOKUP(C743,'Employees List'!$B$1:$G$999,2,0),"")</f>
        <v/>
      </c>
      <c r="G743" s="89" t="str">
        <f t="shared" si="23"/>
        <v>#DIV/0!</v>
      </c>
      <c r="H743" s="98"/>
      <c r="I743" s="89" t="str">
        <f>IFERROR(VLOOKUP(F743,'Employees List'!$C:$F,2,0),"")</f>
        <v/>
      </c>
      <c r="J743" s="93" t="str">
        <f>IFERROR(VLOOKUP(C743,'Employees List'!$B$2:$G$991,5,0),"")</f>
        <v/>
      </c>
      <c r="K743" s="95" t="str">
        <f>IFERROR(VLOOKUP(F743,'Employees List'!$C$1:$AB$991,5,0),"")</f>
        <v/>
      </c>
      <c r="L743" s="91">
        <f t="shared" si="3"/>
        <v>0</v>
      </c>
      <c r="M743" s="91">
        <f t="shared" si="4"/>
        <v>0</v>
      </c>
      <c r="N743" s="89" t="str">
        <f>IFERROR(VLOOKUP(B743,'Employees List'!$A$2:$H$991,8,0),"")</f>
        <v/>
      </c>
      <c r="O743" s="89" t="str">
        <f>IFERROR(VLOOKUP(D743,'Daily Attendance Report 24-25'!A707:BP999,5,0),"")</f>
        <v/>
      </c>
      <c r="P743" s="89" t="str">
        <f>IFERROR(VLOOKUP(E743,'Daily Attendance Report 24-25'!$A$1:$BO$617,5,0),"")</f>
        <v/>
      </c>
      <c r="Q743" s="89"/>
      <c r="R743" s="89"/>
      <c r="S743" s="89" t="str">
        <f t="shared" si="17"/>
        <v>#DIV/0!</v>
      </c>
      <c r="T743" s="89" t="str">
        <f t="shared" si="6"/>
        <v>#DIV/0!</v>
      </c>
      <c r="U743" s="89" t="str">
        <f t="shared" si="25"/>
        <v>#DIV/0!</v>
      </c>
      <c r="V743" s="89" t="str">
        <f t="shared" si="24"/>
        <v>#DIV/0!</v>
      </c>
      <c r="W743" s="89" t="str">
        <f t="shared" si="9"/>
        <v>#DIV/0!</v>
      </c>
      <c r="X743" s="89"/>
      <c r="Y743" s="89"/>
      <c r="Z743" s="89"/>
      <c r="AA743" s="89"/>
      <c r="AB743" s="89"/>
      <c r="AC743" s="89"/>
      <c r="AD743" s="89"/>
      <c r="AE743" s="89"/>
      <c r="AF743" s="89"/>
      <c r="AG743" s="89"/>
      <c r="AH743" s="89"/>
    </row>
    <row r="744">
      <c r="A744" s="8" t="s">
        <v>882</v>
      </c>
      <c r="B744" s="97"/>
      <c r="C744" s="8"/>
      <c r="D744" s="89" t="str">
        <f t="shared" si="1"/>
        <v/>
      </c>
      <c r="E744" s="89" t="str">
        <f t="shared" si="2"/>
        <v>OT Hours</v>
      </c>
      <c r="F744" s="89" t="str">
        <f>IFERROR(VLOOKUP(C744,'Employees List'!$B$1:$G$999,2,0),"")</f>
        <v/>
      </c>
      <c r="G744" s="89" t="str">
        <f t="shared" si="23"/>
        <v>#DIV/0!</v>
      </c>
      <c r="H744" s="98"/>
      <c r="I744" s="89" t="str">
        <f>IFERROR(VLOOKUP(F744,'Employees List'!$C:$F,2,0),"")</f>
        <v/>
      </c>
      <c r="J744" s="93" t="str">
        <f>IFERROR(VLOOKUP(C744,'Employees List'!$B$2:$G$991,5,0),"")</f>
        <v/>
      </c>
      <c r="K744" s="95" t="str">
        <f>IFERROR(VLOOKUP(F744,'Employees List'!$C$1:$AB$991,5,0),"")</f>
        <v/>
      </c>
      <c r="L744" s="91">
        <f t="shared" si="3"/>
        <v>0</v>
      </c>
      <c r="M744" s="91">
        <f t="shared" si="4"/>
        <v>0</v>
      </c>
      <c r="N744" s="89" t="str">
        <f>IFERROR(VLOOKUP(B744,'Employees List'!$A$2:$H$991,8,0),"")</f>
        <v/>
      </c>
      <c r="O744" s="89" t="str">
        <f>IFERROR(VLOOKUP(D744,'Daily Attendance Report 24-25'!A708:BP999,5,0),"")</f>
        <v/>
      </c>
      <c r="P744" s="89" t="str">
        <f>IFERROR(VLOOKUP(E744,'Daily Attendance Report 24-25'!$A$1:$BO$617,5,0),"")</f>
        <v/>
      </c>
      <c r="Q744" s="89"/>
      <c r="R744" s="89"/>
      <c r="S744" s="89" t="str">
        <f t="shared" si="17"/>
        <v>#DIV/0!</v>
      </c>
      <c r="T744" s="89" t="str">
        <f t="shared" si="6"/>
        <v>#DIV/0!</v>
      </c>
      <c r="U744" s="89" t="str">
        <f t="shared" si="25"/>
        <v>#DIV/0!</v>
      </c>
      <c r="V744" s="89" t="str">
        <f t="shared" si="24"/>
        <v>#DIV/0!</v>
      </c>
      <c r="W744" s="89" t="str">
        <f t="shared" si="9"/>
        <v>#DIV/0!</v>
      </c>
      <c r="X744" s="89"/>
      <c r="Y744" s="89"/>
      <c r="Z744" s="89"/>
      <c r="AA744" s="89"/>
      <c r="AB744" s="89"/>
      <c r="AC744" s="89"/>
      <c r="AD744" s="89"/>
      <c r="AE744" s="89"/>
      <c r="AF744" s="89"/>
      <c r="AG744" s="89"/>
      <c r="AH744" s="89"/>
    </row>
    <row r="745">
      <c r="A745" s="8" t="s">
        <v>883</v>
      </c>
      <c r="B745" s="97"/>
      <c r="C745" s="8"/>
      <c r="D745" s="89" t="str">
        <f t="shared" si="1"/>
        <v/>
      </c>
      <c r="E745" s="89" t="str">
        <f t="shared" si="2"/>
        <v>OT Hours</v>
      </c>
      <c r="F745" s="89" t="str">
        <f>IFERROR(VLOOKUP(C745,'Employees List'!$B$1:$G$999,2,0),"")</f>
        <v/>
      </c>
      <c r="G745" s="89" t="str">
        <f t="shared" si="23"/>
        <v>#DIV/0!</v>
      </c>
      <c r="H745" s="98"/>
      <c r="I745" s="89" t="str">
        <f>IFERROR(VLOOKUP(F745,'Employees List'!$C:$F,2,0),"")</f>
        <v/>
      </c>
      <c r="J745" s="93" t="str">
        <f>IFERROR(VLOOKUP(C745,'Employees List'!$B$2:$G$991,5,0),"")</f>
        <v/>
      </c>
      <c r="K745" s="95" t="str">
        <f>IFERROR(VLOOKUP(F745,'Employees List'!$C$1:$AB$991,5,0),"")</f>
        <v/>
      </c>
      <c r="L745" s="91">
        <f t="shared" si="3"/>
        <v>0</v>
      </c>
      <c r="M745" s="91">
        <f t="shared" si="4"/>
        <v>0</v>
      </c>
      <c r="N745" s="89" t="str">
        <f>IFERROR(VLOOKUP(B745,'Employees List'!$A$2:$H$991,8,0),"")</f>
        <v/>
      </c>
      <c r="O745" s="89" t="str">
        <f>IFERROR(VLOOKUP(D745,'Daily Attendance Report 24-25'!A709:BP999,5,0),"")</f>
        <v/>
      </c>
      <c r="P745" s="89" t="str">
        <f>IFERROR(VLOOKUP(E745,'Daily Attendance Report 24-25'!$A$1:$BO$617,5,0),"")</f>
        <v/>
      </c>
      <c r="Q745" s="89"/>
      <c r="R745" s="89"/>
      <c r="S745" s="89" t="str">
        <f t="shared" si="17"/>
        <v>#DIV/0!</v>
      </c>
      <c r="T745" s="89" t="str">
        <f t="shared" si="6"/>
        <v>#DIV/0!</v>
      </c>
      <c r="U745" s="89" t="str">
        <f t="shared" si="25"/>
        <v>#DIV/0!</v>
      </c>
      <c r="V745" s="89" t="str">
        <f t="shared" si="24"/>
        <v>#DIV/0!</v>
      </c>
      <c r="W745" s="89" t="str">
        <f t="shared" si="9"/>
        <v>#DIV/0!</v>
      </c>
      <c r="X745" s="89"/>
      <c r="Y745" s="89"/>
      <c r="Z745" s="89"/>
      <c r="AA745" s="89"/>
      <c r="AB745" s="89"/>
      <c r="AC745" s="89"/>
      <c r="AD745" s="89"/>
      <c r="AE745" s="89"/>
      <c r="AF745" s="89"/>
      <c r="AG745" s="89"/>
      <c r="AH745" s="89"/>
    </row>
    <row r="746">
      <c r="A746" s="8" t="s">
        <v>884</v>
      </c>
      <c r="B746" s="97"/>
      <c r="C746" s="8"/>
      <c r="D746" s="89" t="str">
        <f t="shared" si="1"/>
        <v/>
      </c>
      <c r="E746" s="89" t="str">
        <f t="shared" si="2"/>
        <v>OT Hours</v>
      </c>
      <c r="F746" s="89" t="str">
        <f>IFERROR(VLOOKUP(C746,'Employees List'!$B$1:$G$999,2,0),"")</f>
        <v/>
      </c>
      <c r="G746" s="89" t="str">
        <f t="shared" si="23"/>
        <v>#DIV/0!</v>
      </c>
      <c r="H746" s="98"/>
      <c r="I746" s="89" t="str">
        <f>IFERROR(VLOOKUP(F746,'Employees List'!$C:$F,2,0),"")</f>
        <v/>
      </c>
      <c r="J746" s="93" t="str">
        <f>IFERROR(VLOOKUP(C746,'Employees List'!$B$2:$G$991,5,0),"")</f>
        <v/>
      </c>
      <c r="K746" s="95" t="str">
        <f>IFERROR(VLOOKUP(F746,'Employees List'!$C$1:$AB$991,5,0),"")</f>
        <v/>
      </c>
      <c r="L746" s="91">
        <f t="shared" si="3"/>
        <v>0</v>
      </c>
      <c r="M746" s="91">
        <f t="shared" si="4"/>
        <v>0</v>
      </c>
      <c r="N746" s="89" t="str">
        <f>IFERROR(VLOOKUP(B746,'Employees List'!$A$2:$H$991,8,0),"")</f>
        <v/>
      </c>
      <c r="O746" s="89" t="str">
        <f>IFERROR(VLOOKUP(D746,'Daily Attendance Report 24-25'!A710:BP999,5,0),"")</f>
        <v/>
      </c>
      <c r="P746" s="89" t="str">
        <f>IFERROR(VLOOKUP(E746,'Daily Attendance Report 24-25'!$A$1:$BO$617,5,0),"")</f>
        <v/>
      </c>
      <c r="Q746" s="89"/>
      <c r="R746" s="89"/>
      <c r="S746" s="89" t="str">
        <f t="shared" si="17"/>
        <v>#DIV/0!</v>
      </c>
      <c r="T746" s="89" t="str">
        <f t="shared" si="6"/>
        <v>#DIV/0!</v>
      </c>
      <c r="U746" s="89" t="str">
        <f t="shared" si="25"/>
        <v>#DIV/0!</v>
      </c>
      <c r="V746" s="89" t="str">
        <f t="shared" si="24"/>
        <v>#DIV/0!</v>
      </c>
      <c r="W746" s="89" t="str">
        <f t="shared" si="9"/>
        <v>#DIV/0!</v>
      </c>
      <c r="X746" s="89"/>
      <c r="Y746" s="89"/>
      <c r="Z746" s="89"/>
      <c r="AA746" s="89"/>
      <c r="AB746" s="89"/>
      <c r="AC746" s="89"/>
      <c r="AD746" s="89"/>
      <c r="AE746" s="89"/>
      <c r="AF746" s="89"/>
      <c r="AG746" s="89"/>
      <c r="AH746" s="89"/>
    </row>
    <row r="747">
      <c r="A747" s="8" t="s">
        <v>885</v>
      </c>
      <c r="B747" s="97"/>
      <c r="C747" s="8"/>
      <c r="D747" s="89" t="str">
        <f t="shared" si="1"/>
        <v/>
      </c>
      <c r="E747" s="89" t="str">
        <f t="shared" si="2"/>
        <v>OT Hours</v>
      </c>
      <c r="F747" s="89" t="str">
        <f>IFERROR(VLOOKUP(C747,'Employees List'!$B$1:$G$999,2,0),"")</f>
        <v/>
      </c>
      <c r="G747" s="89" t="str">
        <f t="shared" si="23"/>
        <v>#DIV/0!</v>
      </c>
      <c r="H747" s="98"/>
      <c r="I747" s="89" t="str">
        <f>IFERROR(VLOOKUP(F747,'Employees List'!$C:$F,2,0),"")</f>
        <v/>
      </c>
      <c r="J747" s="93" t="str">
        <f>IFERROR(VLOOKUP(C747,'Employees List'!$B$2:$G$991,5,0),"")</f>
        <v/>
      </c>
      <c r="K747" s="95" t="str">
        <f>IFERROR(VLOOKUP(F747,'Employees List'!$C$1:$AB$991,5,0),"")</f>
        <v/>
      </c>
      <c r="L747" s="91">
        <f t="shared" si="3"/>
        <v>0</v>
      </c>
      <c r="M747" s="91">
        <f t="shared" si="4"/>
        <v>0</v>
      </c>
      <c r="N747" s="89" t="str">
        <f>IFERROR(VLOOKUP(B747,'Employees List'!$A$2:$H$991,8,0),"")</f>
        <v/>
      </c>
      <c r="O747" s="89" t="str">
        <f>IFERROR(VLOOKUP(D747,'Daily Attendance Report 24-25'!A711:BP999,5,0),"")</f>
        <v/>
      </c>
      <c r="P747" s="89" t="str">
        <f>IFERROR(VLOOKUP(E747,'Daily Attendance Report 24-25'!$A$1:$BO$617,5,0),"")</f>
        <v/>
      </c>
      <c r="Q747" s="89"/>
      <c r="R747" s="89"/>
      <c r="S747" s="89" t="str">
        <f t="shared" si="17"/>
        <v>#DIV/0!</v>
      </c>
      <c r="T747" s="89" t="str">
        <f t="shared" si="6"/>
        <v>#DIV/0!</v>
      </c>
      <c r="U747" s="89" t="str">
        <f t="shared" si="25"/>
        <v>#DIV/0!</v>
      </c>
      <c r="V747" s="89" t="str">
        <f t="shared" si="24"/>
        <v>#DIV/0!</v>
      </c>
      <c r="W747" s="89" t="str">
        <f t="shared" si="9"/>
        <v>#DIV/0!</v>
      </c>
      <c r="X747" s="89"/>
      <c r="Y747" s="89"/>
      <c r="Z747" s="89"/>
      <c r="AA747" s="89"/>
      <c r="AB747" s="89"/>
      <c r="AC747" s="89"/>
      <c r="AD747" s="89"/>
      <c r="AE747" s="89"/>
      <c r="AF747" s="89"/>
      <c r="AG747" s="89"/>
      <c r="AH747" s="89"/>
    </row>
    <row r="748">
      <c r="A748" s="8" t="s">
        <v>886</v>
      </c>
      <c r="B748" s="97"/>
      <c r="C748" s="8"/>
      <c r="D748" s="89" t="str">
        <f t="shared" si="1"/>
        <v/>
      </c>
      <c r="E748" s="89" t="str">
        <f t="shared" si="2"/>
        <v>OT Hours</v>
      </c>
      <c r="F748" s="89" t="str">
        <f>IFERROR(VLOOKUP(C748,'Employees List'!$B$1:$G$999,2,0),"")</f>
        <v/>
      </c>
      <c r="G748" s="89" t="str">
        <f t="shared" si="23"/>
        <v>#DIV/0!</v>
      </c>
      <c r="H748" s="98"/>
      <c r="I748" s="89" t="str">
        <f>IFERROR(VLOOKUP(F748,'Employees List'!$C:$F,2,0),"")</f>
        <v/>
      </c>
      <c r="J748" s="93" t="str">
        <f>IFERROR(VLOOKUP(C748,'Employees List'!$B$2:$G$991,5,0),"")</f>
        <v/>
      </c>
      <c r="K748" s="95" t="str">
        <f>IFERROR(VLOOKUP(F748,'Employees List'!$C$1:$AB$991,5,0),"")</f>
        <v/>
      </c>
      <c r="L748" s="91">
        <f t="shared" si="3"/>
        <v>0</v>
      </c>
      <c r="M748" s="91">
        <f t="shared" si="4"/>
        <v>0</v>
      </c>
      <c r="N748" s="89" t="str">
        <f>IFERROR(VLOOKUP(B748,'Employees List'!$A$2:$H$991,8,0),"")</f>
        <v/>
      </c>
      <c r="O748" s="89" t="str">
        <f>IFERROR(VLOOKUP(D748,'Daily Attendance Report 24-25'!A712:BP999,5,0),"")</f>
        <v/>
      </c>
      <c r="P748" s="89" t="str">
        <f>IFERROR(VLOOKUP(E748,'Daily Attendance Report 24-25'!$A$1:$BO$617,5,0),"")</f>
        <v/>
      </c>
      <c r="Q748" s="89"/>
      <c r="R748" s="89"/>
      <c r="S748" s="89" t="str">
        <f t="shared" si="17"/>
        <v>#DIV/0!</v>
      </c>
      <c r="T748" s="89" t="str">
        <f t="shared" si="6"/>
        <v>#DIV/0!</v>
      </c>
      <c r="U748" s="89" t="str">
        <f t="shared" si="25"/>
        <v>#DIV/0!</v>
      </c>
      <c r="V748" s="89" t="str">
        <f t="shared" si="24"/>
        <v>#DIV/0!</v>
      </c>
      <c r="W748" s="89" t="str">
        <f t="shared" si="9"/>
        <v>#DIV/0!</v>
      </c>
      <c r="X748" s="89"/>
      <c r="Y748" s="89"/>
      <c r="Z748" s="89"/>
      <c r="AA748" s="89"/>
      <c r="AB748" s="89"/>
      <c r="AC748" s="89"/>
      <c r="AD748" s="89"/>
      <c r="AE748" s="89"/>
      <c r="AF748" s="89"/>
      <c r="AG748" s="89"/>
      <c r="AH748" s="89"/>
    </row>
    <row r="749">
      <c r="A749" s="8" t="s">
        <v>887</v>
      </c>
      <c r="B749" s="97"/>
      <c r="C749" s="8"/>
      <c r="D749" s="89" t="str">
        <f t="shared" si="1"/>
        <v/>
      </c>
      <c r="E749" s="89" t="str">
        <f t="shared" si="2"/>
        <v>OT Hours</v>
      </c>
      <c r="F749" s="89" t="str">
        <f>IFERROR(VLOOKUP(C749,'Employees List'!$B$1:$G$999,2,0),"")</f>
        <v/>
      </c>
      <c r="G749" s="89" t="str">
        <f t="shared" si="23"/>
        <v>#DIV/0!</v>
      </c>
      <c r="H749" s="98"/>
      <c r="I749" s="89" t="str">
        <f>IFERROR(VLOOKUP(F749,'Employees List'!$C:$F,2,0),"")</f>
        <v/>
      </c>
      <c r="J749" s="93" t="str">
        <f>IFERROR(VLOOKUP(C749,'Employees List'!$B$2:$G$991,5,0),"")</f>
        <v/>
      </c>
      <c r="K749" s="95" t="str">
        <f>IFERROR(VLOOKUP(F749,'Employees List'!$C$1:$AB$991,5,0),"")</f>
        <v/>
      </c>
      <c r="L749" s="91">
        <f t="shared" si="3"/>
        <v>0</v>
      </c>
      <c r="M749" s="91">
        <f t="shared" si="4"/>
        <v>0</v>
      </c>
      <c r="N749" s="89" t="str">
        <f>IFERROR(VLOOKUP(B749,'Employees List'!$A$2:$H$991,8,0),"")</f>
        <v/>
      </c>
      <c r="O749" s="89" t="str">
        <f>IFERROR(VLOOKUP(D749,'Daily Attendance Report 24-25'!A713:BP999,5,0),"")</f>
        <v/>
      </c>
      <c r="P749" s="89" t="str">
        <f>IFERROR(VLOOKUP(E749,'Daily Attendance Report 24-25'!$A$1:$BO$617,5,0),"")</f>
        <v/>
      </c>
      <c r="Q749" s="89"/>
      <c r="R749" s="89"/>
      <c r="S749" s="89" t="str">
        <f t="shared" si="17"/>
        <v>#DIV/0!</v>
      </c>
      <c r="T749" s="89" t="str">
        <f t="shared" si="6"/>
        <v>#DIV/0!</v>
      </c>
      <c r="U749" s="89" t="str">
        <f t="shared" si="25"/>
        <v>#DIV/0!</v>
      </c>
      <c r="V749" s="89" t="str">
        <f t="shared" si="24"/>
        <v>#DIV/0!</v>
      </c>
      <c r="W749" s="89" t="str">
        <f t="shared" si="9"/>
        <v>#DIV/0!</v>
      </c>
      <c r="X749" s="89"/>
      <c r="Y749" s="89"/>
      <c r="Z749" s="89"/>
      <c r="AA749" s="89"/>
      <c r="AB749" s="89"/>
      <c r="AC749" s="89"/>
      <c r="AD749" s="89"/>
      <c r="AE749" s="89"/>
      <c r="AF749" s="89"/>
      <c r="AG749" s="89"/>
      <c r="AH749" s="89"/>
    </row>
    <row r="750">
      <c r="A750" s="8" t="s">
        <v>888</v>
      </c>
      <c r="B750" s="97"/>
      <c r="C750" s="8"/>
      <c r="D750" s="89" t="str">
        <f t="shared" si="1"/>
        <v/>
      </c>
      <c r="E750" s="89" t="str">
        <f t="shared" si="2"/>
        <v>OT Hours</v>
      </c>
      <c r="F750" s="89" t="str">
        <f>IFERROR(VLOOKUP(C750,'Employees List'!$B$1:$G$999,2,0),"")</f>
        <v/>
      </c>
      <c r="G750" s="89" t="str">
        <f t="shared" si="23"/>
        <v>#DIV/0!</v>
      </c>
      <c r="H750" s="98"/>
      <c r="I750" s="89" t="str">
        <f>IFERROR(VLOOKUP(F750,'Employees List'!$C:$F,2,0),"")</f>
        <v/>
      </c>
      <c r="J750" s="93" t="str">
        <f>IFERROR(VLOOKUP(C750,'Employees List'!$B$2:$G$991,5,0),"")</f>
        <v/>
      </c>
      <c r="K750" s="95" t="str">
        <f>IFERROR(VLOOKUP(F750,'Employees List'!$C$1:$AB$991,5,0),"")</f>
        <v/>
      </c>
      <c r="L750" s="91">
        <f t="shared" si="3"/>
        <v>0</v>
      </c>
      <c r="M750" s="91">
        <f t="shared" si="4"/>
        <v>0</v>
      </c>
      <c r="N750" s="89" t="str">
        <f>IFERROR(VLOOKUP(B750,'Employees List'!$A$2:$H$991,8,0),"")</f>
        <v/>
      </c>
      <c r="O750" s="89" t="str">
        <f>IFERROR(VLOOKUP(D750,'Daily Attendance Report 24-25'!A714:BP999,5,0),"")</f>
        <v/>
      </c>
      <c r="P750" s="89" t="str">
        <f>IFERROR(VLOOKUP(E750,'Daily Attendance Report 24-25'!$A$1:$BO$617,5,0),"")</f>
        <v/>
      </c>
      <c r="Q750" s="89"/>
      <c r="R750" s="89"/>
      <c r="S750" s="89" t="str">
        <f t="shared" si="17"/>
        <v>#DIV/0!</v>
      </c>
      <c r="T750" s="89" t="str">
        <f t="shared" si="6"/>
        <v>#DIV/0!</v>
      </c>
      <c r="U750" s="89" t="str">
        <f t="shared" si="25"/>
        <v>#DIV/0!</v>
      </c>
      <c r="V750" s="89" t="str">
        <f t="shared" si="24"/>
        <v>#DIV/0!</v>
      </c>
      <c r="W750" s="89" t="str">
        <f t="shared" si="9"/>
        <v>#DIV/0!</v>
      </c>
      <c r="X750" s="89"/>
      <c r="Y750" s="89"/>
      <c r="Z750" s="89"/>
      <c r="AA750" s="89"/>
      <c r="AB750" s="89"/>
      <c r="AC750" s="89"/>
      <c r="AD750" s="89"/>
      <c r="AE750" s="89"/>
      <c r="AF750" s="89"/>
      <c r="AG750" s="89"/>
      <c r="AH750" s="89"/>
    </row>
    <row r="751">
      <c r="A751" s="8" t="s">
        <v>889</v>
      </c>
      <c r="B751" s="97"/>
      <c r="C751" s="8"/>
      <c r="D751" s="89" t="str">
        <f t="shared" si="1"/>
        <v/>
      </c>
      <c r="E751" s="89" t="str">
        <f t="shared" si="2"/>
        <v>OT Hours</v>
      </c>
      <c r="F751" s="89" t="str">
        <f>IFERROR(VLOOKUP(C751,'Employees List'!$B$1:$G$999,2,0),"")</f>
        <v/>
      </c>
      <c r="G751" s="89" t="str">
        <f t="shared" si="23"/>
        <v>#DIV/0!</v>
      </c>
      <c r="H751" s="98"/>
      <c r="I751" s="89" t="str">
        <f>IFERROR(VLOOKUP(F751,'Employees List'!$C:$F,2,0),"")</f>
        <v/>
      </c>
      <c r="J751" s="93" t="str">
        <f>IFERROR(VLOOKUP(C751,'Employees List'!$B$2:$G$991,5,0),"")</f>
        <v/>
      </c>
      <c r="K751" s="95" t="str">
        <f>IFERROR(VLOOKUP(F751,'Employees List'!$C$1:$AB$991,5,0),"")</f>
        <v/>
      </c>
      <c r="L751" s="91">
        <f t="shared" si="3"/>
        <v>0</v>
      </c>
      <c r="M751" s="91">
        <f t="shared" si="4"/>
        <v>0</v>
      </c>
      <c r="N751" s="89" t="str">
        <f>IFERROR(VLOOKUP(B751,'Employees List'!$A$2:$H$991,8,0),"")</f>
        <v/>
      </c>
      <c r="O751" s="89" t="str">
        <f>IFERROR(VLOOKUP(D751,'Daily Attendance Report 24-25'!A715:BP999,5,0),"")</f>
        <v/>
      </c>
      <c r="P751" s="89" t="str">
        <f>IFERROR(VLOOKUP(E751,'Daily Attendance Report 24-25'!$A$1:$BO$617,5,0),"")</f>
        <v/>
      </c>
      <c r="Q751" s="89"/>
      <c r="R751" s="89"/>
      <c r="S751" s="89" t="str">
        <f t="shared" si="17"/>
        <v>#DIV/0!</v>
      </c>
      <c r="T751" s="89" t="str">
        <f t="shared" si="6"/>
        <v>#DIV/0!</v>
      </c>
      <c r="U751" s="89" t="str">
        <f t="shared" si="25"/>
        <v>#DIV/0!</v>
      </c>
      <c r="V751" s="89" t="str">
        <f t="shared" si="24"/>
        <v>#DIV/0!</v>
      </c>
      <c r="W751" s="89" t="str">
        <f t="shared" si="9"/>
        <v>#DIV/0!</v>
      </c>
      <c r="X751" s="89"/>
      <c r="Y751" s="89"/>
      <c r="Z751" s="89"/>
      <c r="AA751" s="89"/>
      <c r="AB751" s="89"/>
      <c r="AC751" s="89"/>
      <c r="AD751" s="89"/>
      <c r="AE751" s="89"/>
      <c r="AF751" s="89"/>
      <c r="AG751" s="89"/>
      <c r="AH751" s="89"/>
    </row>
    <row r="752">
      <c r="A752" s="8" t="s">
        <v>890</v>
      </c>
      <c r="B752" s="97"/>
      <c r="C752" s="8"/>
      <c r="D752" s="89" t="str">
        <f t="shared" si="1"/>
        <v/>
      </c>
      <c r="E752" s="89" t="str">
        <f t="shared" si="2"/>
        <v>OT Hours</v>
      </c>
      <c r="F752" s="89" t="str">
        <f>IFERROR(VLOOKUP(C752,'Employees List'!$B$1:$G$999,2,0),"")</f>
        <v/>
      </c>
      <c r="G752" s="89" t="str">
        <f t="shared" si="23"/>
        <v>#DIV/0!</v>
      </c>
      <c r="H752" s="98"/>
      <c r="I752" s="89" t="str">
        <f>IFERROR(VLOOKUP(F752,'Employees List'!$C:$F,2,0),"")</f>
        <v/>
      </c>
      <c r="J752" s="93" t="str">
        <f>IFERROR(VLOOKUP(C752,'Employees List'!$B$2:$G$991,5,0),"")</f>
        <v/>
      </c>
      <c r="K752" s="95" t="str">
        <f>IFERROR(VLOOKUP(F752,'Employees List'!$C$1:$AB$991,5,0),"")</f>
        <v/>
      </c>
      <c r="L752" s="91">
        <f t="shared" si="3"/>
        <v>0</v>
      </c>
      <c r="M752" s="91">
        <f t="shared" si="4"/>
        <v>0</v>
      </c>
      <c r="N752" s="89" t="str">
        <f>IFERROR(VLOOKUP(B752,'Employees List'!$A$2:$H$991,8,0),"")</f>
        <v/>
      </c>
      <c r="O752" s="89" t="str">
        <f>IFERROR(VLOOKUP(D752,'Daily Attendance Report 24-25'!A716:BP999,5,0),"")</f>
        <v/>
      </c>
      <c r="P752" s="89" t="str">
        <f>IFERROR(VLOOKUP(E752,'Daily Attendance Report 24-25'!$A$1:$BO$617,5,0),"")</f>
        <v/>
      </c>
      <c r="Q752" s="89"/>
      <c r="R752" s="89"/>
      <c r="S752" s="89" t="str">
        <f t="shared" si="17"/>
        <v>#DIV/0!</v>
      </c>
      <c r="T752" s="89" t="str">
        <f t="shared" si="6"/>
        <v>#DIV/0!</v>
      </c>
      <c r="U752" s="89" t="str">
        <f t="shared" si="25"/>
        <v>#DIV/0!</v>
      </c>
      <c r="V752" s="89" t="str">
        <f t="shared" si="24"/>
        <v>#DIV/0!</v>
      </c>
      <c r="W752" s="89" t="str">
        <f t="shared" si="9"/>
        <v>#DIV/0!</v>
      </c>
      <c r="X752" s="89"/>
      <c r="Y752" s="89"/>
      <c r="Z752" s="89"/>
      <c r="AA752" s="89"/>
      <c r="AB752" s="89"/>
      <c r="AC752" s="89"/>
      <c r="AD752" s="89"/>
      <c r="AE752" s="89"/>
      <c r="AF752" s="89"/>
      <c r="AG752" s="89"/>
      <c r="AH752" s="89"/>
    </row>
    <row r="753">
      <c r="A753" s="8" t="s">
        <v>891</v>
      </c>
      <c r="B753" s="97"/>
      <c r="C753" s="8"/>
      <c r="D753" s="89" t="str">
        <f t="shared" si="1"/>
        <v/>
      </c>
      <c r="E753" s="89" t="str">
        <f t="shared" si="2"/>
        <v>OT Hours</v>
      </c>
      <c r="F753" s="89" t="str">
        <f>IFERROR(VLOOKUP(C753,'Employees List'!$B$1:$G$999,2,0),"")</f>
        <v/>
      </c>
      <c r="G753" s="89" t="str">
        <f t="shared" si="23"/>
        <v>#DIV/0!</v>
      </c>
      <c r="H753" s="98"/>
      <c r="I753" s="89" t="str">
        <f>IFERROR(VLOOKUP(F753,'Employees List'!$C:$F,2,0),"")</f>
        <v/>
      </c>
      <c r="J753" s="93" t="str">
        <f>IFERROR(VLOOKUP(C753,'Employees List'!$B$2:$G$991,5,0),"")</f>
        <v/>
      </c>
      <c r="K753" s="95" t="str">
        <f>IFERROR(VLOOKUP(F753,'Employees List'!$C$1:$AB$991,5,0),"")</f>
        <v/>
      </c>
      <c r="L753" s="91">
        <f t="shared" si="3"/>
        <v>0</v>
      </c>
      <c r="M753" s="91">
        <f t="shared" si="4"/>
        <v>0</v>
      </c>
      <c r="N753" s="89" t="str">
        <f>IFERROR(VLOOKUP(B753,'Employees List'!$A$2:$H$991,8,0),"")</f>
        <v/>
      </c>
      <c r="O753" s="89" t="str">
        <f>IFERROR(VLOOKUP(D753,'Daily Attendance Report 24-25'!A717:BP999,5,0),"")</f>
        <v/>
      </c>
      <c r="P753" s="89" t="str">
        <f>IFERROR(VLOOKUP(E753,'Daily Attendance Report 24-25'!$A$1:$BO$617,5,0),"")</f>
        <v/>
      </c>
      <c r="Q753" s="89"/>
      <c r="R753" s="89"/>
      <c r="S753" s="89" t="str">
        <f t="shared" si="17"/>
        <v>#DIV/0!</v>
      </c>
      <c r="T753" s="89" t="str">
        <f t="shared" si="6"/>
        <v>#DIV/0!</v>
      </c>
      <c r="U753" s="89" t="str">
        <f t="shared" si="25"/>
        <v>#DIV/0!</v>
      </c>
      <c r="V753" s="89" t="str">
        <f t="shared" si="24"/>
        <v>#DIV/0!</v>
      </c>
      <c r="W753" s="89" t="str">
        <f t="shared" si="9"/>
        <v>#DIV/0!</v>
      </c>
      <c r="X753" s="89"/>
      <c r="Y753" s="89"/>
      <c r="Z753" s="89"/>
      <c r="AA753" s="89"/>
      <c r="AB753" s="89"/>
      <c r="AC753" s="89"/>
      <c r="AD753" s="89"/>
      <c r="AE753" s="89"/>
      <c r="AF753" s="89"/>
      <c r="AG753" s="89"/>
      <c r="AH753" s="89"/>
    </row>
    <row r="754">
      <c r="A754" s="8" t="s">
        <v>892</v>
      </c>
      <c r="B754" s="97"/>
      <c r="C754" s="8"/>
      <c r="D754" s="89" t="str">
        <f t="shared" si="1"/>
        <v/>
      </c>
      <c r="E754" s="89" t="str">
        <f t="shared" si="2"/>
        <v>OT Hours</v>
      </c>
      <c r="F754" s="89" t="str">
        <f>IFERROR(VLOOKUP(C754,'Employees List'!$B$1:$G$999,2,0),"")</f>
        <v/>
      </c>
      <c r="G754" s="89" t="str">
        <f t="shared" si="23"/>
        <v>#DIV/0!</v>
      </c>
      <c r="H754" s="98"/>
      <c r="I754" s="89" t="str">
        <f>IFERROR(VLOOKUP(F754,'Employees List'!$C:$F,2,0),"")</f>
        <v/>
      </c>
      <c r="J754" s="93" t="str">
        <f>IFERROR(VLOOKUP(C754,'Employees List'!$B$2:$G$991,5,0),"")</f>
        <v/>
      </c>
      <c r="K754" s="95" t="str">
        <f>IFERROR(VLOOKUP(F754,'Employees List'!$C$1:$AB$991,5,0),"")</f>
        <v/>
      </c>
      <c r="L754" s="91">
        <f t="shared" si="3"/>
        <v>0</v>
      </c>
      <c r="M754" s="91">
        <f t="shared" si="4"/>
        <v>0</v>
      </c>
      <c r="N754" s="89" t="str">
        <f>IFERROR(VLOOKUP(B754,'Employees List'!$A$2:$H$991,8,0),"")</f>
        <v/>
      </c>
      <c r="O754" s="89" t="str">
        <f>IFERROR(VLOOKUP(D754,'Daily Attendance Report 24-25'!A718:BP999,5,0),"")</f>
        <v/>
      </c>
      <c r="P754" s="89" t="str">
        <f>IFERROR(VLOOKUP(E754,'Daily Attendance Report 24-25'!$A$1:$BO$617,5,0),"")</f>
        <v/>
      </c>
      <c r="Q754" s="89"/>
      <c r="R754" s="89"/>
      <c r="S754" s="89" t="str">
        <f t="shared" si="17"/>
        <v>#DIV/0!</v>
      </c>
      <c r="T754" s="89" t="str">
        <f t="shared" si="6"/>
        <v>#DIV/0!</v>
      </c>
      <c r="U754" s="89" t="str">
        <f t="shared" si="25"/>
        <v>#DIV/0!</v>
      </c>
      <c r="V754" s="89" t="str">
        <f t="shared" si="24"/>
        <v>#DIV/0!</v>
      </c>
      <c r="W754" s="89" t="str">
        <f t="shared" si="9"/>
        <v>#DIV/0!</v>
      </c>
      <c r="X754" s="89"/>
      <c r="Y754" s="89"/>
      <c r="Z754" s="89"/>
      <c r="AA754" s="89"/>
      <c r="AB754" s="89"/>
      <c r="AC754" s="89"/>
      <c r="AD754" s="89"/>
      <c r="AE754" s="89"/>
      <c r="AF754" s="89"/>
      <c r="AG754" s="89"/>
      <c r="AH754" s="89"/>
    </row>
    <row r="755">
      <c r="A755" s="8" t="s">
        <v>893</v>
      </c>
      <c r="B755" s="97"/>
      <c r="C755" s="8"/>
      <c r="D755" s="89" t="str">
        <f t="shared" si="1"/>
        <v/>
      </c>
      <c r="E755" s="89" t="str">
        <f t="shared" si="2"/>
        <v>OT Hours</v>
      </c>
      <c r="F755" s="89" t="str">
        <f>IFERROR(VLOOKUP(C755,'Employees List'!$B$1:$G$999,2,0),"")</f>
        <v/>
      </c>
      <c r="G755" s="89" t="str">
        <f t="shared" si="23"/>
        <v>#DIV/0!</v>
      </c>
      <c r="H755" s="98"/>
      <c r="I755" s="89" t="str">
        <f>IFERROR(VLOOKUP(F755,'Employees List'!$C:$F,2,0),"")</f>
        <v/>
      </c>
      <c r="J755" s="93" t="str">
        <f>IFERROR(VLOOKUP(C755,'Employees List'!$B$2:$G$991,5,0),"")</f>
        <v/>
      </c>
      <c r="K755" s="95" t="str">
        <f>IFERROR(VLOOKUP(F755,'Employees List'!$C$1:$AB$991,5,0),"")</f>
        <v/>
      </c>
      <c r="L755" s="91">
        <f t="shared" si="3"/>
        <v>0</v>
      </c>
      <c r="M755" s="91">
        <f t="shared" si="4"/>
        <v>0</v>
      </c>
      <c r="N755" s="89" t="str">
        <f>IFERROR(VLOOKUP(B755,'Employees List'!$A$2:$H$991,8,0),"")</f>
        <v/>
      </c>
      <c r="O755" s="89" t="str">
        <f>IFERROR(VLOOKUP(D755,'Daily Attendance Report 24-25'!A719:BP999,5,0),"")</f>
        <v/>
      </c>
      <c r="P755" s="89" t="str">
        <f>IFERROR(VLOOKUP(E755,'Daily Attendance Report 24-25'!$A$1:$BO$617,5,0),"")</f>
        <v/>
      </c>
      <c r="Q755" s="89"/>
      <c r="R755" s="89"/>
      <c r="S755" s="89" t="str">
        <f t="shared" si="17"/>
        <v>#DIV/0!</v>
      </c>
      <c r="T755" s="89" t="str">
        <f t="shared" si="6"/>
        <v>#DIV/0!</v>
      </c>
      <c r="U755" s="89" t="str">
        <f t="shared" si="25"/>
        <v>#DIV/0!</v>
      </c>
      <c r="V755" s="89" t="str">
        <f t="shared" si="24"/>
        <v>#DIV/0!</v>
      </c>
      <c r="W755" s="89" t="str">
        <f t="shared" si="9"/>
        <v>#DIV/0!</v>
      </c>
      <c r="X755" s="89"/>
      <c r="Y755" s="89"/>
      <c r="Z755" s="89"/>
      <c r="AA755" s="89"/>
      <c r="AB755" s="89"/>
      <c r="AC755" s="89"/>
      <c r="AD755" s="89"/>
      <c r="AE755" s="89"/>
      <c r="AF755" s="89"/>
      <c r="AG755" s="89"/>
      <c r="AH755" s="89"/>
    </row>
    <row r="756">
      <c r="A756" s="8" t="s">
        <v>894</v>
      </c>
      <c r="B756" s="97"/>
      <c r="C756" s="8"/>
      <c r="D756" s="89" t="str">
        <f t="shared" si="1"/>
        <v/>
      </c>
      <c r="E756" s="89" t="str">
        <f t="shared" si="2"/>
        <v>OT Hours</v>
      </c>
      <c r="F756" s="89" t="str">
        <f>IFERROR(VLOOKUP(C756,'Employees List'!$B$1:$G$999,2,0),"")</f>
        <v/>
      </c>
      <c r="G756" s="89" t="str">
        <f t="shared" si="23"/>
        <v>#DIV/0!</v>
      </c>
      <c r="H756" s="98"/>
      <c r="I756" s="89" t="str">
        <f>IFERROR(VLOOKUP(F756,'Employees List'!$C:$F,2,0),"")</f>
        <v/>
      </c>
      <c r="J756" s="93" t="str">
        <f>IFERROR(VLOOKUP(C756,'Employees List'!$B$2:$G$991,5,0),"")</f>
        <v/>
      </c>
      <c r="K756" s="95" t="str">
        <f>IFERROR(VLOOKUP(F756,'Employees List'!$C$1:$AB$991,5,0),"")</f>
        <v/>
      </c>
      <c r="L756" s="91">
        <f t="shared" si="3"/>
        <v>0</v>
      </c>
      <c r="M756" s="91">
        <f t="shared" si="4"/>
        <v>0</v>
      </c>
      <c r="N756" s="89" t="str">
        <f>IFERROR(VLOOKUP(B756,'Employees List'!$A$2:$H$991,8,0),"")</f>
        <v/>
      </c>
      <c r="O756" s="89" t="str">
        <f>IFERROR(VLOOKUP(D756,'Daily Attendance Report 24-25'!A720:BP999,5,0),"")</f>
        <v/>
      </c>
      <c r="P756" s="89" t="str">
        <f>IFERROR(VLOOKUP(E756,'Daily Attendance Report 24-25'!$A$1:$BO$617,5,0),"")</f>
        <v/>
      </c>
      <c r="Q756" s="89"/>
      <c r="R756" s="89"/>
      <c r="S756" s="89" t="str">
        <f t="shared" si="17"/>
        <v>#DIV/0!</v>
      </c>
      <c r="T756" s="89" t="str">
        <f t="shared" si="6"/>
        <v>#DIV/0!</v>
      </c>
      <c r="U756" s="89" t="str">
        <f t="shared" si="25"/>
        <v>#DIV/0!</v>
      </c>
      <c r="V756" s="89" t="str">
        <f t="shared" si="24"/>
        <v>#DIV/0!</v>
      </c>
      <c r="W756" s="89" t="str">
        <f t="shared" si="9"/>
        <v>#DIV/0!</v>
      </c>
      <c r="X756" s="89"/>
      <c r="Y756" s="89"/>
      <c r="Z756" s="89"/>
      <c r="AA756" s="89"/>
      <c r="AB756" s="89"/>
      <c r="AC756" s="89"/>
      <c r="AD756" s="89"/>
      <c r="AE756" s="89"/>
      <c r="AF756" s="89"/>
      <c r="AG756" s="89"/>
      <c r="AH756" s="89"/>
    </row>
    <row r="757">
      <c r="A757" s="8" t="s">
        <v>895</v>
      </c>
      <c r="B757" s="97"/>
      <c r="C757" s="8"/>
      <c r="D757" s="89" t="str">
        <f t="shared" si="1"/>
        <v/>
      </c>
      <c r="E757" s="89" t="str">
        <f t="shared" si="2"/>
        <v>OT Hours</v>
      </c>
      <c r="F757" s="89" t="str">
        <f>IFERROR(VLOOKUP(C757,'Employees List'!$B$1:$G$999,2,0),"")</f>
        <v/>
      </c>
      <c r="G757" s="89" t="str">
        <f t="shared" si="23"/>
        <v>#DIV/0!</v>
      </c>
      <c r="H757" s="98"/>
      <c r="I757" s="89" t="str">
        <f>IFERROR(VLOOKUP(F757,'Employees List'!$C:$F,2,0),"")</f>
        <v/>
      </c>
      <c r="J757" s="93" t="str">
        <f>IFERROR(VLOOKUP(C757,'Employees List'!$B$2:$G$991,5,0),"")</f>
        <v/>
      </c>
      <c r="K757" s="95" t="str">
        <f>IFERROR(VLOOKUP(F757,'Employees List'!$C$1:$AB$991,5,0),"")</f>
        <v/>
      </c>
      <c r="L757" s="91">
        <f t="shared" si="3"/>
        <v>0</v>
      </c>
      <c r="M757" s="91">
        <f t="shared" si="4"/>
        <v>0</v>
      </c>
      <c r="N757" s="89" t="str">
        <f>IFERROR(VLOOKUP(B757,'Employees List'!$A$2:$H$991,8,0),"")</f>
        <v/>
      </c>
      <c r="O757" s="89" t="str">
        <f>IFERROR(VLOOKUP(D757,'Daily Attendance Report 24-25'!A721:BP999,5,0),"")</f>
        <v/>
      </c>
      <c r="P757" s="89" t="str">
        <f>IFERROR(VLOOKUP(E757,'Daily Attendance Report 24-25'!$A$1:$BO$617,5,0),"")</f>
        <v/>
      </c>
      <c r="Q757" s="89"/>
      <c r="R757" s="89"/>
      <c r="S757" s="89" t="str">
        <f t="shared" si="17"/>
        <v>#DIV/0!</v>
      </c>
      <c r="T757" s="89" t="str">
        <f t="shared" si="6"/>
        <v>#DIV/0!</v>
      </c>
      <c r="U757" s="89" t="str">
        <f t="shared" si="25"/>
        <v>#DIV/0!</v>
      </c>
      <c r="V757" s="89" t="str">
        <f t="shared" si="24"/>
        <v>#DIV/0!</v>
      </c>
      <c r="W757" s="89" t="str">
        <f t="shared" si="9"/>
        <v>#DIV/0!</v>
      </c>
      <c r="X757" s="89"/>
      <c r="Y757" s="89"/>
      <c r="Z757" s="89"/>
      <c r="AA757" s="89"/>
      <c r="AB757" s="89"/>
      <c r="AC757" s="89"/>
      <c r="AD757" s="89"/>
      <c r="AE757" s="89"/>
      <c r="AF757" s="89"/>
      <c r="AG757" s="89"/>
      <c r="AH757" s="89"/>
    </row>
    <row r="758">
      <c r="A758" s="8" t="s">
        <v>896</v>
      </c>
      <c r="B758" s="97"/>
      <c r="C758" s="8"/>
      <c r="D758" s="89" t="str">
        <f t="shared" si="1"/>
        <v/>
      </c>
      <c r="E758" s="89" t="str">
        <f t="shared" si="2"/>
        <v>OT Hours</v>
      </c>
      <c r="F758" s="89" t="str">
        <f>IFERROR(VLOOKUP(C758,'Employees List'!$B$1:$G$999,2,0),"")</f>
        <v/>
      </c>
      <c r="G758" s="89" t="str">
        <f t="shared" si="23"/>
        <v>#DIV/0!</v>
      </c>
      <c r="H758" s="98"/>
      <c r="I758" s="89" t="str">
        <f>IFERROR(VLOOKUP(F758,'Employees List'!$C:$F,2,0),"")</f>
        <v/>
      </c>
      <c r="J758" s="93" t="str">
        <f>IFERROR(VLOOKUP(C758,'Employees List'!$B$2:$G$991,5,0),"")</f>
        <v/>
      </c>
      <c r="K758" s="95" t="str">
        <f>IFERROR(VLOOKUP(F758,'Employees List'!$C$1:$AB$991,5,0),"")</f>
        <v/>
      </c>
      <c r="L758" s="91">
        <f t="shared" si="3"/>
        <v>0</v>
      </c>
      <c r="M758" s="91">
        <f t="shared" si="4"/>
        <v>0</v>
      </c>
      <c r="N758" s="89" t="str">
        <f>IFERROR(VLOOKUP(B758,'Employees List'!$A$2:$H$991,8,0),"")</f>
        <v/>
      </c>
      <c r="O758" s="89" t="str">
        <f>IFERROR(VLOOKUP(D758,'Daily Attendance Report 24-25'!A722:BP999,5,0),"")</f>
        <v/>
      </c>
      <c r="P758" s="89" t="str">
        <f>IFERROR(VLOOKUP(E758,'Daily Attendance Report 24-25'!$A$1:$BO$617,5,0),"")</f>
        <v/>
      </c>
      <c r="Q758" s="89"/>
      <c r="R758" s="89"/>
      <c r="S758" s="89" t="str">
        <f t="shared" si="17"/>
        <v>#DIV/0!</v>
      </c>
      <c r="T758" s="89" t="str">
        <f t="shared" si="6"/>
        <v>#DIV/0!</v>
      </c>
      <c r="U758" s="89" t="str">
        <f t="shared" si="25"/>
        <v>#DIV/0!</v>
      </c>
      <c r="V758" s="89" t="str">
        <f t="shared" si="24"/>
        <v>#DIV/0!</v>
      </c>
      <c r="W758" s="89" t="str">
        <f t="shared" si="9"/>
        <v>#DIV/0!</v>
      </c>
      <c r="X758" s="89"/>
      <c r="Y758" s="89"/>
      <c r="Z758" s="89"/>
      <c r="AA758" s="89"/>
      <c r="AB758" s="89"/>
      <c r="AC758" s="89"/>
      <c r="AD758" s="89"/>
      <c r="AE758" s="89"/>
      <c r="AF758" s="89"/>
      <c r="AG758" s="89"/>
      <c r="AH758" s="89"/>
    </row>
    <row r="759">
      <c r="A759" s="8" t="s">
        <v>897</v>
      </c>
      <c r="B759" s="97"/>
      <c r="C759" s="8"/>
      <c r="D759" s="89" t="str">
        <f t="shared" si="1"/>
        <v/>
      </c>
      <c r="E759" s="89" t="str">
        <f t="shared" si="2"/>
        <v>OT Hours</v>
      </c>
      <c r="F759" s="89" t="str">
        <f>IFERROR(VLOOKUP(C759,'Employees List'!$B$1:$G$999,2,0),"")</f>
        <v/>
      </c>
      <c r="G759" s="89" t="str">
        <f t="shared" si="23"/>
        <v>#DIV/0!</v>
      </c>
      <c r="H759" s="98"/>
      <c r="I759" s="89" t="str">
        <f>IFERROR(VLOOKUP(F759,'Employees List'!$C:$F,2,0),"")</f>
        <v/>
      </c>
      <c r="J759" s="93" t="str">
        <f>IFERROR(VLOOKUP(C759,'Employees List'!$B$2:$G$991,5,0),"")</f>
        <v/>
      </c>
      <c r="K759" s="95" t="str">
        <f>IFERROR(VLOOKUP(F759,'Employees List'!$C$1:$AB$991,5,0),"")</f>
        <v/>
      </c>
      <c r="L759" s="91">
        <f t="shared" si="3"/>
        <v>0</v>
      </c>
      <c r="M759" s="91">
        <f t="shared" si="4"/>
        <v>0</v>
      </c>
      <c r="N759" s="89" t="str">
        <f>IFERROR(VLOOKUP(B759,'Employees List'!$A$2:$H$991,8,0),"")</f>
        <v/>
      </c>
      <c r="O759" s="89" t="str">
        <f>IFERROR(VLOOKUP(D759,'Daily Attendance Report 24-25'!A723:BP999,5,0),"")</f>
        <v/>
      </c>
      <c r="P759" s="89" t="str">
        <f>IFERROR(VLOOKUP(E759,'Daily Attendance Report 24-25'!$A$1:$BO$617,5,0),"")</f>
        <v/>
      </c>
      <c r="Q759" s="89"/>
      <c r="R759" s="89"/>
      <c r="S759" s="89" t="str">
        <f t="shared" si="17"/>
        <v>#DIV/0!</v>
      </c>
      <c r="T759" s="89" t="str">
        <f t="shared" si="6"/>
        <v>#DIV/0!</v>
      </c>
      <c r="U759" s="89" t="str">
        <f t="shared" si="25"/>
        <v>#DIV/0!</v>
      </c>
      <c r="V759" s="89" t="str">
        <f t="shared" si="24"/>
        <v>#DIV/0!</v>
      </c>
      <c r="W759" s="89" t="str">
        <f t="shared" si="9"/>
        <v>#DIV/0!</v>
      </c>
      <c r="X759" s="89"/>
      <c r="Y759" s="89"/>
      <c r="Z759" s="89"/>
      <c r="AA759" s="89"/>
      <c r="AB759" s="89"/>
      <c r="AC759" s="89"/>
      <c r="AD759" s="89"/>
      <c r="AE759" s="89"/>
      <c r="AF759" s="89"/>
      <c r="AG759" s="89"/>
      <c r="AH759" s="89"/>
    </row>
    <row r="760">
      <c r="A760" s="8" t="s">
        <v>898</v>
      </c>
      <c r="B760" s="97"/>
      <c r="C760" s="8"/>
      <c r="D760" s="89" t="str">
        <f t="shared" si="1"/>
        <v/>
      </c>
      <c r="E760" s="89" t="str">
        <f t="shared" si="2"/>
        <v>OT Hours</v>
      </c>
      <c r="F760" s="89" t="str">
        <f>IFERROR(VLOOKUP(C760,'Employees List'!$B$1:$G$999,2,0),"")</f>
        <v/>
      </c>
      <c r="G760" s="89" t="str">
        <f t="shared" si="23"/>
        <v>#DIV/0!</v>
      </c>
      <c r="H760" s="98"/>
      <c r="I760" s="89" t="str">
        <f>IFERROR(VLOOKUP(F760,'Employees List'!$C:$F,2,0),"")</f>
        <v/>
      </c>
      <c r="J760" s="93" t="str">
        <f>IFERROR(VLOOKUP(C760,'Employees List'!$B$2:$G$991,5,0),"")</f>
        <v/>
      </c>
      <c r="K760" s="95" t="str">
        <f>IFERROR(VLOOKUP(F760,'Employees List'!$C$1:$AB$991,5,0),"")</f>
        <v/>
      </c>
      <c r="L760" s="91">
        <f t="shared" si="3"/>
        <v>0</v>
      </c>
      <c r="M760" s="91">
        <f t="shared" si="4"/>
        <v>0</v>
      </c>
      <c r="N760" s="89" t="str">
        <f>IFERROR(VLOOKUP(B760,'Employees List'!$A$2:$H$991,8,0),"")</f>
        <v/>
      </c>
      <c r="O760" s="89" t="str">
        <f>IFERROR(VLOOKUP(D760,'Daily Attendance Report 24-25'!A724:BP999,5,0),"")</f>
        <v/>
      </c>
      <c r="P760" s="89" t="str">
        <f>IFERROR(VLOOKUP(E760,'Daily Attendance Report 24-25'!$A$1:$BO$617,5,0),"")</f>
        <v/>
      </c>
      <c r="Q760" s="89"/>
      <c r="R760" s="89"/>
      <c r="S760" s="89" t="str">
        <f t="shared" si="17"/>
        <v>#DIV/0!</v>
      </c>
      <c r="T760" s="89" t="str">
        <f t="shared" si="6"/>
        <v>#DIV/0!</v>
      </c>
      <c r="U760" s="89" t="str">
        <f t="shared" si="25"/>
        <v>#DIV/0!</v>
      </c>
      <c r="V760" s="89" t="str">
        <f t="shared" si="24"/>
        <v>#DIV/0!</v>
      </c>
      <c r="W760" s="89" t="str">
        <f t="shared" si="9"/>
        <v>#DIV/0!</v>
      </c>
      <c r="X760" s="89"/>
      <c r="Y760" s="89"/>
      <c r="Z760" s="89"/>
      <c r="AA760" s="89"/>
      <c r="AB760" s="89"/>
      <c r="AC760" s="89"/>
      <c r="AD760" s="89"/>
      <c r="AE760" s="89"/>
      <c r="AF760" s="89"/>
      <c r="AG760" s="89"/>
      <c r="AH760" s="89"/>
    </row>
    <row r="761">
      <c r="A761" s="8" t="s">
        <v>899</v>
      </c>
      <c r="B761" s="97"/>
      <c r="C761" s="8"/>
      <c r="D761" s="89" t="str">
        <f t="shared" si="1"/>
        <v/>
      </c>
      <c r="E761" s="89" t="str">
        <f t="shared" si="2"/>
        <v>OT Hours</v>
      </c>
      <c r="F761" s="89" t="str">
        <f>IFERROR(VLOOKUP(C761,'Employees List'!$B$1:$G$999,2,0),"")</f>
        <v/>
      </c>
      <c r="G761" s="89" t="str">
        <f t="shared" si="23"/>
        <v>#DIV/0!</v>
      </c>
      <c r="H761" s="98"/>
      <c r="I761" s="89" t="str">
        <f>IFERROR(VLOOKUP(F761,'Employees List'!$C:$F,2,0),"")</f>
        <v/>
      </c>
      <c r="J761" s="93" t="str">
        <f>IFERROR(VLOOKUP(C761,'Employees List'!$B$2:$G$991,5,0),"")</f>
        <v/>
      </c>
      <c r="K761" s="95" t="str">
        <f>IFERROR(VLOOKUP(F761,'Employees List'!$C$1:$AB$991,5,0),"")</f>
        <v/>
      </c>
      <c r="L761" s="91">
        <f t="shared" si="3"/>
        <v>0</v>
      </c>
      <c r="M761" s="91">
        <f t="shared" si="4"/>
        <v>0</v>
      </c>
      <c r="N761" s="89" t="str">
        <f>IFERROR(VLOOKUP(B761,'Employees List'!$A$2:$H$991,8,0),"")</f>
        <v/>
      </c>
      <c r="O761" s="89" t="str">
        <f>IFERROR(VLOOKUP(D761,'Daily Attendance Report 24-25'!A725:BP999,5,0),"")</f>
        <v/>
      </c>
      <c r="P761" s="89" t="str">
        <f>IFERROR(VLOOKUP(E761,'Daily Attendance Report 24-25'!$A$1:$BO$617,5,0),"")</f>
        <v/>
      </c>
      <c r="Q761" s="89"/>
      <c r="R761" s="89"/>
      <c r="S761" s="89" t="str">
        <f t="shared" si="17"/>
        <v>#DIV/0!</v>
      </c>
      <c r="T761" s="89" t="str">
        <f t="shared" si="6"/>
        <v>#DIV/0!</v>
      </c>
      <c r="U761" s="89" t="str">
        <f t="shared" si="25"/>
        <v>#DIV/0!</v>
      </c>
      <c r="V761" s="89" t="str">
        <f t="shared" si="24"/>
        <v>#DIV/0!</v>
      </c>
      <c r="W761" s="89" t="str">
        <f t="shared" si="9"/>
        <v>#DIV/0!</v>
      </c>
      <c r="X761" s="89"/>
      <c r="Y761" s="89"/>
      <c r="Z761" s="89"/>
      <c r="AA761" s="89"/>
      <c r="AB761" s="89"/>
      <c r="AC761" s="89"/>
      <c r="AD761" s="89"/>
      <c r="AE761" s="89"/>
      <c r="AF761" s="89"/>
      <c r="AG761" s="89"/>
      <c r="AH761" s="89"/>
    </row>
    <row r="762">
      <c r="A762" s="8" t="s">
        <v>900</v>
      </c>
      <c r="B762" s="97"/>
      <c r="C762" s="8"/>
      <c r="D762" s="89" t="str">
        <f t="shared" si="1"/>
        <v/>
      </c>
      <c r="E762" s="89" t="str">
        <f t="shared" si="2"/>
        <v>OT Hours</v>
      </c>
      <c r="F762" s="89" t="str">
        <f>IFERROR(VLOOKUP(C762,'Employees List'!$B$1:$G$999,2,0),"")</f>
        <v/>
      </c>
      <c r="G762" s="89" t="str">
        <f t="shared" si="23"/>
        <v>#DIV/0!</v>
      </c>
      <c r="H762" s="98"/>
      <c r="I762" s="89" t="str">
        <f>IFERROR(VLOOKUP(F762,'Employees List'!$C:$F,2,0),"")</f>
        <v/>
      </c>
      <c r="J762" s="93" t="str">
        <f>IFERROR(VLOOKUP(C762,'Employees List'!$B$2:$G$991,5,0),"")</f>
        <v/>
      </c>
      <c r="K762" s="95" t="str">
        <f>IFERROR(VLOOKUP(F762,'Employees List'!$C$1:$AB$991,5,0),"")</f>
        <v/>
      </c>
      <c r="L762" s="91">
        <f t="shared" si="3"/>
        <v>0</v>
      </c>
      <c r="M762" s="91">
        <f t="shared" si="4"/>
        <v>0</v>
      </c>
      <c r="N762" s="89" t="str">
        <f>IFERROR(VLOOKUP(B762,'Employees List'!$A$2:$H$991,8,0),"")</f>
        <v/>
      </c>
      <c r="O762" s="89" t="str">
        <f>IFERROR(VLOOKUP(D762,'Daily Attendance Report 24-25'!A726:BP999,5,0),"")</f>
        <v/>
      </c>
      <c r="P762" s="89" t="str">
        <f>IFERROR(VLOOKUP(E762,'Daily Attendance Report 24-25'!$A$1:$BO$617,5,0),"")</f>
        <v/>
      </c>
      <c r="Q762" s="89"/>
      <c r="R762" s="89"/>
      <c r="S762" s="89" t="str">
        <f t="shared" si="17"/>
        <v>#DIV/0!</v>
      </c>
      <c r="T762" s="89" t="str">
        <f t="shared" si="6"/>
        <v>#DIV/0!</v>
      </c>
      <c r="U762" s="89" t="str">
        <f t="shared" si="25"/>
        <v>#DIV/0!</v>
      </c>
      <c r="V762" s="89" t="str">
        <f t="shared" si="24"/>
        <v>#DIV/0!</v>
      </c>
      <c r="W762" s="89" t="str">
        <f t="shared" si="9"/>
        <v>#DIV/0!</v>
      </c>
      <c r="X762" s="89"/>
      <c r="Y762" s="89"/>
      <c r="Z762" s="89"/>
      <c r="AA762" s="89"/>
      <c r="AB762" s="89"/>
      <c r="AC762" s="89"/>
      <c r="AD762" s="89"/>
      <c r="AE762" s="89"/>
      <c r="AF762" s="89"/>
      <c r="AG762" s="89"/>
      <c r="AH762" s="89"/>
    </row>
    <row r="763">
      <c r="A763" s="8" t="s">
        <v>901</v>
      </c>
      <c r="B763" s="97"/>
      <c r="C763" s="8"/>
      <c r="D763" s="89" t="str">
        <f t="shared" si="1"/>
        <v/>
      </c>
      <c r="E763" s="89" t="str">
        <f t="shared" si="2"/>
        <v>OT Hours</v>
      </c>
      <c r="F763" s="89" t="str">
        <f>IFERROR(VLOOKUP(C763,'Employees List'!$B$1:$G$999,2,0),"")</f>
        <v/>
      </c>
      <c r="G763" s="89" t="str">
        <f t="shared" si="23"/>
        <v>#DIV/0!</v>
      </c>
      <c r="H763" s="98"/>
      <c r="I763" s="89" t="str">
        <f>IFERROR(VLOOKUP(F763,'Employees List'!$C:$F,2,0),"")</f>
        <v/>
      </c>
      <c r="J763" s="93" t="str">
        <f>IFERROR(VLOOKUP(C763,'Employees List'!$B$2:$G$991,5,0),"")</f>
        <v/>
      </c>
      <c r="K763" s="95" t="str">
        <f>IFERROR(VLOOKUP(F763,'Employees List'!$C$1:$AB$991,5,0),"")</f>
        <v/>
      </c>
      <c r="L763" s="91">
        <f t="shared" si="3"/>
        <v>0</v>
      </c>
      <c r="M763" s="91">
        <f t="shared" si="4"/>
        <v>0</v>
      </c>
      <c r="N763" s="89" t="str">
        <f>IFERROR(VLOOKUP(B763,'Employees List'!$A$2:$H$991,8,0),"")</f>
        <v/>
      </c>
      <c r="O763" s="89" t="str">
        <f>IFERROR(VLOOKUP(D763,'Daily Attendance Report 24-25'!A727:BP999,5,0),"")</f>
        <v/>
      </c>
      <c r="P763" s="89" t="str">
        <f>IFERROR(VLOOKUP(E763,'Daily Attendance Report 24-25'!$A$1:$BO$617,5,0),"")</f>
        <v/>
      </c>
      <c r="Q763" s="89"/>
      <c r="R763" s="89"/>
      <c r="S763" s="89" t="str">
        <f t="shared" si="17"/>
        <v>#DIV/0!</v>
      </c>
      <c r="T763" s="89" t="str">
        <f t="shared" si="6"/>
        <v>#DIV/0!</v>
      </c>
      <c r="U763" s="89" t="str">
        <f t="shared" si="25"/>
        <v>#DIV/0!</v>
      </c>
      <c r="V763" s="89" t="str">
        <f t="shared" si="24"/>
        <v>#DIV/0!</v>
      </c>
      <c r="W763" s="89" t="str">
        <f t="shared" si="9"/>
        <v>#DIV/0!</v>
      </c>
      <c r="X763" s="89"/>
      <c r="Y763" s="89"/>
      <c r="Z763" s="89"/>
      <c r="AA763" s="89"/>
      <c r="AB763" s="89"/>
      <c r="AC763" s="89"/>
      <c r="AD763" s="89"/>
      <c r="AE763" s="89"/>
      <c r="AF763" s="89"/>
      <c r="AG763" s="89"/>
      <c r="AH763" s="89"/>
    </row>
    <row r="764">
      <c r="A764" s="8" t="s">
        <v>902</v>
      </c>
      <c r="B764" s="97"/>
      <c r="C764" s="8"/>
      <c r="D764" s="89" t="str">
        <f t="shared" si="1"/>
        <v/>
      </c>
      <c r="E764" s="89" t="str">
        <f t="shared" si="2"/>
        <v>OT Hours</v>
      </c>
      <c r="F764" s="89" t="str">
        <f>IFERROR(VLOOKUP(C764,'Employees List'!$B$1:$G$999,2,0),"")</f>
        <v/>
      </c>
      <c r="G764" s="89" t="str">
        <f t="shared" si="23"/>
        <v>#DIV/0!</v>
      </c>
      <c r="H764" s="98"/>
      <c r="I764" s="89" t="str">
        <f>IFERROR(VLOOKUP(F764,'Employees List'!$C:$F,2,0),"")</f>
        <v/>
      </c>
      <c r="J764" s="93" t="str">
        <f>IFERROR(VLOOKUP(C764,'Employees List'!$B$2:$G$991,5,0),"")</f>
        <v/>
      </c>
      <c r="K764" s="95" t="str">
        <f>IFERROR(VLOOKUP(F764,'Employees List'!$C$1:$AB$991,5,0),"")</f>
        <v/>
      </c>
      <c r="L764" s="91">
        <f t="shared" si="3"/>
        <v>0</v>
      </c>
      <c r="M764" s="91">
        <f t="shared" si="4"/>
        <v>0</v>
      </c>
      <c r="N764" s="89" t="str">
        <f>IFERROR(VLOOKUP(B764,'Employees List'!$A$2:$H$991,8,0),"")</f>
        <v/>
      </c>
      <c r="O764" s="89" t="str">
        <f>IFERROR(VLOOKUP(D764,'Daily Attendance Report 24-25'!A728:BP999,5,0),"")</f>
        <v/>
      </c>
      <c r="P764" s="89" t="str">
        <f>IFERROR(VLOOKUP(E764,'Daily Attendance Report 24-25'!$A$1:$BO$617,5,0),"")</f>
        <v/>
      </c>
      <c r="Q764" s="89"/>
      <c r="R764" s="89"/>
      <c r="S764" s="89" t="str">
        <f t="shared" si="17"/>
        <v>#DIV/0!</v>
      </c>
      <c r="T764" s="89" t="str">
        <f t="shared" si="6"/>
        <v>#DIV/0!</v>
      </c>
      <c r="U764" s="89" t="str">
        <f t="shared" si="25"/>
        <v>#DIV/0!</v>
      </c>
      <c r="V764" s="89" t="str">
        <f t="shared" si="24"/>
        <v>#DIV/0!</v>
      </c>
      <c r="W764" s="89" t="str">
        <f t="shared" si="9"/>
        <v>#DIV/0!</v>
      </c>
      <c r="X764" s="89"/>
      <c r="Y764" s="89"/>
      <c r="Z764" s="89"/>
      <c r="AA764" s="89"/>
      <c r="AB764" s="89"/>
      <c r="AC764" s="89"/>
      <c r="AD764" s="89"/>
      <c r="AE764" s="89"/>
      <c r="AF764" s="89"/>
      <c r="AG764" s="89"/>
      <c r="AH764" s="89"/>
    </row>
    <row r="765">
      <c r="A765" s="8" t="s">
        <v>903</v>
      </c>
      <c r="B765" s="97"/>
      <c r="C765" s="8"/>
      <c r="D765" s="89" t="str">
        <f t="shared" si="1"/>
        <v/>
      </c>
      <c r="E765" s="89" t="str">
        <f t="shared" si="2"/>
        <v>OT Hours</v>
      </c>
      <c r="F765" s="89" t="str">
        <f>IFERROR(VLOOKUP(C765,'Employees List'!$B$1:$G$999,2,0),"")</f>
        <v/>
      </c>
      <c r="G765" s="89" t="str">
        <f t="shared" si="23"/>
        <v>#DIV/0!</v>
      </c>
      <c r="H765" s="98"/>
      <c r="I765" s="89" t="str">
        <f>IFERROR(VLOOKUP(F765,'Employees List'!$C:$F,2,0),"")</f>
        <v/>
      </c>
      <c r="J765" s="93" t="str">
        <f>IFERROR(VLOOKUP(C765,'Employees List'!$B$2:$G$991,5,0),"")</f>
        <v/>
      </c>
      <c r="K765" s="95" t="str">
        <f>IFERROR(VLOOKUP(F765,'Employees List'!$C$1:$AB$991,5,0),"")</f>
        <v/>
      </c>
      <c r="L765" s="91">
        <f t="shared" si="3"/>
        <v>0</v>
      </c>
      <c r="M765" s="91">
        <f t="shared" si="4"/>
        <v>0</v>
      </c>
      <c r="N765" s="89" t="str">
        <f>IFERROR(VLOOKUP(B765,'Employees List'!$A$2:$H$991,8,0),"")</f>
        <v/>
      </c>
      <c r="O765" s="89" t="str">
        <f>IFERROR(VLOOKUP(D765,'Daily Attendance Report 24-25'!A729:BP999,5,0),"")</f>
        <v/>
      </c>
      <c r="P765" s="89" t="str">
        <f>IFERROR(VLOOKUP(E765,'Daily Attendance Report 24-25'!$A$1:$BO$617,5,0),"")</f>
        <v/>
      </c>
      <c r="Q765" s="89"/>
      <c r="R765" s="89"/>
      <c r="S765" s="89" t="str">
        <f t="shared" si="17"/>
        <v>#DIV/0!</v>
      </c>
      <c r="T765" s="89" t="str">
        <f t="shared" si="6"/>
        <v>#DIV/0!</v>
      </c>
      <c r="U765" s="89" t="str">
        <f t="shared" si="25"/>
        <v>#DIV/0!</v>
      </c>
      <c r="V765" s="89" t="str">
        <f t="shared" si="24"/>
        <v>#DIV/0!</v>
      </c>
      <c r="W765" s="89" t="str">
        <f t="shared" si="9"/>
        <v>#DIV/0!</v>
      </c>
      <c r="X765" s="89"/>
      <c r="Y765" s="89"/>
      <c r="Z765" s="89"/>
      <c r="AA765" s="89"/>
      <c r="AB765" s="89"/>
      <c r="AC765" s="89"/>
      <c r="AD765" s="89"/>
      <c r="AE765" s="89"/>
      <c r="AF765" s="89"/>
      <c r="AG765" s="89"/>
      <c r="AH765" s="89"/>
    </row>
    <row r="766">
      <c r="A766" s="8" t="s">
        <v>904</v>
      </c>
      <c r="B766" s="97"/>
      <c r="C766" s="8"/>
      <c r="D766" s="89" t="str">
        <f t="shared" si="1"/>
        <v/>
      </c>
      <c r="E766" s="89" t="str">
        <f t="shared" si="2"/>
        <v>OT Hours</v>
      </c>
      <c r="F766" s="89" t="str">
        <f>IFERROR(VLOOKUP(C766,'Employees List'!$B$1:$G$999,2,0),"")</f>
        <v/>
      </c>
      <c r="G766" s="89" t="str">
        <f t="shared" si="23"/>
        <v>#DIV/0!</v>
      </c>
      <c r="H766" s="98"/>
      <c r="I766" s="89" t="str">
        <f>IFERROR(VLOOKUP(F766,'Employees List'!$C:$F,2,0),"")</f>
        <v/>
      </c>
      <c r="J766" s="93" t="str">
        <f>IFERROR(VLOOKUP(C766,'Employees List'!$B$2:$G$991,5,0),"")</f>
        <v/>
      </c>
      <c r="K766" s="95" t="str">
        <f>IFERROR(VLOOKUP(F766,'Employees List'!$C$1:$AB$991,5,0),"")</f>
        <v/>
      </c>
      <c r="L766" s="91">
        <f t="shared" si="3"/>
        <v>0</v>
      </c>
      <c r="M766" s="91">
        <f t="shared" si="4"/>
        <v>0</v>
      </c>
      <c r="N766" s="89" t="str">
        <f>IFERROR(VLOOKUP(B766,'Employees List'!$A$2:$H$991,8,0),"")</f>
        <v/>
      </c>
      <c r="O766" s="89" t="str">
        <f>IFERROR(VLOOKUP(D766,'Daily Attendance Report 24-25'!A730:BP999,5,0),"")</f>
        <v/>
      </c>
      <c r="P766" s="89" t="str">
        <f>IFERROR(VLOOKUP(E766,'Daily Attendance Report 24-25'!$A$1:$BO$617,5,0),"")</f>
        <v/>
      </c>
      <c r="Q766" s="89"/>
      <c r="R766" s="89"/>
      <c r="S766" s="89" t="str">
        <f t="shared" si="17"/>
        <v>#DIV/0!</v>
      </c>
      <c r="T766" s="89" t="str">
        <f t="shared" si="6"/>
        <v>#DIV/0!</v>
      </c>
      <c r="U766" s="89" t="str">
        <f t="shared" si="25"/>
        <v>#DIV/0!</v>
      </c>
      <c r="V766" s="89" t="str">
        <f t="shared" si="24"/>
        <v>#DIV/0!</v>
      </c>
      <c r="W766" s="89" t="str">
        <f t="shared" si="9"/>
        <v>#DIV/0!</v>
      </c>
      <c r="X766" s="89"/>
      <c r="Y766" s="89"/>
      <c r="Z766" s="89"/>
      <c r="AA766" s="89"/>
      <c r="AB766" s="89"/>
      <c r="AC766" s="89"/>
      <c r="AD766" s="89"/>
      <c r="AE766" s="89"/>
      <c r="AF766" s="89"/>
      <c r="AG766" s="89"/>
      <c r="AH766" s="89"/>
    </row>
    <row r="767">
      <c r="A767" s="8" t="s">
        <v>905</v>
      </c>
      <c r="B767" s="97"/>
      <c r="C767" s="8"/>
      <c r="D767" s="89" t="str">
        <f t="shared" si="1"/>
        <v/>
      </c>
      <c r="E767" s="89" t="str">
        <f t="shared" si="2"/>
        <v>OT Hours</v>
      </c>
      <c r="F767" s="89" t="str">
        <f>IFERROR(VLOOKUP(C767,'Employees List'!$B$1:$G$999,2,0),"")</f>
        <v/>
      </c>
      <c r="G767" s="89" t="str">
        <f t="shared" si="23"/>
        <v>#DIV/0!</v>
      </c>
      <c r="H767" s="98"/>
      <c r="I767" s="89" t="str">
        <f>IFERROR(VLOOKUP(F767,'Employees List'!$C:$F,2,0),"")</f>
        <v/>
      </c>
      <c r="J767" s="93" t="str">
        <f>IFERROR(VLOOKUP(C767,'Employees List'!$B$2:$G$991,5,0),"")</f>
        <v/>
      </c>
      <c r="K767" s="95" t="str">
        <f>IFERROR(VLOOKUP(F767,'Employees List'!$C$1:$AB$991,5,0),"")</f>
        <v/>
      </c>
      <c r="L767" s="91">
        <f t="shared" si="3"/>
        <v>0</v>
      </c>
      <c r="M767" s="91">
        <f t="shared" si="4"/>
        <v>0</v>
      </c>
      <c r="N767" s="89" t="str">
        <f>IFERROR(VLOOKUP(B767,'Employees List'!$A$2:$H$991,8,0),"")</f>
        <v/>
      </c>
      <c r="O767" s="89" t="str">
        <f>IFERROR(VLOOKUP(D767,'Daily Attendance Report 24-25'!A731:BP999,5,0),"")</f>
        <v/>
      </c>
      <c r="P767" s="89" t="str">
        <f>IFERROR(VLOOKUP(E767,'Daily Attendance Report 24-25'!$A$1:$BO$617,5,0),"")</f>
        <v/>
      </c>
      <c r="Q767" s="89"/>
      <c r="R767" s="89"/>
      <c r="S767" s="89" t="str">
        <f t="shared" si="17"/>
        <v>#DIV/0!</v>
      </c>
      <c r="T767" s="89" t="str">
        <f t="shared" si="6"/>
        <v>#DIV/0!</v>
      </c>
      <c r="U767" s="89" t="str">
        <f t="shared" si="25"/>
        <v>#DIV/0!</v>
      </c>
      <c r="V767" s="89" t="str">
        <f t="shared" si="24"/>
        <v>#DIV/0!</v>
      </c>
      <c r="W767" s="89" t="str">
        <f t="shared" si="9"/>
        <v>#DIV/0!</v>
      </c>
      <c r="X767" s="89"/>
      <c r="Y767" s="89"/>
      <c r="Z767" s="89"/>
      <c r="AA767" s="89"/>
      <c r="AB767" s="89"/>
      <c r="AC767" s="89"/>
      <c r="AD767" s="89"/>
      <c r="AE767" s="89"/>
      <c r="AF767" s="89"/>
      <c r="AG767" s="89"/>
      <c r="AH767" s="89"/>
    </row>
    <row r="768">
      <c r="A768" s="8" t="s">
        <v>906</v>
      </c>
      <c r="B768" s="97"/>
      <c r="C768" s="8"/>
      <c r="D768" s="89" t="str">
        <f t="shared" si="1"/>
        <v/>
      </c>
      <c r="E768" s="89" t="str">
        <f t="shared" si="2"/>
        <v>OT Hours</v>
      </c>
      <c r="F768" s="89" t="str">
        <f>IFERROR(VLOOKUP(C768,'Employees List'!$B$1:$G$999,2,0),"")</f>
        <v/>
      </c>
      <c r="G768" s="89" t="str">
        <f t="shared" si="23"/>
        <v>#DIV/0!</v>
      </c>
      <c r="H768" s="98"/>
      <c r="I768" s="89" t="str">
        <f>IFERROR(VLOOKUP(F768,'Employees List'!$C:$F,2,0),"")</f>
        <v/>
      </c>
      <c r="J768" s="93" t="str">
        <f>IFERROR(VLOOKUP(C768,'Employees List'!$B$2:$G$991,5,0),"")</f>
        <v/>
      </c>
      <c r="K768" s="95" t="str">
        <f>IFERROR(VLOOKUP(F768,'Employees List'!$C$1:$AB$991,5,0),"")</f>
        <v/>
      </c>
      <c r="L768" s="91">
        <f t="shared" si="3"/>
        <v>0</v>
      </c>
      <c r="M768" s="91">
        <f t="shared" si="4"/>
        <v>0</v>
      </c>
      <c r="N768" s="89" t="str">
        <f>IFERROR(VLOOKUP(B768,'Employees List'!$A$2:$H$991,8,0),"")</f>
        <v/>
      </c>
      <c r="O768" s="89" t="str">
        <f>IFERROR(VLOOKUP(D768,'Daily Attendance Report 24-25'!A732:BP999,5,0),"")</f>
        <v/>
      </c>
      <c r="P768" s="89" t="str">
        <f>IFERROR(VLOOKUP(E768,'Daily Attendance Report 24-25'!$A$1:$BO$617,5,0),"")</f>
        <v/>
      </c>
      <c r="Q768" s="89"/>
      <c r="R768" s="89"/>
      <c r="S768" s="89" t="str">
        <f t="shared" si="17"/>
        <v>#DIV/0!</v>
      </c>
      <c r="T768" s="89" t="str">
        <f t="shared" si="6"/>
        <v>#DIV/0!</v>
      </c>
      <c r="U768" s="89" t="str">
        <f t="shared" si="25"/>
        <v>#DIV/0!</v>
      </c>
      <c r="V768" s="89" t="str">
        <f t="shared" si="24"/>
        <v>#DIV/0!</v>
      </c>
      <c r="W768" s="89" t="str">
        <f t="shared" si="9"/>
        <v>#DIV/0!</v>
      </c>
      <c r="X768" s="89"/>
      <c r="Y768" s="89"/>
      <c r="Z768" s="89"/>
      <c r="AA768" s="89"/>
      <c r="AB768" s="89"/>
      <c r="AC768" s="89"/>
      <c r="AD768" s="89"/>
      <c r="AE768" s="89"/>
      <c r="AF768" s="89"/>
      <c r="AG768" s="89"/>
      <c r="AH768" s="89"/>
    </row>
    <row r="769">
      <c r="A769" s="8" t="s">
        <v>907</v>
      </c>
      <c r="B769" s="97"/>
      <c r="C769" s="8"/>
      <c r="D769" s="89" t="str">
        <f t="shared" si="1"/>
        <v/>
      </c>
      <c r="E769" s="89" t="str">
        <f t="shared" si="2"/>
        <v>OT Hours</v>
      </c>
      <c r="F769" s="89" t="str">
        <f>IFERROR(VLOOKUP(C769,'Employees List'!$B$1:$G$999,2,0),"")</f>
        <v/>
      </c>
      <c r="G769" s="89" t="str">
        <f t="shared" si="23"/>
        <v>#DIV/0!</v>
      </c>
      <c r="H769" s="98"/>
      <c r="I769" s="89" t="str">
        <f>IFERROR(VLOOKUP(F769,'Employees List'!$C:$F,2,0),"")</f>
        <v/>
      </c>
      <c r="J769" s="93" t="str">
        <f>IFERROR(VLOOKUP(C769,'Employees List'!$B$2:$G$991,5,0),"")</f>
        <v/>
      </c>
      <c r="K769" s="95" t="str">
        <f>IFERROR(VLOOKUP(F769,'Employees List'!$C$1:$AB$991,5,0),"")</f>
        <v/>
      </c>
      <c r="L769" s="91">
        <f t="shared" si="3"/>
        <v>0</v>
      </c>
      <c r="M769" s="91">
        <f t="shared" si="4"/>
        <v>0</v>
      </c>
      <c r="N769" s="89" t="str">
        <f>IFERROR(VLOOKUP(B769,'Employees List'!$A$2:$H$991,8,0),"")</f>
        <v/>
      </c>
      <c r="O769" s="89" t="str">
        <f>IFERROR(VLOOKUP(D769,'Daily Attendance Report 24-25'!A733:BP999,5,0),"")</f>
        <v/>
      </c>
      <c r="P769" s="89" t="str">
        <f>IFERROR(VLOOKUP(E769,'Daily Attendance Report 24-25'!$A$1:$BO$617,5,0),"")</f>
        <v/>
      </c>
      <c r="Q769" s="89"/>
      <c r="R769" s="89"/>
      <c r="S769" s="89" t="str">
        <f t="shared" si="17"/>
        <v>#DIV/0!</v>
      </c>
      <c r="T769" s="89" t="str">
        <f t="shared" si="6"/>
        <v>#DIV/0!</v>
      </c>
      <c r="U769" s="89" t="str">
        <f t="shared" si="25"/>
        <v>#DIV/0!</v>
      </c>
      <c r="V769" s="89" t="str">
        <f t="shared" si="24"/>
        <v>#DIV/0!</v>
      </c>
      <c r="W769" s="89" t="str">
        <f t="shared" si="9"/>
        <v>#DIV/0!</v>
      </c>
      <c r="X769" s="89"/>
      <c r="Y769" s="89"/>
      <c r="Z769" s="89"/>
      <c r="AA769" s="89"/>
      <c r="AB769" s="89"/>
      <c r="AC769" s="89"/>
      <c r="AD769" s="89"/>
      <c r="AE769" s="89"/>
      <c r="AF769" s="89"/>
      <c r="AG769" s="89"/>
      <c r="AH769" s="89"/>
    </row>
    <row r="770">
      <c r="A770" s="8" t="s">
        <v>908</v>
      </c>
      <c r="B770" s="97"/>
      <c r="C770" s="8"/>
      <c r="D770" s="89" t="str">
        <f t="shared" si="1"/>
        <v/>
      </c>
      <c r="E770" s="89" t="str">
        <f t="shared" si="2"/>
        <v>OT Hours</v>
      </c>
      <c r="F770" s="89" t="str">
        <f>IFERROR(VLOOKUP(C770,'Employees List'!$B$1:$G$999,2,0),"")</f>
        <v/>
      </c>
      <c r="G770" s="89" t="str">
        <f t="shared" si="23"/>
        <v>#DIV/0!</v>
      </c>
      <c r="H770" s="98"/>
      <c r="I770" s="89" t="str">
        <f>IFERROR(VLOOKUP(F770,'Employees List'!$C:$F,2,0),"")</f>
        <v/>
      </c>
      <c r="J770" s="93" t="str">
        <f>IFERROR(VLOOKUP(C770,'Employees List'!$B$2:$G$991,5,0),"")</f>
        <v/>
      </c>
      <c r="K770" s="95" t="str">
        <f>IFERROR(VLOOKUP(F770,'Employees List'!$C$1:$AB$991,5,0),"")</f>
        <v/>
      </c>
      <c r="L770" s="91">
        <f t="shared" si="3"/>
        <v>0</v>
      </c>
      <c r="M770" s="91">
        <f t="shared" si="4"/>
        <v>0</v>
      </c>
      <c r="N770" s="89" t="str">
        <f>IFERROR(VLOOKUP(B770,'Employees List'!$A$2:$H$991,8,0),"")</f>
        <v/>
      </c>
      <c r="O770" s="89" t="str">
        <f>IFERROR(VLOOKUP(D770,'Daily Attendance Report 24-25'!A734:BP999,5,0),"")</f>
        <v/>
      </c>
      <c r="P770" s="89" t="str">
        <f>IFERROR(VLOOKUP(E770,'Daily Attendance Report 24-25'!$A$1:$BO$617,5,0),"")</f>
        <v/>
      </c>
      <c r="Q770" s="89"/>
      <c r="R770" s="89"/>
      <c r="S770" s="89" t="str">
        <f t="shared" si="17"/>
        <v>#DIV/0!</v>
      </c>
      <c r="T770" s="89" t="str">
        <f t="shared" si="6"/>
        <v>#DIV/0!</v>
      </c>
      <c r="U770" s="89" t="str">
        <f t="shared" si="25"/>
        <v>#DIV/0!</v>
      </c>
      <c r="V770" s="89" t="str">
        <f t="shared" si="24"/>
        <v>#DIV/0!</v>
      </c>
      <c r="W770" s="89" t="str">
        <f t="shared" si="9"/>
        <v>#DIV/0!</v>
      </c>
      <c r="X770" s="89"/>
      <c r="Y770" s="89"/>
      <c r="Z770" s="89"/>
      <c r="AA770" s="89"/>
      <c r="AB770" s="89"/>
      <c r="AC770" s="89"/>
      <c r="AD770" s="89"/>
      <c r="AE770" s="89"/>
      <c r="AF770" s="89"/>
      <c r="AG770" s="89"/>
      <c r="AH770" s="89"/>
    </row>
    <row r="771">
      <c r="A771" s="8" t="s">
        <v>909</v>
      </c>
      <c r="B771" s="97"/>
      <c r="C771" s="8"/>
      <c r="D771" s="89" t="str">
        <f t="shared" si="1"/>
        <v/>
      </c>
      <c r="E771" s="89" t="str">
        <f t="shared" si="2"/>
        <v>OT Hours</v>
      </c>
      <c r="F771" s="89" t="str">
        <f>IFERROR(VLOOKUP(C771,'Employees List'!$B$1:$G$999,2,0),"")</f>
        <v/>
      </c>
      <c r="G771" s="89" t="str">
        <f t="shared" si="23"/>
        <v>#DIV/0!</v>
      </c>
      <c r="H771" s="98"/>
      <c r="I771" s="89" t="str">
        <f>IFERROR(VLOOKUP(F771,'Employees List'!$C:$F,2,0),"")</f>
        <v/>
      </c>
      <c r="J771" s="93" t="str">
        <f>IFERROR(VLOOKUP(C771,'Employees List'!$B$2:$G$991,5,0),"")</f>
        <v/>
      </c>
      <c r="K771" s="95" t="str">
        <f>IFERROR(VLOOKUP(F771,'Employees List'!$C$1:$AB$991,5,0),"")</f>
        <v/>
      </c>
      <c r="L771" s="91">
        <f t="shared" si="3"/>
        <v>0</v>
      </c>
      <c r="M771" s="91">
        <f t="shared" si="4"/>
        <v>0</v>
      </c>
      <c r="N771" s="89" t="str">
        <f>IFERROR(VLOOKUP(B771,'Employees List'!$A$2:$H$991,8,0),"")</f>
        <v/>
      </c>
      <c r="O771" s="89" t="str">
        <f>IFERROR(VLOOKUP(D771,'Daily Attendance Report 24-25'!A735:BP999,5,0),"")</f>
        <v/>
      </c>
      <c r="P771" s="89" t="str">
        <f>IFERROR(VLOOKUP(E771,'Daily Attendance Report 24-25'!$A$1:$BO$617,5,0),"")</f>
        <v/>
      </c>
      <c r="Q771" s="89"/>
      <c r="R771" s="89"/>
      <c r="S771" s="89" t="str">
        <f t="shared" si="17"/>
        <v>#DIV/0!</v>
      </c>
      <c r="T771" s="89" t="str">
        <f t="shared" si="6"/>
        <v>#DIV/0!</v>
      </c>
      <c r="U771" s="89" t="str">
        <f t="shared" si="25"/>
        <v>#DIV/0!</v>
      </c>
      <c r="V771" s="89" t="str">
        <f t="shared" si="24"/>
        <v>#DIV/0!</v>
      </c>
      <c r="W771" s="89" t="str">
        <f t="shared" si="9"/>
        <v>#DIV/0!</v>
      </c>
      <c r="X771" s="89"/>
      <c r="Y771" s="89"/>
      <c r="Z771" s="89"/>
      <c r="AA771" s="89"/>
      <c r="AB771" s="89"/>
      <c r="AC771" s="89"/>
      <c r="AD771" s="89"/>
      <c r="AE771" s="89"/>
      <c r="AF771" s="89"/>
      <c r="AG771" s="89"/>
      <c r="AH771" s="89"/>
    </row>
    <row r="772">
      <c r="A772" s="8" t="s">
        <v>910</v>
      </c>
      <c r="B772" s="97"/>
      <c r="C772" s="8"/>
      <c r="D772" s="89" t="str">
        <f t="shared" si="1"/>
        <v/>
      </c>
      <c r="E772" s="89" t="str">
        <f t="shared" si="2"/>
        <v>OT Hours</v>
      </c>
      <c r="F772" s="89" t="str">
        <f>IFERROR(VLOOKUP(C772,'Employees List'!$B$1:$G$999,2,0),"")</f>
        <v/>
      </c>
      <c r="G772" s="89" t="str">
        <f t="shared" si="23"/>
        <v>#DIV/0!</v>
      </c>
      <c r="H772" s="98"/>
      <c r="I772" s="89" t="str">
        <f>IFERROR(VLOOKUP(F772,'Employees List'!$C:$F,2,0),"")</f>
        <v/>
      </c>
      <c r="J772" s="93" t="str">
        <f>IFERROR(VLOOKUP(C772,'Employees List'!$B$2:$G$991,5,0),"")</f>
        <v/>
      </c>
      <c r="K772" s="95" t="str">
        <f>IFERROR(VLOOKUP(F772,'Employees List'!$C$1:$AB$991,5,0),"")</f>
        <v/>
      </c>
      <c r="L772" s="91">
        <f t="shared" si="3"/>
        <v>0</v>
      </c>
      <c r="M772" s="91">
        <f t="shared" si="4"/>
        <v>0</v>
      </c>
      <c r="N772" s="89" t="str">
        <f>IFERROR(VLOOKUP(B772,'Employees List'!$A$2:$H$991,8,0),"")</f>
        <v/>
      </c>
      <c r="O772" s="89" t="str">
        <f>IFERROR(VLOOKUP(D772,'Daily Attendance Report 24-25'!A736:BP999,5,0),"")</f>
        <v/>
      </c>
      <c r="P772" s="89" t="str">
        <f>IFERROR(VLOOKUP(E772,'Daily Attendance Report 24-25'!$A$1:$BO$617,5,0),"")</f>
        <v/>
      </c>
      <c r="Q772" s="89"/>
      <c r="R772" s="89"/>
      <c r="S772" s="89" t="str">
        <f t="shared" si="17"/>
        <v>#DIV/0!</v>
      </c>
      <c r="T772" s="89" t="str">
        <f t="shared" si="6"/>
        <v>#DIV/0!</v>
      </c>
      <c r="U772" s="89" t="str">
        <f t="shared" si="25"/>
        <v>#DIV/0!</v>
      </c>
      <c r="V772" s="89" t="str">
        <f t="shared" si="24"/>
        <v>#DIV/0!</v>
      </c>
      <c r="W772" s="89" t="str">
        <f t="shared" si="9"/>
        <v>#DIV/0!</v>
      </c>
      <c r="X772" s="89"/>
      <c r="Y772" s="89"/>
      <c r="Z772" s="89"/>
      <c r="AA772" s="89"/>
      <c r="AB772" s="89"/>
      <c r="AC772" s="89"/>
      <c r="AD772" s="89"/>
      <c r="AE772" s="89"/>
      <c r="AF772" s="89"/>
      <c r="AG772" s="89"/>
      <c r="AH772" s="89"/>
    </row>
    <row r="773">
      <c r="A773" s="8" t="s">
        <v>911</v>
      </c>
      <c r="B773" s="97"/>
      <c r="C773" s="8"/>
      <c r="D773" s="89" t="str">
        <f t="shared" si="1"/>
        <v/>
      </c>
      <c r="E773" s="89" t="str">
        <f t="shared" si="2"/>
        <v>OT Hours</v>
      </c>
      <c r="F773" s="89" t="str">
        <f>IFERROR(VLOOKUP(C773,'Employees List'!$B$1:$G$999,2,0),"")</f>
        <v/>
      </c>
      <c r="G773" s="89" t="str">
        <f t="shared" si="23"/>
        <v>#DIV/0!</v>
      </c>
      <c r="H773" s="98"/>
      <c r="I773" s="89" t="str">
        <f>IFERROR(VLOOKUP(F773,'Employees List'!$C:$F,2,0),"")</f>
        <v/>
      </c>
      <c r="J773" s="93" t="str">
        <f>IFERROR(VLOOKUP(C773,'Employees List'!$B$2:$G$991,5,0),"")</f>
        <v/>
      </c>
      <c r="K773" s="95" t="str">
        <f>IFERROR(VLOOKUP(F773,'Employees List'!$C$1:$AB$991,5,0),"")</f>
        <v/>
      </c>
      <c r="L773" s="91">
        <f t="shared" si="3"/>
        <v>0</v>
      </c>
      <c r="M773" s="91">
        <f t="shared" si="4"/>
        <v>0</v>
      </c>
      <c r="N773" s="89" t="str">
        <f>IFERROR(VLOOKUP(B773,'Employees List'!$A$2:$H$991,8,0),"")</f>
        <v/>
      </c>
      <c r="O773" s="89" t="str">
        <f>IFERROR(VLOOKUP(D773,'Daily Attendance Report 24-25'!A737:BP999,5,0),"")</f>
        <v/>
      </c>
      <c r="P773" s="89" t="str">
        <f>IFERROR(VLOOKUP(E773,'Daily Attendance Report 24-25'!$A$1:$BO$617,5,0),"")</f>
        <v/>
      </c>
      <c r="Q773" s="89"/>
      <c r="R773" s="89"/>
      <c r="S773" s="89" t="str">
        <f t="shared" si="17"/>
        <v>#DIV/0!</v>
      </c>
      <c r="T773" s="89" t="str">
        <f t="shared" si="6"/>
        <v>#DIV/0!</v>
      </c>
      <c r="U773" s="89" t="str">
        <f t="shared" si="25"/>
        <v>#DIV/0!</v>
      </c>
      <c r="V773" s="89" t="str">
        <f t="shared" si="24"/>
        <v>#DIV/0!</v>
      </c>
      <c r="W773" s="89" t="str">
        <f t="shared" si="9"/>
        <v>#DIV/0!</v>
      </c>
      <c r="X773" s="89"/>
      <c r="Y773" s="89"/>
      <c r="Z773" s="89"/>
      <c r="AA773" s="89"/>
      <c r="AB773" s="89"/>
      <c r="AC773" s="89"/>
      <c r="AD773" s="89"/>
      <c r="AE773" s="89"/>
      <c r="AF773" s="89"/>
      <c r="AG773" s="89"/>
      <c r="AH773" s="89"/>
    </row>
    <row r="774">
      <c r="A774" s="8" t="s">
        <v>912</v>
      </c>
      <c r="B774" s="97"/>
      <c r="C774" s="8"/>
      <c r="D774" s="89" t="str">
        <f t="shared" si="1"/>
        <v/>
      </c>
      <c r="E774" s="89" t="str">
        <f t="shared" si="2"/>
        <v>OT Hours</v>
      </c>
      <c r="F774" s="89" t="str">
        <f>IFERROR(VLOOKUP(C774,'Employees List'!$B$1:$G$999,2,0),"")</f>
        <v/>
      </c>
      <c r="G774" s="89" t="str">
        <f t="shared" si="23"/>
        <v>#DIV/0!</v>
      </c>
      <c r="H774" s="98"/>
      <c r="I774" s="89" t="str">
        <f>IFERROR(VLOOKUP(F774,'Employees List'!$C:$F,2,0),"")</f>
        <v/>
      </c>
      <c r="J774" s="93" t="str">
        <f>IFERROR(VLOOKUP(C774,'Employees List'!$B$2:$G$991,5,0),"")</f>
        <v/>
      </c>
      <c r="K774" s="95" t="str">
        <f>IFERROR(VLOOKUP(F774,'Employees List'!$C$1:$AB$991,5,0),"")</f>
        <v/>
      </c>
      <c r="L774" s="91">
        <f t="shared" si="3"/>
        <v>0</v>
      </c>
      <c r="M774" s="91">
        <f t="shared" si="4"/>
        <v>0</v>
      </c>
      <c r="N774" s="89" t="str">
        <f>IFERROR(VLOOKUP(B774,'Employees List'!$A$2:$H$991,8,0),"")</f>
        <v/>
      </c>
      <c r="O774" s="89" t="str">
        <f>IFERROR(VLOOKUP(D774,'Daily Attendance Report 24-25'!A738:BP999,5,0),"")</f>
        <v/>
      </c>
      <c r="P774" s="89" t="str">
        <f>IFERROR(VLOOKUP(E774,'Daily Attendance Report 24-25'!$A$1:$BO$617,5,0),"")</f>
        <v/>
      </c>
      <c r="Q774" s="89"/>
      <c r="R774" s="89"/>
      <c r="S774" s="89" t="str">
        <f t="shared" si="17"/>
        <v>#DIV/0!</v>
      </c>
      <c r="T774" s="89" t="str">
        <f t="shared" si="6"/>
        <v>#DIV/0!</v>
      </c>
      <c r="U774" s="89" t="str">
        <f t="shared" si="25"/>
        <v>#DIV/0!</v>
      </c>
      <c r="V774" s="89" t="str">
        <f t="shared" si="24"/>
        <v>#DIV/0!</v>
      </c>
      <c r="W774" s="89" t="str">
        <f t="shared" si="9"/>
        <v>#DIV/0!</v>
      </c>
      <c r="X774" s="89"/>
      <c r="Y774" s="89"/>
      <c r="Z774" s="89"/>
      <c r="AA774" s="89"/>
      <c r="AB774" s="89"/>
      <c r="AC774" s="89"/>
      <c r="AD774" s="89"/>
      <c r="AE774" s="89"/>
      <c r="AF774" s="89"/>
      <c r="AG774" s="89"/>
      <c r="AH774" s="89"/>
    </row>
    <row r="775">
      <c r="A775" s="8" t="s">
        <v>913</v>
      </c>
      <c r="B775" s="97"/>
      <c r="C775" s="8"/>
      <c r="D775" s="89" t="str">
        <f t="shared" si="1"/>
        <v/>
      </c>
      <c r="E775" s="89" t="str">
        <f t="shared" si="2"/>
        <v>OT Hours</v>
      </c>
      <c r="F775" s="89" t="str">
        <f>IFERROR(VLOOKUP(C775,'Employees List'!$B$1:$G$999,2,0),"")</f>
        <v/>
      </c>
      <c r="G775" s="89" t="str">
        <f t="shared" si="23"/>
        <v>#DIV/0!</v>
      </c>
      <c r="H775" s="98"/>
      <c r="I775" s="89" t="str">
        <f>IFERROR(VLOOKUP(F775,'Employees List'!$C:$F,2,0),"")</f>
        <v/>
      </c>
      <c r="J775" s="93" t="str">
        <f>IFERROR(VLOOKUP(C775,'Employees List'!$B$2:$G$991,5,0),"")</f>
        <v/>
      </c>
      <c r="K775" s="95" t="str">
        <f>IFERROR(VLOOKUP(F775,'Employees List'!$C$1:$AB$991,5,0),"")</f>
        <v/>
      </c>
      <c r="L775" s="91">
        <f t="shared" si="3"/>
        <v>0</v>
      </c>
      <c r="M775" s="91">
        <f t="shared" si="4"/>
        <v>0</v>
      </c>
      <c r="N775" s="89" t="str">
        <f>IFERROR(VLOOKUP(B775,'Employees List'!$A$2:$H$991,8,0),"")</f>
        <v/>
      </c>
      <c r="O775" s="89" t="str">
        <f>IFERROR(VLOOKUP(D775,'Daily Attendance Report 24-25'!A739:BP999,5,0),"")</f>
        <v/>
      </c>
      <c r="P775" s="89" t="str">
        <f>IFERROR(VLOOKUP(E775,'Daily Attendance Report 24-25'!$A$1:$BO$617,5,0),"")</f>
        <v/>
      </c>
      <c r="Q775" s="89"/>
      <c r="R775" s="89"/>
      <c r="S775" s="89" t="str">
        <f t="shared" si="17"/>
        <v>#DIV/0!</v>
      </c>
      <c r="T775" s="89" t="str">
        <f t="shared" si="6"/>
        <v>#DIV/0!</v>
      </c>
      <c r="U775" s="89" t="str">
        <f t="shared" si="25"/>
        <v>#DIV/0!</v>
      </c>
      <c r="V775" s="89" t="str">
        <f t="shared" si="24"/>
        <v>#DIV/0!</v>
      </c>
      <c r="W775" s="89" t="str">
        <f t="shared" si="9"/>
        <v>#DIV/0!</v>
      </c>
      <c r="X775" s="89"/>
      <c r="Y775" s="89"/>
      <c r="Z775" s="89"/>
      <c r="AA775" s="89"/>
      <c r="AB775" s="89"/>
      <c r="AC775" s="89"/>
      <c r="AD775" s="89"/>
      <c r="AE775" s="89"/>
      <c r="AF775" s="89"/>
      <c r="AG775" s="89"/>
      <c r="AH775" s="89"/>
    </row>
    <row r="776">
      <c r="A776" s="8" t="s">
        <v>914</v>
      </c>
      <c r="B776" s="97"/>
      <c r="C776" s="8"/>
      <c r="D776" s="89" t="str">
        <f t="shared" si="1"/>
        <v/>
      </c>
      <c r="E776" s="89" t="str">
        <f t="shared" si="2"/>
        <v>OT Hours</v>
      </c>
      <c r="F776" s="89" t="str">
        <f>IFERROR(VLOOKUP(C776,'Employees List'!$B$1:$G$999,2,0),"")</f>
        <v/>
      </c>
      <c r="G776" s="89" t="str">
        <f t="shared" si="23"/>
        <v>#DIV/0!</v>
      </c>
      <c r="H776" s="98"/>
      <c r="I776" s="89" t="str">
        <f>IFERROR(VLOOKUP(F776,'Employees List'!$C:$F,2,0),"")</f>
        <v/>
      </c>
      <c r="J776" s="93" t="str">
        <f>IFERROR(VLOOKUP(C776,'Employees List'!$B$2:$G$991,5,0),"")</f>
        <v/>
      </c>
      <c r="K776" s="95" t="str">
        <f>IFERROR(VLOOKUP(F776,'Employees List'!$C$1:$AB$991,5,0),"")</f>
        <v/>
      </c>
      <c r="L776" s="91">
        <f t="shared" si="3"/>
        <v>0</v>
      </c>
      <c r="M776" s="91">
        <f t="shared" si="4"/>
        <v>0</v>
      </c>
      <c r="N776" s="89" t="str">
        <f>IFERROR(VLOOKUP(B776,'Employees List'!$A$2:$H$991,8,0),"")</f>
        <v/>
      </c>
      <c r="O776" s="89" t="str">
        <f>IFERROR(VLOOKUP(D776,'Daily Attendance Report 24-25'!A740:BP999,5,0),"")</f>
        <v/>
      </c>
      <c r="P776" s="89" t="str">
        <f>IFERROR(VLOOKUP(E776,'Daily Attendance Report 24-25'!$A$1:$BO$617,5,0),"")</f>
        <v/>
      </c>
      <c r="Q776" s="89"/>
      <c r="R776" s="89"/>
      <c r="S776" s="89" t="str">
        <f t="shared" si="17"/>
        <v>#DIV/0!</v>
      </c>
      <c r="T776" s="89" t="str">
        <f t="shared" si="6"/>
        <v>#DIV/0!</v>
      </c>
      <c r="U776" s="89" t="str">
        <f t="shared" si="25"/>
        <v>#DIV/0!</v>
      </c>
      <c r="V776" s="89" t="str">
        <f t="shared" si="24"/>
        <v>#DIV/0!</v>
      </c>
      <c r="W776" s="89" t="str">
        <f t="shared" si="9"/>
        <v>#DIV/0!</v>
      </c>
      <c r="X776" s="89"/>
      <c r="Y776" s="89"/>
      <c r="Z776" s="89"/>
      <c r="AA776" s="89"/>
      <c r="AB776" s="89"/>
      <c r="AC776" s="89"/>
      <c r="AD776" s="89"/>
      <c r="AE776" s="89"/>
      <c r="AF776" s="89"/>
      <c r="AG776" s="89"/>
      <c r="AH776" s="89"/>
    </row>
    <row r="777">
      <c r="A777" s="8" t="s">
        <v>915</v>
      </c>
      <c r="B777" s="97"/>
      <c r="C777" s="8"/>
      <c r="D777" s="89" t="str">
        <f t="shared" si="1"/>
        <v/>
      </c>
      <c r="E777" s="89" t="str">
        <f t="shared" si="2"/>
        <v>OT Hours</v>
      </c>
      <c r="F777" s="89" t="str">
        <f>IFERROR(VLOOKUP(C777,'Employees List'!$B$1:$G$999,2,0),"")</f>
        <v/>
      </c>
      <c r="G777" s="89" t="str">
        <f t="shared" si="23"/>
        <v>#DIV/0!</v>
      </c>
      <c r="H777" s="98"/>
      <c r="I777" s="89" t="str">
        <f>IFERROR(VLOOKUP(F777,'Employees List'!$C:$F,2,0),"")</f>
        <v/>
      </c>
      <c r="J777" s="93" t="str">
        <f>IFERROR(VLOOKUP(C777,'Employees List'!$B$2:$G$991,5,0),"")</f>
        <v/>
      </c>
      <c r="K777" s="95" t="str">
        <f>IFERROR(VLOOKUP(F777,'Employees List'!$C$1:$AB$991,5,0),"")</f>
        <v/>
      </c>
      <c r="L777" s="91">
        <f t="shared" si="3"/>
        <v>0</v>
      </c>
      <c r="M777" s="91">
        <f t="shared" si="4"/>
        <v>0</v>
      </c>
      <c r="N777" s="89" t="str">
        <f>IFERROR(VLOOKUP(B777,'Employees List'!$A$2:$H$991,8,0),"")</f>
        <v/>
      </c>
      <c r="O777" s="89" t="str">
        <f>IFERROR(VLOOKUP(D777,'Daily Attendance Report 24-25'!A741:BP999,5,0),"")</f>
        <v/>
      </c>
      <c r="P777" s="89" t="str">
        <f>IFERROR(VLOOKUP(E777,'Daily Attendance Report 24-25'!$A$1:$BO$617,5,0),"")</f>
        <v/>
      </c>
      <c r="Q777" s="89"/>
      <c r="R777" s="89"/>
      <c r="S777" s="89" t="str">
        <f t="shared" si="17"/>
        <v>#DIV/0!</v>
      </c>
      <c r="T777" s="89" t="str">
        <f t="shared" si="6"/>
        <v>#DIV/0!</v>
      </c>
      <c r="U777" s="89" t="str">
        <f t="shared" si="25"/>
        <v>#DIV/0!</v>
      </c>
      <c r="V777" s="89" t="str">
        <f t="shared" si="24"/>
        <v>#DIV/0!</v>
      </c>
      <c r="W777" s="89" t="str">
        <f t="shared" si="9"/>
        <v>#DIV/0!</v>
      </c>
      <c r="X777" s="89"/>
      <c r="Y777" s="89"/>
      <c r="Z777" s="89"/>
      <c r="AA777" s="89"/>
      <c r="AB777" s="89"/>
      <c r="AC777" s="89"/>
      <c r="AD777" s="89"/>
      <c r="AE777" s="89"/>
      <c r="AF777" s="89"/>
      <c r="AG777" s="89"/>
      <c r="AH777" s="89"/>
    </row>
    <row r="778">
      <c r="A778" s="8" t="s">
        <v>916</v>
      </c>
      <c r="B778" s="97"/>
      <c r="C778" s="8"/>
      <c r="D778" s="89" t="str">
        <f t="shared" si="1"/>
        <v/>
      </c>
      <c r="E778" s="89" t="str">
        <f t="shared" si="2"/>
        <v>OT Hours</v>
      </c>
      <c r="F778" s="89" t="str">
        <f>IFERROR(VLOOKUP(C778,'Employees List'!$B$1:$G$999,2,0),"")</f>
        <v/>
      </c>
      <c r="G778" s="89" t="str">
        <f t="shared" si="23"/>
        <v>#DIV/0!</v>
      </c>
      <c r="H778" s="98"/>
      <c r="I778" s="89" t="str">
        <f>IFERROR(VLOOKUP(F778,'Employees List'!$C:$F,2,0),"")</f>
        <v/>
      </c>
      <c r="J778" s="93" t="str">
        <f>IFERROR(VLOOKUP(C778,'Employees List'!$B$2:$G$991,5,0),"")</f>
        <v/>
      </c>
      <c r="K778" s="95" t="str">
        <f>IFERROR(VLOOKUP(F778,'Employees List'!$C$1:$AB$991,5,0),"")</f>
        <v/>
      </c>
      <c r="L778" s="91">
        <f t="shared" si="3"/>
        <v>0</v>
      </c>
      <c r="M778" s="91">
        <f t="shared" si="4"/>
        <v>0</v>
      </c>
      <c r="N778" s="89" t="str">
        <f>IFERROR(VLOOKUP(B778,'Employees List'!$A$2:$H$991,8,0),"")</f>
        <v/>
      </c>
      <c r="O778" s="89" t="str">
        <f>IFERROR(VLOOKUP(D778,'Daily Attendance Report 24-25'!A742:BP999,5,0),"")</f>
        <v/>
      </c>
      <c r="P778" s="89" t="str">
        <f>IFERROR(VLOOKUP(E778,'Daily Attendance Report 24-25'!$A$1:$BO$617,5,0),"")</f>
        <v/>
      </c>
      <c r="Q778" s="89"/>
      <c r="R778" s="89"/>
      <c r="S778" s="89" t="str">
        <f t="shared" si="17"/>
        <v>#DIV/0!</v>
      </c>
      <c r="T778" s="89" t="str">
        <f t="shared" si="6"/>
        <v>#DIV/0!</v>
      </c>
      <c r="U778" s="89" t="str">
        <f t="shared" si="25"/>
        <v>#DIV/0!</v>
      </c>
      <c r="V778" s="89" t="str">
        <f t="shared" si="24"/>
        <v>#DIV/0!</v>
      </c>
      <c r="W778" s="89" t="str">
        <f t="shared" si="9"/>
        <v>#DIV/0!</v>
      </c>
      <c r="X778" s="89"/>
      <c r="Y778" s="89"/>
      <c r="Z778" s="89"/>
      <c r="AA778" s="89"/>
      <c r="AB778" s="89"/>
      <c r="AC778" s="89"/>
      <c r="AD778" s="89"/>
      <c r="AE778" s="89"/>
      <c r="AF778" s="89"/>
      <c r="AG778" s="89"/>
      <c r="AH778" s="89"/>
    </row>
    <row r="779">
      <c r="A779" s="8" t="s">
        <v>917</v>
      </c>
      <c r="B779" s="97"/>
      <c r="C779" s="8"/>
      <c r="D779" s="89" t="str">
        <f t="shared" si="1"/>
        <v/>
      </c>
      <c r="E779" s="89" t="str">
        <f t="shared" si="2"/>
        <v>OT Hours</v>
      </c>
      <c r="F779" s="89" t="str">
        <f>IFERROR(VLOOKUP(C779,'Employees List'!$B$1:$G$999,2,0),"")</f>
        <v/>
      </c>
      <c r="G779" s="89" t="str">
        <f t="shared" si="23"/>
        <v>#DIV/0!</v>
      </c>
      <c r="H779" s="98"/>
      <c r="I779" s="89" t="str">
        <f>IFERROR(VLOOKUP(F779,'Employees List'!$C:$F,2,0),"")</f>
        <v/>
      </c>
      <c r="J779" s="93" t="str">
        <f>IFERROR(VLOOKUP(C779,'Employees List'!$B$2:$G$991,5,0),"")</f>
        <v/>
      </c>
      <c r="K779" s="95" t="str">
        <f>IFERROR(VLOOKUP(F779,'Employees List'!$C$1:$AB$991,5,0),"")</f>
        <v/>
      </c>
      <c r="L779" s="91">
        <f t="shared" si="3"/>
        <v>0</v>
      </c>
      <c r="M779" s="91">
        <f t="shared" si="4"/>
        <v>0</v>
      </c>
      <c r="N779" s="89" t="str">
        <f>IFERROR(VLOOKUP(B779,'Employees List'!$A$2:$H$991,8,0),"")</f>
        <v/>
      </c>
      <c r="O779" s="89" t="str">
        <f>IFERROR(VLOOKUP(D779,'Daily Attendance Report 24-25'!A743:BP999,5,0),"")</f>
        <v/>
      </c>
      <c r="P779" s="89" t="str">
        <f>IFERROR(VLOOKUP(E779,'Daily Attendance Report 24-25'!$A$1:$BO$617,5,0),"")</f>
        <v/>
      </c>
      <c r="Q779" s="89"/>
      <c r="R779" s="89"/>
      <c r="S779" s="89" t="str">
        <f t="shared" si="17"/>
        <v>#DIV/0!</v>
      </c>
      <c r="T779" s="89" t="str">
        <f t="shared" si="6"/>
        <v>#DIV/0!</v>
      </c>
      <c r="U779" s="89" t="str">
        <f t="shared" si="25"/>
        <v>#DIV/0!</v>
      </c>
      <c r="V779" s="89" t="str">
        <f t="shared" si="24"/>
        <v>#DIV/0!</v>
      </c>
      <c r="W779" s="89" t="str">
        <f t="shared" si="9"/>
        <v>#DIV/0!</v>
      </c>
      <c r="X779" s="89"/>
      <c r="Y779" s="89"/>
      <c r="Z779" s="89"/>
      <c r="AA779" s="89"/>
      <c r="AB779" s="89"/>
      <c r="AC779" s="89"/>
      <c r="AD779" s="89"/>
      <c r="AE779" s="89"/>
      <c r="AF779" s="89"/>
      <c r="AG779" s="89"/>
      <c r="AH779" s="89"/>
    </row>
    <row r="780">
      <c r="A780" s="8" t="s">
        <v>918</v>
      </c>
      <c r="B780" s="97"/>
      <c r="C780" s="8"/>
      <c r="D780" s="89" t="str">
        <f t="shared" si="1"/>
        <v/>
      </c>
      <c r="E780" s="89" t="str">
        <f t="shared" si="2"/>
        <v>OT Hours</v>
      </c>
      <c r="F780" s="89" t="str">
        <f>IFERROR(VLOOKUP(C780,'Employees List'!$B$1:$G$999,2,0),"")</f>
        <v/>
      </c>
      <c r="G780" s="89" t="str">
        <f t="shared" si="23"/>
        <v>#DIV/0!</v>
      </c>
      <c r="H780" s="98"/>
      <c r="I780" s="89" t="str">
        <f>IFERROR(VLOOKUP(F780,'Employees List'!$C:$F,2,0),"")</f>
        <v/>
      </c>
      <c r="J780" s="93" t="str">
        <f>IFERROR(VLOOKUP(C780,'Employees List'!$B$2:$G$991,5,0),"")</f>
        <v/>
      </c>
      <c r="K780" s="95" t="str">
        <f>IFERROR(VLOOKUP(F780,'Employees List'!$C$1:$AB$991,5,0),"")</f>
        <v/>
      </c>
      <c r="L780" s="91">
        <f t="shared" si="3"/>
        <v>0</v>
      </c>
      <c r="M780" s="91">
        <f t="shared" si="4"/>
        <v>0</v>
      </c>
      <c r="N780" s="89" t="str">
        <f>IFERROR(VLOOKUP(B780,'Employees List'!$A$2:$H$991,8,0),"")</f>
        <v/>
      </c>
      <c r="O780" s="89" t="str">
        <f>IFERROR(VLOOKUP(D780,'Daily Attendance Report 24-25'!A744:BP999,5,0),"")</f>
        <v/>
      </c>
      <c r="P780" s="89" t="str">
        <f>IFERROR(VLOOKUP(E780,'Daily Attendance Report 24-25'!$A$1:$BO$617,5,0),"")</f>
        <v/>
      </c>
      <c r="Q780" s="89"/>
      <c r="R780" s="89"/>
      <c r="S780" s="89" t="str">
        <f t="shared" si="17"/>
        <v>#DIV/0!</v>
      </c>
      <c r="T780" s="89" t="str">
        <f t="shared" si="6"/>
        <v>#DIV/0!</v>
      </c>
      <c r="U780" s="89" t="str">
        <f t="shared" si="25"/>
        <v>#DIV/0!</v>
      </c>
      <c r="V780" s="89" t="str">
        <f t="shared" si="24"/>
        <v>#DIV/0!</v>
      </c>
      <c r="W780" s="89" t="str">
        <f t="shared" si="9"/>
        <v>#DIV/0!</v>
      </c>
      <c r="X780" s="89"/>
      <c r="Y780" s="89"/>
      <c r="Z780" s="89"/>
      <c r="AA780" s="89"/>
      <c r="AB780" s="89"/>
      <c r="AC780" s="89"/>
      <c r="AD780" s="89"/>
      <c r="AE780" s="89"/>
      <c r="AF780" s="89"/>
      <c r="AG780" s="89"/>
      <c r="AH780" s="89"/>
    </row>
    <row r="781">
      <c r="A781" s="8" t="s">
        <v>919</v>
      </c>
      <c r="B781" s="97"/>
      <c r="C781" s="8"/>
      <c r="D781" s="89" t="str">
        <f t="shared" si="1"/>
        <v/>
      </c>
      <c r="E781" s="89" t="str">
        <f t="shared" si="2"/>
        <v>OT Hours</v>
      </c>
      <c r="F781" s="89" t="str">
        <f>IFERROR(VLOOKUP(C781,'Employees List'!$B$1:$G$999,2,0),"")</f>
        <v/>
      </c>
      <c r="G781" s="89" t="str">
        <f t="shared" si="23"/>
        <v>#DIV/0!</v>
      </c>
      <c r="H781" s="98"/>
      <c r="I781" s="89" t="str">
        <f>IFERROR(VLOOKUP(F781,'Employees List'!$C:$F,2,0),"")</f>
        <v/>
      </c>
      <c r="J781" s="93" t="str">
        <f>IFERROR(VLOOKUP(C781,'Employees List'!$B$2:$G$991,5,0),"")</f>
        <v/>
      </c>
      <c r="K781" s="95" t="str">
        <f>IFERROR(VLOOKUP(F781,'Employees List'!$C$1:$AB$991,5,0),"")</f>
        <v/>
      </c>
      <c r="L781" s="91">
        <f t="shared" si="3"/>
        <v>0</v>
      </c>
      <c r="M781" s="91">
        <f t="shared" si="4"/>
        <v>0</v>
      </c>
      <c r="N781" s="89" t="str">
        <f>IFERROR(VLOOKUP(B781,'Employees List'!$A$2:$H$991,8,0),"")</f>
        <v/>
      </c>
      <c r="O781" s="89" t="str">
        <f>IFERROR(VLOOKUP(D781,'Daily Attendance Report 24-25'!A745:BP999,5,0),"")</f>
        <v/>
      </c>
      <c r="P781" s="89" t="str">
        <f>IFERROR(VLOOKUP(E781,'Daily Attendance Report 24-25'!$A$1:$BO$617,5,0),"")</f>
        <v/>
      </c>
      <c r="Q781" s="89"/>
      <c r="R781" s="89"/>
      <c r="S781" s="89" t="str">
        <f t="shared" si="17"/>
        <v>#DIV/0!</v>
      </c>
      <c r="T781" s="89" t="str">
        <f t="shared" si="6"/>
        <v>#DIV/0!</v>
      </c>
      <c r="U781" s="89" t="str">
        <f t="shared" si="25"/>
        <v>#DIV/0!</v>
      </c>
      <c r="V781" s="89" t="str">
        <f t="shared" si="24"/>
        <v>#DIV/0!</v>
      </c>
      <c r="W781" s="89" t="str">
        <f t="shared" si="9"/>
        <v>#DIV/0!</v>
      </c>
      <c r="X781" s="89"/>
      <c r="Y781" s="89"/>
      <c r="Z781" s="89"/>
      <c r="AA781" s="89"/>
      <c r="AB781" s="89"/>
      <c r="AC781" s="89"/>
      <c r="AD781" s="89"/>
      <c r="AE781" s="89"/>
      <c r="AF781" s="89"/>
      <c r="AG781" s="89"/>
      <c r="AH781" s="89"/>
    </row>
    <row r="782">
      <c r="A782" s="8" t="s">
        <v>920</v>
      </c>
      <c r="B782" s="97"/>
      <c r="C782" s="8"/>
      <c r="D782" s="89" t="str">
        <f t="shared" si="1"/>
        <v/>
      </c>
      <c r="E782" s="89" t="str">
        <f t="shared" si="2"/>
        <v>OT Hours</v>
      </c>
      <c r="F782" s="89" t="str">
        <f>IFERROR(VLOOKUP(C782,'Employees List'!$B$1:$G$999,2,0),"")</f>
        <v/>
      </c>
      <c r="G782" s="89" t="str">
        <f t="shared" si="23"/>
        <v>#DIV/0!</v>
      </c>
      <c r="H782" s="98"/>
      <c r="I782" s="89" t="str">
        <f>IFERROR(VLOOKUP(F782,'Employees List'!$C:$F,2,0),"")</f>
        <v/>
      </c>
      <c r="J782" s="93" t="str">
        <f>IFERROR(VLOOKUP(C782,'Employees List'!$B$2:$G$991,5,0),"")</f>
        <v/>
      </c>
      <c r="K782" s="95" t="str">
        <f>IFERROR(VLOOKUP(F782,'Employees List'!$C$1:$AB$991,5,0),"")</f>
        <v/>
      </c>
      <c r="L782" s="91">
        <f t="shared" si="3"/>
        <v>0</v>
      </c>
      <c r="M782" s="91">
        <f t="shared" si="4"/>
        <v>0</v>
      </c>
      <c r="N782" s="89" t="str">
        <f>IFERROR(VLOOKUP(B782,'Employees List'!$A$2:$H$991,8,0),"")</f>
        <v/>
      </c>
      <c r="O782" s="89" t="str">
        <f>IFERROR(VLOOKUP(D782,'Daily Attendance Report 24-25'!A746:BP999,5,0),"")</f>
        <v/>
      </c>
      <c r="P782" s="89" t="str">
        <f>IFERROR(VLOOKUP(E782,'Daily Attendance Report 24-25'!$A$1:$BO$617,5,0),"")</f>
        <v/>
      </c>
      <c r="Q782" s="89"/>
      <c r="R782" s="89"/>
      <c r="S782" s="89" t="str">
        <f t="shared" si="17"/>
        <v>#DIV/0!</v>
      </c>
      <c r="T782" s="89" t="str">
        <f t="shared" si="6"/>
        <v>#DIV/0!</v>
      </c>
      <c r="U782" s="89" t="str">
        <f t="shared" si="25"/>
        <v>#DIV/0!</v>
      </c>
      <c r="V782" s="89" t="str">
        <f t="shared" si="24"/>
        <v>#DIV/0!</v>
      </c>
      <c r="W782" s="89" t="str">
        <f t="shared" si="9"/>
        <v>#DIV/0!</v>
      </c>
      <c r="X782" s="89"/>
      <c r="Y782" s="89"/>
      <c r="Z782" s="89"/>
      <c r="AA782" s="89"/>
      <c r="AB782" s="89"/>
      <c r="AC782" s="89"/>
      <c r="AD782" s="89"/>
      <c r="AE782" s="89"/>
      <c r="AF782" s="89"/>
      <c r="AG782" s="89"/>
      <c r="AH782" s="89"/>
    </row>
    <row r="783">
      <c r="A783" s="8" t="s">
        <v>921</v>
      </c>
      <c r="B783" s="97"/>
      <c r="C783" s="8"/>
      <c r="D783" s="89" t="str">
        <f t="shared" si="1"/>
        <v/>
      </c>
      <c r="E783" s="89" t="str">
        <f t="shared" si="2"/>
        <v>OT Hours</v>
      </c>
      <c r="F783" s="89" t="str">
        <f>IFERROR(VLOOKUP(C783,'Employees List'!$B$1:$G$999,2,0),"")</f>
        <v/>
      </c>
      <c r="G783" s="89" t="str">
        <f t="shared" si="23"/>
        <v>#DIV/0!</v>
      </c>
      <c r="H783" s="98"/>
      <c r="I783" s="89" t="str">
        <f>IFERROR(VLOOKUP(F783,'Employees List'!$C:$F,2,0),"")</f>
        <v/>
      </c>
      <c r="J783" s="93" t="str">
        <f>IFERROR(VLOOKUP(C783,'Employees List'!$B$2:$G$991,5,0),"")</f>
        <v/>
      </c>
      <c r="K783" s="95" t="str">
        <f>IFERROR(VLOOKUP(F783,'Employees List'!$C$1:$AB$991,5,0),"")</f>
        <v/>
      </c>
      <c r="L783" s="91">
        <f t="shared" si="3"/>
        <v>0</v>
      </c>
      <c r="M783" s="91">
        <f t="shared" si="4"/>
        <v>0</v>
      </c>
      <c r="N783" s="89" t="str">
        <f>IFERROR(VLOOKUP(B783,'Employees List'!$A$2:$H$991,8,0),"")</f>
        <v/>
      </c>
      <c r="O783" s="89" t="str">
        <f>IFERROR(VLOOKUP(D783,'Daily Attendance Report 24-25'!A747:BP999,5,0),"")</f>
        <v/>
      </c>
      <c r="P783" s="89" t="str">
        <f>IFERROR(VLOOKUP(E783,'Daily Attendance Report 24-25'!$A$1:$BO$617,5,0),"")</f>
        <v/>
      </c>
      <c r="Q783" s="89"/>
      <c r="R783" s="89"/>
      <c r="S783" s="89" t="str">
        <f t="shared" si="17"/>
        <v>#DIV/0!</v>
      </c>
      <c r="T783" s="89" t="str">
        <f t="shared" si="6"/>
        <v>#DIV/0!</v>
      </c>
      <c r="U783" s="89" t="str">
        <f t="shared" si="25"/>
        <v>#DIV/0!</v>
      </c>
      <c r="V783" s="89" t="str">
        <f t="shared" si="24"/>
        <v>#DIV/0!</v>
      </c>
      <c r="W783" s="89" t="str">
        <f t="shared" si="9"/>
        <v>#DIV/0!</v>
      </c>
      <c r="X783" s="89"/>
      <c r="Y783" s="89"/>
      <c r="Z783" s="89"/>
      <c r="AA783" s="89"/>
      <c r="AB783" s="89"/>
      <c r="AC783" s="89"/>
      <c r="AD783" s="89"/>
      <c r="AE783" s="89"/>
      <c r="AF783" s="89"/>
      <c r="AG783" s="89"/>
      <c r="AH783" s="89"/>
    </row>
    <row r="784">
      <c r="A784" s="8" t="s">
        <v>922</v>
      </c>
      <c r="B784" s="97"/>
      <c r="C784" s="8"/>
      <c r="D784" s="89" t="str">
        <f t="shared" si="1"/>
        <v/>
      </c>
      <c r="E784" s="89" t="str">
        <f t="shared" si="2"/>
        <v>OT Hours</v>
      </c>
      <c r="F784" s="89" t="str">
        <f>IFERROR(VLOOKUP(C784,'Employees List'!$B$1:$G$999,2,0),"")</f>
        <v/>
      </c>
      <c r="G784" s="89" t="str">
        <f t="shared" si="23"/>
        <v>#DIV/0!</v>
      </c>
      <c r="H784" s="98"/>
      <c r="I784" s="89" t="str">
        <f>IFERROR(VLOOKUP(F784,'Employees List'!$C:$F,2,0),"")</f>
        <v/>
      </c>
      <c r="J784" s="93" t="str">
        <f>IFERROR(VLOOKUP(C784,'Employees List'!$B$2:$G$991,5,0),"")</f>
        <v/>
      </c>
      <c r="K784" s="95" t="str">
        <f>IFERROR(VLOOKUP(F784,'Employees List'!$C$1:$AB$991,5,0),"")</f>
        <v/>
      </c>
      <c r="L784" s="91">
        <f t="shared" si="3"/>
        <v>0</v>
      </c>
      <c r="M784" s="91">
        <f t="shared" si="4"/>
        <v>0</v>
      </c>
      <c r="N784" s="89" t="str">
        <f>IFERROR(VLOOKUP(B784,'Employees List'!$A$2:$H$991,8,0),"")</f>
        <v/>
      </c>
      <c r="O784" s="89" t="str">
        <f>IFERROR(VLOOKUP(D784,'Daily Attendance Report 24-25'!A748:BP999,5,0),"")</f>
        <v/>
      </c>
      <c r="P784" s="89" t="str">
        <f>IFERROR(VLOOKUP(E784,'Daily Attendance Report 24-25'!$A$1:$BO$617,5,0),"")</f>
        <v/>
      </c>
      <c r="Q784" s="89"/>
      <c r="R784" s="89"/>
      <c r="S784" s="89" t="str">
        <f t="shared" si="17"/>
        <v>#DIV/0!</v>
      </c>
      <c r="T784" s="89" t="str">
        <f t="shared" si="6"/>
        <v>#DIV/0!</v>
      </c>
      <c r="U784" s="89" t="str">
        <f t="shared" si="25"/>
        <v>#DIV/0!</v>
      </c>
      <c r="V784" s="89" t="str">
        <f t="shared" si="24"/>
        <v>#DIV/0!</v>
      </c>
      <c r="W784" s="89" t="str">
        <f t="shared" si="9"/>
        <v>#DIV/0!</v>
      </c>
      <c r="X784" s="89"/>
      <c r="Y784" s="89"/>
      <c r="Z784" s="89"/>
      <c r="AA784" s="89"/>
      <c r="AB784" s="89"/>
      <c r="AC784" s="89"/>
      <c r="AD784" s="89"/>
      <c r="AE784" s="89"/>
      <c r="AF784" s="89"/>
      <c r="AG784" s="89"/>
      <c r="AH784" s="89"/>
    </row>
    <row r="785">
      <c r="A785" s="8" t="s">
        <v>923</v>
      </c>
      <c r="B785" s="97"/>
      <c r="C785" s="8"/>
      <c r="D785" s="89" t="str">
        <f t="shared" si="1"/>
        <v/>
      </c>
      <c r="E785" s="89" t="str">
        <f t="shared" si="2"/>
        <v>OT Hours</v>
      </c>
      <c r="F785" s="89" t="str">
        <f>IFERROR(VLOOKUP(C785,'Employees List'!$B$1:$G$999,2,0),"")</f>
        <v/>
      </c>
      <c r="G785" s="89" t="str">
        <f t="shared" si="23"/>
        <v>#DIV/0!</v>
      </c>
      <c r="H785" s="98"/>
      <c r="I785" s="89" t="str">
        <f>IFERROR(VLOOKUP(F785,'Employees List'!$C:$F,2,0),"")</f>
        <v/>
      </c>
      <c r="J785" s="93" t="str">
        <f>IFERROR(VLOOKUP(C785,'Employees List'!$B$2:$G$991,5,0),"")</f>
        <v/>
      </c>
      <c r="K785" s="95" t="str">
        <f>IFERROR(VLOOKUP(F785,'Employees List'!$C$1:$AB$991,5,0),"")</f>
        <v/>
      </c>
      <c r="L785" s="91">
        <f t="shared" si="3"/>
        <v>0</v>
      </c>
      <c r="M785" s="91">
        <f t="shared" si="4"/>
        <v>0</v>
      </c>
      <c r="N785" s="89" t="str">
        <f>IFERROR(VLOOKUP(B785,'Employees List'!$A$2:$H$991,8,0),"")</f>
        <v/>
      </c>
      <c r="O785" s="89" t="str">
        <f>IFERROR(VLOOKUP(D785,'Daily Attendance Report 24-25'!A749:BP999,5,0),"")</f>
        <v/>
      </c>
      <c r="P785" s="89" t="str">
        <f>IFERROR(VLOOKUP(E785,'Daily Attendance Report 24-25'!$A$1:$BO$617,5,0),"")</f>
        <v/>
      </c>
      <c r="Q785" s="89"/>
      <c r="R785" s="89"/>
      <c r="S785" s="89" t="str">
        <f t="shared" si="17"/>
        <v>#DIV/0!</v>
      </c>
      <c r="T785" s="89" t="str">
        <f t="shared" si="6"/>
        <v>#DIV/0!</v>
      </c>
      <c r="U785" s="89" t="str">
        <f t="shared" si="25"/>
        <v>#DIV/0!</v>
      </c>
      <c r="V785" s="89" t="str">
        <f t="shared" si="24"/>
        <v>#DIV/0!</v>
      </c>
      <c r="W785" s="89" t="str">
        <f t="shared" si="9"/>
        <v>#DIV/0!</v>
      </c>
      <c r="X785" s="89"/>
      <c r="Y785" s="89"/>
      <c r="Z785" s="89"/>
      <c r="AA785" s="89"/>
      <c r="AB785" s="89"/>
      <c r="AC785" s="89"/>
      <c r="AD785" s="89"/>
      <c r="AE785" s="89"/>
      <c r="AF785" s="89"/>
      <c r="AG785" s="89"/>
      <c r="AH785" s="89"/>
    </row>
    <row r="786">
      <c r="A786" s="8" t="s">
        <v>924</v>
      </c>
      <c r="B786" s="97"/>
      <c r="C786" s="8"/>
      <c r="D786" s="89" t="str">
        <f t="shared" si="1"/>
        <v/>
      </c>
      <c r="E786" s="89" t="str">
        <f t="shared" si="2"/>
        <v>OT Hours</v>
      </c>
      <c r="F786" s="89" t="str">
        <f>IFERROR(VLOOKUP(C786,'Employees List'!$B$1:$G$999,2,0),"")</f>
        <v/>
      </c>
      <c r="G786" s="89" t="str">
        <f t="shared" si="23"/>
        <v>#DIV/0!</v>
      </c>
      <c r="H786" s="98"/>
      <c r="I786" s="89" t="str">
        <f>IFERROR(VLOOKUP(F786,'Employees List'!$C:$F,2,0),"")</f>
        <v/>
      </c>
      <c r="J786" s="93" t="str">
        <f>IFERROR(VLOOKUP(C786,'Employees List'!$B$2:$G$991,5,0),"")</f>
        <v/>
      </c>
      <c r="K786" s="95" t="str">
        <f>IFERROR(VLOOKUP(F786,'Employees List'!$C$1:$AB$991,5,0),"")</f>
        <v/>
      </c>
      <c r="L786" s="91">
        <f t="shared" si="3"/>
        <v>0</v>
      </c>
      <c r="M786" s="91">
        <f t="shared" si="4"/>
        <v>0</v>
      </c>
      <c r="N786" s="89" t="str">
        <f>IFERROR(VLOOKUP(B786,'Employees List'!$A$2:$H$991,8,0),"")</f>
        <v/>
      </c>
      <c r="O786" s="89" t="str">
        <f>IFERROR(VLOOKUP(D786,'Daily Attendance Report 24-25'!A750:BP999,5,0),"")</f>
        <v/>
      </c>
      <c r="P786" s="89" t="str">
        <f>IFERROR(VLOOKUP(E786,'Daily Attendance Report 24-25'!$A$1:$BO$617,5,0),"")</f>
        <v/>
      </c>
      <c r="Q786" s="89"/>
      <c r="R786" s="89"/>
      <c r="S786" s="89" t="str">
        <f t="shared" si="17"/>
        <v>#DIV/0!</v>
      </c>
      <c r="T786" s="89" t="str">
        <f t="shared" si="6"/>
        <v>#DIV/0!</v>
      </c>
      <c r="U786" s="89" t="str">
        <f t="shared" si="25"/>
        <v>#DIV/0!</v>
      </c>
      <c r="V786" s="89" t="str">
        <f t="shared" si="24"/>
        <v>#DIV/0!</v>
      </c>
      <c r="W786" s="89" t="str">
        <f t="shared" si="9"/>
        <v>#DIV/0!</v>
      </c>
      <c r="X786" s="89"/>
      <c r="Y786" s="89"/>
      <c r="Z786" s="89"/>
      <c r="AA786" s="89"/>
      <c r="AB786" s="89"/>
      <c r="AC786" s="89"/>
      <c r="AD786" s="89"/>
      <c r="AE786" s="89"/>
      <c r="AF786" s="89"/>
      <c r="AG786" s="89"/>
      <c r="AH786" s="89"/>
    </row>
    <row r="787">
      <c r="A787" s="8" t="s">
        <v>925</v>
      </c>
      <c r="B787" s="97"/>
      <c r="C787" s="8"/>
      <c r="D787" s="89" t="str">
        <f t="shared" si="1"/>
        <v/>
      </c>
      <c r="E787" s="89" t="str">
        <f t="shared" si="2"/>
        <v>OT Hours</v>
      </c>
      <c r="F787" s="89" t="str">
        <f>IFERROR(VLOOKUP(C787,'Employees List'!$B$1:$G$999,2,0),"")</f>
        <v/>
      </c>
      <c r="G787" s="89" t="str">
        <f t="shared" si="23"/>
        <v>#DIV/0!</v>
      </c>
      <c r="H787" s="98"/>
      <c r="I787" s="89" t="str">
        <f>IFERROR(VLOOKUP(F787,'Employees List'!$C:$F,2,0),"")</f>
        <v/>
      </c>
      <c r="J787" s="93" t="str">
        <f>IFERROR(VLOOKUP(C787,'Employees List'!$B$2:$G$991,5,0),"")</f>
        <v/>
      </c>
      <c r="K787" s="95" t="str">
        <f>IFERROR(VLOOKUP(F787,'Employees List'!$C$1:$AB$991,5,0),"")</f>
        <v/>
      </c>
      <c r="L787" s="91">
        <f t="shared" si="3"/>
        <v>0</v>
      </c>
      <c r="M787" s="91">
        <f t="shared" si="4"/>
        <v>0</v>
      </c>
      <c r="N787" s="89" t="str">
        <f>IFERROR(VLOOKUP(B787,'Employees List'!$A$2:$H$991,8,0),"")</f>
        <v/>
      </c>
      <c r="O787" s="89" t="str">
        <f>IFERROR(VLOOKUP(D787,'Daily Attendance Report 24-25'!A751:BP999,5,0),"")</f>
        <v/>
      </c>
      <c r="P787" s="89" t="str">
        <f>IFERROR(VLOOKUP(E787,'Daily Attendance Report 24-25'!$A$1:$BO$617,5,0),"")</f>
        <v/>
      </c>
      <c r="Q787" s="89"/>
      <c r="R787" s="89"/>
      <c r="S787" s="89" t="str">
        <f t="shared" si="17"/>
        <v>#DIV/0!</v>
      </c>
      <c r="T787" s="89" t="str">
        <f t="shared" si="6"/>
        <v>#DIV/0!</v>
      </c>
      <c r="U787" s="89" t="str">
        <f t="shared" si="25"/>
        <v>#DIV/0!</v>
      </c>
      <c r="V787" s="89" t="str">
        <f t="shared" si="24"/>
        <v>#DIV/0!</v>
      </c>
      <c r="W787" s="89" t="str">
        <f t="shared" si="9"/>
        <v>#DIV/0!</v>
      </c>
      <c r="X787" s="89"/>
      <c r="Y787" s="89"/>
      <c r="Z787" s="89"/>
      <c r="AA787" s="89"/>
      <c r="AB787" s="89"/>
      <c r="AC787" s="89"/>
      <c r="AD787" s="89"/>
      <c r="AE787" s="89"/>
      <c r="AF787" s="89"/>
      <c r="AG787" s="89"/>
      <c r="AH787" s="89"/>
    </row>
    <row r="788">
      <c r="A788" s="8" t="s">
        <v>926</v>
      </c>
      <c r="B788" s="97"/>
      <c r="C788" s="8"/>
      <c r="D788" s="89" t="str">
        <f t="shared" si="1"/>
        <v/>
      </c>
      <c r="E788" s="89" t="str">
        <f t="shared" si="2"/>
        <v>OT Hours</v>
      </c>
      <c r="F788" s="89" t="str">
        <f>IFERROR(VLOOKUP(C788,'Employees List'!$B$1:$G$999,2,0),"")</f>
        <v/>
      </c>
      <c r="G788" s="89" t="str">
        <f t="shared" si="23"/>
        <v>#DIV/0!</v>
      </c>
      <c r="H788" s="98"/>
      <c r="I788" s="89" t="str">
        <f>IFERROR(VLOOKUP(F788,'Employees List'!$C:$F,2,0),"")</f>
        <v/>
      </c>
      <c r="J788" s="93" t="str">
        <f>IFERROR(VLOOKUP(C788,'Employees List'!$B$2:$G$991,5,0),"")</f>
        <v/>
      </c>
      <c r="K788" s="95" t="str">
        <f>IFERROR(VLOOKUP(F788,'Employees List'!$C$1:$AB$991,5,0),"")</f>
        <v/>
      </c>
      <c r="L788" s="91">
        <f t="shared" si="3"/>
        <v>0</v>
      </c>
      <c r="M788" s="91">
        <f t="shared" si="4"/>
        <v>0</v>
      </c>
      <c r="N788" s="89" t="str">
        <f>IFERROR(VLOOKUP(B788,'Employees List'!$A$2:$H$991,8,0),"")</f>
        <v/>
      </c>
      <c r="O788" s="89" t="str">
        <f>IFERROR(VLOOKUP(D788,'Daily Attendance Report 24-25'!A752:BP999,5,0),"")</f>
        <v/>
      </c>
      <c r="P788" s="89" t="str">
        <f>IFERROR(VLOOKUP(E788,'Daily Attendance Report 24-25'!$A$1:$BO$617,5,0),"")</f>
        <v/>
      </c>
      <c r="Q788" s="89"/>
      <c r="R788" s="89"/>
      <c r="S788" s="89" t="str">
        <f t="shared" si="17"/>
        <v>#DIV/0!</v>
      </c>
      <c r="T788" s="89" t="str">
        <f t="shared" si="6"/>
        <v>#DIV/0!</v>
      </c>
      <c r="U788" s="89" t="str">
        <f t="shared" si="25"/>
        <v>#DIV/0!</v>
      </c>
      <c r="V788" s="89" t="str">
        <f t="shared" si="24"/>
        <v>#DIV/0!</v>
      </c>
      <c r="W788" s="89" t="str">
        <f t="shared" si="9"/>
        <v>#DIV/0!</v>
      </c>
      <c r="X788" s="89"/>
      <c r="Y788" s="89"/>
      <c r="Z788" s="89"/>
      <c r="AA788" s="89"/>
      <c r="AB788" s="89"/>
      <c r="AC788" s="89"/>
      <c r="AD788" s="89"/>
      <c r="AE788" s="89"/>
      <c r="AF788" s="89"/>
      <c r="AG788" s="89"/>
      <c r="AH788" s="89"/>
    </row>
    <row r="789">
      <c r="A789" s="8" t="s">
        <v>927</v>
      </c>
      <c r="B789" s="97"/>
      <c r="C789" s="8"/>
      <c r="D789" s="89" t="str">
        <f t="shared" si="1"/>
        <v/>
      </c>
      <c r="E789" s="89" t="str">
        <f t="shared" si="2"/>
        <v>OT Hours</v>
      </c>
      <c r="F789" s="89" t="str">
        <f>IFERROR(VLOOKUP(C789,'Employees List'!$B$1:$G$999,2,0),"")</f>
        <v/>
      </c>
      <c r="G789" s="89" t="str">
        <f t="shared" si="23"/>
        <v>#DIV/0!</v>
      </c>
      <c r="H789" s="98"/>
      <c r="I789" s="89" t="str">
        <f>IFERROR(VLOOKUP(F789,'Employees List'!$C:$F,2,0),"")</f>
        <v/>
      </c>
      <c r="J789" s="93" t="str">
        <f>IFERROR(VLOOKUP(C789,'Employees List'!$B$2:$G$991,5,0),"")</f>
        <v/>
      </c>
      <c r="K789" s="95" t="str">
        <f>IFERROR(VLOOKUP(F789,'Employees List'!$C$1:$AB$991,5,0),"")</f>
        <v/>
      </c>
      <c r="L789" s="91">
        <f t="shared" si="3"/>
        <v>0</v>
      </c>
      <c r="M789" s="91">
        <f t="shared" si="4"/>
        <v>0</v>
      </c>
      <c r="N789" s="89" t="str">
        <f>IFERROR(VLOOKUP(B789,'Employees List'!$A$2:$H$991,8,0),"")</f>
        <v/>
      </c>
      <c r="O789" s="89" t="str">
        <f>IFERROR(VLOOKUP(D789,'Daily Attendance Report 24-25'!A753:BP999,5,0),"")</f>
        <v/>
      </c>
      <c r="P789" s="89" t="str">
        <f>IFERROR(VLOOKUP(E789,'Daily Attendance Report 24-25'!$A$1:$BO$617,5,0),"")</f>
        <v/>
      </c>
      <c r="Q789" s="89"/>
      <c r="R789" s="89"/>
      <c r="S789" s="89" t="str">
        <f t="shared" si="17"/>
        <v>#DIV/0!</v>
      </c>
      <c r="T789" s="89" t="str">
        <f t="shared" si="6"/>
        <v>#DIV/0!</v>
      </c>
      <c r="U789" s="89" t="str">
        <f t="shared" si="25"/>
        <v>#DIV/0!</v>
      </c>
      <c r="V789" s="89" t="str">
        <f t="shared" si="24"/>
        <v>#DIV/0!</v>
      </c>
      <c r="W789" s="89" t="str">
        <f t="shared" si="9"/>
        <v>#DIV/0!</v>
      </c>
      <c r="X789" s="89"/>
      <c r="Y789" s="89"/>
      <c r="Z789" s="89"/>
      <c r="AA789" s="89"/>
      <c r="AB789" s="89"/>
      <c r="AC789" s="89"/>
      <c r="AD789" s="89"/>
      <c r="AE789" s="89"/>
      <c r="AF789" s="89"/>
      <c r="AG789" s="89"/>
      <c r="AH789" s="89"/>
    </row>
    <row r="790">
      <c r="A790" s="8" t="s">
        <v>928</v>
      </c>
      <c r="B790" s="97"/>
      <c r="C790" s="8"/>
      <c r="D790" s="89" t="str">
        <f t="shared" si="1"/>
        <v/>
      </c>
      <c r="E790" s="89" t="str">
        <f t="shared" si="2"/>
        <v>OT Hours</v>
      </c>
      <c r="F790" s="89" t="str">
        <f>IFERROR(VLOOKUP(C790,'Employees List'!$B$1:$G$999,2,0),"")</f>
        <v/>
      </c>
      <c r="G790" s="89" t="str">
        <f t="shared" si="23"/>
        <v>#DIV/0!</v>
      </c>
      <c r="H790" s="98"/>
      <c r="I790" s="89" t="str">
        <f>IFERROR(VLOOKUP(F790,'Employees List'!$C:$F,2,0),"")</f>
        <v/>
      </c>
      <c r="J790" s="93" t="str">
        <f>IFERROR(VLOOKUP(C790,'Employees List'!$B$2:$G$991,5,0),"")</f>
        <v/>
      </c>
      <c r="K790" s="95" t="str">
        <f>IFERROR(VLOOKUP(F790,'Employees List'!$C$1:$AB$991,5,0),"")</f>
        <v/>
      </c>
      <c r="L790" s="91">
        <f t="shared" si="3"/>
        <v>0</v>
      </c>
      <c r="M790" s="91">
        <f t="shared" si="4"/>
        <v>0</v>
      </c>
      <c r="N790" s="89" t="str">
        <f>IFERROR(VLOOKUP(B790,'Employees List'!$A$2:$H$991,8,0),"")</f>
        <v/>
      </c>
      <c r="O790" s="89" t="str">
        <f>IFERROR(VLOOKUP(D790,'Daily Attendance Report 24-25'!A754:BP999,5,0),"")</f>
        <v/>
      </c>
      <c r="P790" s="89" t="str">
        <f>IFERROR(VLOOKUP(E790,'Daily Attendance Report 24-25'!$A$1:$BO$617,5,0),"")</f>
        <v/>
      </c>
      <c r="Q790" s="89"/>
      <c r="R790" s="89"/>
      <c r="S790" s="89" t="str">
        <f t="shared" si="17"/>
        <v>#DIV/0!</v>
      </c>
      <c r="T790" s="89" t="str">
        <f t="shared" si="6"/>
        <v>#DIV/0!</v>
      </c>
      <c r="U790" s="89" t="str">
        <f t="shared" si="25"/>
        <v>#DIV/0!</v>
      </c>
      <c r="V790" s="89" t="str">
        <f t="shared" si="24"/>
        <v>#DIV/0!</v>
      </c>
      <c r="W790" s="89" t="str">
        <f t="shared" si="9"/>
        <v>#DIV/0!</v>
      </c>
      <c r="X790" s="89"/>
      <c r="Y790" s="89"/>
      <c r="Z790" s="89"/>
      <c r="AA790" s="89"/>
      <c r="AB790" s="89"/>
      <c r="AC790" s="89"/>
      <c r="AD790" s="89"/>
      <c r="AE790" s="89"/>
      <c r="AF790" s="89"/>
      <c r="AG790" s="89"/>
      <c r="AH790" s="89"/>
    </row>
    <row r="791">
      <c r="A791" s="8" t="s">
        <v>929</v>
      </c>
      <c r="B791" s="97"/>
      <c r="C791" s="8"/>
      <c r="D791" s="89" t="str">
        <f t="shared" si="1"/>
        <v/>
      </c>
      <c r="E791" s="89" t="str">
        <f t="shared" si="2"/>
        <v>OT Hours</v>
      </c>
      <c r="F791" s="89" t="str">
        <f>IFERROR(VLOOKUP(C791,'Employees List'!$B$1:$G$999,2,0),"")</f>
        <v/>
      </c>
      <c r="G791" s="89" t="str">
        <f t="shared" si="23"/>
        <v>#DIV/0!</v>
      </c>
      <c r="H791" s="98"/>
      <c r="I791" s="89" t="str">
        <f>IFERROR(VLOOKUP(F791,'Employees List'!$C:$F,2,0),"")</f>
        <v/>
      </c>
      <c r="J791" s="93" t="str">
        <f>IFERROR(VLOOKUP(C791,'Employees List'!$B$2:$G$991,5,0),"")</f>
        <v/>
      </c>
      <c r="K791" s="95" t="str">
        <f>IFERROR(VLOOKUP(F791,'Employees List'!$C$1:$AB$991,5,0),"")</f>
        <v/>
      </c>
      <c r="L791" s="91">
        <f t="shared" si="3"/>
        <v>0</v>
      </c>
      <c r="M791" s="91">
        <f t="shared" si="4"/>
        <v>0</v>
      </c>
      <c r="N791" s="89" t="str">
        <f>IFERROR(VLOOKUP(B791,'Employees List'!$A$2:$H$991,8,0),"")</f>
        <v/>
      </c>
      <c r="O791" s="89" t="str">
        <f>IFERROR(VLOOKUP(D791,'Daily Attendance Report 24-25'!A755:BP999,5,0),"")</f>
        <v/>
      </c>
      <c r="P791" s="89" t="str">
        <f>IFERROR(VLOOKUP(E791,'Daily Attendance Report 24-25'!$A$1:$BO$617,5,0),"")</f>
        <v/>
      </c>
      <c r="Q791" s="89"/>
      <c r="R791" s="89"/>
      <c r="S791" s="89" t="str">
        <f t="shared" si="17"/>
        <v>#DIV/0!</v>
      </c>
      <c r="T791" s="89" t="str">
        <f t="shared" si="6"/>
        <v>#DIV/0!</v>
      </c>
      <c r="U791" s="89" t="str">
        <f t="shared" si="25"/>
        <v>#DIV/0!</v>
      </c>
      <c r="V791" s="89" t="str">
        <f t="shared" si="24"/>
        <v>#DIV/0!</v>
      </c>
      <c r="W791" s="89" t="str">
        <f t="shared" si="9"/>
        <v>#DIV/0!</v>
      </c>
      <c r="X791" s="89"/>
      <c r="Y791" s="89"/>
      <c r="Z791" s="89"/>
      <c r="AA791" s="89"/>
      <c r="AB791" s="89"/>
      <c r="AC791" s="89"/>
      <c r="AD791" s="89"/>
      <c r="AE791" s="89"/>
      <c r="AF791" s="89"/>
      <c r="AG791" s="89"/>
      <c r="AH791" s="89"/>
    </row>
    <row r="792">
      <c r="A792" s="8" t="s">
        <v>930</v>
      </c>
      <c r="B792" s="97"/>
      <c r="C792" s="8"/>
      <c r="D792" s="89" t="str">
        <f t="shared" si="1"/>
        <v/>
      </c>
      <c r="E792" s="89" t="str">
        <f t="shared" si="2"/>
        <v>OT Hours</v>
      </c>
      <c r="F792" s="89" t="str">
        <f>IFERROR(VLOOKUP(C792,'Employees List'!$B$1:$G$999,2,0),"")</f>
        <v/>
      </c>
      <c r="G792" s="89" t="str">
        <f t="shared" si="23"/>
        <v>#DIV/0!</v>
      </c>
      <c r="H792" s="98"/>
      <c r="I792" s="89" t="str">
        <f>IFERROR(VLOOKUP(F792,'Employees List'!$C:$F,2,0),"")</f>
        <v/>
      </c>
      <c r="J792" s="93" t="str">
        <f>IFERROR(VLOOKUP(C792,'Employees List'!$B$2:$G$991,5,0),"")</f>
        <v/>
      </c>
      <c r="K792" s="95" t="str">
        <f>IFERROR(VLOOKUP(F792,'Employees List'!$C$1:$AB$991,5,0),"")</f>
        <v/>
      </c>
      <c r="L792" s="91">
        <f t="shared" si="3"/>
        <v>0</v>
      </c>
      <c r="M792" s="91">
        <f t="shared" si="4"/>
        <v>0</v>
      </c>
      <c r="N792" s="89" t="str">
        <f>IFERROR(VLOOKUP(B792,'Employees List'!$A$2:$H$991,8,0),"")</f>
        <v/>
      </c>
      <c r="O792" s="89" t="str">
        <f>IFERROR(VLOOKUP(D792,'Daily Attendance Report 24-25'!A756:BP999,5,0),"")</f>
        <v/>
      </c>
      <c r="P792" s="89" t="str">
        <f>IFERROR(VLOOKUP(E792,'Daily Attendance Report 24-25'!$A$1:$BO$617,5,0),"")</f>
        <v/>
      </c>
      <c r="Q792" s="89"/>
      <c r="R792" s="89"/>
      <c r="S792" s="89" t="str">
        <f t="shared" si="17"/>
        <v>#DIV/0!</v>
      </c>
      <c r="T792" s="89" t="str">
        <f t="shared" si="6"/>
        <v>#DIV/0!</v>
      </c>
      <c r="U792" s="89" t="str">
        <f t="shared" si="25"/>
        <v>#DIV/0!</v>
      </c>
      <c r="V792" s="89" t="str">
        <f t="shared" si="24"/>
        <v>#DIV/0!</v>
      </c>
      <c r="W792" s="89" t="str">
        <f t="shared" si="9"/>
        <v>#DIV/0!</v>
      </c>
      <c r="X792" s="89"/>
      <c r="Y792" s="89"/>
      <c r="Z792" s="89"/>
      <c r="AA792" s="89"/>
      <c r="AB792" s="89"/>
      <c r="AC792" s="89"/>
      <c r="AD792" s="89"/>
      <c r="AE792" s="89"/>
      <c r="AF792" s="89"/>
      <c r="AG792" s="89"/>
      <c r="AH792" s="89"/>
    </row>
    <row r="793">
      <c r="A793" s="8" t="s">
        <v>931</v>
      </c>
      <c r="B793" s="97"/>
      <c r="C793" s="8"/>
      <c r="D793" s="89" t="str">
        <f t="shared" si="1"/>
        <v/>
      </c>
      <c r="E793" s="89" t="str">
        <f t="shared" si="2"/>
        <v>OT Hours</v>
      </c>
      <c r="F793" s="89" t="str">
        <f>IFERROR(VLOOKUP(C793,'Employees List'!$B$1:$G$999,2,0),"")</f>
        <v/>
      </c>
      <c r="G793" s="89" t="str">
        <f t="shared" si="23"/>
        <v>#DIV/0!</v>
      </c>
      <c r="H793" s="98"/>
      <c r="I793" s="89" t="str">
        <f>IFERROR(VLOOKUP(F793,'Employees List'!$C:$F,2,0),"")</f>
        <v/>
      </c>
      <c r="J793" s="93" t="str">
        <f>IFERROR(VLOOKUP(C793,'Employees List'!$B$2:$G$991,5,0),"")</f>
        <v/>
      </c>
      <c r="K793" s="95" t="str">
        <f>IFERROR(VLOOKUP(F793,'Employees List'!$C$1:$AB$991,5,0),"")</f>
        <v/>
      </c>
      <c r="L793" s="91">
        <f t="shared" si="3"/>
        <v>0</v>
      </c>
      <c r="M793" s="91">
        <f t="shared" si="4"/>
        <v>0</v>
      </c>
      <c r="N793" s="89" t="str">
        <f>IFERROR(VLOOKUP(B793,'Employees List'!$A$2:$H$991,8,0),"")</f>
        <v/>
      </c>
      <c r="O793" s="89" t="str">
        <f>IFERROR(VLOOKUP(D793,'Daily Attendance Report 24-25'!A757:BP999,5,0),"")</f>
        <v/>
      </c>
      <c r="P793" s="89" t="str">
        <f>IFERROR(VLOOKUP(E793,'Daily Attendance Report 24-25'!$A$1:$BO$617,5,0),"")</f>
        <v/>
      </c>
      <c r="Q793" s="89"/>
      <c r="R793" s="89"/>
      <c r="S793" s="89" t="str">
        <f t="shared" si="17"/>
        <v>#DIV/0!</v>
      </c>
      <c r="T793" s="89" t="str">
        <f t="shared" si="6"/>
        <v>#DIV/0!</v>
      </c>
      <c r="U793" s="89" t="str">
        <f t="shared" si="25"/>
        <v>#DIV/0!</v>
      </c>
      <c r="V793" s="89" t="str">
        <f t="shared" si="24"/>
        <v>#DIV/0!</v>
      </c>
      <c r="W793" s="89" t="str">
        <f t="shared" si="9"/>
        <v>#DIV/0!</v>
      </c>
      <c r="X793" s="89"/>
      <c r="Y793" s="89"/>
      <c r="Z793" s="89"/>
      <c r="AA793" s="89"/>
      <c r="AB793" s="89"/>
      <c r="AC793" s="89"/>
      <c r="AD793" s="89"/>
      <c r="AE793" s="89"/>
      <c r="AF793" s="89"/>
      <c r="AG793" s="89"/>
      <c r="AH793" s="89"/>
    </row>
    <row r="794">
      <c r="A794" s="8" t="s">
        <v>932</v>
      </c>
      <c r="B794" s="97"/>
      <c r="C794" s="8"/>
      <c r="D794" s="89" t="str">
        <f t="shared" si="1"/>
        <v/>
      </c>
      <c r="E794" s="89" t="str">
        <f t="shared" si="2"/>
        <v>OT Hours</v>
      </c>
      <c r="F794" s="89" t="str">
        <f>IFERROR(VLOOKUP(C794,'Employees List'!$B$1:$G$999,2,0),"")</f>
        <v/>
      </c>
      <c r="G794" s="89" t="str">
        <f t="shared" si="23"/>
        <v>#DIV/0!</v>
      </c>
      <c r="H794" s="98"/>
      <c r="I794" s="89" t="str">
        <f>IFERROR(VLOOKUP(F794,'Employees List'!$C:$F,2,0),"")</f>
        <v/>
      </c>
      <c r="J794" s="93" t="str">
        <f>IFERROR(VLOOKUP(C794,'Employees List'!$B$2:$G$991,5,0),"")</f>
        <v/>
      </c>
      <c r="K794" s="95" t="str">
        <f>IFERROR(VLOOKUP(F794,'Employees List'!$C$1:$AB$991,5,0),"")</f>
        <v/>
      </c>
      <c r="L794" s="91">
        <f t="shared" si="3"/>
        <v>0</v>
      </c>
      <c r="M794" s="91">
        <f t="shared" si="4"/>
        <v>0</v>
      </c>
      <c r="N794" s="89" t="str">
        <f>IFERROR(VLOOKUP(B794,'Employees List'!$A$2:$H$991,8,0),"")</f>
        <v/>
      </c>
      <c r="O794" s="89" t="str">
        <f>IFERROR(VLOOKUP(D794,'Daily Attendance Report 24-25'!A758:BP999,5,0),"")</f>
        <v/>
      </c>
      <c r="P794" s="89" t="str">
        <f>IFERROR(VLOOKUP(E794,'Daily Attendance Report 24-25'!$A$1:$BO$617,5,0),"")</f>
        <v/>
      </c>
      <c r="Q794" s="89"/>
      <c r="R794" s="89"/>
      <c r="S794" s="89" t="str">
        <f t="shared" si="17"/>
        <v>#DIV/0!</v>
      </c>
      <c r="T794" s="89" t="str">
        <f t="shared" si="6"/>
        <v>#DIV/0!</v>
      </c>
      <c r="U794" s="89" t="str">
        <f t="shared" si="25"/>
        <v>#DIV/0!</v>
      </c>
      <c r="V794" s="89" t="str">
        <f t="shared" si="24"/>
        <v>#DIV/0!</v>
      </c>
      <c r="W794" s="89" t="str">
        <f t="shared" si="9"/>
        <v>#DIV/0!</v>
      </c>
      <c r="X794" s="89"/>
      <c r="Y794" s="89"/>
      <c r="Z794" s="89"/>
      <c r="AA794" s="89"/>
      <c r="AB794" s="89"/>
      <c r="AC794" s="89"/>
      <c r="AD794" s="89"/>
      <c r="AE794" s="89"/>
      <c r="AF794" s="89"/>
      <c r="AG794" s="89"/>
      <c r="AH794" s="89"/>
    </row>
    <row r="795">
      <c r="A795" s="8" t="s">
        <v>933</v>
      </c>
      <c r="B795" s="97"/>
      <c r="C795" s="8"/>
      <c r="D795" s="89" t="str">
        <f t="shared" si="1"/>
        <v/>
      </c>
      <c r="E795" s="89" t="str">
        <f t="shared" si="2"/>
        <v>OT Hours</v>
      </c>
      <c r="F795" s="89" t="str">
        <f>IFERROR(VLOOKUP(C795,'Employees List'!$B$1:$G$999,2,0),"")</f>
        <v/>
      </c>
      <c r="G795" s="89" t="str">
        <f t="shared" si="23"/>
        <v>#DIV/0!</v>
      </c>
      <c r="H795" s="98"/>
      <c r="I795" s="89" t="str">
        <f>IFERROR(VLOOKUP(F795,'Employees List'!$C:$F,2,0),"")</f>
        <v/>
      </c>
      <c r="J795" s="93" t="str">
        <f>IFERROR(VLOOKUP(C795,'Employees List'!$B$2:$G$991,5,0),"")</f>
        <v/>
      </c>
      <c r="K795" s="95" t="str">
        <f>IFERROR(VLOOKUP(F795,'Employees List'!$C$1:$AB$991,5,0),"")</f>
        <v/>
      </c>
      <c r="L795" s="91">
        <f t="shared" si="3"/>
        <v>0</v>
      </c>
      <c r="M795" s="91">
        <f t="shared" si="4"/>
        <v>0</v>
      </c>
      <c r="N795" s="89" t="str">
        <f>IFERROR(VLOOKUP(B795,'Employees List'!$A$2:$H$991,8,0),"")</f>
        <v/>
      </c>
      <c r="O795" s="89" t="str">
        <f>IFERROR(VLOOKUP(D795,'Daily Attendance Report 24-25'!A759:BP999,5,0),"")</f>
        <v/>
      </c>
      <c r="P795" s="89" t="str">
        <f>IFERROR(VLOOKUP(E795,'Daily Attendance Report 24-25'!$A$1:$BO$617,5,0),"")</f>
        <v/>
      </c>
      <c r="Q795" s="89"/>
      <c r="R795" s="89"/>
      <c r="S795" s="89" t="str">
        <f t="shared" si="17"/>
        <v>#DIV/0!</v>
      </c>
      <c r="T795" s="89" t="str">
        <f t="shared" si="6"/>
        <v>#DIV/0!</v>
      </c>
      <c r="U795" s="89" t="str">
        <f t="shared" si="25"/>
        <v>#DIV/0!</v>
      </c>
      <c r="V795" s="89" t="str">
        <f t="shared" si="24"/>
        <v>#DIV/0!</v>
      </c>
      <c r="W795" s="89" t="str">
        <f t="shared" si="9"/>
        <v>#DIV/0!</v>
      </c>
      <c r="X795" s="89"/>
      <c r="Y795" s="89"/>
      <c r="Z795" s="89"/>
      <c r="AA795" s="89"/>
      <c r="AB795" s="89"/>
      <c r="AC795" s="89"/>
      <c r="AD795" s="89"/>
      <c r="AE795" s="89"/>
      <c r="AF795" s="89"/>
      <c r="AG795" s="89"/>
      <c r="AH795" s="89"/>
    </row>
    <row r="796">
      <c r="A796" s="8" t="s">
        <v>934</v>
      </c>
      <c r="B796" s="97"/>
      <c r="C796" s="8"/>
      <c r="D796" s="89" t="str">
        <f t="shared" si="1"/>
        <v/>
      </c>
      <c r="E796" s="89" t="str">
        <f t="shared" si="2"/>
        <v>OT Hours</v>
      </c>
      <c r="F796" s="89" t="str">
        <f>IFERROR(VLOOKUP(C796,'Employees List'!$B$1:$G$999,2,0),"")</f>
        <v/>
      </c>
      <c r="G796" s="89" t="str">
        <f t="shared" si="23"/>
        <v>#DIV/0!</v>
      </c>
      <c r="H796" s="98"/>
      <c r="I796" s="89" t="str">
        <f>IFERROR(VLOOKUP(F796,'Employees List'!$C:$F,2,0),"")</f>
        <v/>
      </c>
      <c r="J796" s="93" t="str">
        <f>IFERROR(VLOOKUP(C796,'Employees List'!$B$2:$G$991,5,0),"")</f>
        <v/>
      </c>
      <c r="K796" s="95" t="str">
        <f>IFERROR(VLOOKUP(F796,'Employees List'!$C$1:$AB$991,5,0),"")</f>
        <v/>
      </c>
      <c r="L796" s="91">
        <f t="shared" si="3"/>
        <v>0</v>
      </c>
      <c r="M796" s="91">
        <f t="shared" si="4"/>
        <v>0</v>
      </c>
      <c r="N796" s="89" t="str">
        <f>IFERROR(VLOOKUP(B796,'Employees List'!$A$2:$H$991,8,0),"")</f>
        <v/>
      </c>
      <c r="O796" s="89" t="str">
        <f>IFERROR(VLOOKUP(D796,'Daily Attendance Report 24-25'!A760:BP999,5,0),"")</f>
        <v/>
      </c>
      <c r="P796" s="89" t="str">
        <f>IFERROR(VLOOKUP(E796,'Daily Attendance Report 24-25'!$A$1:$BO$617,5,0),"")</f>
        <v/>
      </c>
      <c r="Q796" s="89"/>
      <c r="R796" s="89"/>
      <c r="S796" s="89" t="str">
        <f t="shared" si="17"/>
        <v>#DIV/0!</v>
      </c>
      <c r="T796" s="89" t="str">
        <f t="shared" si="6"/>
        <v>#DIV/0!</v>
      </c>
      <c r="U796" s="89" t="str">
        <f t="shared" si="25"/>
        <v>#DIV/0!</v>
      </c>
      <c r="V796" s="89" t="str">
        <f t="shared" si="24"/>
        <v>#DIV/0!</v>
      </c>
      <c r="W796" s="89" t="str">
        <f t="shared" si="9"/>
        <v>#DIV/0!</v>
      </c>
      <c r="X796" s="89"/>
      <c r="Y796" s="89"/>
      <c r="Z796" s="89"/>
      <c r="AA796" s="89"/>
      <c r="AB796" s="89"/>
      <c r="AC796" s="89"/>
      <c r="AD796" s="89"/>
      <c r="AE796" s="89"/>
      <c r="AF796" s="89"/>
      <c r="AG796" s="89"/>
      <c r="AH796" s="89"/>
    </row>
    <row r="797">
      <c r="A797" s="8" t="s">
        <v>935</v>
      </c>
      <c r="B797" s="97"/>
      <c r="C797" s="8"/>
      <c r="D797" s="89" t="str">
        <f t="shared" si="1"/>
        <v/>
      </c>
      <c r="E797" s="89" t="str">
        <f t="shared" si="2"/>
        <v>OT Hours</v>
      </c>
      <c r="F797" s="89" t="str">
        <f>IFERROR(VLOOKUP(C797,'Employees List'!$B$1:$G$999,2,0),"")</f>
        <v/>
      </c>
      <c r="G797" s="89" t="str">
        <f t="shared" si="23"/>
        <v>#DIV/0!</v>
      </c>
      <c r="H797" s="98"/>
      <c r="I797" s="89" t="str">
        <f>IFERROR(VLOOKUP(F797,'Employees List'!$C:$F,2,0),"")</f>
        <v/>
      </c>
      <c r="J797" s="93" t="str">
        <f>IFERROR(VLOOKUP(C797,'Employees List'!$B$2:$G$991,5,0),"")</f>
        <v/>
      </c>
      <c r="K797" s="95" t="str">
        <f>IFERROR(VLOOKUP(F797,'Employees List'!$C$1:$AB$991,5,0),"")</f>
        <v/>
      </c>
      <c r="L797" s="91">
        <f t="shared" si="3"/>
        <v>0</v>
      </c>
      <c r="M797" s="91">
        <f t="shared" si="4"/>
        <v>0</v>
      </c>
      <c r="N797" s="89" t="str">
        <f>IFERROR(VLOOKUP(B797,'Employees List'!$A$2:$H$991,8,0),"")</f>
        <v/>
      </c>
      <c r="O797" s="89" t="str">
        <f>IFERROR(VLOOKUP(D797,'Daily Attendance Report 24-25'!A761:BP999,5,0),"")</f>
        <v/>
      </c>
      <c r="P797" s="89" t="str">
        <f>IFERROR(VLOOKUP(E797,'Daily Attendance Report 24-25'!$A$1:$BO$617,5,0),"")</f>
        <v/>
      </c>
      <c r="Q797" s="89"/>
      <c r="R797" s="89"/>
      <c r="S797" s="89" t="str">
        <f t="shared" si="17"/>
        <v>#DIV/0!</v>
      </c>
      <c r="T797" s="89" t="str">
        <f t="shared" si="6"/>
        <v>#DIV/0!</v>
      </c>
      <c r="U797" s="89" t="str">
        <f t="shared" si="25"/>
        <v>#DIV/0!</v>
      </c>
      <c r="V797" s="89" t="str">
        <f t="shared" si="24"/>
        <v>#DIV/0!</v>
      </c>
      <c r="W797" s="89" t="str">
        <f t="shared" si="9"/>
        <v>#DIV/0!</v>
      </c>
      <c r="X797" s="89"/>
      <c r="Y797" s="89"/>
      <c r="Z797" s="89"/>
      <c r="AA797" s="89"/>
      <c r="AB797" s="89"/>
      <c r="AC797" s="89"/>
      <c r="AD797" s="89"/>
      <c r="AE797" s="89"/>
      <c r="AF797" s="89"/>
      <c r="AG797" s="89"/>
      <c r="AH797" s="89"/>
    </row>
    <row r="798">
      <c r="A798" s="8" t="s">
        <v>936</v>
      </c>
      <c r="B798" s="97"/>
      <c r="C798" s="8"/>
      <c r="D798" s="89" t="str">
        <f t="shared" si="1"/>
        <v/>
      </c>
      <c r="E798" s="89" t="str">
        <f t="shared" si="2"/>
        <v>OT Hours</v>
      </c>
      <c r="F798" s="89" t="str">
        <f>IFERROR(VLOOKUP(C798,'Employees List'!$B$1:$G$999,2,0),"")</f>
        <v/>
      </c>
      <c r="G798" s="89" t="str">
        <f t="shared" si="23"/>
        <v>#DIV/0!</v>
      </c>
      <c r="H798" s="98"/>
      <c r="I798" s="89" t="str">
        <f>IFERROR(VLOOKUP(F798,'Employees List'!$C:$F,2,0),"")</f>
        <v/>
      </c>
      <c r="J798" s="93" t="str">
        <f>IFERROR(VLOOKUP(C798,'Employees List'!$B$2:$G$991,5,0),"")</f>
        <v/>
      </c>
      <c r="K798" s="95" t="str">
        <f>IFERROR(VLOOKUP(F798,'Employees List'!$C$1:$AB$991,5,0),"")</f>
        <v/>
      </c>
      <c r="L798" s="91">
        <f t="shared" si="3"/>
        <v>0</v>
      </c>
      <c r="M798" s="91">
        <f t="shared" si="4"/>
        <v>0</v>
      </c>
      <c r="N798" s="89" t="str">
        <f>IFERROR(VLOOKUP(B798,'Employees List'!$A$2:$H$991,8,0),"")</f>
        <v/>
      </c>
      <c r="O798" s="89" t="str">
        <f>IFERROR(VLOOKUP(D798,'Daily Attendance Report 24-25'!A762:BP999,5,0),"")</f>
        <v/>
      </c>
      <c r="P798" s="89" t="str">
        <f>IFERROR(VLOOKUP(E798,'Daily Attendance Report 24-25'!$A$1:$BO$617,5,0),"")</f>
        <v/>
      </c>
      <c r="Q798" s="89"/>
      <c r="R798" s="89"/>
      <c r="S798" s="89" t="str">
        <f t="shared" si="17"/>
        <v>#DIV/0!</v>
      </c>
      <c r="T798" s="89" t="str">
        <f t="shared" si="6"/>
        <v>#DIV/0!</v>
      </c>
      <c r="U798" s="89" t="str">
        <f t="shared" si="25"/>
        <v>#DIV/0!</v>
      </c>
      <c r="V798" s="89" t="str">
        <f t="shared" si="24"/>
        <v>#DIV/0!</v>
      </c>
      <c r="W798" s="89" t="str">
        <f t="shared" si="9"/>
        <v>#DIV/0!</v>
      </c>
      <c r="X798" s="89"/>
      <c r="Y798" s="89"/>
      <c r="Z798" s="89"/>
      <c r="AA798" s="89"/>
      <c r="AB798" s="89"/>
      <c r="AC798" s="89"/>
      <c r="AD798" s="89"/>
      <c r="AE798" s="89"/>
      <c r="AF798" s="89"/>
      <c r="AG798" s="89"/>
      <c r="AH798" s="89"/>
    </row>
    <row r="799">
      <c r="A799" s="8" t="s">
        <v>937</v>
      </c>
      <c r="B799" s="97"/>
      <c r="C799" s="8"/>
      <c r="D799" s="89" t="str">
        <f t="shared" si="1"/>
        <v/>
      </c>
      <c r="E799" s="89" t="str">
        <f t="shared" si="2"/>
        <v>OT Hours</v>
      </c>
      <c r="F799" s="89" t="str">
        <f>IFERROR(VLOOKUP(C799,'Employees List'!$B$1:$G$999,2,0),"")</f>
        <v/>
      </c>
      <c r="G799" s="89" t="str">
        <f t="shared" si="23"/>
        <v>#DIV/0!</v>
      </c>
      <c r="H799" s="98"/>
      <c r="I799" s="89" t="str">
        <f>IFERROR(VLOOKUP(F799,'Employees List'!$C:$F,2,0),"")</f>
        <v/>
      </c>
      <c r="J799" s="93" t="str">
        <f>IFERROR(VLOOKUP(C799,'Employees List'!$B$2:$G$991,5,0),"")</f>
        <v/>
      </c>
      <c r="K799" s="95" t="str">
        <f>IFERROR(VLOOKUP(F799,'Employees List'!$C$1:$AB$991,5,0),"")</f>
        <v/>
      </c>
      <c r="L799" s="91">
        <f t="shared" si="3"/>
        <v>0</v>
      </c>
      <c r="M799" s="91">
        <f t="shared" si="4"/>
        <v>0</v>
      </c>
      <c r="N799" s="89" t="str">
        <f>IFERROR(VLOOKUP(B799,'Employees List'!$A$2:$H$991,8,0),"")</f>
        <v/>
      </c>
      <c r="O799" s="89" t="str">
        <f>IFERROR(VLOOKUP(D799,'Daily Attendance Report 24-25'!A763:BP999,5,0),"")</f>
        <v/>
      </c>
      <c r="P799" s="89" t="str">
        <f>IFERROR(VLOOKUP(E799,'Daily Attendance Report 24-25'!$A$1:$BO$617,5,0),"")</f>
        <v/>
      </c>
      <c r="Q799" s="89"/>
      <c r="R799" s="89"/>
      <c r="S799" s="89" t="str">
        <f t="shared" si="17"/>
        <v>#DIV/0!</v>
      </c>
      <c r="T799" s="89" t="str">
        <f t="shared" si="6"/>
        <v>#DIV/0!</v>
      </c>
      <c r="U799" s="89" t="str">
        <f t="shared" si="25"/>
        <v>#DIV/0!</v>
      </c>
      <c r="V799" s="89" t="str">
        <f t="shared" si="24"/>
        <v>#DIV/0!</v>
      </c>
      <c r="W799" s="89" t="str">
        <f t="shared" si="9"/>
        <v>#DIV/0!</v>
      </c>
      <c r="X799" s="89"/>
      <c r="Y799" s="89"/>
      <c r="Z799" s="89"/>
      <c r="AA799" s="89"/>
      <c r="AB799" s="89"/>
      <c r="AC799" s="89"/>
      <c r="AD799" s="89"/>
      <c r="AE799" s="89"/>
      <c r="AF799" s="89"/>
      <c r="AG799" s="89"/>
      <c r="AH799" s="89"/>
    </row>
    <row r="800">
      <c r="A800" s="8" t="s">
        <v>938</v>
      </c>
      <c r="B800" s="97"/>
      <c r="C800" s="8"/>
      <c r="D800" s="89" t="str">
        <f t="shared" si="1"/>
        <v/>
      </c>
      <c r="E800" s="89" t="str">
        <f t="shared" si="2"/>
        <v>OT Hours</v>
      </c>
      <c r="F800" s="89" t="str">
        <f>IFERROR(VLOOKUP(C800,'Employees List'!$B$1:$G$999,2,0),"")</f>
        <v/>
      </c>
      <c r="G800" s="89" t="str">
        <f t="shared" si="23"/>
        <v>#DIV/0!</v>
      </c>
      <c r="H800" s="98"/>
      <c r="I800" s="89" t="str">
        <f>IFERROR(VLOOKUP(F800,'Employees List'!$C:$F,2,0),"")</f>
        <v/>
      </c>
      <c r="J800" s="93" t="str">
        <f>IFERROR(VLOOKUP(C800,'Employees List'!$B$2:$G$991,5,0),"")</f>
        <v/>
      </c>
      <c r="K800" s="95" t="str">
        <f>IFERROR(VLOOKUP(F800,'Employees List'!$C$1:$AB$991,5,0),"")</f>
        <v/>
      </c>
      <c r="L800" s="91">
        <f t="shared" si="3"/>
        <v>0</v>
      </c>
      <c r="M800" s="91">
        <f t="shared" si="4"/>
        <v>0</v>
      </c>
      <c r="N800" s="89" t="str">
        <f>IFERROR(VLOOKUP(B800,'Employees List'!$A$2:$H$991,8,0),"")</f>
        <v/>
      </c>
      <c r="O800" s="89" t="str">
        <f>IFERROR(VLOOKUP(D800,'Daily Attendance Report 24-25'!A764:BP999,5,0),"")</f>
        <v/>
      </c>
      <c r="P800" s="89" t="str">
        <f>IFERROR(VLOOKUP(E800,'Daily Attendance Report 24-25'!$A$1:$BO$617,5,0),"")</f>
        <v/>
      </c>
      <c r="Q800" s="89"/>
      <c r="R800" s="89"/>
      <c r="S800" s="89" t="str">
        <f t="shared" si="17"/>
        <v>#DIV/0!</v>
      </c>
      <c r="T800" s="89" t="str">
        <f t="shared" si="6"/>
        <v>#DIV/0!</v>
      </c>
      <c r="U800" s="89" t="str">
        <f t="shared" si="25"/>
        <v>#DIV/0!</v>
      </c>
      <c r="V800" s="89" t="str">
        <f t="shared" si="24"/>
        <v>#DIV/0!</v>
      </c>
      <c r="W800" s="89" t="str">
        <f t="shared" si="9"/>
        <v>#DIV/0!</v>
      </c>
      <c r="X800" s="89"/>
      <c r="Y800" s="89"/>
      <c r="Z800" s="89"/>
      <c r="AA800" s="89"/>
      <c r="AB800" s="89"/>
      <c r="AC800" s="89"/>
      <c r="AD800" s="89"/>
      <c r="AE800" s="89"/>
      <c r="AF800" s="89"/>
      <c r="AG800" s="89"/>
      <c r="AH800" s="89"/>
    </row>
    <row r="801">
      <c r="A801" s="8" t="s">
        <v>939</v>
      </c>
      <c r="B801" s="97"/>
      <c r="C801" s="8"/>
      <c r="D801" s="89" t="str">
        <f t="shared" si="1"/>
        <v/>
      </c>
      <c r="E801" s="89" t="str">
        <f t="shared" si="2"/>
        <v>OT Hours</v>
      </c>
      <c r="F801" s="89" t="str">
        <f>IFERROR(VLOOKUP(C801,'Employees List'!$B$1:$G$999,2,0),"")</f>
        <v/>
      </c>
      <c r="G801" s="89" t="str">
        <f t="shared" si="23"/>
        <v>#DIV/0!</v>
      </c>
      <c r="H801" s="98"/>
      <c r="I801" s="89" t="str">
        <f>IFERROR(VLOOKUP(F801,'Employees List'!$C:$F,2,0),"")</f>
        <v/>
      </c>
      <c r="J801" s="93" t="str">
        <f>IFERROR(VLOOKUP(C801,'Employees List'!$B$2:$G$991,5,0),"")</f>
        <v/>
      </c>
      <c r="K801" s="95" t="str">
        <f>IFERROR(VLOOKUP(F801,'Employees List'!$C$1:$AB$991,5,0),"")</f>
        <v/>
      </c>
      <c r="L801" s="91">
        <f t="shared" si="3"/>
        <v>0</v>
      </c>
      <c r="M801" s="91">
        <f t="shared" si="4"/>
        <v>0</v>
      </c>
      <c r="N801" s="89" t="str">
        <f>IFERROR(VLOOKUP(B801,'Employees List'!$A$2:$H$991,8,0),"")</f>
        <v/>
      </c>
      <c r="O801" s="89" t="str">
        <f>IFERROR(VLOOKUP(D801,'Daily Attendance Report 24-25'!A765:BP999,5,0),"")</f>
        <v/>
      </c>
      <c r="P801" s="89" t="str">
        <f>IFERROR(VLOOKUP(E801,'Daily Attendance Report 24-25'!$A$1:$BO$617,5,0),"")</f>
        <v/>
      </c>
      <c r="Q801" s="89"/>
      <c r="R801" s="89"/>
      <c r="S801" s="89" t="str">
        <f t="shared" si="17"/>
        <v>#DIV/0!</v>
      </c>
      <c r="T801" s="89" t="str">
        <f t="shared" si="6"/>
        <v>#DIV/0!</v>
      </c>
      <c r="U801" s="89" t="str">
        <f t="shared" si="25"/>
        <v>#DIV/0!</v>
      </c>
      <c r="V801" s="89" t="str">
        <f t="shared" si="24"/>
        <v>#DIV/0!</v>
      </c>
      <c r="W801" s="89" t="str">
        <f t="shared" si="9"/>
        <v>#DIV/0!</v>
      </c>
      <c r="X801" s="89"/>
      <c r="Y801" s="89"/>
      <c r="Z801" s="89"/>
      <c r="AA801" s="89"/>
      <c r="AB801" s="89"/>
      <c r="AC801" s="89"/>
      <c r="AD801" s="89"/>
      <c r="AE801" s="89"/>
      <c r="AF801" s="89"/>
      <c r="AG801" s="89"/>
      <c r="AH801" s="89"/>
    </row>
    <row r="802">
      <c r="A802" s="8" t="s">
        <v>940</v>
      </c>
      <c r="B802" s="97"/>
      <c r="C802" s="8"/>
      <c r="D802" s="89" t="str">
        <f t="shared" si="1"/>
        <v/>
      </c>
      <c r="E802" s="89" t="str">
        <f t="shared" si="2"/>
        <v>OT Hours</v>
      </c>
      <c r="F802" s="89" t="str">
        <f>IFERROR(VLOOKUP(C802,'Employees List'!$B$1:$G$999,2,0),"")</f>
        <v/>
      </c>
      <c r="G802" s="89" t="str">
        <f t="shared" si="23"/>
        <v>#DIV/0!</v>
      </c>
      <c r="H802" s="98"/>
      <c r="I802" s="89" t="str">
        <f>IFERROR(VLOOKUP(F802,'Employees List'!$C:$F,2,0),"")</f>
        <v/>
      </c>
      <c r="J802" s="93" t="str">
        <f>IFERROR(VLOOKUP(C802,'Employees List'!$B$2:$G$991,5,0),"")</f>
        <v/>
      </c>
      <c r="K802" s="95" t="str">
        <f>IFERROR(VLOOKUP(F802,'Employees List'!$C$1:$AB$991,5,0),"")</f>
        <v/>
      </c>
      <c r="L802" s="91">
        <f t="shared" si="3"/>
        <v>0</v>
      </c>
      <c r="M802" s="91">
        <f t="shared" si="4"/>
        <v>0</v>
      </c>
      <c r="N802" s="89" t="str">
        <f>IFERROR(VLOOKUP(B802,'Employees List'!$A$2:$H$991,8,0),"")</f>
        <v/>
      </c>
      <c r="O802" s="89" t="str">
        <f>IFERROR(VLOOKUP(D802,'Daily Attendance Report 24-25'!A766:BP999,5,0),"")</f>
        <v/>
      </c>
      <c r="P802" s="89" t="str">
        <f>IFERROR(VLOOKUP(E802,'Daily Attendance Report 24-25'!$A$1:$BO$617,5,0),"")</f>
        <v/>
      </c>
      <c r="Q802" s="89"/>
      <c r="R802" s="89"/>
      <c r="S802" s="89" t="str">
        <f t="shared" si="17"/>
        <v>#DIV/0!</v>
      </c>
      <c r="T802" s="89" t="str">
        <f t="shared" si="6"/>
        <v>#DIV/0!</v>
      </c>
      <c r="U802" s="89" t="str">
        <f t="shared" si="25"/>
        <v>#DIV/0!</v>
      </c>
      <c r="V802" s="89" t="str">
        <f t="shared" si="24"/>
        <v>#DIV/0!</v>
      </c>
      <c r="W802" s="89" t="str">
        <f t="shared" si="9"/>
        <v>#DIV/0!</v>
      </c>
      <c r="X802" s="89"/>
      <c r="Y802" s="89"/>
      <c r="Z802" s="89"/>
      <c r="AA802" s="89"/>
      <c r="AB802" s="89"/>
      <c r="AC802" s="89"/>
      <c r="AD802" s="89"/>
      <c r="AE802" s="89"/>
      <c r="AF802" s="89"/>
      <c r="AG802" s="89"/>
      <c r="AH802" s="89"/>
    </row>
    <row r="803">
      <c r="A803" s="8" t="s">
        <v>941</v>
      </c>
      <c r="B803" s="97"/>
      <c r="C803" s="8"/>
      <c r="D803" s="89" t="str">
        <f t="shared" si="1"/>
        <v/>
      </c>
      <c r="E803" s="89" t="str">
        <f t="shared" si="2"/>
        <v>OT Hours</v>
      </c>
      <c r="F803" s="89" t="str">
        <f>IFERROR(VLOOKUP(C803,'Employees List'!$B$1:$G$999,2,0),"")</f>
        <v/>
      </c>
      <c r="G803" s="89" t="str">
        <f t="shared" si="23"/>
        <v>#DIV/0!</v>
      </c>
      <c r="H803" s="98"/>
      <c r="I803" s="89" t="str">
        <f>IFERROR(VLOOKUP(F803,'Employees List'!$C:$F,2,0),"")</f>
        <v/>
      </c>
      <c r="J803" s="93" t="str">
        <f>IFERROR(VLOOKUP(C803,'Employees List'!$B$2:$G$991,5,0),"")</f>
        <v/>
      </c>
      <c r="K803" s="95" t="str">
        <f>IFERROR(VLOOKUP(F803,'Employees List'!$C$1:$AB$991,5,0),"")</f>
        <v/>
      </c>
      <c r="L803" s="91">
        <f t="shared" si="3"/>
        <v>0</v>
      </c>
      <c r="M803" s="91">
        <f t="shared" si="4"/>
        <v>0</v>
      </c>
      <c r="N803" s="89" t="str">
        <f>IFERROR(VLOOKUP(B803,'Employees List'!$A$2:$H$991,8,0),"")</f>
        <v/>
      </c>
      <c r="O803" s="89" t="str">
        <f>IFERROR(VLOOKUP(D803,'Daily Attendance Report 24-25'!A767:BP999,5,0),"")</f>
        <v/>
      </c>
      <c r="P803" s="89" t="str">
        <f>IFERROR(VLOOKUP(E803,'Daily Attendance Report 24-25'!$A$1:$BO$617,5,0),"")</f>
        <v/>
      </c>
      <c r="Q803" s="89"/>
      <c r="R803" s="89"/>
      <c r="S803" s="89" t="str">
        <f t="shared" si="17"/>
        <v>#DIV/0!</v>
      </c>
      <c r="T803" s="89" t="str">
        <f t="shared" si="6"/>
        <v>#DIV/0!</v>
      </c>
      <c r="U803" s="89" t="str">
        <f t="shared" si="25"/>
        <v>#DIV/0!</v>
      </c>
      <c r="V803" s="89" t="str">
        <f t="shared" si="24"/>
        <v>#DIV/0!</v>
      </c>
      <c r="W803" s="89" t="str">
        <f t="shared" si="9"/>
        <v>#DIV/0!</v>
      </c>
      <c r="X803" s="89"/>
      <c r="Y803" s="89"/>
      <c r="Z803" s="89"/>
      <c r="AA803" s="89"/>
      <c r="AB803" s="89"/>
      <c r="AC803" s="89"/>
      <c r="AD803" s="89"/>
      <c r="AE803" s="89"/>
      <c r="AF803" s="89"/>
      <c r="AG803" s="89"/>
      <c r="AH803" s="89"/>
    </row>
    <row r="804">
      <c r="A804" s="8" t="s">
        <v>942</v>
      </c>
      <c r="B804" s="97"/>
      <c r="C804" s="8"/>
      <c r="D804" s="89" t="str">
        <f t="shared" si="1"/>
        <v/>
      </c>
      <c r="E804" s="89" t="str">
        <f t="shared" si="2"/>
        <v>OT Hours</v>
      </c>
      <c r="F804" s="89" t="str">
        <f>IFERROR(VLOOKUP(C804,'Employees List'!$B$1:$G$999,2,0),"")</f>
        <v/>
      </c>
      <c r="G804" s="89" t="str">
        <f t="shared" si="23"/>
        <v>#DIV/0!</v>
      </c>
      <c r="H804" s="98"/>
      <c r="I804" s="89" t="str">
        <f>IFERROR(VLOOKUP(F804,'Employees List'!$C:$F,2,0),"")</f>
        <v/>
      </c>
      <c r="J804" s="93" t="str">
        <f>IFERROR(VLOOKUP(C804,'Employees List'!$B$2:$G$991,5,0),"")</f>
        <v/>
      </c>
      <c r="K804" s="95" t="str">
        <f>IFERROR(VLOOKUP(F804,'Employees List'!$C$1:$AB$991,5,0),"")</f>
        <v/>
      </c>
      <c r="L804" s="91">
        <f t="shared" si="3"/>
        <v>0</v>
      </c>
      <c r="M804" s="91">
        <f t="shared" si="4"/>
        <v>0</v>
      </c>
      <c r="N804" s="89" t="str">
        <f>IFERROR(VLOOKUP(B804,'Employees List'!$A$2:$H$991,8,0),"")</f>
        <v/>
      </c>
      <c r="O804" s="89" t="str">
        <f>IFERROR(VLOOKUP(D804,'Daily Attendance Report 24-25'!A768:BP999,5,0),"")</f>
        <v/>
      </c>
      <c r="P804" s="89" t="str">
        <f>IFERROR(VLOOKUP(E804,'Daily Attendance Report 24-25'!$A$1:$BO$617,5,0),"")</f>
        <v/>
      </c>
      <c r="Q804" s="89"/>
      <c r="R804" s="89"/>
      <c r="S804" s="89" t="str">
        <f t="shared" si="17"/>
        <v>#DIV/0!</v>
      </c>
      <c r="T804" s="89" t="str">
        <f t="shared" si="6"/>
        <v>#DIV/0!</v>
      </c>
      <c r="U804" s="89" t="str">
        <f t="shared" si="25"/>
        <v>#DIV/0!</v>
      </c>
      <c r="V804" s="89" t="str">
        <f t="shared" si="24"/>
        <v>#DIV/0!</v>
      </c>
      <c r="W804" s="89" t="str">
        <f t="shared" si="9"/>
        <v>#DIV/0!</v>
      </c>
      <c r="X804" s="89"/>
      <c r="Y804" s="89"/>
      <c r="Z804" s="89"/>
      <c r="AA804" s="89"/>
      <c r="AB804" s="89"/>
      <c r="AC804" s="89"/>
      <c r="AD804" s="89"/>
      <c r="AE804" s="89"/>
      <c r="AF804" s="89"/>
      <c r="AG804" s="89"/>
      <c r="AH804" s="89"/>
    </row>
    <row r="805">
      <c r="A805" s="8" t="s">
        <v>943</v>
      </c>
      <c r="B805" s="97"/>
      <c r="C805" s="8"/>
      <c r="D805" s="89" t="str">
        <f t="shared" si="1"/>
        <v/>
      </c>
      <c r="E805" s="89" t="str">
        <f t="shared" si="2"/>
        <v>OT Hours</v>
      </c>
      <c r="F805" s="89" t="str">
        <f>IFERROR(VLOOKUP(C805,'Employees List'!$B$1:$G$999,2,0),"")</f>
        <v/>
      </c>
      <c r="G805" s="89" t="str">
        <f t="shared" si="23"/>
        <v>#DIV/0!</v>
      </c>
      <c r="H805" s="98"/>
      <c r="I805" s="89" t="str">
        <f>IFERROR(VLOOKUP(F805,'Employees List'!$C:$F,2,0),"")</f>
        <v/>
      </c>
      <c r="J805" s="93" t="str">
        <f>IFERROR(VLOOKUP(C805,'Employees List'!$B$2:$G$991,5,0),"")</f>
        <v/>
      </c>
      <c r="K805" s="95" t="str">
        <f>IFERROR(VLOOKUP(F805,'Employees List'!$C$1:$AB$991,5,0),"")</f>
        <v/>
      </c>
      <c r="L805" s="91">
        <f t="shared" si="3"/>
        <v>0</v>
      </c>
      <c r="M805" s="91">
        <f t="shared" si="4"/>
        <v>0</v>
      </c>
      <c r="N805" s="89" t="str">
        <f>IFERROR(VLOOKUP(B805,'Employees List'!$A$2:$H$991,8,0),"")</f>
        <v/>
      </c>
      <c r="O805" s="89" t="str">
        <f>IFERROR(VLOOKUP(D805,'Daily Attendance Report 24-25'!A769:BP999,5,0),"")</f>
        <v/>
      </c>
      <c r="P805" s="89" t="str">
        <f>IFERROR(VLOOKUP(E805,'Daily Attendance Report 24-25'!$A$1:$BO$617,5,0),"")</f>
        <v/>
      </c>
      <c r="Q805" s="89"/>
      <c r="R805" s="89"/>
      <c r="S805" s="89" t="str">
        <f t="shared" si="17"/>
        <v>#DIV/0!</v>
      </c>
      <c r="T805" s="89" t="str">
        <f t="shared" si="6"/>
        <v>#DIV/0!</v>
      </c>
      <c r="U805" s="89" t="str">
        <f t="shared" si="25"/>
        <v>#DIV/0!</v>
      </c>
      <c r="V805" s="89" t="str">
        <f t="shared" si="24"/>
        <v>#DIV/0!</v>
      </c>
      <c r="W805" s="89" t="str">
        <f t="shared" si="9"/>
        <v>#DIV/0!</v>
      </c>
      <c r="X805" s="89"/>
      <c r="Y805" s="89"/>
      <c r="Z805" s="89"/>
      <c r="AA805" s="89"/>
      <c r="AB805" s="89"/>
      <c r="AC805" s="89"/>
      <c r="AD805" s="89"/>
      <c r="AE805" s="89"/>
      <c r="AF805" s="89"/>
      <c r="AG805" s="89"/>
      <c r="AH805" s="89"/>
    </row>
    <row r="806">
      <c r="A806" s="8" t="s">
        <v>944</v>
      </c>
      <c r="B806" s="97"/>
      <c r="C806" s="8"/>
      <c r="D806" s="89" t="str">
        <f t="shared" si="1"/>
        <v/>
      </c>
      <c r="E806" s="89" t="str">
        <f t="shared" si="2"/>
        <v>OT Hours</v>
      </c>
      <c r="F806" s="89" t="str">
        <f>IFERROR(VLOOKUP(C806,'Employees List'!$B$1:$G$999,2,0),"")</f>
        <v/>
      </c>
      <c r="G806" s="89" t="str">
        <f t="shared" si="23"/>
        <v>#DIV/0!</v>
      </c>
      <c r="H806" s="98"/>
      <c r="I806" s="89" t="str">
        <f>IFERROR(VLOOKUP(F806,'Employees List'!$C:$F,2,0),"")</f>
        <v/>
      </c>
      <c r="J806" s="93" t="str">
        <f>IFERROR(VLOOKUP(C806,'Employees List'!$B$2:$G$991,5,0),"")</f>
        <v/>
      </c>
      <c r="K806" s="95" t="str">
        <f>IFERROR(VLOOKUP(F806,'Employees List'!$C$1:$AB$991,5,0),"")</f>
        <v/>
      </c>
      <c r="L806" s="91">
        <f t="shared" si="3"/>
        <v>0</v>
      </c>
      <c r="M806" s="91">
        <f t="shared" si="4"/>
        <v>0</v>
      </c>
      <c r="N806" s="89" t="str">
        <f>IFERROR(VLOOKUP(B806,'Employees List'!$A$2:$H$991,8,0),"")</f>
        <v/>
      </c>
      <c r="O806" s="89" t="str">
        <f>IFERROR(VLOOKUP(D806,'Daily Attendance Report 24-25'!A770:BP999,5,0),"")</f>
        <v/>
      </c>
      <c r="P806" s="89" t="str">
        <f>IFERROR(VLOOKUP(E806,'Daily Attendance Report 24-25'!$A$1:$BO$617,5,0),"")</f>
        <v/>
      </c>
      <c r="Q806" s="89"/>
      <c r="R806" s="89"/>
      <c r="S806" s="89" t="str">
        <f t="shared" si="17"/>
        <v>#DIV/0!</v>
      </c>
      <c r="T806" s="89" t="str">
        <f t="shared" si="6"/>
        <v>#DIV/0!</v>
      </c>
      <c r="U806" s="89" t="str">
        <f t="shared" si="25"/>
        <v>#DIV/0!</v>
      </c>
      <c r="V806" s="89" t="str">
        <f t="shared" si="24"/>
        <v>#DIV/0!</v>
      </c>
      <c r="W806" s="89" t="str">
        <f t="shared" si="9"/>
        <v>#DIV/0!</v>
      </c>
      <c r="X806" s="89"/>
      <c r="Y806" s="89"/>
      <c r="Z806" s="89"/>
      <c r="AA806" s="89"/>
      <c r="AB806" s="89"/>
      <c r="AC806" s="89"/>
      <c r="AD806" s="89"/>
      <c r="AE806" s="89"/>
      <c r="AF806" s="89"/>
      <c r="AG806" s="89"/>
      <c r="AH806" s="89"/>
    </row>
    <row r="807">
      <c r="A807" s="8" t="s">
        <v>945</v>
      </c>
      <c r="B807" s="97"/>
      <c r="C807" s="8"/>
      <c r="D807" s="89" t="str">
        <f t="shared" si="1"/>
        <v/>
      </c>
      <c r="E807" s="89" t="str">
        <f t="shared" si="2"/>
        <v>OT Hours</v>
      </c>
      <c r="F807" s="89" t="str">
        <f>IFERROR(VLOOKUP(C807,'Employees List'!$B$1:$G$999,2,0),"")</f>
        <v/>
      </c>
      <c r="G807" s="89" t="str">
        <f t="shared" si="23"/>
        <v>#DIV/0!</v>
      </c>
      <c r="H807" s="98"/>
      <c r="I807" s="89" t="str">
        <f>IFERROR(VLOOKUP(F807,'Employees List'!$C:$F,2,0),"")</f>
        <v/>
      </c>
      <c r="J807" s="93" t="str">
        <f>IFERROR(VLOOKUP(C807,'Employees List'!$B$2:$G$991,5,0),"")</f>
        <v/>
      </c>
      <c r="K807" s="95" t="str">
        <f>IFERROR(VLOOKUP(F807,'Employees List'!$C$1:$AB$991,5,0),"")</f>
        <v/>
      </c>
      <c r="L807" s="91">
        <f t="shared" si="3"/>
        <v>0</v>
      </c>
      <c r="M807" s="91">
        <f t="shared" si="4"/>
        <v>0</v>
      </c>
      <c r="N807" s="89" t="str">
        <f>IFERROR(VLOOKUP(B807,'Employees List'!$A$2:$H$991,8,0),"")</f>
        <v/>
      </c>
      <c r="O807" s="89" t="str">
        <f>IFERROR(VLOOKUP(D807,'Daily Attendance Report 24-25'!A771:BP999,5,0),"")</f>
        <v/>
      </c>
      <c r="P807" s="89" t="str">
        <f>IFERROR(VLOOKUP(E807,'Daily Attendance Report 24-25'!$A$1:$BO$617,5,0),"")</f>
        <v/>
      </c>
      <c r="Q807" s="89"/>
      <c r="R807" s="89"/>
      <c r="S807" s="89" t="str">
        <f t="shared" si="17"/>
        <v>#DIV/0!</v>
      </c>
      <c r="T807" s="89" t="str">
        <f t="shared" si="6"/>
        <v>#DIV/0!</v>
      </c>
      <c r="U807" s="89" t="str">
        <f t="shared" si="25"/>
        <v>#DIV/0!</v>
      </c>
      <c r="V807" s="89" t="str">
        <f t="shared" si="24"/>
        <v>#DIV/0!</v>
      </c>
      <c r="W807" s="89" t="str">
        <f t="shared" si="9"/>
        <v>#DIV/0!</v>
      </c>
      <c r="X807" s="89"/>
      <c r="Y807" s="89"/>
      <c r="Z807" s="89"/>
      <c r="AA807" s="89"/>
      <c r="AB807" s="89"/>
      <c r="AC807" s="89"/>
      <c r="AD807" s="89"/>
      <c r="AE807" s="89"/>
      <c r="AF807" s="89"/>
      <c r="AG807" s="89"/>
      <c r="AH807" s="89"/>
    </row>
    <row r="808">
      <c r="A808" s="8" t="s">
        <v>946</v>
      </c>
      <c r="B808" s="97"/>
      <c r="C808" s="8"/>
      <c r="D808" s="89" t="str">
        <f t="shared" si="1"/>
        <v/>
      </c>
      <c r="E808" s="89" t="str">
        <f t="shared" si="2"/>
        <v>OT Hours</v>
      </c>
      <c r="F808" s="89" t="str">
        <f>IFERROR(VLOOKUP(C808,'Employees List'!$B$1:$G$999,2,0),"")</f>
        <v/>
      </c>
      <c r="G808" s="89" t="str">
        <f t="shared" si="23"/>
        <v>#DIV/0!</v>
      </c>
      <c r="H808" s="98"/>
      <c r="I808" s="89" t="str">
        <f>IFERROR(VLOOKUP(F808,'Employees List'!$C:$F,2,0),"")</f>
        <v/>
      </c>
      <c r="J808" s="93" t="str">
        <f>IFERROR(VLOOKUP(C808,'Employees List'!$B$2:$G$991,5,0),"")</f>
        <v/>
      </c>
      <c r="K808" s="95" t="str">
        <f>IFERROR(VLOOKUP(F808,'Employees List'!$C$1:$AB$991,5,0),"")</f>
        <v/>
      </c>
      <c r="L808" s="91">
        <f t="shared" si="3"/>
        <v>0</v>
      </c>
      <c r="M808" s="91">
        <f t="shared" si="4"/>
        <v>0</v>
      </c>
      <c r="N808" s="89" t="str">
        <f>IFERROR(VLOOKUP(B808,'Employees List'!$A$2:$H$991,8,0),"")</f>
        <v/>
      </c>
      <c r="O808" s="89" t="str">
        <f>IFERROR(VLOOKUP(D808,'Daily Attendance Report 24-25'!A772:BP999,5,0),"")</f>
        <v/>
      </c>
      <c r="P808" s="89" t="str">
        <f>IFERROR(VLOOKUP(E808,'Daily Attendance Report 24-25'!$A$1:$BO$617,5,0),"")</f>
        <v/>
      </c>
      <c r="Q808" s="89"/>
      <c r="R808" s="89"/>
      <c r="S808" s="89" t="str">
        <f t="shared" si="17"/>
        <v>#DIV/0!</v>
      </c>
      <c r="T808" s="89" t="str">
        <f t="shared" si="6"/>
        <v>#DIV/0!</v>
      </c>
      <c r="U808" s="89" t="str">
        <f t="shared" si="25"/>
        <v>#DIV/0!</v>
      </c>
      <c r="V808" s="89" t="str">
        <f t="shared" si="24"/>
        <v>#DIV/0!</v>
      </c>
      <c r="W808" s="89" t="str">
        <f t="shared" si="9"/>
        <v>#DIV/0!</v>
      </c>
      <c r="X808" s="89"/>
      <c r="Y808" s="89"/>
      <c r="Z808" s="89"/>
      <c r="AA808" s="89"/>
      <c r="AB808" s="89"/>
      <c r="AC808" s="89"/>
      <c r="AD808" s="89"/>
      <c r="AE808" s="89"/>
      <c r="AF808" s="89"/>
      <c r="AG808" s="89"/>
      <c r="AH808" s="89"/>
    </row>
    <row r="809">
      <c r="A809" s="8" t="s">
        <v>947</v>
      </c>
      <c r="B809" s="97"/>
      <c r="C809" s="8"/>
      <c r="D809" s="89" t="str">
        <f t="shared" si="1"/>
        <v/>
      </c>
      <c r="E809" s="89" t="str">
        <f t="shared" si="2"/>
        <v>OT Hours</v>
      </c>
      <c r="F809" s="89" t="str">
        <f>IFERROR(VLOOKUP(C809,'Employees List'!$B$1:$G$999,2,0),"")</f>
        <v/>
      </c>
      <c r="G809" s="89" t="str">
        <f t="shared" si="23"/>
        <v>#DIV/0!</v>
      </c>
      <c r="H809" s="98"/>
      <c r="I809" s="89" t="str">
        <f>IFERROR(VLOOKUP(F809,'Employees List'!$C:$F,2,0),"")</f>
        <v/>
      </c>
      <c r="J809" s="93" t="str">
        <f>IFERROR(VLOOKUP(C809,'Employees List'!$B$2:$G$991,5,0),"")</f>
        <v/>
      </c>
      <c r="K809" s="95" t="str">
        <f>IFERROR(VLOOKUP(F809,'Employees List'!$C$1:$AB$991,5,0),"")</f>
        <v/>
      </c>
      <c r="L809" s="91">
        <f t="shared" si="3"/>
        <v>0</v>
      </c>
      <c r="M809" s="91">
        <f t="shared" si="4"/>
        <v>0</v>
      </c>
      <c r="N809" s="89" t="str">
        <f>IFERROR(VLOOKUP(B809,'Employees List'!$A$2:$H$991,8,0),"")</f>
        <v/>
      </c>
      <c r="O809" s="89" t="str">
        <f>IFERROR(VLOOKUP(D809,'Daily Attendance Report 24-25'!A773:BP999,5,0),"")</f>
        <v/>
      </c>
      <c r="P809" s="89" t="str">
        <f>IFERROR(VLOOKUP(E809,'Daily Attendance Report 24-25'!$A$1:$BO$617,5,0),"")</f>
        <v/>
      </c>
      <c r="Q809" s="89"/>
      <c r="R809" s="89"/>
      <c r="S809" s="89" t="str">
        <f t="shared" si="17"/>
        <v>#DIV/0!</v>
      </c>
      <c r="T809" s="89" t="str">
        <f t="shared" si="6"/>
        <v>#DIV/0!</v>
      </c>
      <c r="U809" s="89" t="str">
        <f t="shared" si="25"/>
        <v>#DIV/0!</v>
      </c>
      <c r="V809" s="89" t="str">
        <f t="shared" si="24"/>
        <v>#DIV/0!</v>
      </c>
      <c r="W809" s="89" t="str">
        <f t="shared" si="9"/>
        <v>#DIV/0!</v>
      </c>
      <c r="X809" s="89"/>
      <c r="Y809" s="89"/>
      <c r="Z809" s="89"/>
      <c r="AA809" s="89"/>
      <c r="AB809" s="89"/>
      <c r="AC809" s="89"/>
      <c r="AD809" s="89"/>
      <c r="AE809" s="89"/>
      <c r="AF809" s="89"/>
      <c r="AG809" s="89"/>
      <c r="AH809" s="89"/>
    </row>
    <row r="810">
      <c r="A810" s="8" t="s">
        <v>948</v>
      </c>
      <c r="B810" s="97"/>
      <c r="C810" s="8"/>
      <c r="D810" s="89" t="str">
        <f t="shared" si="1"/>
        <v/>
      </c>
      <c r="E810" s="89" t="str">
        <f t="shared" si="2"/>
        <v>OT Hours</v>
      </c>
      <c r="F810" s="89" t="str">
        <f>IFERROR(VLOOKUP(C810,'Employees List'!$B$1:$G$999,2,0),"")</f>
        <v/>
      </c>
      <c r="G810" s="89" t="str">
        <f t="shared" si="23"/>
        <v>#DIV/0!</v>
      </c>
      <c r="H810" s="98"/>
      <c r="I810" s="89" t="str">
        <f>IFERROR(VLOOKUP(F810,'Employees List'!$C:$F,2,0),"")</f>
        <v/>
      </c>
      <c r="J810" s="93" t="str">
        <f>IFERROR(VLOOKUP(C810,'Employees List'!$B$2:$G$991,5,0),"")</f>
        <v/>
      </c>
      <c r="K810" s="95" t="str">
        <f>IFERROR(VLOOKUP(F810,'Employees List'!$C$1:$AB$991,5,0),"")</f>
        <v/>
      </c>
      <c r="L810" s="91">
        <f t="shared" si="3"/>
        <v>0</v>
      </c>
      <c r="M810" s="91">
        <f t="shared" si="4"/>
        <v>0</v>
      </c>
      <c r="N810" s="89" t="str">
        <f>IFERROR(VLOOKUP(B810,'Employees List'!$A$2:$H$991,8,0),"")</f>
        <v/>
      </c>
      <c r="O810" s="89" t="str">
        <f>IFERROR(VLOOKUP(D810,'Daily Attendance Report 24-25'!A774:BP999,5,0),"")</f>
        <v/>
      </c>
      <c r="P810" s="89" t="str">
        <f>IFERROR(VLOOKUP(E810,'Daily Attendance Report 24-25'!$A$1:$BO$617,5,0),"")</f>
        <v/>
      </c>
      <c r="Q810" s="89"/>
      <c r="R810" s="89"/>
      <c r="S810" s="89" t="str">
        <f t="shared" si="17"/>
        <v>#DIV/0!</v>
      </c>
      <c r="T810" s="89" t="str">
        <f t="shared" si="6"/>
        <v>#DIV/0!</v>
      </c>
      <c r="U810" s="89" t="str">
        <f t="shared" si="25"/>
        <v>#DIV/0!</v>
      </c>
      <c r="V810" s="89" t="str">
        <f t="shared" si="24"/>
        <v>#DIV/0!</v>
      </c>
      <c r="W810" s="89" t="str">
        <f t="shared" si="9"/>
        <v>#DIV/0!</v>
      </c>
      <c r="X810" s="89"/>
      <c r="Y810" s="89"/>
      <c r="Z810" s="89"/>
      <c r="AA810" s="89"/>
      <c r="AB810" s="89"/>
      <c r="AC810" s="89"/>
      <c r="AD810" s="89"/>
      <c r="AE810" s="89"/>
      <c r="AF810" s="89"/>
      <c r="AG810" s="89"/>
      <c r="AH810" s="89"/>
    </row>
    <row r="811">
      <c r="A811" s="8" t="s">
        <v>949</v>
      </c>
      <c r="B811" s="97"/>
      <c r="C811" s="8"/>
      <c r="D811" s="89" t="str">
        <f t="shared" si="1"/>
        <v/>
      </c>
      <c r="E811" s="89" t="str">
        <f t="shared" si="2"/>
        <v>OT Hours</v>
      </c>
      <c r="F811" s="89" t="str">
        <f>IFERROR(VLOOKUP(C811,'Employees List'!$B$1:$G$999,2,0),"")</f>
        <v/>
      </c>
      <c r="G811" s="89" t="str">
        <f t="shared" si="23"/>
        <v>#DIV/0!</v>
      </c>
      <c r="H811" s="98"/>
      <c r="I811" s="89" t="str">
        <f>IFERROR(VLOOKUP(F811,'Employees List'!$C:$F,2,0),"")</f>
        <v/>
      </c>
      <c r="J811" s="93" t="str">
        <f>IFERROR(VLOOKUP(C811,'Employees List'!$B$2:$G$991,5,0),"")</f>
        <v/>
      </c>
      <c r="K811" s="95" t="str">
        <f>IFERROR(VLOOKUP(F811,'Employees List'!$C$1:$AB$991,5,0),"")</f>
        <v/>
      </c>
      <c r="L811" s="91">
        <f t="shared" si="3"/>
        <v>0</v>
      </c>
      <c r="M811" s="91">
        <f t="shared" si="4"/>
        <v>0</v>
      </c>
      <c r="N811" s="89" t="str">
        <f>IFERROR(VLOOKUP(B811,'Employees List'!$A$2:$H$991,8,0),"")</f>
        <v/>
      </c>
      <c r="O811" s="89" t="str">
        <f>IFERROR(VLOOKUP(D811,'Daily Attendance Report 24-25'!A775:BP999,5,0),"")</f>
        <v/>
      </c>
      <c r="P811" s="89" t="str">
        <f>IFERROR(VLOOKUP(E811,'Daily Attendance Report 24-25'!$A$1:$BO$617,5,0),"")</f>
        <v/>
      </c>
      <c r="Q811" s="89"/>
      <c r="R811" s="89"/>
      <c r="S811" s="89" t="str">
        <f t="shared" si="17"/>
        <v>#DIV/0!</v>
      </c>
      <c r="T811" s="89" t="str">
        <f t="shared" si="6"/>
        <v>#DIV/0!</v>
      </c>
      <c r="U811" s="89" t="str">
        <f t="shared" si="25"/>
        <v>#DIV/0!</v>
      </c>
      <c r="V811" s="89" t="str">
        <f t="shared" si="24"/>
        <v>#DIV/0!</v>
      </c>
      <c r="W811" s="89" t="str">
        <f t="shared" si="9"/>
        <v>#DIV/0!</v>
      </c>
      <c r="X811" s="89"/>
      <c r="Y811" s="89"/>
      <c r="Z811" s="89"/>
      <c r="AA811" s="89"/>
      <c r="AB811" s="89"/>
      <c r="AC811" s="89"/>
      <c r="AD811" s="89"/>
      <c r="AE811" s="89"/>
      <c r="AF811" s="89"/>
      <c r="AG811" s="89"/>
      <c r="AH811" s="89"/>
    </row>
    <row r="812">
      <c r="A812" s="8" t="s">
        <v>950</v>
      </c>
      <c r="B812" s="97"/>
      <c r="C812" s="8"/>
      <c r="D812" s="89" t="str">
        <f t="shared" si="1"/>
        <v/>
      </c>
      <c r="E812" s="89" t="str">
        <f t="shared" si="2"/>
        <v>OT Hours</v>
      </c>
      <c r="F812" s="89" t="str">
        <f>IFERROR(VLOOKUP(C812,'Employees List'!$B$1:$G$999,2,0),"")</f>
        <v/>
      </c>
      <c r="G812" s="89" t="str">
        <f t="shared" si="23"/>
        <v>#DIV/0!</v>
      </c>
      <c r="H812" s="98"/>
      <c r="I812" s="89" t="str">
        <f>IFERROR(VLOOKUP(F812,'Employees List'!$C:$F,2,0),"")</f>
        <v/>
      </c>
      <c r="J812" s="93" t="str">
        <f>IFERROR(VLOOKUP(C812,'Employees List'!$B$2:$G$991,5,0),"")</f>
        <v/>
      </c>
      <c r="K812" s="95" t="str">
        <f>IFERROR(VLOOKUP(F812,'Employees List'!$C$1:$AB$991,5,0),"")</f>
        <v/>
      </c>
      <c r="L812" s="91">
        <f t="shared" si="3"/>
        <v>0</v>
      </c>
      <c r="M812" s="91">
        <f t="shared" si="4"/>
        <v>0</v>
      </c>
      <c r="N812" s="89" t="str">
        <f>IFERROR(VLOOKUP(B812,'Employees List'!$A$2:$H$991,8,0),"")</f>
        <v/>
      </c>
      <c r="O812" s="89" t="str">
        <f>IFERROR(VLOOKUP(D812,'Daily Attendance Report 24-25'!A776:BP999,5,0),"")</f>
        <v/>
      </c>
      <c r="P812" s="89" t="str">
        <f>IFERROR(VLOOKUP(E812,'Daily Attendance Report 24-25'!$A$1:$BO$617,5,0),"")</f>
        <v/>
      </c>
      <c r="Q812" s="89"/>
      <c r="R812" s="89"/>
      <c r="S812" s="89" t="str">
        <f t="shared" si="17"/>
        <v>#DIV/0!</v>
      </c>
      <c r="T812" s="89" t="str">
        <f t="shared" si="6"/>
        <v>#DIV/0!</v>
      </c>
      <c r="U812" s="89" t="str">
        <f t="shared" si="25"/>
        <v>#DIV/0!</v>
      </c>
      <c r="V812" s="89" t="str">
        <f t="shared" si="24"/>
        <v>#DIV/0!</v>
      </c>
      <c r="W812" s="89" t="str">
        <f t="shared" si="9"/>
        <v>#DIV/0!</v>
      </c>
      <c r="X812" s="89"/>
      <c r="Y812" s="89"/>
      <c r="Z812" s="89"/>
      <c r="AA812" s="89"/>
      <c r="AB812" s="89"/>
      <c r="AC812" s="89"/>
      <c r="AD812" s="89"/>
      <c r="AE812" s="89"/>
      <c r="AF812" s="89"/>
      <c r="AG812" s="89"/>
      <c r="AH812" s="89"/>
    </row>
    <row r="813">
      <c r="A813" s="8" t="s">
        <v>951</v>
      </c>
      <c r="B813" s="97"/>
      <c r="C813" s="8"/>
      <c r="D813" s="89" t="str">
        <f t="shared" si="1"/>
        <v/>
      </c>
      <c r="E813" s="89" t="str">
        <f t="shared" si="2"/>
        <v>OT Hours</v>
      </c>
      <c r="F813" s="89" t="str">
        <f>IFERROR(VLOOKUP(C813,'Employees List'!$B$1:$G$999,2,0),"")</f>
        <v/>
      </c>
      <c r="G813" s="89" t="str">
        <f t="shared" si="23"/>
        <v>#DIV/0!</v>
      </c>
      <c r="H813" s="98"/>
      <c r="I813" s="89" t="str">
        <f>IFERROR(VLOOKUP(F813,'Employees List'!$C:$F,2,0),"")</f>
        <v/>
      </c>
      <c r="J813" s="93" t="str">
        <f>IFERROR(VLOOKUP(C813,'Employees List'!$B$2:$G$991,5,0),"")</f>
        <v/>
      </c>
      <c r="K813" s="95" t="str">
        <f>IFERROR(VLOOKUP(F813,'Employees List'!$C$1:$AB$991,5,0),"")</f>
        <v/>
      </c>
      <c r="L813" s="91">
        <f t="shared" si="3"/>
        <v>0</v>
      </c>
      <c r="M813" s="91">
        <f t="shared" si="4"/>
        <v>0</v>
      </c>
      <c r="N813" s="89" t="str">
        <f>IFERROR(VLOOKUP(B813,'Employees List'!$A$2:$H$991,8,0),"")</f>
        <v/>
      </c>
      <c r="O813" s="89" t="str">
        <f>IFERROR(VLOOKUP(D813,'Daily Attendance Report 24-25'!A777:BP999,5,0),"")</f>
        <v/>
      </c>
      <c r="P813" s="89" t="str">
        <f>IFERROR(VLOOKUP(E813,'Daily Attendance Report 24-25'!$A$1:$BO$617,5,0),"")</f>
        <v/>
      </c>
      <c r="Q813" s="89"/>
      <c r="R813" s="89"/>
      <c r="S813" s="89" t="str">
        <f t="shared" si="17"/>
        <v>#DIV/0!</v>
      </c>
      <c r="T813" s="89" t="str">
        <f t="shared" si="6"/>
        <v>#DIV/0!</v>
      </c>
      <c r="U813" s="89" t="str">
        <f t="shared" si="25"/>
        <v>#DIV/0!</v>
      </c>
      <c r="V813" s="89" t="str">
        <f t="shared" si="24"/>
        <v>#DIV/0!</v>
      </c>
      <c r="W813" s="89" t="str">
        <f t="shared" si="9"/>
        <v>#DIV/0!</v>
      </c>
      <c r="X813" s="89"/>
      <c r="Y813" s="89"/>
      <c r="Z813" s="89"/>
      <c r="AA813" s="89"/>
      <c r="AB813" s="89"/>
      <c r="AC813" s="89"/>
      <c r="AD813" s="89"/>
      <c r="AE813" s="89"/>
      <c r="AF813" s="89"/>
      <c r="AG813" s="89"/>
      <c r="AH813" s="89"/>
    </row>
    <row r="814">
      <c r="A814" s="8" t="s">
        <v>952</v>
      </c>
      <c r="B814" s="97"/>
      <c r="C814" s="8"/>
      <c r="D814" s="89" t="str">
        <f t="shared" si="1"/>
        <v/>
      </c>
      <c r="E814" s="89" t="str">
        <f t="shared" si="2"/>
        <v>OT Hours</v>
      </c>
      <c r="F814" s="89" t="str">
        <f>IFERROR(VLOOKUP(C814,'Employees List'!$B$1:$G$999,2,0),"")</f>
        <v/>
      </c>
      <c r="G814" s="89" t="str">
        <f t="shared" si="23"/>
        <v>#DIV/0!</v>
      </c>
      <c r="H814" s="98"/>
      <c r="I814" s="89" t="str">
        <f>IFERROR(VLOOKUP(F814,'Employees List'!$C:$F,2,0),"")</f>
        <v/>
      </c>
      <c r="J814" s="93" t="str">
        <f>IFERROR(VLOOKUP(C814,'Employees List'!$B$2:$G$991,5,0),"")</f>
        <v/>
      </c>
      <c r="K814" s="95" t="str">
        <f>IFERROR(VLOOKUP(F814,'Employees List'!$C$1:$AB$991,5,0),"")</f>
        <v/>
      </c>
      <c r="L814" s="91">
        <f t="shared" si="3"/>
        <v>0</v>
      </c>
      <c r="M814" s="91">
        <f t="shared" si="4"/>
        <v>0</v>
      </c>
      <c r="N814" s="89" t="str">
        <f>IFERROR(VLOOKUP(B814,'Employees List'!$A$2:$H$991,8,0),"")</f>
        <v/>
      </c>
      <c r="O814" s="89" t="str">
        <f>IFERROR(VLOOKUP(D814,'Daily Attendance Report 24-25'!A778:BP999,5,0),"")</f>
        <v/>
      </c>
      <c r="P814" s="89" t="str">
        <f>IFERROR(VLOOKUP(E814,'Daily Attendance Report 24-25'!$A$1:$BO$617,5,0),"")</f>
        <v/>
      </c>
      <c r="Q814" s="89"/>
      <c r="R814" s="89"/>
      <c r="S814" s="89" t="str">
        <f t="shared" si="17"/>
        <v>#DIV/0!</v>
      </c>
      <c r="T814" s="89" t="str">
        <f t="shared" si="6"/>
        <v>#DIV/0!</v>
      </c>
      <c r="U814" s="89" t="str">
        <f t="shared" si="25"/>
        <v>#DIV/0!</v>
      </c>
      <c r="V814" s="89" t="str">
        <f t="shared" si="24"/>
        <v>#DIV/0!</v>
      </c>
      <c r="W814" s="89" t="str">
        <f t="shared" si="9"/>
        <v>#DIV/0!</v>
      </c>
      <c r="X814" s="89"/>
      <c r="Y814" s="89"/>
      <c r="Z814" s="89"/>
      <c r="AA814" s="89"/>
      <c r="AB814" s="89"/>
      <c r="AC814" s="89"/>
      <c r="AD814" s="89"/>
      <c r="AE814" s="89"/>
      <c r="AF814" s="89"/>
      <c r="AG814" s="89"/>
      <c r="AH814" s="89"/>
    </row>
    <row r="815">
      <c r="A815" s="8" t="s">
        <v>953</v>
      </c>
      <c r="B815" s="97"/>
      <c r="C815" s="8"/>
      <c r="D815" s="89" t="str">
        <f t="shared" si="1"/>
        <v/>
      </c>
      <c r="E815" s="89" t="str">
        <f t="shared" si="2"/>
        <v>OT Hours</v>
      </c>
      <c r="F815" s="89" t="str">
        <f>IFERROR(VLOOKUP(C815,'Employees List'!$B$1:$G$999,2,0),"")</f>
        <v/>
      </c>
      <c r="G815" s="89" t="str">
        <f t="shared" si="23"/>
        <v>#DIV/0!</v>
      </c>
      <c r="H815" s="98"/>
      <c r="I815" s="89" t="str">
        <f>IFERROR(VLOOKUP(F815,'Employees List'!$C:$F,2,0),"")</f>
        <v/>
      </c>
      <c r="J815" s="93" t="str">
        <f>IFERROR(VLOOKUP(C815,'Employees List'!$B$2:$G$991,5,0),"")</f>
        <v/>
      </c>
      <c r="K815" s="95" t="str">
        <f>IFERROR(VLOOKUP(F815,'Employees List'!$C$1:$AB$991,5,0),"")</f>
        <v/>
      </c>
      <c r="L815" s="91">
        <f t="shared" si="3"/>
        <v>0</v>
      </c>
      <c r="M815" s="91">
        <f t="shared" si="4"/>
        <v>0</v>
      </c>
      <c r="N815" s="89" t="str">
        <f>IFERROR(VLOOKUP(B815,'Employees List'!$A$2:$H$991,8,0),"")</f>
        <v/>
      </c>
      <c r="O815" s="89" t="str">
        <f>IFERROR(VLOOKUP(D815,'Daily Attendance Report 24-25'!A779:BP999,5,0),"")</f>
        <v/>
      </c>
      <c r="P815" s="89" t="str">
        <f>IFERROR(VLOOKUP(E815,'Daily Attendance Report 24-25'!$A$1:$BO$617,5,0),"")</f>
        <v/>
      </c>
      <c r="Q815" s="89"/>
      <c r="R815" s="89"/>
      <c r="S815" s="89" t="str">
        <f t="shared" si="17"/>
        <v>#DIV/0!</v>
      </c>
      <c r="T815" s="89" t="str">
        <f t="shared" si="6"/>
        <v>#DIV/0!</v>
      </c>
      <c r="U815" s="89" t="str">
        <f t="shared" si="25"/>
        <v>#DIV/0!</v>
      </c>
      <c r="V815" s="89" t="str">
        <f t="shared" si="24"/>
        <v>#DIV/0!</v>
      </c>
      <c r="W815" s="89" t="str">
        <f t="shared" si="9"/>
        <v>#DIV/0!</v>
      </c>
      <c r="X815" s="89"/>
      <c r="Y815" s="89"/>
      <c r="Z815" s="89"/>
      <c r="AA815" s="89"/>
      <c r="AB815" s="89"/>
      <c r="AC815" s="89"/>
      <c r="AD815" s="89"/>
      <c r="AE815" s="89"/>
      <c r="AF815" s="89"/>
      <c r="AG815" s="89"/>
      <c r="AH815" s="89"/>
    </row>
    <row r="816">
      <c r="A816" s="8" t="s">
        <v>954</v>
      </c>
      <c r="B816" s="97"/>
      <c r="C816" s="8"/>
      <c r="D816" s="89" t="str">
        <f t="shared" si="1"/>
        <v/>
      </c>
      <c r="E816" s="89" t="str">
        <f t="shared" si="2"/>
        <v>OT Hours</v>
      </c>
      <c r="F816" s="89" t="str">
        <f>IFERROR(VLOOKUP(C816,'Employees List'!$B$1:$G$999,2,0),"")</f>
        <v/>
      </c>
      <c r="G816" s="89" t="str">
        <f t="shared" si="23"/>
        <v>#DIV/0!</v>
      </c>
      <c r="H816" s="98"/>
      <c r="I816" s="89" t="str">
        <f>IFERROR(VLOOKUP(F816,'Employees List'!$C:$F,2,0),"")</f>
        <v/>
      </c>
      <c r="J816" s="93" t="str">
        <f>IFERROR(VLOOKUP(C816,'Employees List'!$B$2:$G$991,5,0),"")</f>
        <v/>
      </c>
      <c r="K816" s="95" t="str">
        <f>IFERROR(VLOOKUP(F816,'Employees List'!$C$1:$AB$991,5,0),"")</f>
        <v/>
      </c>
      <c r="L816" s="91">
        <f t="shared" si="3"/>
        <v>0</v>
      </c>
      <c r="M816" s="91">
        <f t="shared" si="4"/>
        <v>0</v>
      </c>
      <c r="N816" s="89" t="str">
        <f>IFERROR(VLOOKUP(B816,'Employees List'!$A$2:$H$991,8,0),"")</f>
        <v/>
      </c>
      <c r="O816" s="89" t="str">
        <f>IFERROR(VLOOKUP(D816,'Daily Attendance Report 24-25'!A780:BP999,5,0),"")</f>
        <v/>
      </c>
      <c r="P816" s="89" t="str">
        <f>IFERROR(VLOOKUP(E816,'Daily Attendance Report 24-25'!$A$1:$BO$617,5,0),"")</f>
        <v/>
      </c>
      <c r="Q816" s="89"/>
      <c r="R816" s="89"/>
      <c r="S816" s="89" t="str">
        <f t="shared" si="17"/>
        <v>#DIV/0!</v>
      </c>
      <c r="T816" s="89" t="str">
        <f t="shared" si="6"/>
        <v>#DIV/0!</v>
      </c>
      <c r="U816" s="89" t="str">
        <f t="shared" si="25"/>
        <v>#DIV/0!</v>
      </c>
      <c r="V816" s="89" t="str">
        <f t="shared" si="24"/>
        <v>#DIV/0!</v>
      </c>
      <c r="W816" s="89" t="str">
        <f t="shared" si="9"/>
        <v>#DIV/0!</v>
      </c>
      <c r="X816" s="89"/>
      <c r="Y816" s="89"/>
      <c r="Z816" s="89"/>
      <c r="AA816" s="89"/>
      <c r="AB816" s="89"/>
      <c r="AC816" s="89"/>
      <c r="AD816" s="89"/>
      <c r="AE816" s="89"/>
      <c r="AF816" s="89"/>
      <c r="AG816" s="89"/>
      <c r="AH816" s="89"/>
    </row>
    <row r="817">
      <c r="A817" s="8" t="s">
        <v>955</v>
      </c>
      <c r="B817" s="97"/>
      <c r="C817" s="8"/>
      <c r="D817" s="89" t="str">
        <f t="shared" si="1"/>
        <v/>
      </c>
      <c r="E817" s="89" t="str">
        <f t="shared" si="2"/>
        <v>OT Hours</v>
      </c>
      <c r="F817" s="89" t="str">
        <f>IFERROR(VLOOKUP(C817,'Employees List'!$B$1:$G$999,2,0),"")</f>
        <v/>
      </c>
      <c r="G817" s="89" t="str">
        <f t="shared" si="23"/>
        <v>#DIV/0!</v>
      </c>
      <c r="H817" s="98"/>
      <c r="I817" s="89" t="str">
        <f>IFERROR(VLOOKUP(F817,'Employees List'!$C:$F,2,0),"")</f>
        <v/>
      </c>
      <c r="J817" s="93" t="str">
        <f>IFERROR(VLOOKUP(C817,'Employees List'!$B$2:$G$991,5,0),"")</f>
        <v/>
      </c>
      <c r="K817" s="95" t="str">
        <f>IFERROR(VLOOKUP(F817,'Employees List'!$C$1:$AB$991,5,0),"")</f>
        <v/>
      </c>
      <c r="L817" s="91">
        <f t="shared" si="3"/>
        <v>0</v>
      </c>
      <c r="M817" s="91">
        <f t="shared" si="4"/>
        <v>0</v>
      </c>
      <c r="N817" s="89" t="str">
        <f>IFERROR(VLOOKUP(B817,'Employees List'!$A$2:$H$991,8,0),"")</f>
        <v/>
      </c>
      <c r="O817" s="89" t="str">
        <f>IFERROR(VLOOKUP(D817,'Daily Attendance Report 24-25'!A781:BP999,5,0),"")</f>
        <v/>
      </c>
      <c r="P817" s="89" t="str">
        <f>IFERROR(VLOOKUP(E817,'Daily Attendance Report 24-25'!$A$1:$BO$617,5,0),"")</f>
        <v/>
      </c>
      <c r="Q817" s="89"/>
      <c r="R817" s="89"/>
      <c r="S817" s="89" t="str">
        <f t="shared" si="17"/>
        <v>#DIV/0!</v>
      </c>
      <c r="T817" s="89" t="str">
        <f t="shared" si="6"/>
        <v>#DIV/0!</v>
      </c>
      <c r="U817" s="89" t="str">
        <f t="shared" si="25"/>
        <v>#DIV/0!</v>
      </c>
      <c r="V817" s="89" t="str">
        <f t="shared" si="24"/>
        <v>#DIV/0!</v>
      </c>
      <c r="W817" s="89" t="str">
        <f t="shared" si="9"/>
        <v>#DIV/0!</v>
      </c>
      <c r="X817" s="89"/>
      <c r="Y817" s="89"/>
      <c r="Z817" s="89"/>
      <c r="AA817" s="89"/>
      <c r="AB817" s="89"/>
      <c r="AC817" s="89"/>
      <c r="AD817" s="89"/>
      <c r="AE817" s="89"/>
      <c r="AF817" s="89"/>
      <c r="AG817" s="89"/>
      <c r="AH817" s="89"/>
    </row>
    <row r="818">
      <c r="A818" s="8" t="s">
        <v>956</v>
      </c>
      <c r="B818" s="97"/>
      <c r="C818" s="8"/>
      <c r="D818" s="89" t="str">
        <f t="shared" si="1"/>
        <v/>
      </c>
      <c r="E818" s="89" t="str">
        <f t="shared" si="2"/>
        <v>OT Hours</v>
      </c>
      <c r="F818" s="89" t="str">
        <f>IFERROR(VLOOKUP(C818,'Employees List'!$B$1:$G$999,2,0),"")</f>
        <v/>
      </c>
      <c r="G818" s="89" t="str">
        <f t="shared" si="23"/>
        <v>#DIV/0!</v>
      </c>
      <c r="H818" s="98"/>
      <c r="I818" s="89" t="str">
        <f>IFERROR(VLOOKUP(F818,'Employees List'!$C:$F,2,0),"")</f>
        <v/>
      </c>
      <c r="J818" s="93" t="str">
        <f>IFERROR(VLOOKUP(C818,'Employees List'!$B$2:$G$991,5,0),"")</f>
        <v/>
      </c>
      <c r="K818" s="95" t="str">
        <f>IFERROR(VLOOKUP(F818,'Employees List'!$C$1:$AB$991,5,0),"")</f>
        <v/>
      </c>
      <c r="L818" s="91">
        <f t="shared" si="3"/>
        <v>0</v>
      </c>
      <c r="M818" s="91">
        <f t="shared" si="4"/>
        <v>0</v>
      </c>
      <c r="N818" s="89" t="str">
        <f>IFERROR(VLOOKUP(B818,'Employees List'!$A$2:$H$991,8,0),"")</f>
        <v/>
      </c>
      <c r="O818" s="89" t="str">
        <f>IFERROR(VLOOKUP(D818,'Daily Attendance Report 24-25'!A782:BP999,5,0),"")</f>
        <v/>
      </c>
      <c r="P818" s="89" t="str">
        <f>IFERROR(VLOOKUP(E818,'Daily Attendance Report 24-25'!$A$1:$BO$617,5,0),"")</f>
        <v/>
      </c>
      <c r="Q818" s="89"/>
      <c r="R818" s="89"/>
      <c r="S818" s="89" t="str">
        <f t="shared" si="17"/>
        <v>#DIV/0!</v>
      </c>
      <c r="T818" s="89" t="str">
        <f t="shared" si="6"/>
        <v>#DIV/0!</v>
      </c>
      <c r="U818" s="89" t="str">
        <f t="shared" si="25"/>
        <v>#DIV/0!</v>
      </c>
      <c r="V818" s="89" t="str">
        <f t="shared" si="24"/>
        <v>#DIV/0!</v>
      </c>
      <c r="W818" s="89" t="str">
        <f t="shared" si="9"/>
        <v>#DIV/0!</v>
      </c>
      <c r="X818" s="89"/>
      <c r="Y818" s="89"/>
      <c r="Z818" s="89"/>
      <c r="AA818" s="89"/>
      <c r="AB818" s="89"/>
      <c r="AC818" s="89"/>
      <c r="AD818" s="89"/>
      <c r="AE818" s="89"/>
      <c r="AF818" s="89"/>
      <c r="AG818" s="89"/>
      <c r="AH818" s="89"/>
    </row>
    <row r="819">
      <c r="A819" s="8" t="s">
        <v>957</v>
      </c>
      <c r="B819" s="97"/>
      <c r="C819" s="8"/>
      <c r="D819" s="89" t="str">
        <f t="shared" si="1"/>
        <v/>
      </c>
      <c r="E819" s="89" t="str">
        <f t="shared" si="2"/>
        <v>OT Hours</v>
      </c>
      <c r="F819" s="89" t="str">
        <f>IFERROR(VLOOKUP(C819,'Employees List'!$B$1:$G$999,2,0),"")</f>
        <v/>
      </c>
      <c r="G819" s="89" t="str">
        <f t="shared" si="23"/>
        <v>#DIV/0!</v>
      </c>
      <c r="H819" s="98"/>
      <c r="I819" s="89" t="str">
        <f>IFERROR(VLOOKUP(F819,'Employees List'!$C:$F,2,0),"")</f>
        <v/>
      </c>
      <c r="J819" s="93" t="str">
        <f>IFERROR(VLOOKUP(C819,'Employees List'!$B$2:$G$991,5,0),"")</f>
        <v/>
      </c>
      <c r="K819" s="95" t="str">
        <f>IFERROR(VLOOKUP(F819,'Employees List'!$C$1:$AB$991,5,0),"")</f>
        <v/>
      </c>
      <c r="L819" s="91">
        <f t="shared" si="3"/>
        <v>0</v>
      </c>
      <c r="M819" s="91">
        <f t="shared" si="4"/>
        <v>0</v>
      </c>
      <c r="N819" s="89" t="str">
        <f>IFERROR(VLOOKUP(B819,'Employees List'!$A$2:$H$991,8,0),"")</f>
        <v/>
      </c>
      <c r="O819" s="89" t="str">
        <f>IFERROR(VLOOKUP(D819,'Daily Attendance Report 24-25'!A783:BP999,5,0),"")</f>
        <v/>
      </c>
      <c r="P819" s="89" t="str">
        <f>IFERROR(VLOOKUP(E819,'Daily Attendance Report 24-25'!$A$1:$BO$617,5,0),"")</f>
        <v/>
      </c>
      <c r="Q819" s="89"/>
      <c r="R819" s="89"/>
      <c r="S819" s="89" t="str">
        <f t="shared" si="17"/>
        <v>#DIV/0!</v>
      </c>
      <c r="T819" s="89" t="str">
        <f t="shared" si="6"/>
        <v>#DIV/0!</v>
      </c>
      <c r="U819" s="89" t="str">
        <f t="shared" si="25"/>
        <v>#DIV/0!</v>
      </c>
      <c r="V819" s="89" t="str">
        <f t="shared" si="24"/>
        <v>#DIV/0!</v>
      </c>
      <c r="W819" s="89" t="str">
        <f t="shared" si="9"/>
        <v>#DIV/0!</v>
      </c>
      <c r="X819" s="89"/>
      <c r="Y819" s="89"/>
      <c r="Z819" s="89"/>
      <c r="AA819" s="89"/>
      <c r="AB819" s="89"/>
      <c r="AC819" s="89"/>
      <c r="AD819" s="89"/>
      <c r="AE819" s="89"/>
      <c r="AF819" s="89"/>
      <c r="AG819" s="89"/>
      <c r="AH819" s="89"/>
    </row>
    <row r="820">
      <c r="A820" s="8" t="s">
        <v>958</v>
      </c>
      <c r="B820" s="97"/>
      <c r="C820" s="8"/>
      <c r="D820" s="89" t="str">
        <f t="shared" si="1"/>
        <v/>
      </c>
      <c r="E820" s="89" t="str">
        <f t="shared" si="2"/>
        <v>OT Hours</v>
      </c>
      <c r="F820" s="89" t="str">
        <f>IFERROR(VLOOKUP(C820,'Employees List'!$B$1:$G$999,2,0),"")</f>
        <v/>
      </c>
      <c r="G820" s="89" t="str">
        <f t="shared" si="23"/>
        <v>#DIV/0!</v>
      </c>
      <c r="H820" s="98"/>
      <c r="I820" s="89" t="str">
        <f>IFERROR(VLOOKUP(F820,'Employees List'!$C:$F,2,0),"")</f>
        <v/>
      </c>
      <c r="J820" s="93" t="str">
        <f>IFERROR(VLOOKUP(C820,'Employees List'!$B$2:$G$991,5,0),"")</f>
        <v/>
      </c>
      <c r="K820" s="95" t="str">
        <f>IFERROR(VLOOKUP(F820,'Employees List'!$C$1:$AB$991,5,0),"")</f>
        <v/>
      </c>
      <c r="L820" s="91">
        <f t="shared" si="3"/>
        <v>0</v>
      </c>
      <c r="M820" s="91">
        <f t="shared" si="4"/>
        <v>0</v>
      </c>
      <c r="N820" s="89" t="str">
        <f>IFERROR(VLOOKUP(B820,'Employees List'!$A$2:$H$991,8,0),"")</f>
        <v/>
      </c>
      <c r="O820" s="89" t="str">
        <f>IFERROR(VLOOKUP(D820,'Daily Attendance Report 24-25'!A784:BP999,5,0),"")</f>
        <v/>
      </c>
      <c r="P820" s="89" t="str">
        <f>IFERROR(VLOOKUP(E820,'Daily Attendance Report 24-25'!$A$1:$BO$617,5,0),"")</f>
        <v/>
      </c>
      <c r="Q820" s="89"/>
      <c r="R820" s="89"/>
      <c r="S820" s="89" t="str">
        <f t="shared" si="17"/>
        <v>#DIV/0!</v>
      </c>
      <c r="T820" s="89" t="str">
        <f t="shared" si="6"/>
        <v>#DIV/0!</v>
      </c>
      <c r="U820" s="89" t="str">
        <f t="shared" si="25"/>
        <v>#DIV/0!</v>
      </c>
      <c r="V820" s="89" t="str">
        <f t="shared" si="24"/>
        <v>#DIV/0!</v>
      </c>
      <c r="W820" s="89" t="str">
        <f t="shared" si="9"/>
        <v>#DIV/0!</v>
      </c>
      <c r="X820" s="89"/>
      <c r="Y820" s="89"/>
      <c r="Z820" s="89"/>
      <c r="AA820" s="89"/>
      <c r="AB820" s="89"/>
      <c r="AC820" s="89"/>
      <c r="AD820" s="89"/>
      <c r="AE820" s="89"/>
      <c r="AF820" s="89"/>
      <c r="AG820" s="89"/>
      <c r="AH820" s="89"/>
    </row>
    <row r="821">
      <c r="A821" s="8" t="s">
        <v>959</v>
      </c>
      <c r="B821" s="97"/>
      <c r="C821" s="8"/>
      <c r="D821" s="89" t="str">
        <f t="shared" si="1"/>
        <v/>
      </c>
      <c r="E821" s="89" t="str">
        <f t="shared" si="2"/>
        <v>OT Hours</v>
      </c>
      <c r="F821" s="89" t="str">
        <f>IFERROR(VLOOKUP(C821,'Employees List'!$B$1:$G$999,2,0),"")</f>
        <v/>
      </c>
      <c r="G821" s="89" t="str">
        <f t="shared" si="23"/>
        <v>#DIV/0!</v>
      </c>
      <c r="H821" s="98"/>
      <c r="I821" s="89" t="str">
        <f>IFERROR(VLOOKUP(F821,'Employees List'!$C:$F,2,0),"")</f>
        <v/>
      </c>
      <c r="J821" s="93" t="str">
        <f>IFERROR(VLOOKUP(C821,'Employees List'!$B$2:$G$991,5,0),"")</f>
        <v/>
      </c>
      <c r="K821" s="95" t="str">
        <f>IFERROR(VLOOKUP(F821,'Employees List'!$C$1:$AB$991,5,0),"")</f>
        <v/>
      </c>
      <c r="L821" s="91">
        <f t="shared" si="3"/>
        <v>0</v>
      </c>
      <c r="M821" s="91">
        <f t="shared" si="4"/>
        <v>0</v>
      </c>
      <c r="N821" s="89" t="str">
        <f>IFERROR(VLOOKUP(B821,'Employees List'!$A$2:$H$991,8,0),"")</f>
        <v/>
      </c>
      <c r="O821" s="89" t="str">
        <f>IFERROR(VLOOKUP(D821,'Daily Attendance Report 24-25'!A785:BP999,5,0),"")</f>
        <v/>
      </c>
      <c r="P821" s="89" t="str">
        <f>IFERROR(VLOOKUP(E821,'Daily Attendance Report 24-25'!$A$1:$BO$617,5,0),"")</f>
        <v/>
      </c>
      <c r="Q821" s="89"/>
      <c r="R821" s="89"/>
      <c r="S821" s="89" t="str">
        <f t="shared" si="17"/>
        <v>#DIV/0!</v>
      </c>
      <c r="T821" s="89" t="str">
        <f t="shared" si="6"/>
        <v>#DIV/0!</v>
      </c>
      <c r="U821" s="89" t="str">
        <f t="shared" si="25"/>
        <v>#DIV/0!</v>
      </c>
      <c r="V821" s="89" t="str">
        <f t="shared" si="24"/>
        <v>#DIV/0!</v>
      </c>
      <c r="W821" s="89" t="str">
        <f t="shared" si="9"/>
        <v>#DIV/0!</v>
      </c>
      <c r="X821" s="89"/>
      <c r="Y821" s="89"/>
      <c r="Z821" s="89"/>
      <c r="AA821" s="89"/>
      <c r="AB821" s="89"/>
      <c r="AC821" s="89"/>
      <c r="AD821" s="89"/>
      <c r="AE821" s="89"/>
      <c r="AF821" s="89"/>
      <c r="AG821" s="89"/>
      <c r="AH821" s="89"/>
    </row>
    <row r="822">
      <c r="A822" s="8" t="s">
        <v>960</v>
      </c>
      <c r="B822" s="97"/>
      <c r="C822" s="8"/>
      <c r="D822" s="89" t="str">
        <f t="shared" si="1"/>
        <v/>
      </c>
      <c r="E822" s="89" t="str">
        <f t="shared" si="2"/>
        <v>OT Hours</v>
      </c>
      <c r="F822" s="89" t="str">
        <f>IFERROR(VLOOKUP(C822,'Employees List'!$B$1:$G$999,2,0),"")</f>
        <v/>
      </c>
      <c r="G822" s="89" t="str">
        <f t="shared" si="23"/>
        <v>#DIV/0!</v>
      </c>
      <c r="H822" s="98"/>
      <c r="I822" s="89" t="str">
        <f>IFERROR(VLOOKUP(F822,'Employees List'!$C:$F,2,0),"")</f>
        <v/>
      </c>
      <c r="J822" s="93" t="str">
        <f>IFERROR(VLOOKUP(C822,'Employees List'!$B$2:$G$991,5,0),"")</f>
        <v/>
      </c>
      <c r="K822" s="95" t="str">
        <f>IFERROR(VLOOKUP(F822,'Employees List'!$C$1:$AB$991,5,0),"")</f>
        <v/>
      </c>
      <c r="L822" s="91">
        <f t="shared" si="3"/>
        <v>0</v>
      </c>
      <c r="M822" s="91">
        <f t="shared" si="4"/>
        <v>0</v>
      </c>
      <c r="N822" s="89" t="str">
        <f>IFERROR(VLOOKUP(B822,'Employees List'!$A$2:$H$991,8,0),"")</f>
        <v/>
      </c>
      <c r="O822" s="89" t="str">
        <f>IFERROR(VLOOKUP(D822,'Daily Attendance Report 24-25'!A786:BP999,5,0),"")</f>
        <v/>
      </c>
      <c r="P822" s="89" t="str">
        <f>IFERROR(VLOOKUP(E822,'Daily Attendance Report 24-25'!$A$1:$BO$617,5,0),"")</f>
        <v/>
      </c>
      <c r="Q822" s="89"/>
      <c r="R822" s="89"/>
      <c r="S822" s="89" t="str">
        <f t="shared" si="17"/>
        <v>#DIV/0!</v>
      </c>
      <c r="T822" s="89" t="str">
        <f t="shared" si="6"/>
        <v>#DIV/0!</v>
      </c>
      <c r="U822" s="89" t="str">
        <f t="shared" si="25"/>
        <v>#DIV/0!</v>
      </c>
      <c r="V822" s="89" t="str">
        <f t="shared" si="24"/>
        <v>#DIV/0!</v>
      </c>
      <c r="W822" s="89" t="str">
        <f t="shared" si="9"/>
        <v>#DIV/0!</v>
      </c>
      <c r="X822" s="89"/>
      <c r="Y822" s="89"/>
      <c r="Z822" s="89"/>
      <c r="AA822" s="89"/>
      <c r="AB822" s="89"/>
      <c r="AC822" s="89"/>
      <c r="AD822" s="89"/>
      <c r="AE822" s="89"/>
      <c r="AF822" s="89"/>
      <c r="AG822" s="89"/>
      <c r="AH822" s="89"/>
    </row>
    <row r="823">
      <c r="A823" s="8" t="s">
        <v>961</v>
      </c>
      <c r="B823" s="97"/>
      <c r="C823" s="8"/>
      <c r="D823" s="89" t="str">
        <f t="shared" si="1"/>
        <v/>
      </c>
      <c r="E823" s="89" t="str">
        <f t="shared" si="2"/>
        <v>OT Hours</v>
      </c>
      <c r="F823" s="89" t="str">
        <f>IFERROR(VLOOKUP(C823,'Employees List'!$B$1:$G$999,2,0),"")</f>
        <v/>
      </c>
      <c r="G823" s="89" t="str">
        <f t="shared" si="23"/>
        <v>#DIV/0!</v>
      </c>
      <c r="H823" s="98"/>
      <c r="I823" s="89" t="str">
        <f>IFERROR(VLOOKUP(F823,'Employees List'!$C:$F,2,0),"")</f>
        <v/>
      </c>
      <c r="J823" s="93" t="str">
        <f>IFERROR(VLOOKUP(C823,'Employees List'!$B$2:$G$991,5,0),"")</f>
        <v/>
      </c>
      <c r="K823" s="95" t="str">
        <f>IFERROR(VLOOKUP(F823,'Employees List'!$C$1:$AB$991,5,0),"")</f>
        <v/>
      </c>
      <c r="L823" s="91">
        <f t="shared" si="3"/>
        <v>0</v>
      </c>
      <c r="M823" s="91">
        <f t="shared" si="4"/>
        <v>0</v>
      </c>
      <c r="N823" s="89" t="str">
        <f>IFERROR(VLOOKUP(B823,'Employees List'!$A$2:$H$991,8,0),"")</f>
        <v/>
      </c>
      <c r="O823" s="89" t="str">
        <f>IFERROR(VLOOKUP(D823,'Daily Attendance Report 24-25'!A787:BP999,5,0),"")</f>
        <v/>
      </c>
      <c r="P823" s="89" t="str">
        <f>IFERROR(VLOOKUP(E823,'Daily Attendance Report 24-25'!$A$1:$BO$617,5,0),"")</f>
        <v/>
      </c>
      <c r="Q823" s="89"/>
      <c r="R823" s="89"/>
      <c r="S823" s="89" t="str">
        <f t="shared" si="17"/>
        <v>#DIV/0!</v>
      </c>
      <c r="T823" s="89" t="str">
        <f t="shared" si="6"/>
        <v>#DIV/0!</v>
      </c>
      <c r="U823" s="89" t="str">
        <f t="shared" si="25"/>
        <v>#DIV/0!</v>
      </c>
      <c r="V823" s="89" t="str">
        <f t="shared" si="24"/>
        <v>#DIV/0!</v>
      </c>
      <c r="W823" s="89" t="str">
        <f t="shared" si="9"/>
        <v>#DIV/0!</v>
      </c>
      <c r="X823" s="89"/>
      <c r="Y823" s="89"/>
      <c r="Z823" s="89"/>
      <c r="AA823" s="89"/>
      <c r="AB823" s="89"/>
      <c r="AC823" s="89"/>
      <c r="AD823" s="89"/>
      <c r="AE823" s="89"/>
      <c r="AF823" s="89"/>
      <c r="AG823" s="89"/>
      <c r="AH823" s="89"/>
    </row>
    <row r="824">
      <c r="A824" s="8" t="s">
        <v>962</v>
      </c>
      <c r="B824" s="97"/>
      <c r="C824" s="8"/>
      <c r="D824" s="89" t="str">
        <f t="shared" si="1"/>
        <v/>
      </c>
      <c r="E824" s="89" t="str">
        <f t="shared" si="2"/>
        <v>OT Hours</v>
      </c>
      <c r="F824" s="89" t="str">
        <f>IFERROR(VLOOKUP(C824,'Employees List'!$B$1:$G$999,2,0),"")</f>
        <v/>
      </c>
      <c r="G824" s="89" t="str">
        <f t="shared" si="23"/>
        <v>#DIV/0!</v>
      </c>
      <c r="H824" s="98"/>
      <c r="I824" s="89" t="str">
        <f>IFERROR(VLOOKUP(F824,'Employees List'!$C:$F,2,0),"")</f>
        <v/>
      </c>
      <c r="J824" s="93" t="str">
        <f>IFERROR(VLOOKUP(C824,'Employees List'!$B$2:$G$991,5,0),"")</f>
        <v/>
      </c>
      <c r="K824" s="95" t="str">
        <f>IFERROR(VLOOKUP(F824,'Employees List'!$C$1:$AB$991,5,0),"")</f>
        <v/>
      </c>
      <c r="L824" s="91">
        <f t="shared" si="3"/>
        <v>0</v>
      </c>
      <c r="M824" s="91">
        <f t="shared" si="4"/>
        <v>0</v>
      </c>
      <c r="N824" s="89" t="str">
        <f>IFERROR(VLOOKUP(B824,'Employees List'!$A$2:$H$991,8,0),"")</f>
        <v/>
      </c>
      <c r="O824" s="89" t="str">
        <f>IFERROR(VLOOKUP(D824,'Daily Attendance Report 24-25'!A788:BP999,5,0),"")</f>
        <v/>
      </c>
      <c r="P824" s="89" t="str">
        <f>IFERROR(VLOOKUP(E824,'Daily Attendance Report 24-25'!$A$1:$BO$617,5,0),"")</f>
        <v/>
      </c>
      <c r="Q824" s="89"/>
      <c r="R824" s="89"/>
      <c r="S824" s="89" t="str">
        <f t="shared" si="17"/>
        <v>#DIV/0!</v>
      </c>
      <c r="T824" s="89" t="str">
        <f t="shared" si="6"/>
        <v>#DIV/0!</v>
      </c>
      <c r="U824" s="89" t="str">
        <f t="shared" si="25"/>
        <v>#DIV/0!</v>
      </c>
      <c r="V824" s="89" t="str">
        <f t="shared" si="24"/>
        <v>#DIV/0!</v>
      </c>
      <c r="W824" s="89" t="str">
        <f t="shared" si="9"/>
        <v>#DIV/0!</v>
      </c>
      <c r="X824" s="89"/>
      <c r="Y824" s="89"/>
      <c r="Z824" s="89"/>
      <c r="AA824" s="89"/>
      <c r="AB824" s="89"/>
      <c r="AC824" s="89"/>
      <c r="AD824" s="89"/>
      <c r="AE824" s="89"/>
      <c r="AF824" s="89"/>
      <c r="AG824" s="89"/>
      <c r="AH824" s="89"/>
    </row>
    <row r="825">
      <c r="A825" s="8" t="s">
        <v>963</v>
      </c>
      <c r="B825" s="97"/>
      <c r="C825" s="8"/>
      <c r="D825" s="89" t="str">
        <f t="shared" si="1"/>
        <v/>
      </c>
      <c r="E825" s="89" t="str">
        <f t="shared" si="2"/>
        <v>OT Hours</v>
      </c>
      <c r="F825" s="89" t="str">
        <f>IFERROR(VLOOKUP(C825,'Employees List'!$B$1:$G$999,2,0),"")</f>
        <v/>
      </c>
      <c r="G825" s="89" t="str">
        <f t="shared" si="23"/>
        <v>#DIV/0!</v>
      </c>
      <c r="H825" s="98"/>
      <c r="I825" s="89" t="str">
        <f>IFERROR(VLOOKUP(F825,'Employees List'!$C:$F,2,0),"")</f>
        <v/>
      </c>
      <c r="J825" s="93" t="str">
        <f>IFERROR(VLOOKUP(C825,'Employees List'!$B$2:$G$991,5,0),"")</f>
        <v/>
      </c>
      <c r="K825" s="95" t="str">
        <f>IFERROR(VLOOKUP(F825,'Employees List'!$C$1:$AB$991,5,0),"")</f>
        <v/>
      </c>
      <c r="L825" s="91">
        <f t="shared" si="3"/>
        <v>0</v>
      </c>
      <c r="M825" s="91">
        <f t="shared" si="4"/>
        <v>0</v>
      </c>
      <c r="N825" s="89" t="str">
        <f>IFERROR(VLOOKUP(B825,'Employees List'!$A$2:$H$991,8,0),"")</f>
        <v/>
      </c>
      <c r="O825" s="89" t="str">
        <f>IFERROR(VLOOKUP(D825,'Daily Attendance Report 24-25'!A789:BP999,5,0),"")</f>
        <v/>
      </c>
      <c r="P825" s="89" t="str">
        <f>IFERROR(VLOOKUP(E825,'Daily Attendance Report 24-25'!$A$1:$BO$617,5,0),"")</f>
        <v/>
      </c>
      <c r="Q825" s="89"/>
      <c r="R825" s="89"/>
      <c r="S825" s="89" t="str">
        <f t="shared" si="17"/>
        <v>#DIV/0!</v>
      </c>
      <c r="T825" s="89" t="str">
        <f t="shared" si="6"/>
        <v>#DIV/0!</v>
      </c>
      <c r="U825" s="89" t="str">
        <f t="shared" si="25"/>
        <v>#DIV/0!</v>
      </c>
      <c r="V825" s="89" t="str">
        <f t="shared" si="24"/>
        <v>#DIV/0!</v>
      </c>
      <c r="W825" s="89" t="str">
        <f t="shared" si="9"/>
        <v>#DIV/0!</v>
      </c>
      <c r="X825" s="89"/>
      <c r="Y825" s="89"/>
      <c r="Z825" s="89"/>
      <c r="AA825" s="89"/>
      <c r="AB825" s="89"/>
      <c r="AC825" s="89"/>
      <c r="AD825" s="89"/>
      <c r="AE825" s="89"/>
      <c r="AF825" s="89"/>
      <c r="AG825" s="89"/>
      <c r="AH825" s="89"/>
    </row>
    <row r="826">
      <c r="A826" s="8" t="s">
        <v>964</v>
      </c>
      <c r="B826" s="97"/>
      <c r="C826" s="8"/>
      <c r="D826" s="89" t="str">
        <f t="shared" si="1"/>
        <v/>
      </c>
      <c r="E826" s="89" t="str">
        <f t="shared" si="2"/>
        <v>OT Hours</v>
      </c>
      <c r="F826" s="89" t="str">
        <f>IFERROR(VLOOKUP(C826,'Employees List'!$B$1:$G$999,2,0),"")</f>
        <v/>
      </c>
      <c r="G826" s="89" t="str">
        <f t="shared" si="23"/>
        <v>#DIV/0!</v>
      </c>
      <c r="H826" s="98"/>
      <c r="I826" s="89" t="str">
        <f>IFERROR(VLOOKUP(F826,'Employees List'!$C:$F,2,0),"")</f>
        <v/>
      </c>
      <c r="J826" s="93" t="str">
        <f>IFERROR(VLOOKUP(C826,'Employees List'!$B$2:$G$991,5,0),"")</f>
        <v/>
      </c>
      <c r="K826" s="95" t="str">
        <f>IFERROR(VLOOKUP(F826,'Employees List'!$C$1:$AB$991,5,0),"")</f>
        <v/>
      </c>
      <c r="L826" s="91">
        <f t="shared" si="3"/>
        <v>0</v>
      </c>
      <c r="M826" s="91">
        <f t="shared" si="4"/>
        <v>0</v>
      </c>
      <c r="N826" s="89" t="str">
        <f>IFERROR(VLOOKUP(B826,'Employees List'!$A$2:$H$991,8,0),"")</f>
        <v/>
      </c>
      <c r="O826" s="89" t="str">
        <f>IFERROR(VLOOKUP(D826,'Daily Attendance Report 24-25'!A790:BP999,5,0),"")</f>
        <v/>
      </c>
      <c r="P826" s="89" t="str">
        <f>IFERROR(VLOOKUP(E826,'Daily Attendance Report 24-25'!$A$1:$BO$617,5,0),"")</f>
        <v/>
      </c>
      <c r="Q826" s="89"/>
      <c r="R826" s="89"/>
      <c r="S826" s="89" t="str">
        <f t="shared" si="17"/>
        <v>#DIV/0!</v>
      </c>
      <c r="T826" s="89" t="str">
        <f t="shared" si="6"/>
        <v>#DIV/0!</v>
      </c>
      <c r="U826" s="89" t="str">
        <f t="shared" si="25"/>
        <v>#DIV/0!</v>
      </c>
      <c r="V826" s="89" t="str">
        <f t="shared" si="24"/>
        <v>#DIV/0!</v>
      </c>
      <c r="W826" s="89" t="str">
        <f t="shared" si="9"/>
        <v>#DIV/0!</v>
      </c>
      <c r="X826" s="89"/>
      <c r="Y826" s="89"/>
      <c r="Z826" s="89"/>
      <c r="AA826" s="89"/>
      <c r="AB826" s="89"/>
      <c r="AC826" s="89"/>
      <c r="AD826" s="89"/>
      <c r="AE826" s="89"/>
      <c r="AF826" s="89"/>
      <c r="AG826" s="89"/>
      <c r="AH826" s="89"/>
    </row>
    <row r="827">
      <c r="A827" s="8" t="s">
        <v>965</v>
      </c>
      <c r="B827" s="97"/>
      <c r="C827" s="8"/>
      <c r="D827" s="89" t="str">
        <f t="shared" si="1"/>
        <v/>
      </c>
      <c r="E827" s="89" t="str">
        <f t="shared" si="2"/>
        <v>OT Hours</v>
      </c>
      <c r="F827" s="89" t="str">
        <f>IFERROR(VLOOKUP(C827,'Employees List'!$B$1:$G$999,2,0),"")</f>
        <v/>
      </c>
      <c r="G827" s="89" t="str">
        <f t="shared" si="23"/>
        <v>#DIV/0!</v>
      </c>
      <c r="H827" s="98"/>
      <c r="I827" s="89" t="str">
        <f>IFERROR(VLOOKUP(F827,'Employees List'!$C:$F,2,0),"")</f>
        <v/>
      </c>
      <c r="J827" s="93" t="str">
        <f>IFERROR(VLOOKUP(C827,'Employees List'!$B$2:$G$991,5,0),"")</f>
        <v/>
      </c>
      <c r="K827" s="95" t="str">
        <f>IFERROR(VLOOKUP(F827,'Employees List'!$C$1:$AB$991,5,0),"")</f>
        <v/>
      </c>
      <c r="L827" s="91">
        <f t="shared" si="3"/>
        <v>0</v>
      </c>
      <c r="M827" s="91">
        <f t="shared" si="4"/>
        <v>0</v>
      </c>
      <c r="N827" s="89" t="str">
        <f>IFERROR(VLOOKUP(B827,'Employees List'!$A$2:$H$991,8,0),"")</f>
        <v/>
      </c>
      <c r="O827" s="89" t="str">
        <f>IFERROR(VLOOKUP(D827,'Daily Attendance Report 24-25'!A791:BP999,5,0),"")</f>
        <v/>
      </c>
      <c r="P827" s="89" t="str">
        <f>IFERROR(VLOOKUP(E827,'Daily Attendance Report 24-25'!$A$1:$BO$617,5,0),"")</f>
        <v/>
      </c>
      <c r="Q827" s="89"/>
      <c r="R827" s="89"/>
      <c r="S827" s="89" t="str">
        <f t="shared" si="17"/>
        <v>#DIV/0!</v>
      </c>
      <c r="T827" s="89" t="str">
        <f t="shared" si="6"/>
        <v>#DIV/0!</v>
      </c>
      <c r="U827" s="89" t="str">
        <f t="shared" si="25"/>
        <v>#DIV/0!</v>
      </c>
      <c r="V827" s="89" t="str">
        <f t="shared" si="24"/>
        <v>#DIV/0!</v>
      </c>
      <c r="W827" s="89" t="str">
        <f t="shared" si="9"/>
        <v>#DIV/0!</v>
      </c>
      <c r="X827" s="89"/>
      <c r="Y827" s="89"/>
      <c r="Z827" s="89"/>
      <c r="AA827" s="89"/>
      <c r="AB827" s="89"/>
      <c r="AC827" s="89"/>
      <c r="AD827" s="89"/>
      <c r="AE827" s="89"/>
      <c r="AF827" s="89"/>
      <c r="AG827" s="89"/>
      <c r="AH827" s="89"/>
    </row>
    <row r="828">
      <c r="A828" s="8" t="s">
        <v>966</v>
      </c>
      <c r="B828" s="97"/>
      <c r="C828" s="8"/>
      <c r="D828" s="89" t="str">
        <f t="shared" si="1"/>
        <v/>
      </c>
      <c r="E828" s="89" t="str">
        <f t="shared" si="2"/>
        <v>OT Hours</v>
      </c>
      <c r="F828" s="89" t="str">
        <f>IFERROR(VLOOKUP(C828,'Employees List'!$B$1:$G$999,2,0),"")</f>
        <v/>
      </c>
      <c r="G828" s="89" t="str">
        <f t="shared" si="23"/>
        <v>#DIV/0!</v>
      </c>
      <c r="H828" s="98"/>
      <c r="I828" s="89" t="str">
        <f>IFERROR(VLOOKUP(F828,'Employees List'!$C:$F,2,0),"")</f>
        <v/>
      </c>
      <c r="J828" s="93" t="str">
        <f>IFERROR(VLOOKUP(C828,'Employees List'!$B$2:$G$991,5,0),"")</f>
        <v/>
      </c>
      <c r="K828" s="95" t="str">
        <f>IFERROR(VLOOKUP(F828,'Employees List'!$C$1:$AB$991,5,0),"")</f>
        <v/>
      </c>
      <c r="L828" s="91">
        <f t="shared" si="3"/>
        <v>0</v>
      </c>
      <c r="M828" s="91">
        <f t="shared" si="4"/>
        <v>0</v>
      </c>
      <c r="N828" s="89" t="str">
        <f>IFERROR(VLOOKUP(B828,'Employees List'!$A$2:$H$991,8,0),"")</f>
        <v/>
      </c>
      <c r="O828" s="89" t="str">
        <f>IFERROR(VLOOKUP(D828,'Daily Attendance Report 24-25'!A792:BP999,5,0),"")</f>
        <v/>
      </c>
      <c r="P828" s="89" t="str">
        <f>IFERROR(VLOOKUP(E828,'Daily Attendance Report 24-25'!$A$1:$BO$617,5,0),"")</f>
        <v/>
      </c>
      <c r="Q828" s="89"/>
      <c r="R828" s="89"/>
      <c r="S828" s="89" t="str">
        <f t="shared" si="17"/>
        <v>#DIV/0!</v>
      </c>
      <c r="T828" s="89" t="str">
        <f t="shared" si="6"/>
        <v>#DIV/0!</v>
      </c>
      <c r="U828" s="89" t="str">
        <f t="shared" si="25"/>
        <v>#DIV/0!</v>
      </c>
      <c r="V828" s="89" t="str">
        <f t="shared" si="24"/>
        <v>#DIV/0!</v>
      </c>
      <c r="W828" s="89" t="str">
        <f t="shared" si="9"/>
        <v>#DIV/0!</v>
      </c>
      <c r="X828" s="89"/>
      <c r="Y828" s="89"/>
      <c r="Z828" s="89"/>
      <c r="AA828" s="89"/>
      <c r="AB828" s="89"/>
      <c r="AC828" s="89"/>
      <c r="AD828" s="89"/>
      <c r="AE828" s="89"/>
      <c r="AF828" s="89"/>
      <c r="AG828" s="89"/>
      <c r="AH828" s="89"/>
    </row>
    <row r="829">
      <c r="A829" s="8" t="s">
        <v>967</v>
      </c>
      <c r="B829" s="97"/>
      <c r="C829" s="8"/>
      <c r="D829" s="89" t="str">
        <f t="shared" si="1"/>
        <v/>
      </c>
      <c r="E829" s="89" t="str">
        <f t="shared" si="2"/>
        <v>OT Hours</v>
      </c>
      <c r="F829" s="89" t="str">
        <f>IFERROR(VLOOKUP(C829,'Employees List'!$B$1:$G$999,2,0),"")</f>
        <v/>
      </c>
      <c r="G829" s="89" t="str">
        <f t="shared" si="23"/>
        <v>#DIV/0!</v>
      </c>
      <c r="H829" s="98"/>
      <c r="I829" s="89" t="str">
        <f>IFERROR(VLOOKUP(F829,'Employees List'!$C:$F,2,0),"")</f>
        <v/>
      </c>
      <c r="J829" s="93" t="str">
        <f>IFERROR(VLOOKUP(C829,'Employees List'!$B$2:$G$991,5,0),"")</f>
        <v/>
      </c>
      <c r="K829" s="95" t="str">
        <f>IFERROR(VLOOKUP(F829,'Employees List'!$C$1:$AB$991,5,0),"")</f>
        <v/>
      </c>
      <c r="L829" s="91">
        <f t="shared" si="3"/>
        <v>0</v>
      </c>
      <c r="M829" s="91">
        <f t="shared" si="4"/>
        <v>0</v>
      </c>
      <c r="N829" s="89" t="str">
        <f>IFERROR(VLOOKUP(B829,'Employees List'!$A$2:$H$991,8,0),"")</f>
        <v/>
      </c>
      <c r="O829" s="89" t="str">
        <f>IFERROR(VLOOKUP(D829,'Daily Attendance Report 24-25'!A793:BP999,5,0),"")</f>
        <v/>
      </c>
      <c r="P829" s="89" t="str">
        <f>IFERROR(VLOOKUP(E829,'Daily Attendance Report 24-25'!$A$1:$BO$617,5,0),"")</f>
        <v/>
      </c>
      <c r="Q829" s="89"/>
      <c r="R829" s="89"/>
      <c r="S829" s="89" t="str">
        <f t="shared" si="17"/>
        <v>#DIV/0!</v>
      </c>
      <c r="T829" s="89" t="str">
        <f t="shared" si="6"/>
        <v>#DIV/0!</v>
      </c>
      <c r="U829" s="89" t="str">
        <f t="shared" si="25"/>
        <v>#DIV/0!</v>
      </c>
      <c r="V829" s="89" t="str">
        <f t="shared" si="24"/>
        <v>#DIV/0!</v>
      </c>
      <c r="W829" s="89" t="str">
        <f t="shared" si="9"/>
        <v>#DIV/0!</v>
      </c>
      <c r="X829" s="89"/>
      <c r="Y829" s="89"/>
      <c r="Z829" s="89"/>
      <c r="AA829" s="89"/>
      <c r="AB829" s="89"/>
      <c r="AC829" s="89"/>
      <c r="AD829" s="89"/>
      <c r="AE829" s="89"/>
      <c r="AF829" s="89"/>
      <c r="AG829" s="89"/>
      <c r="AH829" s="89"/>
    </row>
    <row r="830">
      <c r="A830" s="8" t="s">
        <v>968</v>
      </c>
      <c r="B830" s="97"/>
      <c r="C830" s="8"/>
      <c r="D830" s="89" t="str">
        <f t="shared" si="1"/>
        <v/>
      </c>
      <c r="E830" s="89" t="str">
        <f t="shared" si="2"/>
        <v>OT Hours</v>
      </c>
      <c r="F830" s="89" t="str">
        <f>IFERROR(VLOOKUP(C830,'Employees List'!$B$1:$G$999,2,0),"")</f>
        <v/>
      </c>
      <c r="G830" s="89" t="str">
        <f t="shared" si="23"/>
        <v>#DIV/0!</v>
      </c>
      <c r="H830" s="98"/>
      <c r="I830" s="89" t="str">
        <f>IFERROR(VLOOKUP(F830,'Employees List'!$C:$F,2,0),"")</f>
        <v/>
      </c>
      <c r="J830" s="93" t="str">
        <f>IFERROR(VLOOKUP(C830,'Employees List'!$B$2:$G$991,5,0),"")</f>
        <v/>
      </c>
      <c r="K830" s="95" t="str">
        <f>IFERROR(VLOOKUP(F830,'Employees List'!$C$1:$AB$991,5,0),"")</f>
        <v/>
      </c>
      <c r="L830" s="91">
        <f t="shared" si="3"/>
        <v>0</v>
      </c>
      <c r="M830" s="91">
        <f t="shared" si="4"/>
        <v>0</v>
      </c>
      <c r="N830" s="89" t="str">
        <f>IFERROR(VLOOKUP(B830,'Employees List'!$A$2:$H$991,8,0),"")</f>
        <v/>
      </c>
      <c r="O830" s="89" t="str">
        <f>IFERROR(VLOOKUP(D830,'Daily Attendance Report 24-25'!A794:BP999,5,0),"")</f>
        <v/>
      </c>
      <c r="P830" s="89" t="str">
        <f>IFERROR(VLOOKUP(E830,'Daily Attendance Report 24-25'!$A$1:$BO$617,5,0),"")</f>
        <v/>
      </c>
      <c r="Q830" s="89"/>
      <c r="R830" s="89"/>
      <c r="S830" s="89" t="str">
        <f t="shared" si="17"/>
        <v>#DIV/0!</v>
      </c>
      <c r="T830" s="89" t="str">
        <f t="shared" si="6"/>
        <v>#DIV/0!</v>
      </c>
      <c r="U830" s="89" t="str">
        <f t="shared" si="25"/>
        <v>#DIV/0!</v>
      </c>
      <c r="V830" s="89" t="str">
        <f t="shared" si="24"/>
        <v>#DIV/0!</v>
      </c>
      <c r="W830" s="89" t="str">
        <f t="shared" si="9"/>
        <v>#DIV/0!</v>
      </c>
      <c r="X830" s="89"/>
      <c r="Y830" s="89"/>
      <c r="Z830" s="89"/>
      <c r="AA830" s="89"/>
      <c r="AB830" s="89"/>
      <c r="AC830" s="89"/>
      <c r="AD830" s="89"/>
      <c r="AE830" s="89"/>
      <c r="AF830" s="89"/>
      <c r="AG830" s="89"/>
      <c r="AH830" s="89"/>
    </row>
    <row r="831">
      <c r="A831" s="8" t="s">
        <v>969</v>
      </c>
      <c r="B831" s="97"/>
      <c r="C831" s="8"/>
      <c r="D831" s="89" t="str">
        <f t="shared" si="1"/>
        <v/>
      </c>
      <c r="E831" s="89" t="str">
        <f t="shared" si="2"/>
        <v>OT Hours</v>
      </c>
      <c r="F831" s="89" t="str">
        <f>IFERROR(VLOOKUP(C831,'Employees List'!$B$1:$G$999,2,0),"")</f>
        <v/>
      </c>
      <c r="G831" s="89" t="str">
        <f t="shared" si="23"/>
        <v>#DIV/0!</v>
      </c>
      <c r="H831" s="98"/>
      <c r="I831" s="89" t="str">
        <f>IFERROR(VLOOKUP(F831,'Employees List'!$C:$F,2,0),"")</f>
        <v/>
      </c>
      <c r="J831" s="93" t="str">
        <f>IFERROR(VLOOKUP(C831,'Employees List'!$B$2:$G$991,5,0),"")</f>
        <v/>
      </c>
      <c r="K831" s="95" t="str">
        <f>IFERROR(VLOOKUP(F831,'Employees List'!$C$1:$AB$991,5,0),"")</f>
        <v/>
      </c>
      <c r="L831" s="91">
        <f t="shared" si="3"/>
        <v>0</v>
      </c>
      <c r="M831" s="91">
        <f t="shared" si="4"/>
        <v>0</v>
      </c>
      <c r="N831" s="89" t="str">
        <f>IFERROR(VLOOKUP(B831,'Employees List'!$A$2:$H$991,8,0),"")</f>
        <v/>
      </c>
      <c r="O831" s="89" t="str">
        <f>IFERROR(VLOOKUP(D831,'Daily Attendance Report 24-25'!A795:BP999,5,0),"")</f>
        <v/>
      </c>
      <c r="P831" s="89" t="str">
        <f>IFERROR(VLOOKUP(E831,'Daily Attendance Report 24-25'!$A$1:$BO$617,5,0),"")</f>
        <v/>
      </c>
      <c r="Q831" s="89"/>
      <c r="R831" s="89"/>
      <c r="S831" s="89" t="str">
        <f t="shared" si="17"/>
        <v>#DIV/0!</v>
      </c>
      <c r="T831" s="89" t="str">
        <f t="shared" si="6"/>
        <v>#DIV/0!</v>
      </c>
      <c r="U831" s="89" t="str">
        <f t="shared" si="25"/>
        <v>#DIV/0!</v>
      </c>
      <c r="V831" s="89" t="str">
        <f t="shared" si="24"/>
        <v>#DIV/0!</v>
      </c>
      <c r="W831" s="89" t="str">
        <f t="shared" si="9"/>
        <v>#DIV/0!</v>
      </c>
      <c r="X831" s="89"/>
      <c r="Y831" s="89"/>
      <c r="Z831" s="89"/>
      <c r="AA831" s="89"/>
      <c r="AB831" s="89"/>
      <c r="AC831" s="89"/>
      <c r="AD831" s="89"/>
      <c r="AE831" s="89"/>
      <c r="AF831" s="89"/>
      <c r="AG831" s="89"/>
      <c r="AH831" s="89"/>
    </row>
    <row r="832">
      <c r="A832" s="8" t="s">
        <v>970</v>
      </c>
      <c r="B832" s="97"/>
      <c r="C832" s="8"/>
      <c r="D832" s="89" t="str">
        <f t="shared" si="1"/>
        <v/>
      </c>
      <c r="E832" s="89" t="str">
        <f t="shared" si="2"/>
        <v>OT Hours</v>
      </c>
      <c r="F832" s="89" t="str">
        <f>IFERROR(VLOOKUP(C832,'Employees List'!$B$1:$G$999,2,0),"")</f>
        <v/>
      </c>
      <c r="G832" s="89" t="str">
        <f t="shared" si="23"/>
        <v>#DIV/0!</v>
      </c>
      <c r="H832" s="98"/>
      <c r="I832" s="89" t="str">
        <f>IFERROR(VLOOKUP(F832,'Employees List'!$C:$F,2,0),"")</f>
        <v/>
      </c>
      <c r="J832" s="93" t="str">
        <f>IFERROR(VLOOKUP(C832,'Employees List'!$B$2:$G$991,5,0),"")</f>
        <v/>
      </c>
      <c r="K832" s="95" t="str">
        <f>IFERROR(VLOOKUP(F832,'Employees List'!$C$1:$AB$991,5,0),"")</f>
        <v/>
      </c>
      <c r="L832" s="91">
        <f t="shared" si="3"/>
        <v>0</v>
      </c>
      <c r="M832" s="91">
        <f t="shared" si="4"/>
        <v>0</v>
      </c>
      <c r="N832" s="89" t="str">
        <f>IFERROR(VLOOKUP(B832,'Employees List'!$A$2:$H$991,8,0),"")</f>
        <v/>
      </c>
      <c r="O832" s="89" t="str">
        <f>IFERROR(VLOOKUP(D832,'Daily Attendance Report 24-25'!A796:BP999,5,0),"")</f>
        <v/>
      </c>
      <c r="P832" s="89" t="str">
        <f>IFERROR(VLOOKUP(E832,'Daily Attendance Report 24-25'!$A$1:$BO$617,5,0),"")</f>
        <v/>
      </c>
      <c r="Q832" s="89"/>
      <c r="R832" s="89"/>
      <c r="S832" s="89" t="str">
        <f t="shared" si="17"/>
        <v>#DIV/0!</v>
      </c>
      <c r="T832" s="89" t="str">
        <f t="shared" si="6"/>
        <v>#DIV/0!</v>
      </c>
      <c r="U832" s="89" t="str">
        <f t="shared" si="25"/>
        <v>#DIV/0!</v>
      </c>
      <c r="V832" s="89" t="str">
        <f t="shared" si="24"/>
        <v>#DIV/0!</v>
      </c>
      <c r="W832" s="89" t="str">
        <f t="shared" si="9"/>
        <v>#DIV/0!</v>
      </c>
      <c r="X832" s="89"/>
      <c r="Y832" s="89"/>
      <c r="Z832" s="89"/>
      <c r="AA832" s="89"/>
      <c r="AB832" s="89"/>
      <c r="AC832" s="89"/>
      <c r="AD832" s="89"/>
      <c r="AE832" s="89"/>
      <c r="AF832" s="89"/>
      <c r="AG832" s="89"/>
      <c r="AH832" s="89"/>
    </row>
    <row r="833">
      <c r="A833" s="8" t="s">
        <v>971</v>
      </c>
      <c r="B833" s="97"/>
      <c r="C833" s="8"/>
      <c r="D833" s="89" t="str">
        <f t="shared" si="1"/>
        <v/>
      </c>
      <c r="E833" s="89" t="str">
        <f t="shared" si="2"/>
        <v>OT Hours</v>
      </c>
      <c r="F833" s="89" t="str">
        <f>IFERROR(VLOOKUP(C833,'Employees List'!$B$1:$G$999,2,0),"")</f>
        <v/>
      </c>
      <c r="G833" s="89" t="str">
        <f t="shared" si="23"/>
        <v>#DIV/0!</v>
      </c>
      <c r="H833" s="98"/>
      <c r="I833" s="89" t="str">
        <f>IFERROR(VLOOKUP(F833,'Employees List'!$C:$F,2,0),"")</f>
        <v/>
      </c>
      <c r="J833" s="93" t="str">
        <f>IFERROR(VLOOKUP(C833,'Employees List'!$B$2:$G$991,5,0),"")</f>
        <v/>
      </c>
      <c r="K833" s="95" t="str">
        <f>IFERROR(VLOOKUP(F833,'Employees List'!$C$1:$AB$991,5,0),"")</f>
        <v/>
      </c>
      <c r="L833" s="91">
        <f t="shared" si="3"/>
        <v>0</v>
      </c>
      <c r="M833" s="91">
        <f t="shared" si="4"/>
        <v>0</v>
      </c>
      <c r="N833" s="89" t="str">
        <f>IFERROR(VLOOKUP(B833,'Employees List'!$A$2:$H$991,8,0),"")</f>
        <v/>
      </c>
      <c r="O833" s="89" t="str">
        <f>IFERROR(VLOOKUP(D833,'Daily Attendance Report 24-25'!A797:BP999,5,0),"")</f>
        <v/>
      </c>
      <c r="P833" s="89" t="str">
        <f>IFERROR(VLOOKUP(E833,'Daily Attendance Report 24-25'!$A$1:$BO$617,5,0),"")</f>
        <v/>
      </c>
      <c r="Q833" s="89"/>
      <c r="R833" s="89"/>
      <c r="S833" s="89" t="str">
        <f t="shared" si="17"/>
        <v>#DIV/0!</v>
      </c>
      <c r="T833" s="89" t="str">
        <f t="shared" si="6"/>
        <v>#DIV/0!</v>
      </c>
      <c r="U833" s="89" t="str">
        <f t="shared" si="25"/>
        <v>#DIV/0!</v>
      </c>
      <c r="V833" s="89" t="str">
        <f t="shared" si="24"/>
        <v>#DIV/0!</v>
      </c>
      <c r="W833" s="89" t="str">
        <f t="shared" si="9"/>
        <v>#DIV/0!</v>
      </c>
      <c r="X833" s="89"/>
      <c r="Y833" s="89"/>
      <c r="Z833" s="89"/>
      <c r="AA833" s="89"/>
      <c r="AB833" s="89"/>
      <c r="AC833" s="89"/>
      <c r="AD833" s="89"/>
      <c r="AE833" s="89"/>
      <c r="AF833" s="89"/>
      <c r="AG833" s="89"/>
      <c r="AH833" s="89"/>
    </row>
    <row r="834">
      <c r="A834" s="8" t="s">
        <v>972</v>
      </c>
      <c r="B834" s="97"/>
      <c r="C834" s="8"/>
      <c r="D834" s="89" t="str">
        <f t="shared" si="1"/>
        <v/>
      </c>
      <c r="E834" s="89" t="str">
        <f t="shared" si="2"/>
        <v>OT Hours</v>
      </c>
      <c r="F834" s="89" t="str">
        <f>IFERROR(VLOOKUP(C834,'Employees List'!$B$1:$G$999,2,0),"")</f>
        <v/>
      </c>
      <c r="G834" s="89" t="str">
        <f t="shared" si="23"/>
        <v>#DIV/0!</v>
      </c>
      <c r="H834" s="98"/>
      <c r="I834" s="89" t="str">
        <f>IFERROR(VLOOKUP(F834,'Employees List'!$C:$F,2,0),"")</f>
        <v/>
      </c>
      <c r="J834" s="93" t="str">
        <f>IFERROR(VLOOKUP(C834,'Employees List'!$B$2:$G$991,5,0),"")</f>
        <v/>
      </c>
      <c r="K834" s="95" t="str">
        <f>IFERROR(VLOOKUP(F834,'Employees List'!$C$1:$AB$991,5,0),"")</f>
        <v/>
      </c>
      <c r="L834" s="91">
        <f t="shared" si="3"/>
        <v>0</v>
      </c>
      <c r="M834" s="91">
        <f t="shared" si="4"/>
        <v>0</v>
      </c>
      <c r="N834" s="89" t="str">
        <f>IFERROR(VLOOKUP(B834,'Employees List'!$A$2:$H$991,8,0),"")</f>
        <v/>
      </c>
      <c r="O834" s="89" t="str">
        <f>IFERROR(VLOOKUP(D834,'Daily Attendance Report 24-25'!A798:BP999,5,0),"")</f>
        <v/>
      </c>
      <c r="P834" s="89" t="str">
        <f>IFERROR(VLOOKUP(E834,'Daily Attendance Report 24-25'!$A$1:$BO$617,5,0),"")</f>
        <v/>
      </c>
      <c r="Q834" s="89"/>
      <c r="R834" s="89"/>
      <c r="S834" s="89" t="str">
        <f t="shared" si="17"/>
        <v>#DIV/0!</v>
      </c>
      <c r="T834" s="89" t="str">
        <f t="shared" si="6"/>
        <v>#DIV/0!</v>
      </c>
      <c r="U834" s="89" t="str">
        <f t="shared" si="25"/>
        <v>#DIV/0!</v>
      </c>
      <c r="V834" s="89" t="str">
        <f t="shared" si="24"/>
        <v>#DIV/0!</v>
      </c>
      <c r="W834" s="89" t="str">
        <f t="shared" si="9"/>
        <v>#DIV/0!</v>
      </c>
      <c r="X834" s="89"/>
      <c r="Y834" s="89"/>
      <c r="Z834" s="89"/>
      <c r="AA834" s="89"/>
      <c r="AB834" s="89"/>
      <c r="AC834" s="89"/>
      <c r="AD834" s="89"/>
      <c r="AE834" s="89"/>
      <c r="AF834" s="89"/>
      <c r="AG834" s="89"/>
      <c r="AH834" s="89"/>
    </row>
    <row r="835">
      <c r="A835" s="8" t="s">
        <v>973</v>
      </c>
      <c r="B835" s="97"/>
      <c r="C835" s="8"/>
      <c r="D835" s="89" t="str">
        <f t="shared" si="1"/>
        <v/>
      </c>
      <c r="E835" s="89" t="str">
        <f t="shared" si="2"/>
        <v>OT Hours</v>
      </c>
      <c r="F835" s="89" t="str">
        <f>IFERROR(VLOOKUP(C835,'Employees List'!$B$1:$G$999,2,0),"")</f>
        <v/>
      </c>
      <c r="G835" s="89" t="str">
        <f t="shared" si="23"/>
        <v>#DIV/0!</v>
      </c>
      <c r="H835" s="98"/>
      <c r="I835" s="89" t="str">
        <f>IFERROR(VLOOKUP(F835,'Employees List'!$C:$F,2,0),"")</f>
        <v/>
      </c>
      <c r="J835" s="93" t="str">
        <f>IFERROR(VLOOKUP(C835,'Employees List'!$B$2:$G$991,5,0),"")</f>
        <v/>
      </c>
      <c r="K835" s="95" t="str">
        <f>IFERROR(VLOOKUP(F835,'Employees List'!$C$1:$AB$991,5,0),"")</f>
        <v/>
      </c>
      <c r="L835" s="91">
        <f t="shared" si="3"/>
        <v>0</v>
      </c>
      <c r="M835" s="91">
        <f t="shared" si="4"/>
        <v>0</v>
      </c>
      <c r="N835" s="89" t="str">
        <f>IFERROR(VLOOKUP(B835,'Employees List'!$A$2:$H$991,8,0),"")</f>
        <v/>
      </c>
      <c r="O835" s="89" t="str">
        <f>IFERROR(VLOOKUP(D835,'Daily Attendance Report 24-25'!A799:BP999,5,0),"")</f>
        <v/>
      </c>
      <c r="P835" s="89" t="str">
        <f>IFERROR(VLOOKUP(E835,'Daily Attendance Report 24-25'!$A$1:$BO$617,5,0),"")</f>
        <v/>
      </c>
      <c r="Q835" s="89"/>
      <c r="R835" s="89"/>
      <c r="S835" s="89" t="str">
        <f t="shared" si="17"/>
        <v>#DIV/0!</v>
      </c>
      <c r="T835" s="89" t="str">
        <f t="shared" si="6"/>
        <v>#DIV/0!</v>
      </c>
      <c r="U835" s="89" t="str">
        <f t="shared" si="25"/>
        <v>#DIV/0!</v>
      </c>
      <c r="V835" s="89" t="str">
        <f t="shared" si="24"/>
        <v>#DIV/0!</v>
      </c>
      <c r="W835" s="89" t="str">
        <f t="shared" si="9"/>
        <v>#DIV/0!</v>
      </c>
      <c r="X835" s="89"/>
      <c r="Y835" s="89"/>
      <c r="Z835" s="89"/>
      <c r="AA835" s="89"/>
      <c r="AB835" s="89"/>
      <c r="AC835" s="89"/>
      <c r="AD835" s="89"/>
      <c r="AE835" s="89"/>
      <c r="AF835" s="89"/>
      <c r="AG835" s="89"/>
      <c r="AH835" s="89"/>
    </row>
    <row r="836">
      <c r="A836" s="8" t="s">
        <v>974</v>
      </c>
      <c r="B836" s="97"/>
      <c r="C836" s="8"/>
      <c r="D836" s="89" t="str">
        <f t="shared" si="1"/>
        <v/>
      </c>
      <c r="E836" s="89" t="str">
        <f t="shared" si="2"/>
        <v>OT Hours</v>
      </c>
      <c r="F836" s="89" t="str">
        <f>IFERROR(VLOOKUP(C836,'Employees List'!$B$1:$G$999,2,0),"")</f>
        <v/>
      </c>
      <c r="G836" s="89" t="str">
        <f t="shared" si="23"/>
        <v>#DIV/0!</v>
      </c>
      <c r="H836" s="98"/>
      <c r="I836" s="89" t="str">
        <f>IFERROR(VLOOKUP(F836,'Employees List'!$C:$F,2,0),"")</f>
        <v/>
      </c>
      <c r="J836" s="93" t="str">
        <f>IFERROR(VLOOKUP(C836,'Employees List'!$B$2:$G$991,5,0),"")</f>
        <v/>
      </c>
      <c r="K836" s="95" t="str">
        <f>IFERROR(VLOOKUP(F836,'Employees List'!$C$1:$AB$991,5,0),"")</f>
        <v/>
      </c>
      <c r="L836" s="91">
        <f t="shared" si="3"/>
        <v>0</v>
      </c>
      <c r="M836" s="91">
        <f t="shared" si="4"/>
        <v>0</v>
      </c>
      <c r="N836" s="89" t="str">
        <f>IFERROR(VLOOKUP(B836,'Employees List'!$A$2:$H$991,8,0),"")</f>
        <v/>
      </c>
      <c r="O836" s="89" t="str">
        <f>IFERROR(VLOOKUP(D836,'Daily Attendance Report 24-25'!A800:BP999,5,0),"")</f>
        <v/>
      </c>
      <c r="P836" s="89" t="str">
        <f>IFERROR(VLOOKUP(E836,'Daily Attendance Report 24-25'!$A$1:$BO$617,5,0),"")</f>
        <v/>
      </c>
      <c r="Q836" s="89"/>
      <c r="R836" s="89"/>
      <c r="S836" s="89" t="str">
        <f t="shared" si="17"/>
        <v>#DIV/0!</v>
      </c>
      <c r="T836" s="89" t="str">
        <f t="shared" si="6"/>
        <v>#DIV/0!</v>
      </c>
      <c r="U836" s="89" t="str">
        <f t="shared" si="25"/>
        <v>#DIV/0!</v>
      </c>
      <c r="V836" s="89" t="str">
        <f t="shared" si="24"/>
        <v>#DIV/0!</v>
      </c>
      <c r="W836" s="89" t="str">
        <f t="shared" si="9"/>
        <v>#DIV/0!</v>
      </c>
      <c r="X836" s="89"/>
      <c r="Y836" s="89"/>
      <c r="Z836" s="89"/>
      <c r="AA836" s="89"/>
      <c r="AB836" s="89"/>
      <c r="AC836" s="89"/>
      <c r="AD836" s="89"/>
      <c r="AE836" s="89"/>
      <c r="AF836" s="89"/>
      <c r="AG836" s="89"/>
      <c r="AH836" s="89"/>
    </row>
    <row r="837">
      <c r="A837" s="8" t="s">
        <v>975</v>
      </c>
      <c r="B837" s="97"/>
      <c r="C837" s="8"/>
      <c r="D837" s="89" t="str">
        <f t="shared" si="1"/>
        <v/>
      </c>
      <c r="E837" s="89" t="str">
        <f t="shared" si="2"/>
        <v>OT Hours</v>
      </c>
      <c r="F837" s="89" t="str">
        <f>IFERROR(VLOOKUP(C837,'Employees List'!$B$1:$G$999,2,0),"")</f>
        <v/>
      </c>
      <c r="G837" s="89" t="str">
        <f t="shared" si="23"/>
        <v>#DIV/0!</v>
      </c>
      <c r="H837" s="98"/>
      <c r="I837" s="89" t="str">
        <f>IFERROR(VLOOKUP(F837,'Employees List'!$C:$F,2,0),"")</f>
        <v/>
      </c>
      <c r="J837" s="93" t="str">
        <f>IFERROR(VLOOKUP(C837,'Employees List'!$B$2:$G$991,5,0),"")</f>
        <v/>
      </c>
      <c r="K837" s="95" t="str">
        <f>IFERROR(VLOOKUP(F837,'Employees List'!$C$1:$AB$991,5,0),"")</f>
        <v/>
      </c>
      <c r="L837" s="91">
        <f t="shared" si="3"/>
        <v>0</v>
      </c>
      <c r="M837" s="91">
        <f t="shared" si="4"/>
        <v>0</v>
      </c>
      <c r="N837" s="89" t="str">
        <f>IFERROR(VLOOKUP(B837,'Employees List'!$A$2:$H$991,8,0),"")</f>
        <v/>
      </c>
      <c r="O837" s="89" t="str">
        <f>IFERROR(VLOOKUP(D837,'Daily Attendance Report 24-25'!A801:BP999,5,0),"")</f>
        <v/>
      </c>
      <c r="P837" s="89" t="str">
        <f>IFERROR(VLOOKUP(E837,'Daily Attendance Report 24-25'!$A$1:$BO$617,5,0),"")</f>
        <v/>
      </c>
      <c r="Q837" s="89"/>
      <c r="R837" s="89"/>
      <c r="S837" s="89" t="str">
        <f t="shared" si="17"/>
        <v>#DIV/0!</v>
      </c>
      <c r="T837" s="89" t="str">
        <f t="shared" si="6"/>
        <v>#DIV/0!</v>
      </c>
      <c r="U837" s="89" t="str">
        <f t="shared" si="25"/>
        <v>#DIV/0!</v>
      </c>
      <c r="V837" s="89" t="str">
        <f t="shared" si="24"/>
        <v>#DIV/0!</v>
      </c>
      <c r="W837" s="89" t="str">
        <f t="shared" si="9"/>
        <v>#DIV/0!</v>
      </c>
      <c r="X837" s="89"/>
      <c r="Y837" s="89"/>
      <c r="Z837" s="89"/>
      <c r="AA837" s="89"/>
      <c r="AB837" s="89"/>
      <c r="AC837" s="89"/>
      <c r="AD837" s="89"/>
      <c r="AE837" s="89"/>
      <c r="AF837" s="89"/>
      <c r="AG837" s="89"/>
      <c r="AH837" s="89"/>
    </row>
    <row r="838">
      <c r="A838" s="8" t="s">
        <v>976</v>
      </c>
      <c r="B838" s="97"/>
      <c r="C838" s="8"/>
      <c r="D838" s="89" t="str">
        <f t="shared" si="1"/>
        <v/>
      </c>
      <c r="E838" s="89" t="str">
        <f t="shared" si="2"/>
        <v>OT Hours</v>
      </c>
      <c r="F838" s="89" t="str">
        <f>IFERROR(VLOOKUP(C838,'Employees List'!$B$1:$G$999,2,0),"")</f>
        <v/>
      </c>
      <c r="G838" s="89" t="str">
        <f t="shared" si="23"/>
        <v>#DIV/0!</v>
      </c>
      <c r="H838" s="98"/>
      <c r="I838" s="89" t="str">
        <f>IFERROR(VLOOKUP(F838,'Employees List'!$C:$F,2,0),"")</f>
        <v/>
      </c>
      <c r="J838" s="93" t="str">
        <f>IFERROR(VLOOKUP(C838,'Employees List'!$B$2:$G$991,5,0),"")</f>
        <v/>
      </c>
      <c r="K838" s="95" t="str">
        <f>IFERROR(VLOOKUP(F838,'Employees List'!$C$1:$AB$991,5,0),"")</f>
        <v/>
      </c>
      <c r="L838" s="91">
        <f t="shared" si="3"/>
        <v>0</v>
      </c>
      <c r="M838" s="91">
        <f t="shared" si="4"/>
        <v>0</v>
      </c>
      <c r="N838" s="89" t="str">
        <f>IFERROR(VLOOKUP(B838,'Employees List'!$A$2:$H$991,8,0),"")</f>
        <v/>
      </c>
      <c r="O838" s="89" t="str">
        <f>IFERROR(VLOOKUP(D838,'Daily Attendance Report 24-25'!A802:BP999,5,0),"")</f>
        <v/>
      </c>
      <c r="P838" s="89" t="str">
        <f>IFERROR(VLOOKUP(E838,'Daily Attendance Report 24-25'!$A$1:$BO$617,5,0),"")</f>
        <v/>
      </c>
      <c r="Q838" s="89"/>
      <c r="R838" s="89"/>
      <c r="S838" s="89" t="str">
        <f t="shared" si="17"/>
        <v>#DIV/0!</v>
      </c>
      <c r="T838" s="89" t="str">
        <f t="shared" si="6"/>
        <v>#DIV/0!</v>
      </c>
      <c r="U838" s="89" t="str">
        <f t="shared" si="25"/>
        <v>#DIV/0!</v>
      </c>
      <c r="V838" s="89" t="str">
        <f t="shared" si="24"/>
        <v>#DIV/0!</v>
      </c>
      <c r="W838" s="89" t="str">
        <f t="shared" si="9"/>
        <v>#DIV/0!</v>
      </c>
      <c r="X838" s="89"/>
      <c r="Y838" s="89"/>
      <c r="Z838" s="89"/>
      <c r="AA838" s="89"/>
      <c r="AB838" s="89"/>
      <c r="AC838" s="89"/>
      <c r="AD838" s="89"/>
      <c r="AE838" s="89"/>
      <c r="AF838" s="89"/>
      <c r="AG838" s="89"/>
      <c r="AH838" s="89"/>
    </row>
    <row r="839">
      <c r="A839" s="8" t="s">
        <v>977</v>
      </c>
      <c r="B839" s="97"/>
      <c r="C839" s="8"/>
      <c r="D839" s="89" t="str">
        <f t="shared" si="1"/>
        <v/>
      </c>
      <c r="E839" s="89" t="str">
        <f t="shared" si="2"/>
        <v>OT Hours</v>
      </c>
      <c r="F839" s="89" t="str">
        <f>IFERROR(VLOOKUP(C839,'Employees List'!$B$1:$G$999,2,0),"")</f>
        <v/>
      </c>
      <c r="G839" s="89" t="str">
        <f t="shared" si="23"/>
        <v>#DIV/0!</v>
      </c>
      <c r="H839" s="98"/>
      <c r="I839" s="89" t="str">
        <f>IFERROR(VLOOKUP(F839,'Employees List'!$C:$F,2,0),"")</f>
        <v/>
      </c>
      <c r="J839" s="93" t="str">
        <f>IFERROR(VLOOKUP(C839,'Employees List'!$B$2:$G$991,5,0),"")</f>
        <v/>
      </c>
      <c r="K839" s="95" t="str">
        <f>IFERROR(VLOOKUP(F839,'Employees List'!$C$1:$AB$991,5,0),"")</f>
        <v/>
      </c>
      <c r="L839" s="91">
        <f t="shared" si="3"/>
        <v>0</v>
      </c>
      <c r="M839" s="91">
        <f t="shared" si="4"/>
        <v>0</v>
      </c>
      <c r="N839" s="89" t="str">
        <f>IFERROR(VLOOKUP(B839,'Employees List'!$A$2:$H$991,8,0),"")</f>
        <v/>
      </c>
      <c r="O839" s="89" t="str">
        <f>IFERROR(VLOOKUP(D839,'Daily Attendance Report 24-25'!A803:BP999,5,0),"")</f>
        <v/>
      </c>
      <c r="P839" s="89" t="str">
        <f>IFERROR(VLOOKUP(E839,'Daily Attendance Report 24-25'!$A$1:$BO$617,5,0),"")</f>
        <v/>
      </c>
      <c r="Q839" s="89"/>
      <c r="R839" s="89"/>
      <c r="S839" s="89" t="str">
        <f t="shared" si="17"/>
        <v>#DIV/0!</v>
      </c>
      <c r="T839" s="89" t="str">
        <f t="shared" si="6"/>
        <v>#DIV/0!</v>
      </c>
      <c r="U839" s="89" t="str">
        <f t="shared" si="25"/>
        <v>#DIV/0!</v>
      </c>
      <c r="V839" s="89" t="str">
        <f t="shared" si="24"/>
        <v>#DIV/0!</v>
      </c>
      <c r="W839" s="89" t="str">
        <f t="shared" si="9"/>
        <v>#DIV/0!</v>
      </c>
      <c r="X839" s="89"/>
      <c r="Y839" s="89"/>
      <c r="Z839" s="89"/>
      <c r="AA839" s="89"/>
      <c r="AB839" s="89"/>
      <c r="AC839" s="89"/>
      <c r="AD839" s="89"/>
      <c r="AE839" s="89"/>
      <c r="AF839" s="89"/>
      <c r="AG839" s="89"/>
      <c r="AH839" s="89"/>
    </row>
    <row r="840">
      <c r="A840" s="8" t="s">
        <v>978</v>
      </c>
      <c r="B840" s="97"/>
      <c r="C840" s="8"/>
      <c r="D840" s="89" t="str">
        <f t="shared" si="1"/>
        <v/>
      </c>
      <c r="E840" s="89" t="str">
        <f t="shared" si="2"/>
        <v>OT Hours</v>
      </c>
      <c r="F840" s="89" t="str">
        <f>IFERROR(VLOOKUP(C840,'Employees List'!$B$1:$G$999,2,0),"")</f>
        <v/>
      </c>
      <c r="G840" s="89" t="str">
        <f t="shared" si="23"/>
        <v>#DIV/0!</v>
      </c>
      <c r="H840" s="98"/>
      <c r="I840" s="89" t="str">
        <f>IFERROR(VLOOKUP(F840,'Employees List'!$C:$F,2,0),"")</f>
        <v/>
      </c>
      <c r="J840" s="93" t="str">
        <f>IFERROR(VLOOKUP(C840,'Employees List'!$B$2:$G$991,5,0),"")</f>
        <v/>
      </c>
      <c r="K840" s="95" t="str">
        <f>IFERROR(VLOOKUP(F840,'Employees List'!$C$1:$AB$991,5,0),"")</f>
        <v/>
      </c>
      <c r="L840" s="91">
        <f t="shared" si="3"/>
        <v>0</v>
      </c>
      <c r="M840" s="91">
        <f t="shared" si="4"/>
        <v>0</v>
      </c>
      <c r="N840" s="89" t="str">
        <f>IFERROR(VLOOKUP(B840,'Employees List'!$A$2:$H$991,8,0),"")</f>
        <v/>
      </c>
      <c r="O840" s="89" t="str">
        <f>IFERROR(VLOOKUP(D840,'Daily Attendance Report 24-25'!A804:BP999,5,0),"")</f>
        <v/>
      </c>
      <c r="P840" s="89" t="str">
        <f>IFERROR(VLOOKUP(E840,'Daily Attendance Report 24-25'!$A$1:$BO$617,5,0),"")</f>
        <v/>
      </c>
      <c r="Q840" s="89"/>
      <c r="R840" s="89"/>
      <c r="S840" s="89" t="str">
        <f t="shared" si="17"/>
        <v>#DIV/0!</v>
      </c>
      <c r="T840" s="89" t="str">
        <f t="shared" si="6"/>
        <v>#DIV/0!</v>
      </c>
      <c r="U840" s="89" t="str">
        <f t="shared" si="25"/>
        <v>#DIV/0!</v>
      </c>
      <c r="V840" s="89" t="str">
        <f t="shared" si="24"/>
        <v>#DIV/0!</v>
      </c>
      <c r="W840" s="89" t="str">
        <f t="shared" si="9"/>
        <v>#DIV/0!</v>
      </c>
      <c r="X840" s="89"/>
      <c r="Y840" s="89"/>
      <c r="Z840" s="89"/>
      <c r="AA840" s="89"/>
      <c r="AB840" s="89"/>
      <c r="AC840" s="89"/>
      <c r="AD840" s="89"/>
      <c r="AE840" s="89"/>
      <c r="AF840" s="89"/>
      <c r="AG840" s="89"/>
      <c r="AH840" s="89"/>
    </row>
    <row r="841">
      <c r="A841" s="8" t="s">
        <v>979</v>
      </c>
      <c r="B841" s="97"/>
      <c r="C841" s="8"/>
      <c r="D841" s="89" t="str">
        <f t="shared" si="1"/>
        <v/>
      </c>
      <c r="E841" s="89" t="str">
        <f t="shared" si="2"/>
        <v>OT Hours</v>
      </c>
      <c r="F841" s="89" t="str">
        <f>IFERROR(VLOOKUP(C841,'Employees List'!$B$1:$G$999,2,0),"")</f>
        <v/>
      </c>
      <c r="G841" s="89" t="str">
        <f t="shared" si="23"/>
        <v>#DIV/0!</v>
      </c>
      <c r="H841" s="98"/>
      <c r="I841" s="89" t="str">
        <f>IFERROR(VLOOKUP(F841,'Employees List'!$C:$F,2,0),"")</f>
        <v/>
      </c>
      <c r="J841" s="93" t="str">
        <f>IFERROR(VLOOKUP(C841,'Employees List'!$B$2:$G$991,5,0),"")</f>
        <v/>
      </c>
      <c r="K841" s="95" t="str">
        <f>IFERROR(VLOOKUP(F841,'Employees List'!$C$1:$AB$991,5,0),"")</f>
        <v/>
      </c>
      <c r="L841" s="91">
        <f t="shared" si="3"/>
        <v>0</v>
      </c>
      <c r="M841" s="91">
        <f t="shared" si="4"/>
        <v>0</v>
      </c>
      <c r="N841" s="89" t="str">
        <f>IFERROR(VLOOKUP(B841,'Employees List'!$A$2:$H$991,8,0),"")</f>
        <v/>
      </c>
      <c r="O841" s="89" t="str">
        <f>IFERROR(VLOOKUP(D841,'Daily Attendance Report 24-25'!A805:BP999,5,0),"")</f>
        <v/>
      </c>
      <c r="P841" s="89" t="str">
        <f>IFERROR(VLOOKUP(E841,'Daily Attendance Report 24-25'!$A$1:$BO$617,5,0),"")</f>
        <v/>
      </c>
      <c r="Q841" s="89"/>
      <c r="R841" s="89"/>
      <c r="S841" s="89" t="str">
        <f t="shared" si="17"/>
        <v>#DIV/0!</v>
      </c>
      <c r="T841" s="89" t="str">
        <f t="shared" si="6"/>
        <v>#DIV/0!</v>
      </c>
      <c r="U841" s="89" t="str">
        <f t="shared" si="25"/>
        <v>#DIV/0!</v>
      </c>
      <c r="V841" s="89" t="str">
        <f t="shared" si="24"/>
        <v>#DIV/0!</v>
      </c>
      <c r="W841" s="89" t="str">
        <f t="shared" si="9"/>
        <v>#DIV/0!</v>
      </c>
      <c r="X841" s="89"/>
      <c r="Y841" s="89"/>
      <c r="Z841" s="89"/>
      <c r="AA841" s="89"/>
      <c r="AB841" s="89"/>
      <c r="AC841" s="89"/>
      <c r="AD841" s="89"/>
      <c r="AE841" s="89"/>
      <c r="AF841" s="89"/>
      <c r="AG841" s="89"/>
      <c r="AH841" s="89"/>
    </row>
    <row r="842">
      <c r="A842" s="8" t="s">
        <v>980</v>
      </c>
      <c r="B842" s="97"/>
      <c r="C842" s="8"/>
      <c r="D842" s="89" t="str">
        <f t="shared" si="1"/>
        <v/>
      </c>
      <c r="E842" s="89" t="str">
        <f t="shared" si="2"/>
        <v>OT Hours</v>
      </c>
      <c r="F842" s="89" t="str">
        <f>IFERROR(VLOOKUP(C842,'Employees List'!$B$1:$G$999,2,0),"")</f>
        <v/>
      </c>
      <c r="G842" s="89" t="str">
        <f t="shared" si="23"/>
        <v>#DIV/0!</v>
      </c>
      <c r="H842" s="98"/>
      <c r="I842" s="89" t="str">
        <f>IFERROR(VLOOKUP(F842,'Employees List'!$C:$F,2,0),"")</f>
        <v/>
      </c>
      <c r="J842" s="93" t="str">
        <f>IFERROR(VLOOKUP(C842,'Employees List'!$B$2:$G$991,5,0),"")</f>
        <v/>
      </c>
      <c r="K842" s="95" t="str">
        <f>IFERROR(VLOOKUP(F842,'Employees List'!$C$1:$AB$991,5,0),"")</f>
        <v/>
      </c>
      <c r="L842" s="91">
        <f t="shared" si="3"/>
        <v>0</v>
      </c>
      <c r="M842" s="91">
        <f t="shared" si="4"/>
        <v>0</v>
      </c>
      <c r="N842" s="89" t="str">
        <f>IFERROR(VLOOKUP(B842,'Employees List'!$A$2:$H$991,8,0),"")</f>
        <v/>
      </c>
      <c r="O842" s="89" t="str">
        <f>IFERROR(VLOOKUP(D842,'Daily Attendance Report 24-25'!A806:BP999,5,0),"")</f>
        <v/>
      </c>
      <c r="P842" s="89" t="str">
        <f>IFERROR(VLOOKUP(E842,'Daily Attendance Report 24-25'!$A$1:$BO$617,5,0),"")</f>
        <v/>
      </c>
      <c r="Q842" s="89"/>
      <c r="R842" s="89"/>
      <c r="S842" s="89" t="str">
        <f t="shared" si="17"/>
        <v>#DIV/0!</v>
      </c>
      <c r="T842" s="89" t="str">
        <f t="shared" si="6"/>
        <v>#DIV/0!</v>
      </c>
      <c r="U842" s="89" t="str">
        <f t="shared" si="25"/>
        <v>#DIV/0!</v>
      </c>
      <c r="V842" s="89" t="str">
        <f t="shared" si="24"/>
        <v>#DIV/0!</v>
      </c>
      <c r="W842" s="89" t="str">
        <f t="shared" si="9"/>
        <v>#DIV/0!</v>
      </c>
      <c r="X842" s="89"/>
      <c r="Y842" s="89"/>
      <c r="Z842" s="89"/>
      <c r="AA842" s="89"/>
      <c r="AB842" s="89"/>
      <c r="AC842" s="89"/>
      <c r="AD842" s="89"/>
      <c r="AE842" s="89"/>
      <c r="AF842" s="89"/>
      <c r="AG842" s="89"/>
      <c r="AH842" s="89"/>
    </row>
    <row r="843">
      <c r="A843" s="8" t="s">
        <v>981</v>
      </c>
      <c r="B843" s="97"/>
      <c r="C843" s="8"/>
      <c r="D843" s="89" t="str">
        <f t="shared" si="1"/>
        <v/>
      </c>
      <c r="E843" s="89" t="str">
        <f t="shared" si="2"/>
        <v>OT Hours</v>
      </c>
      <c r="F843" s="89" t="str">
        <f>IFERROR(VLOOKUP(C843,'Employees List'!$B$1:$G$999,2,0),"")</f>
        <v/>
      </c>
      <c r="G843" s="89" t="str">
        <f t="shared" si="23"/>
        <v>#DIV/0!</v>
      </c>
      <c r="H843" s="98"/>
      <c r="I843" s="89" t="str">
        <f>IFERROR(VLOOKUP(F843,'Employees List'!$C:$F,2,0),"")</f>
        <v/>
      </c>
      <c r="J843" s="93" t="str">
        <f>IFERROR(VLOOKUP(C843,'Employees List'!$B$2:$G$991,5,0),"")</f>
        <v/>
      </c>
      <c r="K843" s="95" t="str">
        <f>IFERROR(VLOOKUP(F843,'Employees List'!$C$1:$AB$991,5,0),"")</f>
        <v/>
      </c>
      <c r="L843" s="91">
        <f t="shared" si="3"/>
        <v>0</v>
      </c>
      <c r="M843" s="91">
        <f t="shared" si="4"/>
        <v>0</v>
      </c>
      <c r="N843" s="89" t="str">
        <f>IFERROR(VLOOKUP(B843,'Employees List'!$A$2:$H$991,8,0),"")</f>
        <v/>
      </c>
      <c r="O843" s="89" t="str">
        <f>IFERROR(VLOOKUP(D843,'Daily Attendance Report 24-25'!A807:BP999,5,0),"")</f>
        <v/>
      </c>
      <c r="P843" s="89" t="str">
        <f>IFERROR(VLOOKUP(E843,'Daily Attendance Report 24-25'!$A$1:$BO$617,5,0),"")</f>
        <v/>
      </c>
      <c r="Q843" s="89"/>
      <c r="R843" s="89"/>
      <c r="S843" s="89" t="str">
        <f t="shared" si="17"/>
        <v>#DIV/0!</v>
      </c>
      <c r="T843" s="89" t="str">
        <f t="shared" si="6"/>
        <v>#DIV/0!</v>
      </c>
      <c r="U843" s="89" t="str">
        <f t="shared" si="25"/>
        <v>#DIV/0!</v>
      </c>
      <c r="V843" s="89" t="str">
        <f t="shared" si="24"/>
        <v>#DIV/0!</v>
      </c>
      <c r="W843" s="89" t="str">
        <f t="shared" si="9"/>
        <v>#DIV/0!</v>
      </c>
      <c r="X843" s="89"/>
      <c r="Y843" s="89"/>
      <c r="Z843" s="89"/>
      <c r="AA843" s="89"/>
      <c r="AB843" s="89"/>
      <c r="AC843" s="89"/>
      <c r="AD843" s="89"/>
      <c r="AE843" s="89"/>
      <c r="AF843" s="89"/>
      <c r="AG843" s="89"/>
      <c r="AH843" s="89"/>
    </row>
    <row r="844">
      <c r="A844" s="8" t="s">
        <v>982</v>
      </c>
      <c r="B844" s="97"/>
      <c r="C844" s="8"/>
      <c r="D844" s="89" t="str">
        <f t="shared" si="1"/>
        <v/>
      </c>
      <c r="E844" s="89" t="str">
        <f t="shared" si="2"/>
        <v>OT Hours</v>
      </c>
      <c r="F844" s="89" t="str">
        <f>IFERROR(VLOOKUP(C844,'Employees List'!$B$1:$G$999,2,0),"")</f>
        <v/>
      </c>
      <c r="G844" s="89" t="str">
        <f t="shared" si="23"/>
        <v>#DIV/0!</v>
      </c>
      <c r="H844" s="98"/>
      <c r="I844" s="89" t="str">
        <f>IFERROR(VLOOKUP(F844,'Employees List'!$C:$F,2,0),"")</f>
        <v/>
      </c>
      <c r="J844" s="93" t="str">
        <f>IFERROR(VLOOKUP(C844,'Employees List'!$B$2:$G$991,5,0),"")</f>
        <v/>
      </c>
      <c r="K844" s="95" t="str">
        <f>IFERROR(VLOOKUP(F844,'Employees List'!$C$1:$AB$991,5,0),"")</f>
        <v/>
      </c>
      <c r="L844" s="91">
        <f t="shared" si="3"/>
        <v>0</v>
      </c>
      <c r="M844" s="91">
        <f t="shared" si="4"/>
        <v>0</v>
      </c>
      <c r="N844" s="89" t="str">
        <f>IFERROR(VLOOKUP(B844,'Employees List'!$A$2:$H$991,8,0),"")</f>
        <v/>
      </c>
      <c r="O844" s="89" t="str">
        <f>IFERROR(VLOOKUP(D844,'Daily Attendance Report 24-25'!A808:BP999,5,0),"")</f>
        <v/>
      </c>
      <c r="P844" s="89" t="str">
        <f>IFERROR(VLOOKUP(E844,'Daily Attendance Report 24-25'!$A$1:$BO$617,5,0),"")</f>
        <v/>
      </c>
      <c r="Q844" s="89"/>
      <c r="R844" s="89"/>
      <c r="S844" s="89" t="str">
        <f t="shared" si="17"/>
        <v>#DIV/0!</v>
      </c>
      <c r="T844" s="89" t="str">
        <f t="shared" si="6"/>
        <v>#DIV/0!</v>
      </c>
      <c r="U844" s="89" t="str">
        <f t="shared" si="25"/>
        <v>#DIV/0!</v>
      </c>
      <c r="V844" s="89" t="str">
        <f t="shared" si="24"/>
        <v>#DIV/0!</v>
      </c>
      <c r="W844" s="89" t="str">
        <f t="shared" si="9"/>
        <v>#DIV/0!</v>
      </c>
      <c r="X844" s="89"/>
      <c r="Y844" s="89"/>
      <c r="Z844" s="89"/>
      <c r="AA844" s="89"/>
      <c r="AB844" s="89"/>
      <c r="AC844" s="89"/>
      <c r="AD844" s="89"/>
      <c r="AE844" s="89"/>
      <c r="AF844" s="89"/>
      <c r="AG844" s="89"/>
      <c r="AH844" s="89"/>
    </row>
    <row r="845">
      <c r="A845" s="8" t="s">
        <v>983</v>
      </c>
      <c r="B845" s="97"/>
      <c r="C845" s="8"/>
      <c r="D845" s="89" t="str">
        <f t="shared" si="1"/>
        <v/>
      </c>
      <c r="E845" s="89" t="str">
        <f t="shared" si="2"/>
        <v>OT Hours</v>
      </c>
      <c r="F845" s="89" t="str">
        <f>IFERROR(VLOOKUP(C845,'Employees List'!$B$1:$G$999,2,0),"")</f>
        <v/>
      </c>
      <c r="G845" s="89" t="str">
        <f t="shared" si="23"/>
        <v>#DIV/0!</v>
      </c>
      <c r="H845" s="98"/>
      <c r="I845" s="89" t="str">
        <f>IFERROR(VLOOKUP(F845,'Employees List'!$C:$F,2,0),"")</f>
        <v/>
      </c>
      <c r="J845" s="93" t="str">
        <f>IFERROR(VLOOKUP(C845,'Employees List'!$B$2:$G$991,5,0),"")</f>
        <v/>
      </c>
      <c r="K845" s="95" t="str">
        <f>IFERROR(VLOOKUP(F845,'Employees List'!$C$1:$AB$991,5,0),"")</f>
        <v/>
      </c>
      <c r="L845" s="91">
        <f t="shared" si="3"/>
        <v>0</v>
      </c>
      <c r="M845" s="91">
        <f t="shared" si="4"/>
        <v>0</v>
      </c>
      <c r="N845" s="89" t="str">
        <f>IFERROR(VLOOKUP(B845,'Employees List'!$A$2:$H$991,8,0),"")</f>
        <v/>
      </c>
      <c r="O845" s="89" t="str">
        <f>IFERROR(VLOOKUP(D845,'Daily Attendance Report 24-25'!A809:BP999,5,0),"")</f>
        <v/>
      </c>
      <c r="P845" s="89" t="str">
        <f>IFERROR(VLOOKUP(E845,'Daily Attendance Report 24-25'!$A$1:$BO$617,5,0),"")</f>
        <v/>
      </c>
      <c r="Q845" s="89"/>
      <c r="R845" s="89"/>
      <c r="S845" s="89" t="str">
        <f t="shared" si="17"/>
        <v>#DIV/0!</v>
      </c>
      <c r="T845" s="89" t="str">
        <f t="shared" si="6"/>
        <v>#DIV/0!</v>
      </c>
      <c r="U845" s="89" t="str">
        <f t="shared" si="25"/>
        <v>#DIV/0!</v>
      </c>
      <c r="V845" s="89" t="str">
        <f t="shared" si="24"/>
        <v>#DIV/0!</v>
      </c>
      <c r="W845" s="89" t="str">
        <f t="shared" si="9"/>
        <v>#DIV/0!</v>
      </c>
      <c r="X845" s="89"/>
      <c r="Y845" s="89"/>
      <c r="Z845" s="89"/>
      <c r="AA845" s="89"/>
      <c r="AB845" s="89"/>
      <c r="AC845" s="89"/>
      <c r="AD845" s="89"/>
      <c r="AE845" s="89"/>
      <c r="AF845" s="89"/>
      <c r="AG845" s="89"/>
      <c r="AH845" s="89"/>
    </row>
    <row r="846">
      <c r="A846" s="8" t="s">
        <v>984</v>
      </c>
      <c r="B846" s="97"/>
      <c r="C846" s="8"/>
      <c r="D846" s="89" t="str">
        <f t="shared" si="1"/>
        <v/>
      </c>
      <c r="E846" s="89" t="str">
        <f t="shared" si="2"/>
        <v>OT Hours</v>
      </c>
      <c r="F846" s="89" t="str">
        <f>IFERROR(VLOOKUP(C846,'Employees List'!$B$1:$G$999,2,0),"")</f>
        <v/>
      </c>
      <c r="G846" s="89" t="str">
        <f t="shared" si="23"/>
        <v>#DIV/0!</v>
      </c>
      <c r="H846" s="98"/>
      <c r="I846" s="89" t="str">
        <f>IFERROR(VLOOKUP(F846,'Employees List'!$C:$F,2,0),"")</f>
        <v/>
      </c>
      <c r="J846" s="93" t="str">
        <f>IFERROR(VLOOKUP(C846,'Employees List'!$B$2:$G$991,5,0),"")</f>
        <v/>
      </c>
      <c r="K846" s="95" t="str">
        <f>IFERROR(VLOOKUP(F846,'Employees List'!$C$1:$AB$991,5,0),"")</f>
        <v/>
      </c>
      <c r="L846" s="91">
        <f t="shared" si="3"/>
        <v>0</v>
      </c>
      <c r="M846" s="91">
        <f t="shared" si="4"/>
        <v>0</v>
      </c>
      <c r="N846" s="89" t="str">
        <f>IFERROR(VLOOKUP(B846,'Employees List'!$A$2:$H$991,8,0),"")</f>
        <v/>
      </c>
      <c r="O846" s="89" t="str">
        <f>IFERROR(VLOOKUP(D846,'Daily Attendance Report 24-25'!A810:BP999,5,0),"")</f>
        <v/>
      </c>
      <c r="P846" s="89" t="str">
        <f>IFERROR(VLOOKUP(E846,'Daily Attendance Report 24-25'!$A$1:$BO$617,5,0),"")</f>
        <v/>
      </c>
      <c r="Q846" s="89"/>
      <c r="R846" s="89"/>
      <c r="S846" s="89" t="str">
        <f t="shared" si="17"/>
        <v>#DIV/0!</v>
      </c>
      <c r="T846" s="89" t="str">
        <f t="shared" si="6"/>
        <v>#DIV/0!</v>
      </c>
      <c r="U846" s="89" t="str">
        <f t="shared" si="25"/>
        <v>#DIV/0!</v>
      </c>
      <c r="V846" s="89" t="str">
        <f t="shared" si="24"/>
        <v>#DIV/0!</v>
      </c>
      <c r="W846" s="89" t="str">
        <f t="shared" si="9"/>
        <v>#DIV/0!</v>
      </c>
      <c r="X846" s="89"/>
      <c r="Y846" s="89"/>
      <c r="Z846" s="89"/>
      <c r="AA846" s="89"/>
      <c r="AB846" s="89"/>
      <c r="AC846" s="89"/>
      <c r="AD846" s="89"/>
      <c r="AE846" s="89"/>
      <c r="AF846" s="89"/>
      <c r="AG846" s="89"/>
      <c r="AH846" s="89"/>
    </row>
    <row r="847">
      <c r="A847" s="8" t="s">
        <v>985</v>
      </c>
      <c r="B847" s="97"/>
      <c r="C847" s="8"/>
      <c r="D847" s="89" t="str">
        <f t="shared" si="1"/>
        <v/>
      </c>
      <c r="E847" s="89" t="str">
        <f t="shared" si="2"/>
        <v>OT Hours</v>
      </c>
      <c r="F847" s="89" t="str">
        <f>IFERROR(VLOOKUP(C847,'Employees List'!$B$1:$G$999,2,0),"")</f>
        <v/>
      </c>
      <c r="G847" s="89" t="str">
        <f t="shared" si="23"/>
        <v>#DIV/0!</v>
      </c>
      <c r="H847" s="98"/>
      <c r="I847" s="89" t="str">
        <f>IFERROR(VLOOKUP(F847,'Employees List'!$C:$F,2,0),"")</f>
        <v/>
      </c>
      <c r="J847" s="93" t="str">
        <f>IFERROR(VLOOKUP(C847,'Employees List'!$B$2:$G$991,5,0),"")</f>
        <v/>
      </c>
      <c r="K847" s="95" t="str">
        <f>IFERROR(VLOOKUP(F847,'Employees List'!$C$1:$AB$991,5,0),"")</f>
        <v/>
      </c>
      <c r="L847" s="91">
        <f t="shared" si="3"/>
        <v>0</v>
      </c>
      <c r="M847" s="91">
        <f t="shared" si="4"/>
        <v>0</v>
      </c>
      <c r="N847" s="89" t="str">
        <f>IFERROR(VLOOKUP(B847,'Employees List'!$A$2:$H$991,8,0),"")</f>
        <v/>
      </c>
      <c r="O847" s="89" t="str">
        <f>IFERROR(VLOOKUP(D847,'Daily Attendance Report 24-25'!A811:BP999,5,0),"")</f>
        <v/>
      </c>
      <c r="P847" s="89" t="str">
        <f>IFERROR(VLOOKUP(E847,'Daily Attendance Report 24-25'!$A$1:$BO$617,5,0),"")</f>
        <v/>
      </c>
      <c r="Q847" s="89"/>
      <c r="R847" s="89"/>
      <c r="S847" s="89" t="str">
        <f t="shared" si="17"/>
        <v>#DIV/0!</v>
      </c>
      <c r="T847" s="89" t="str">
        <f t="shared" si="6"/>
        <v>#DIV/0!</v>
      </c>
      <c r="U847" s="89" t="str">
        <f t="shared" si="25"/>
        <v>#DIV/0!</v>
      </c>
      <c r="V847" s="89" t="str">
        <f t="shared" si="24"/>
        <v>#DIV/0!</v>
      </c>
      <c r="W847" s="89" t="str">
        <f t="shared" si="9"/>
        <v>#DIV/0!</v>
      </c>
      <c r="X847" s="89"/>
      <c r="Y847" s="89"/>
      <c r="Z847" s="89"/>
      <c r="AA847" s="89"/>
      <c r="AB847" s="89"/>
      <c r="AC847" s="89"/>
      <c r="AD847" s="89"/>
      <c r="AE847" s="89"/>
      <c r="AF847" s="89"/>
      <c r="AG847" s="89"/>
      <c r="AH847" s="89"/>
    </row>
    <row r="848">
      <c r="A848" s="8" t="s">
        <v>986</v>
      </c>
      <c r="B848" s="97"/>
      <c r="C848" s="8"/>
      <c r="D848" s="89" t="str">
        <f t="shared" si="1"/>
        <v/>
      </c>
      <c r="E848" s="89" t="str">
        <f t="shared" si="2"/>
        <v>OT Hours</v>
      </c>
      <c r="F848" s="89" t="str">
        <f>IFERROR(VLOOKUP(C848,'Employees List'!$B$1:$G$999,2,0),"")</f>
        <v/>
      </c>
      <c r="G848" s="89" t="str">
        <f t="shared" si="23"/>
        <v>#DIV/0!</v>
      </c>
      <c r="H848" s="98"/>
      <c r="I848" s="89" t="str">
        <f>IFERROR(VLOOKUP(F848,'Employees List'!$C:$F,2,0),"")</f>
        <v/>
      </c>
      <c r="J848" s="93" t="str">
        <f>IFERROR(VLOOKUP(C848,'Employees List'!$B$2:$G$991,5,0),"")</f>
        <v/>
      </c>
      <c r="K848" s="95" t="str">
        <f>IFERROR(VLOOKUP(F848,'Employees List'!$C$1:$AB$991,5,0),"")</f>
        <v/>
      </c>
      <c r="L848" s="91">
        <f t="shared" si="3"/>
        <v>0</v>
      </c>
      <c r="M848" s="91">
        <f t="shared" si="4"/>
        <v>0</v>
      </c>
      <c r="N848" s="89" t="str">
        <f>IFERROR(VLOOKUP(B848,'Employees List'!$A$2:$H$991,8,0),"")</f>
        <v/>
      </c>
      <c r="O848" s="89" t="str">
        <f>IFERROR(VLOOKUP(D848,'Daily Attendance Report 24-25'!A812:BP999,5,0),"")</f>
        <v/>
      </c>
      <c r="P848" s="89" t="str">
        <f>IFERROR(VLOOKUP(E848,'Daily Attendance Report 24-25'!$A$1:$BO$617,5,0),"")</f>
        <v/>
      </c>
      <c r="Q848" s="89"/>
      <c r="R848" s="89"/>
      <c r="S848" s="89" t="str">
        <f t="shared" si="17"/>
        <v>#DIV/0!</v>
      </c>
      <c r="T848" s="89" t="str">
        <f t="shared" si="6"/>
        <v>#DIV/0!</v>
      </c>
      <c r="U848" s="89" t="str">
        <f t="shared" si="25"/>
        <v>#DIV/0!</v>
      </c>
      <c r="V848" s="89" t="str">
        <f t="shared" si="24"/>
        <v>#DIV/0!</v>
      </c>
      <c r="W848" s="89" t="str">
        <f t="shared" si="9"/>
        <v>#DIV/0!</v>
      </c>
      <c r="X848" s="89"/>
      <c r="Y848" s="89"/>
      <c r="Z848" s="89"/>
      <c r="AA848" s="89"/>
      <c r="AB848" s="89"/>
      <c r="AC848" s="89"/>
      <c r="AD848" s="89"/>
      <c r="AE848" s="89"/>
      <c r="AF848" s="89"/>
      <c r="AG848" s="89"/>
      <c r="AH848" s="89"/>
    </row>
    <row r="849">
      <c r="A849" s="8" t="s">
        <v>987</v>
      </c>
      <c r="B849" s="97"/>
      <c r="C849" s="8"/>
      <c r="D849" s="89" t="str">
        <f t="shared" si="1"/>
        <v/>
      </c>
      <c r="E849" s="89" t="str">
        <f t="shared" si="2"/>
        <v>OT Hours</v>
      </c>
      <c r="F849" s="89" t="str">
        <f>IFERROR(VLOOKUP(C849,'Employees List'!$B$1:$G$999,2,0),"")</f>
        <v/>
      </c>
      <c r="G849" s="89" t="str">
        <f t="shared" si="23"/>
        <v>#DIV/0!</v>
      </c>
      <c r="H849" s="98"/>
      <c r="I849" s="89" t="str">
        <f>IFERROR(VLOOKUP(F849,'Employees List'!$C:$F,2,0),"")</f>
        <v/>
      </c>
      <c r="J849" s="93" t="str">
        <f>IFERROR(VLOOKUP(C849,'Employees List'!$B$2:$G$991,5,0),"")</f>
        <v/>
      </c>
      <c r="K849" s="95" t="str">
        <f>IFERROR(VLOOKUP(F849,'Employees List'!$C$1:$AB$991,5,0),"")</f>
        <v/>
      </c>
      <c r="L849" s="91">
        <f t="shared" si="3"/>
        <v>0</v>
      </c>
      <c r="M849" s="91">
        <f t="shared" si="4"/>
        <v>0</v>
      </c>
      <c r="N849" s="89" t="str">
        <f>IFERROR(VLOOKUP(B849,'Employees List'!$A$2:$H$991,8,0),"")</f>
        <v/>
      </c>
      <c r="O849" s="89" t="str">
        <f>IFERROR(VLOOKUP(D849,'Daily Attendance Report 24-25'!A813:BP999,5,0),"")</f>
        <v/>
      </c>
      <c r="P849" s="89" t="str">
        <f>IFERROR(VLOOKUP(E849,'Daily Attendance Report 24-25'!$A$1:$BO$617,5,0),"")</f>
        <v/>
      </c>
      <c r="Q849" s="89"/>
      <c r="R849" s="89"/>
      <c r="S849" s="89" t="str">
        <f t="shared" si="17"/>
        <v>#DIV/0!</v>
      </c>
      <c r="T849" s="89" t="str">
        <f t="shared" si="6"/>
        <v>#DIV/0!</v>
      </c>
      <c r="U849" s="89" t="str">
        <f t="shared" si="25"/>
        <v>#DIV/0!</v>
      </c>
      <c r="V849" s="89" t="str">
        <f t="shared" si="24"/>
        <v>#DIV/0!</v>
      </c>
      <c r="W849" s="89" t="str">
        <f t="shared" si="9"/>
        <v>#DIV/0!</v>
      </c>
      <c r="X849" s="89"/>
      <c r="Y849" s="89"/>
      <c r="Z849" s="89"/>
      <c r="AA849" s="89"/>
      <c r="AB849" s="89"/>
      <c r="AC849" s="89"/>
      <c r="AD849" s="89"/>
      <c r="AE849" s="89"/>
      <c r="AF849" s="89"/>
      <c r="AG849" s="89"/>
      <c r="AH849" s="89"/>
    </row>
    <row r="850">
      <c r="A850" s="8" t="s">
        <v>988</v>
      </c>
      <c r="B850" s="97"/>
      <c r="C850" s="8"/>
      <c r="D850" s="89" t="str">
        <f t="shared" si="1"/>
        <v/>
      </c>
      <c r="E850" s="89" t="str">
        <f t="shared" si="2"/>
        <v>OT Hours</v>
      </c>
      <c r="F850" s="89" t="str">
        <f>IFERROR(VLOOKUP(C850,'Employees List'!$B$1:$G$999,2,0),"")</f>
        <v/>
      </c>
      <c r="G850" s="89" t="str">
        <f t="shared" si="23"/>
        <v>#DIV/0!</v>
      </c>
      <c r="H850" s="98"/>
      <c r="I850" s="89" t="str">
        <f>IFERROR(VLOOKUP(F850,'Employees List'!$C:$F,2,0),"")</f>
        <v/>
      </c>
      <c r="J850" s="93" t="str">
        <f>IFERROR(VLOOKUP(C850,'Employees List'!$B$2:$G$991,5,0),"")</f>
        <v/>
      </c>
      <c r="K850" s="95" t="str">
        <f>IFERROR(VLOOKUP(F850,'Employees List'!$C$1:$AB$991,5,0),"")</f>
        <v/>
      </c>
      <c r="L850" s="91">
        <f t="shared" si="3"/>
        <v>0</v>
      </c>
      <c r="M850" s="91">
        <f t="shared" si="4"/>
        <v>0</v>
      </c>
      <c r="N850" s="89" t="str">
        <f>IFERROR(VLOOKUP(B850,'Employees List'!$A$2:$H$991,8,0),"")</f>
        <v/>
      </c>
      <c r="O850" s="89" t="str">
        <f>IFERROR(VLOOKUP(D850,'Daily Attendance Report 24-25'!A814:BP999,5,0),"")</f>
        <v/>
      </c>
      <c r="P850" s="89" t="str">
        <f>IFERROR(VLOOKUP(E850,'Daily Attendance Report 24-25'!$A$1:$BO$617,5,0),"")</f>
        <v/>
      </c>
      <c r="Q850" s="89"/>
      <c r="R850" s="89"/>
      <c r="S850" s="89" t="str">
        <f t="shared" si="17"/>
        <v>#DIV/0!</v>
      </c>
      <c r="T850" s="89" t="str">
        <f t="shared" si="6"/>
        <v>#DIV/0!</v>
      </c>
      <c r="U850" s="89" t="str">
        <f t="shared" si="25"/>
        <v>#DIV/0!</v>
      </c>
      <c r="V850" s="89" t="str">
        <f t="shared" si="24"/>
        <v>#DIV/0!</v>
      </c>
      <c r="W850" s="89" t="str">
        <f t="shared" si="9"/>
        <v>#DIV/0!</v>
      </c>
      <c r="X850" s="89"/>
      <c r="Y850" s="89"/>
      <c r="Z850" s="89"/>
      <c r="AA850" s="89"/>
      <c r="AB850" s="89"/>
      <c r="AC850" s="89"/>
      <c r="AD850" s="89"/>
      <c r="AE850" s="89"/>
      <c r="AF850" s="89"/>
      <c r="AG850" s="89"/>
      <c r="AH850" s="89"/>
    </row>
    <row r="851">
      <c r="A851" s="8" t="s">
        <v>989</v>
      </c>
      <c r="B851" s="97"/>
      <c r="C851" s="8"/>
      <c r="D851" s="89" t="str">
        <f t="shared" si="1"/>
        <v/>
      </c>
      <c r="E851" s="89" t="str">
        <f t="shared" si="2"/>
        <v>OT Hours</v>
      </c>
      <c r="F851" s="89" t="str">
        <f>IFERROR(VLOOKUP(C851,'Employees List'!$B$1:$G$999,2,0),"")</f>
        <v/>
      </c>
      <c r="G851" s="89" t="str">
        <f t="shared" si="23"/>
        <v>#DIV/0!</v>
      </c>
      <c r="H851" s="98"/>
      <c r="I851" s="89" t="str">
        <f>IFERROR(VLOOKUP(F851,'Employees List'!$C:$F,2,0),"")</f>
        <v/>
      </c>
      <c r="J851" s="93" t="str">
        <f>IFERROR(VLOOKUP(C851,'Employees List'!$B$2:$G$991,5,0),"")</f>
        <v/>
      </c>
      <c r="K851" s="95" t="str">
        <f>IFERROR(VLOOKUP(F851,'Employees List'!$C$1:$AB$991,5,0),"")</f>
        <v/>
      </c>
      <c r="L851" s="91">
        <f t="shared" si="3"/>
        <v>0</v>
      </c>
      <c r="M851" s="91">
        <f t="shared" si="4"/>
        <v>0</v>
      </c>
      <c r="N851" s="89" t="str">
        <f>IFERROR(VLOOKUP(B851,'Employees List'!$A$2:$H$991,8,0),"")</f>
        <v/>
      </c>
      <c r="O851" s="89" t="str">
        <f>IFERROR(VLOOKUP(D851,'Daily Attendance Report 24-25'!A815:BP999,5,0),"")</f>
        <v/>
      </c>
      <c r="P851" s="89" t="str">
        <f>IFERROR(VLOOKUP(E851,'Daily Attendance Report 24-25'!$A$1:$BO$617,5,0),"")</f>
        <v/>
      </c>
      <c r="Q851" s="89"/>
      <c r="R851" s="89"/>
      <c r="S851" s="89" t="str">
        <f t="shared" si="17"/>
        <v>#DIV/0!</v>
      </c>
      <c r="T851" s="89" t="str">
        <f t="shared" si="6"/>
        <v>#DIV/0!</v>
      </c>
      <c r="U851" s="89" t="str">
        <f t="shared" si="25"/>
        <v>#DIV/0!</v>
      </c>
      <c r="V851" s="89" t="str">
        <f t="shared" si="24"/>
        <v>#DIV/0!</v>
      </c>
      <c r="W851" s="89" t="str">
        <f t="shared" si="9"/>
        <v>#DIV/0!</v>
      </c>
      <c r="X851" s="89"/>
      <c r="Y851" s="89"/>
      <c r="Z851" s="89"/>
      <c r="AA851" s="89"/>
      <c r="AB851" s="89"/>
      <c r="AC851" s="89"/>
      <c r="AD851" s="89"/>
      <c r="AE851" s="89"/>
      <c r="AF851" s="89"/>
      <c r="AG851" s="89"/>
      <c r="AH851" s="89"/>
    </row>
    <row r="852">
      <c r="A852" s="8" t="s">
        <v>990</v>
      </c>
      <c r="B852" s="97"/>
      <c r="C852" s="8"/>
      <c r="D852" s="89" t="str">
        <f t="shared" si="1"/>
        <v/>
      </c>
      <c r="E852" s="89" t="str">
        <f t="shared" si="2"/>
        <v>OT Hours</v>
      </c>
      <c r="F852" s="89" t="str">
        <f>IFERROR(VLOOKUP(C852,'Employees List'!$B$1:$G$999,2,0),"")</f>
        <v/>
      </c>
      <c r="G852" s="89" t="str">
        <f t="shared" si="23"/>
        <v>#DIV/0!</v>
      </c>
      <c r="H852" s="98"/>
      <c r="I852" s="89" t="str">
        <f>IFERROR(VLOOKUP(F852,'Employees List'!$C:$F,2,0),"")</f>
        <v/>
      </c>
      <c r="J852" s="93" t="str">
        <f>IFERROR(VLOOKUP(C852,'Employees List'!$B$2:$G$991,5,0),"")</f>
        <v/>
      </c>
      <c r="K852" s="95" t="str">
        <f>IFERROR(VLOOKUP(F852,'Employees List'!$C$1:$AB$991,5,0),"")</f>
        <v/>
      </c>
      <c r="L852" s="91">
        <f t="shared" si="3"/>
        <v>0</v>
      </c>
      <c r="M852" s="91">
        <f t="shared" si="4"/>
        <v>0</v>
      </c>
      <c r="N852" s="89" t="str">
        <f>IFERROR(VLOOKUP(B852,'Employees List'!$A$2:$H$991,8,0),"")</f>
        <v/>
      </c>
      <c r="O852" s="89" t="str">
        <f>IFERROR(VLOOKUP(D852,'Daily Attendance Report 24-25'!A816:BP999,5,0),"")</f>
        <v/>
      </c>
      <c r="P852" s="89" t="str">
        <f>IFERROR(VLOOKUP(E852,'Daily Attendance Report 24-25'!$A$1:$BO$617,5,0),"")</f>
        <v/>
      </c>
      <c r="Q852" s="89"/>
      <c r="R852" s="89"/>
      <c r="S852" s="89" t="str">
        <f t="shared" si="17"/>
        <v>#DIV/0!</v>
      </c>
      <c r="T852" s="89" t="str">
        <f t="shared" si="6"/>
        <v>#DIV/0!</v>
      </c>
      <c r="U852" s="89" t="str">
        <f t="shared" si="25"/>
        <v>#DIV/0!</v>
      </c>
      <c r="V852" s="89" t="str">
        <f t="shared" si="24"/>
        <v>#DIV/0!</v>
      </c>
      <c r="W852" s="89" t="str">
        <f t="shared" si="9"/>
        <v>#DIV/0!</v>
      </c>
      <c r="X852" s="89"/>
      <c r="Y852" s="89"/>
      <c r="Z852" s="89"/>
      <c r="AA852" s="89"/>
      <c r="AB852" s="89"/>
      <c r="AC852" s="89"/>
      <c r="AD852" s="89"/>
      <c r="AE852" s="89"/>
      <c r="AF852" s="89"/>
      <c r="AG852" s="89"/>
      <c r="AH852" s="89"/>
    </row>
    <row r="853">
      <c r="A853" s="8" t="s">
        <v>991</v>
      </c>
      <c r="B853" s="97"/>
      <c r="C853" s="8"/>
      <c r="D853" s="89" t="str">
        <f t="shared" si="1"/>
        <v/>
      </c>
      <c r="E853" s="89" t="str">
        <f t="shared" si="2"/>
        <v>OT Hours</v>
      </c>
      <c r="F853" s="89" t="str">
        <f>IFERROR(VLOOKUP(C853,'Employees List'!$B$1:$G$999,2,0),"")</f>
        <v/>
      </c>
      <c r="G853" s="89" t="str">
        <f t="shared" si="23"/>
        <v>#DIV/0!</v>
      </c>
      <c r="H853" s="98"/>
      <c r="I853" s="89" t="str">
        <f>IFERROR(VLOOKUP(F853,'Employees List'!$C:$F,2,0),"")</f>
        <v/>
      </c>
      <c r="J853" s="93" t="str">
        <f>IFERROR(VLOOKUP(C853,'Employees List'!$B$2:$G$991,5,0),"")</f>
        <v/>
      </c>
      <c r="K853" s="95" t="str">
        <f>IFERROR(VLOOKUP(F853,'Employees List'!$C$1:$AB$991,5,0),"")</f>
        <v/>
      </c>
      <c r="L853" s="91">
        <f t="shared" si="3"/>
        <v>0</v>
      </c>
      <c r="M853" s="91">
        <f t="shared" si="4"/>
        <v>0</v>
      </c>
      <c r="N853" s="89" t="str">
        <f>IFERROR(VLOOKUP(B853,'Employees List'!$A$2:$H$991,8,0),"")</f>
        <v/>
      </c>
      <c r="O853" s="89" t="str">
        <f>IFERROR(VLOOKUP(D853,'Daily Attendance Report 24-25'!A817:BP999,5,0),"")</f>
        <v/>
      </c>
      <c r="P853" s="89" t="str">
        <f>IFERROR(VLOOKUP(E853,'Daily Attendance Report 24-25'!$A$1:$BO$617,5,0),"")</f>
        <v/>
      </c>
      <c r="Q853" s="89"/>
      <c r="R853" s="89"/>
      <c r="S853" s="89" t="str">
        <f t="shared" si="17"/>
        <v>#DIV/0!</v>
      </c>
      <c r="T853" s="89" t="str">
        <f t="shared" si="6"/>
        <v>#DIV/0!</v>
      </c>
      <c r="U853" s="89" t="str">
        <f t="shared" si="25"/>
        <v>#DIV/0!</v>
      </c>
      <c r="V853" s="89" t="str">
        <f t="shared" si="24"/>
        <v>#DIV/0!</v>
      </c>
      <c r="W853" s="89" t="str">
        <f t="shared" si="9"/>
        <v>#DIV/0!</v>
      </c>
      <c r="X853" s="89"/>
      <c r="Y853" s="89"/>
      <c r="Z853" s="89"/>
      <c r="AA853" s="89"/>
      <c r="AB853" s="89"/>
      <c r="AC853" s="89"/>
      <c r="AD853" s="89"/>
      <c r="AE853" s="89"/>
      <c r="AF853" s="89"/>
      <c r="AG853" s="89"/>
      <c r="AH853" s="89"/>
    </row>
    <row r="854">
      <c r="A854" s="8" t="s">
        <v>992</v>
      </c>
      <c r="B854" s="97"/>
      <c r="C854" s="8"/>
      <c r="D854" s="89" t="str">
        <f t="shared" si="1"/>
        <v/>
      </c>
      <c r="E854" s="89" t="str">
        <f t="shared" si="2"/>
        <v>OT Hours</v>
      </c>
      <c r="F854" s="89" t="str">
        <f>IFERROR(VLOOKUP(C854,'Employees List'!$B$1:$G$999,2,0),"")</f>
        <v/>
      </c>
      <c r="G854" s="89" t="str">
        <f t="shared" si="23"/>
        <v>#DIV/0!</v>
      </c>
      <c r="H854" s="98"/>
      <c r="I854" s="89" t="str">
        <f>IFERROR(VLOOKUP(F854,'Employees List'!$C:$F,2,0),"")</f>
        <v/>
      </c>
      <c r="J854" s="93" t="str">
        <f>IFERROR(VLOOKUP(C854,'Employees List'!$B$2:$G$991,5,0),"")</f>
        <v/>
      </c>
      <c r="K854" s="95" t="str">
        <f>IFERROR(VLOOKUP(F854,'Employees List'!$C$1:$AB$991,5,0),"")</f>
        <v/>
      </c>
      <c r="L854" s="91">
        <f t="shared" si="3"/>
        <v>0</v>
      </c>
      <c r="M854" s="91">
        <f t="shared" si="4"/>
        <v>0</v>
      </c>
      <c r="N854" s="89" t="str">
        <f>IFERROR(VLOOKUP(B854,'Employees List'!$A$2:$H$991,8,0),"")</f>
        <v/>
      </c>
      <c r="O854" s="89" t="str">
        <f>IFERROR(VLOOKUP(D854,'Daily Attendance Report 24-25'!A818:BP999,5,0),"")</f>
        <v/>
      </c>
      <c r="P854" s="89" t="str">
        <f>IFERROR(VLOOKUP(E854,'Daily Attendance Report 24-25'!$A$1:$BO$617,5,0),"")</f>
        <v/>
      </c>
      <c r="Q854" s="89"/>
      <c r="R854" s="89"/>
      <c r="S854" s="89" t="str">
        <f t="shared" si="17"/>
        <v>#DIV/0!</v>
      </c>
      <c r="T854" s="89" t="str">
        <f t="shared" si="6"/>
        <v>#DIV/0!</v>
      </c>
      <c r="U854" s="89" t="str">
        <f t="shared" si="25"/>
        <v>#DIV/0!</v>
      </c>
      <c r="V854" s="89" t="str">
        <f t="shared" si="24"/>
        <v>#DIV/0!</v>
      </c>
      <c r="W854" s="89" t="str">
        <f t="shared" si="9"/>
        <v>#DIV/0!</v>
      </c>
      <c r="X854" s="89"/>
      <c r="Y854" s="89"/>
      <c r="Z854" s="89"/>
      <c r="AA854" s="89"/>
      <c r="AB854" s="89"/>
      <c r="AC854" s="89"/>
      <c r="AD854" s="89"/>
      <c r="AE854" s="89"/>
      <c r="AF854" s="89"/>
      <c r="AG854" s="89"/>
      <c r="AH854" s="89"/>
    </row>
    <row r="855">
      <c r="A855" s="8" t="s">
        <v>993</v>
      </c>
      <c r="B855" s="97"/>
      <c r="C855" s="8"/>
      <c r="D855" s="89" t="str">
        <f t="shared" si="1"/>
        <v/>
      </c>
      <c r="E855" s="89" t="str">
        <f t="shared" si="2"/>
        <v>OT Hours</v>
      </c>
      <c r="F855" s="89" t="str">
        <f>IFERROR(VLOOKUP(C855,'Employees List'!$B$1:$G$999,2,0),"")</f>
        <v/>
      </c>
      <c r="G855" s="89" t="str">
        <f t="shared" si="23"/>
        <v>#DIV/0!</v>
      </c>
      <c r="H855" s="98"/>
      <c r="I855" s="89" t="str">
        <f>IFERROR(VLOOKUP(F855,'Employees List'!$C:$F,2,0),"")</f>
        <v/>
      </c>
      <c r="J855" s="93" t="str">
        <f>IFERROR(VLOOKUP(C855,'Employees List'!$B$2:$G$991,5,0),"")</f>
        <v/>
      </c>
      <c r="K855" s="95" t="str">
        <f>IFERROR(VLOOKUP(F855,'Employees List'!$C$1:$AB$991,5,0),"")</f>
        <v/>
      </c>
      <c r="L855" s="91">
        <f t="shared" si="3"/>
        <v>0</v>
      </c>
      <c r="M855" s="91">
        <f t="shared" si="4"/>
        <v>0</v>
      </c>
      <c r="N855" s="89" t="str">
        <f>IFERROR(VLOOKUP(B855,'Employees List'!$A$2:$H$991,8,0),"")</f>
        <v/>
      </c>
      <c r="O855" s="89" t="str">
        <f>IFERROR(VLOOKUP(D855,'Daily Attendance Report 24-25'!A819:BP999,5,0),"")</f>
        <v/>
      </c>
      <c r="P855" s="89" t="str">
        <f>IFERROR(VLOOKUP(E855,'Daily Attendance Report 24-25'!$A$1:$BO$617,5,0),"")</f>
        <v/>
      </c>
      <c r="Q855" s="89"/>
      <c r="R855" s="89"/>
      <c r="S855" s="89" t="str">
        <f t="shared" si="17"/>
        <v>#DIV/0!</v>
      </c>
      <c r="T855" s="89" t="str">
        <f t="shared" si="6"/>
        <v>#DIV/0!</v>
      </c>
      <c r="U855" s="89" t="str">
        <f t="shared" si="25"/>
        <v>#DIV/0!</v>
      </c>
      <c r="V855" s="89" t="str">
        <f t="shared" si="24"/>
        <v>#DIV/0!</v>
      </c>
      <c r="W855" s="89" t="str">
        <f t="shared" si="9"/>
        <v>#DIV/0!</v>
      </c>
      <c r="X855" s="89"/>
      <c r="Y855" s="89"/>
      <c r="Z855" s="89"/>
      <c r="AA855" s="89"/>
      <c r="AB855" s="89"/>
      <c r="AC855" s="89"/>
      <c r="AD855" s="89"/>
      <c r="AE855" s="89"/>
      <c r="AF855" s="89"/>
      <c r="AG855" s="89"/>
      <c r="AH855" s="89"/>
    </row>
    <row r="856">
      <c r="A856" s="8" t="s">
        <v>994</v>
      </c>
      <c r="B856" s="97"/>
      <c r="C856" s="8"/>
      <c r="D856" s="89" t="str">
        <f t="shared" si="1"/>
        <v/>
      </c>
      <c r="E856" s="89" t="str">
        <f t="shared" si="2"/>
        <v>OT Hours</v>
      </c>
      <c r="F856" s="89" t="str">
        <f>IFERROR(VLOOKUP(C856,'Employees List'!$B$1:$G$999,2,0),"")</f>
        <v/>
      </c>
      <c r="G856" s="89" t="str">
        <f t="shared" si="23"/>
        <v>#DIV/0!</v>
      </c>
      <c r="H856" s="98"/>
      <c r="I856" s="89" t="str">
        <f>IFERROR(VLOOKUP(F856,'Employees List'!$C:$F,2,0),"")</f>
        <v/>
      </c>
      <c r="J856" s="93" t="str">
        <f>IFERROR(VLOOKUP(C856,'Employees List'!$B$2:$G$991,5,0),"")</f>
        <v/>
      </c>
      <c r="K856" s="95" t="str">
        <f>IFERROR(VLOOKUP(F856,'Employees List'!$C$1:$AB$991,5,0),"")</f>
        <v/>
      </c>
      <c r="L856" s="91">
        <f t="shared" si="3"/>
        <v>0</v>
      </c>
      <c r="M856" s="91">
        <f t="shared" si="4"/>
        <v>0</v>
      </c>
      <c r="N856" s="89" t="str">
        <f>IFERROR(VLOOKUP(B856,'Employees List'!$A$2:$H$991,8,0),"")</f>
        <v/>
      </c>
      <c r="O856" s="89" t="str">
        <f>IFERROR(VLOOKUP(D856,'Daily Attendance Report 24-25'!A820:BP999,5,0),"")</f>
        <v/>
      </c>
      <c r="P856" s="89" t="str">
        <f>IFERROR(VLOOKUP(E856,'Daily Attendance Report 24-25'!$A$1:$BO$617,5,0),"")</f>
        <v/>
      </c>
      <c r="Q856" s="89"/>
      <c r="R856" s="89"/>
      <c r="S856" s="89" t="str">
        <f t="shared" si="17"/>
        <v>#DIV/0!</v>
      </c>
      <c r="T856" s="89" t="str">
        <f t="shared" si="6"/>
        <v>#DIV/0!</v>
      </c>
      <c r="U856" s="89" t="str">
        <f t="shared" si="25"/>
        <v>#DIV/0!</v>
      </c>
      <c r="V856" s="89" t="str">
        <f t="shared" si="24"/>
        <v>#DIV/0!</v>
      </c>
      <c r="W856" s="89" t="str">
        <f t="shared" si="9"/>
        <v>#DIV/0!</v>
      </c>
      <c r="X856" s="89"/>
      <c r="Y856" s="89"/>
      <c r="Z856" s="89"/>
      <c r="AA856" s="89"/>
      <c r="AB856" s="89"/>
      <c r="AC856" s="89"/>
      <c r="AD856" s="89"/>
      <c r="AE856" s="89"/>
      <c r="AF856" s="89"/>
      <c r="AG856" s="89"/>
      <c r="AH856" s="89"/>
    </row>
    <row r="857">
      <c r="A857" s="8" t="s">
        <v>995</v>
      </c>
      <c r="B857" s="97"/>
      <c r="C857" s="8"/>
      <c r="D857" s="89" t="str">
        <f t="shared" si="1"/>
        <v/>
      </c>
      <c r="E857" s="89" t="str">
        <f t="shared" si="2"/>
        <v>OT Hours</v>
      </c>
      <c r="F857" s="89" t="str">
        <f>IFERROR(VLOOKUP(C857,'Employees List'!$B$1:$G$999,2,0),"")</f>
        <v/>
      </c>
      <c r="G857" s="89" t="str">
        <f t="shared" si="23"/>
        <v>#DIV/0!</v>
      </c>
      <c r="H857" s="98"/>
      <c r="I857" s="89" t="str">
        <f>IFERROR(VLOOKUP(F857,'Employees List'!$C:$F,2,0),"")</f>
        <v/>
      </c>
      <c r="J857" s="93" t="str">
        <f>IFERROR(VLOOKUP(C857,'Employees List'!$B$2:$G$991,5,0),"")</f>
        <v/>
      </c>
      <c r="K857" s="95" t="str">
        <f>IFERROR(VLOOKUP(F857,'Employees List'!$C$1:$AB$991,5,0),"")</f>
        <v/>
      </c>
      <c r="L857" s="91">
        <f t="shared" si="3"/>
        <v>0</v>
      </c>
      <c r="M857" s="91">
        <f t="shared" si="4"/>
        <v>0</v>
      </c>
      <c r="N857" s="89" t="str">
        <f>IFERROR(VLOOKUP(B857,'Employees List'!$A$2:$H$991,8,0),"")</f>
        <v/>
      </c>
      <c r="O857" s="89" t="str">
        <f>IFERROR(VLOOKUP(D857,'Daily Attendance Report 24-25'!A821:BP999,5,0),"")</f>
        <v/>
      </c>
      <c r="P857" s="89" t="str">
        <f>IFERROR(VLOOKUP(E857,'Daily Attendance Report 24-25'!$A$1:$BO$617,5,0),"")</f>
        <v/>
      </c>
      <c r="Q857" s="89"/>
      <c r="R857" s="89"/>
      <c r="S857" s="89" t="str">
        <f t="shared" si="17"/>
        <v>#DIV/0!</v>
      </c>
      <c r="T857" s="89" t="str">
        <f t="shared" si="6"/>
        <v>#DIV/0!</v>
      </c>
      <c r="U857" s="89" t="str">
        <f t="shared" si="25"/>
        <v>#DIV/0!</v>
      </c>
      <c r="V857" s="89" t="str">
        <f t="shared" si="24"/>
        <v>#DIV/0!</v>
      </c>
      <c r="W857" s="89" t="str">
        <f t="shared" si="9"/>
        <v>#DIV/0!</v>
      </c>
      <c r="X857" s="89"/>
      <c r="Y857" s="89"/>
      <c r="Z857" s="89"/>
      <c r="AA857" s="89"/>
      <c r="AB857" s="89"/>
      <c r="AC857" s="89"/>
      <c r="AD857" s="89"/>
      <c r="AE857" s="89"/>
      <c r="AF857" s="89"/>
      <c r="AG857" s="89"/>
      <c r="AH857" s="89"/>
    </row>
    <row r="858">
      <c r="A858" s="8" t="s">
        <v>996</v>
      </c>
      <c r="B858" s="97"/>
      <c r="C858" s="8"/>
      <c r="D858" s="89" t="str">
        <f t="shared" si="1"/>
        <v/>
      </c>
      <c r="E858" s="89" t="str">
        <f t="shared" si="2"/>
        <v>OT Hours</v>
      </c>
      <c r="F858" s="89" t="str">
        <f>IFERROR(VLOOKUP(C858,'Employees List'!$B$1:$G$999,2,0),"")</f>
        <v/>
      </c>
      <c r="G858" s="89" t="str">
        <f t="shared" si="23"/>
        <v>#DIV/0!</v>
      </c>
      <c r="H858" s="98"/>
      <c r="I858" s="89" t="str">
        <f>IFERROR(VLOOKUP(F858,'Employees List'!$C:$F,2,0),"")</f>
        <v/>
      </c>
      <c r="J858" s="93" t="str">
        <f>IFERROR(VLOOKUP(C858,'Employees List'!$B$2:$G$991,5,0),"")</f>
        <v/>
      </c>
      <c r="K858" s="95" t="str">
        <f>IFERROR(VLOOKUP(F858,'Employees List'!$C$1:$AB$991,5,0),"")</f>
        <v/>
      </c>
      <c r="L858" s="91">
        <f t="shared" si="3"/>
        <v>0</v>
      </c>
      <c r="M858" s="91">
        <f t="shared" si="4"/>
        <v>0</v>
      </c>
      <c r="N858" s="89" t="str">
        <f>IFERROR(VLOOKUP(B858,'Employees List'!$A$2:$H$991,8,0),"")</f>
        <v/>
      </c>
      <c r="O858" s="89" t="str">
        <f>IFERROR(VLOOKUP(D858,'Daily Attendance Report 24-25'!A822:BP999,5,0),"")</f>
        <v/>
      </c>
      <c r="P858" s="89" t="str">
        <f>IFERROR(VLOOKUP(E858,'Daily Attendance Report 24-25'!$A$1:$BO$617,5,0),"")</f>
        <v/>
      </c>
      <c r="Q858" s="89"/>
      <c r="R858" s="89"/>
      <c r="S858" s="89" t="str">
        <f t="shared" si="17"/>
        <v>#DIV/0!</v>
      </c>
      <c r="T858" s="89" t="str">
        <f t="shared" si="6"/>
        <v>#DIV/0!</v>
      </c>
      <c r="U858" s="89" t="str">
        <f t="shared" si="25"/>
        <v>#DIV/0!</v>
      </c>
      <c r="V858" s="89" t="str">
        <f t="shared" si="24"/>
        <v>#DIV/0!</v>
      </c>
      <c r="W858" s="89" t="str">
        <f t="shared" si="9"/>
        <v>#DIV/0!</v>
      </c>
      <c r="X858" s="89"/>
      <c r="Y858" s="89"/>
      <c r="Z858" s="89"/>
      <c r="AA858" s="89"/>
      <c r="AB858" s="89"/>
      <c r="AC858" s="89"/>
      <c r="AD858" s="89"/>
      <c r="AE858" s="89"/>
      <c r="AF858" s="89"/>
      <c r="AG858" s="89"/>
      <c r="AH858" s="89"/>
    </row>
    <row r="859">
      <c r="A859" s="8" t="s">
        <v>997</v>
      </c>
      <c r="B859" s="97"/>
      <c r="C859" s="8"/>
      <c r="D859" s="89" t="str">
        <f t="shared" si="1"/>
        <v/>
      </c>
      <c r="E859" s="89" t="str">
        <f t="shared" si="2"/>
        <v>OT Hours</v>
      </c>
      <c r="F859" s="89" t="str">
        <f>IFERROR(VLOOKUP(C859,'Employees List'!$B$1:$G$999,2,0),"")</f>
        <v/>
      </c>
      <c r="G859" s="89" t="str">
        <f t="shared" si="23"/>
        <v>#DIV/0!</v>
      </c>
      <c r="H859" s="98"/>
      <c r="I859" s="89" t="str">
        <f>IFERROR(VLOOKUP(F859,'Employees List'!$C:$F,2,0),"")</f>
        <v/>
      </c>
      <c r="J859" s="93" t="str">
        <f>IFERROR(VLOOKUP(C859,'Employees List'!$B$2:$G$991,5,0),"")</f>
        <v/>
      </c>
      <c r="K859" s="95" t="str">
        <f>IFERROR(VLOOKUP(F859,'Employees List'!$C$1:$AB$991,5,0),"")</f>
        <v/>
      </c>
      <c r="L859" s="91">
        <f t="shared" si="3"/>
        <v>0</v>
      </c>
      <c r="M859" s="91">
        <f t="shared" si="4"/>
        <v>0</v>
      </c>
      <c r="N859" s="89" t="str">
        <f>IFERROR(VLOOKUP(B859,'Employees List'!$A$2:$H$991,8,0),"")</f>
        <v/>
      </c>
      <c r="O859" s="89" t="str">
        <f>IFERROR(VLOOKUP(D859,'Daily Attendance Report 24-25'!A823:BP999,5,0),"")</f>
        <v/>
      </c>
      <c r="P859" s="89" t="str">
        <f>IFERROR(VLOOKUP(E859,'Daily Attendance Report 24-25'!$A$1:$BO$617,5,0),"")</f>
        <v/>
      </c>
      <c r="Q859" s="89"/>
      <c r="R859" s="89"/>
      <c r="S859" s="89" t="str">
        <f t="shared" si="17"/>
        <v>#DIV/0!</v>
      </c>
      <c r="T859" s="89" t="str">
        <f t="shared" si="6"/>
        <v>#DIV/0!</v>
      </c>
      <c r="U859" s="89" t="str">
        <f t="shared" si="25"/>
        <v>#DIV/0!</v>
      </c>
      <c r="V859" s="89" t="str">
        <f t="shared" si="24"/>
        <v>#DIV/0!</v>
      </c>
      <c r="W859" s="89" t="str">
        <f t="shared" si="9"/>
        <v>#DIV/0!</v>
      </c>
      <c r="X859" s="89"/>
      <c r="Y859" s="89"/>
      <c r="Z859" s="89"/>
      <c r="AA859" s="89"/>
      <c r="AB859" s="89"/>
      <c r="AC859" s="89"/>
      <c r="AD859" s="89"/>
      <c r="AE859" s="89"/>
      <c r="AF859" s="89"/>
      <c r="AG859" s="89"/>
      <c r="AH859" s="89"/>
    </row>
    <row r="860">
      <c r="A860" s="8" t="s">
        <v>998</v>
      </c>
      <c r="B860" s="97"/>
      <c r="C860" s="8"/>
      <c r="D860" s="89" t="str">
        <f t="shared" si="1"/>
        <v/>
      </c>
      <c r="E860" s="89" t="str">
        <f t="shared" si="2"/>
        <v>OT Hours</v>
      </c>
      <c r="F860" s="89" t="str">
        <f>IFERROR(VLOOKUP(C860,'Employees List'!$B$1:$G$999,2,0),"")</f>
        <v/>
      </c>
      <c r="G860" s="89" t="str">
        <f t="shared" si="23"/>
        <v>#DIV/0!</v>
      </c>
      <c r="H860" s="98"/>
      <c r="I860" s="89" t="str">
        <f>IFERROR(VLOOKUP(F860,'Employees List'!$C:$F,2,0),"")</f>
        <v/>
      </c>
      <c r="J860" s="93" t="str">
        <f>IFERROR(VLOOKUP(C860,'Employees List'!$B$2:$G$991,5,0),"")</f>
        <v/>
      </c>
      <c r="K860" s="95" t="str">
        <f>IFERROR(VLOOKUP(F860,'Employees List'!$C$1:$AB$991,5,0),"")</f>
        <v/>
      </c>
      <c r="L860" s="91">
        <f t="shared" si="3"/>
        <v>0</v>
      </c>
      <c r="M860" s="91">
        <f t="shared" si="4"/>
        <v>0</v>
      </c>
      <c r="N860" s="89" t="str">
        <f>IFERROR(VLOOKUP(B860,'Employees List'!$A$2:$H$991,8,0),"")</f>
        <v/>
      </c>
      <c r="O860" s="89" t="str">
        <f>IFERROR(VLOOKUP(D860,'Daily Attendance Report 24-25'!A824:BP999,5,0),"")</f>
        <v/>
      </c>
      <c r="P860" s="89" t="str">
        <f>IFERROR(VLOOKUP(E860,'Daily Attendance Report 24-25'!$A$1:$BO$617,5,0),"")</f>
        <v/>
      </c>
      <c r="Q860" s="89"/>
      <c r="R860" s="89"/>
      <c r="S860" s="89" t="str">
        <f t="shared" si="17"/>
        <v>#DIV/0!</v>
      </c>
      <c r="T860" s="89" t="str">
        <f t="shared" si="6"/>
        <v>#DIV/0!</v>
      </c>
      <c r="U860" s="89" t="str">
        <f t="shared" si="25"/>
        <v>#DIV/0!</v>
      </c>
      <c r="V860" s="89" t="str">
        <f t="shared" si="24"/>
        <v>#DIV/0!</v>
      </c>
      <c r="W860" s="89" t="str">
        <f t="shared" si="9"/>
        <v>#DIV/0!</v>
      </c>
      <c r="X860" s="89"/>
      <c r="Y860" s="89"/>
      <c r="Z860" s="89"/>
      <c r="AA860" s="89"/>
      <c r="AB860" s="89"/>
      <c r="AC860" s="89"/>
      <c r="AD860" s="89"/>
      <c r="AE860" s="89"/>
      <c r="AF860" s="89"/>
      <c r="AG860" s="89"/>
      <c r="AH860" s="89"/>
    </row>
    <row r="861">
      <c r="A861" s="8" t="s">
        <v>999</v>
      </c>
      <c r="B861" s="97"/>
      <c r="C861" s="8"/>
      <c r="D861" s="89" t="str">
        <f t="shared" si="1"/>
        <v/>
      </c>
      <c r="E861" s="89" t="str">
        <f t="shared" si="2"/>
        <v>OT Hours</v>
      </c>
      <c r="F861" s="89" t="str">
        <f>IFERROR(VLOOKUP(C861,'Employees List'!$B$1:$G$999,2,0),"")</f>
        <v/>
      </c>
      <c r="G861" s="89" t="str">
        <f t="shared" si="23"/>
        <v>#DIV/0!</v>
      </c>
      <c r="H861" s="98"/>
      <c r="I861" s="89" t="str">
        <f>IFERROR(VLOOKUP(F861,'Employees List'!$C:$F,2,0),"")</f>
        <v/>
      </c>
      <c r="J861" s="93" t="str">
        <f>IFERROR(VLOOKUP(C861,'Employees List'!$B$2:$G$991,5,0),"")</f>
        <v/>
      </c>
      <c r="K861" s="95" t="str">
        <f>IFERROR(VLOOKUP(F861,'Employees List'!$C$1:$AB$991,5,0),"")</f>
        <v/>
      </c>
      <c r="L861" s="91">
        <f t="shared" si="3"/>
        <v>0</v>
      </c>
      <c r="M861" s="91">
        <f t="shared" si="4"/>
        <v>0</v>
      </c>
      <c r="N861" s="89" t="str">
        <f>IFERROR(VLOOKUP(B861,'Employees List'!$A$2:$H$991,8,0),"")</f>
        <v/>
      </c>
      <c r="O861" s="89" t="str">
        <f>IFERROR(VLOOKUP(D861,'Daily Attendance Report 24-25'!A825:BP999,5,0),"")</f>
        <v/>
      </c>
      <c r="P861" s="89" t="str">
        <f>IFERROR(VLOOKUP(E861,'Daily Attendance Report 24-25'!$A$1:$BO$617,5,0),"")</f>
        <v/>
      </c>
      <c r="Q861" s="89"/>
      <c r="R861" s="89"/>
      <c r="S861" s="89" t="str">
        <f t="shared" si="17"/>
        <v>#DIV/0!</v>
      </c>
      <c r="T861" s="89" t="str">
        <f t="shared" si="6"/>
        <v>#DIV/0!</v>
      </c>
      <c r="U861" s="89" t="str">
        <f t="shared" si="25"/>
        <v>#DIV/0!</v>
      </c>
      <c r="V861" s="89" t="str">
        <f t="shared" si="24"/>
        <v>#DIV/0!</v>
      </c>
      <c r="W861" s="89" t="str">
        <f t="shared" si="9"/>
        <v>#DIV/0!</v>
      </c>
      <c r="X861" s="89"/>
      <c r="Y861" s="89"/>
      <c r="Z861" s="89"/>
      <c r="AA861" s="89"/>
      <c r="AB861" s="89"/>
      <c r="AC861" s="89"/>
      <c r="AD861" s="89"/>
      <c r="AE861" s="89"/>
      <c r="AF861" s="89"/>
      <c r="AG861" s="89"/>
      <c r="AH861" s="89"/>
    </row>
    <row r="862">
      <c r="A862" s="8" t="s">
        <v>1000</v>
      </c>
      <c r="B862" s="97"/>
      <c r="C862" s="8"/>
      <c r="D862" s="89" t="str">
        <f t="shared" si="1"/>
        <v/>
      </c>
      <c r="E862" s="89" t="str">
        <f t="shared" si="2"/>
        <v>OT Hours</v>
      </c>
      <c r="F862" s="89" t="str">
        <f>IFERROR(VLOOKUP(C862,'Employees List'!$B$1:$G$999,2,0),"")</f>
        <v/>
      </c>
      <c r="G862" s="89" t="str">
        <f t="shared" si="23"/>
        <v>#DIV/0!</v>
      </c>
      <c r="H862" s="98"/>
      <c r="I862" s="89" t="str">
        <f>IFERROR(VLOOKUP(F862,'Employees List'!$C:$F,2,0),"")</f>
        <v/>
      </c>
      <c r="J862" s="93" t="str">
        <f>IFERROR(VLOOKUP(C862,'Employees List'!$B$2:$G$991,5,0),"")</f>
        <v/>
      </c>
      <c r="K862" s="95" t="str">
        <f>IFERROR(VLOOKUP(F862,'Employees List'!$C$1:$AB$991,5,0),"")</f>
        <v/>
      </c>
      <c r="L862" s="91">
        <f t="shared" si="3"/>
        <v>0</v>
      </c>
      <c r="M862" s="91">
        <f t="shared" si="4"/>
        <v>0</v>
      </c>
      <c r="N862" s="89" t="str">
        <f>IFERROR(VLOOKUP(B862,'Employees List'!$A$2:$H$991,8,0),"")</f>
        <v/>
      </c>
      <c r="O862" s="89" t="str">
        <f>IFERROR(VLOOKUP(D862,'Daily Attendance Report 24-25'!A826:BP999,5,0),"")</f>
        <v/>
      </c>
      <c r="P862" s="89" t="str">
        <f>IFERROR(VLOOKUP(E862,'Daily Attendance Report 24-25'!$A$1:$BO$617,5,0),"")</f>
        <v/>
      </c>
      <c r="Q862" s="89"/>
      <c r="R862" s="89"/>
      <c r="S862" s="89" t="str">
        <f t="shared" si="17"/>
        <v>#DIV/0!</v>
      </c>
      <c r="T862" s="89" t="str">
        <f t="shared" si="6"/>
        <v>#DIV/0!</v>
      </c>
      <c r="U862" s="89" t="str">
        <f t="shared" si="25"/>
        <v>#DIV/0!</v>
      </c>
      <c r="V862" s="89" t="str">
        <f t="shared" si="24"/>
        <v>#DIV/0!</v>
      </c>
      <c r="W862" s="89" t="str">
        <f t="shared" si="9"/>
        <v>#DIV/0!</v>
      </c>
      <c r="X862" s="89"/>
      <c r="Y862" s="89"/>
      <c r="Z862" s="89"/>
      <c r="AA862" s="89"/>
      <c r="AB862" s="89"/>
      <c r="AC862" s="89"/>
      <c r="AD862" s="89"/>
      <c r="AE862" s="89"/>
      <c r="AF862" s="89"/>
      <c r="AG862" s="89"/>
      <c r="AH862" s="89"/>
    </row>
    <row r="863">
      <c r="A863" s="8" t="s">
        <v>1001</v>
      </c>
      <c r="B863" s="97"/>
      <c r="C863" s="8"/>
      <c r="D863" s="89" t="str">
        <f t="shared" si="1"/>
        <v/>
      </c>
      <c r="E863" s="89" t="str">
        <f t="shared" si="2"/>
        <v>OT Hours</v>
      </c>
      <c r="F863" s="89" t="str">
        <f>IFERROR(VLOOKUP(C863,'Employees List'!$B$1:$G$999,2,0),"")</f>
        <v/>
      </c>
      <c r="G863" s="89" t="str">
        <f t="shared" si="23"/>
        <v>#DIV/0!</v>
      </c>
      <c r="H863" s="98"/>
      <c r="I863" s="89" t="str">
        <f>IFERROR(VLOOKUP(F863,'Employees List'!$C:$F,2,0),"")</f>
        <v/>
      </c>
      <c r="J863" s="93" t="str">
        <f>IFERROR(VLOOKUP(C863,'Employees List'!$B$2:$G$991,5,0),"")</f>
        <v/>
      </c>
      <c r="K863" s="95" t="str">
        <f>IFERROR(VLOOKUP(F863,'Employees List'!$C$1:$AB$991,5,0),"")</f>
        <v/>
      </c>
      <c r="L863" s="91">
        <f t="shared" si="3"/>
        <v>0</v>
      </c>
      <c r="M863" s="91">
        <f t="shared" si="4"/>
        <v>0</v>
      </c>
      <c r="N863" s="89" t="str">
        <f>IFERROR(VLOOKUP(B863,'Employees List'!$A$2:$H$991,8,0),"")</f>
        <v/>
      </c>
      <c r="O863" s="89" t="str">
        <f>IFERROR(VLOOKUP(D863,'Daily Attendance Report 24-25'!A827:BP999,5,0),"")</f>
        <v/>
      </c>
      <c r="P863" s="89" t="str">
        <f>IFERROR(VLOOKUP(E863,'Daily Attendance Report 24-25'!$A$1:$BO$617,5,0),"")</f>
        <v/>
      </c>
      <c r="Q863" s="89"/>
      <c r="R863" s="89"/>
      <c r="S863" s="89" t="str">
        <f t="shared" si="17"/>
        <v>#DIV/0!</v>
      </c>
      <c r="T863" s="89" t="str">
        <f t="shared" si="6"/>
        <v>#DIV/0!</v>
      </c>
      <c r="U863" s="89" t="str">
        <f t="shared" si="25"/>
        <v>#DIV/0!</v>
      </c>
      <c r="V863" s="89" t="str">
        <f t="shared" si="24"/>
        <v>#DIV/0!</v>
      </c>
      <c r="W863" s="89" t="str">
        <f t="shared" si="9"/>
        <v>#DIV/0!</v>
      </c>
      <c r="X863" s="89"/>
      <c r="Y863" s="89"/>
      <c r="Z863" s="89"/>
      <c r="AA863" s="89"/>
      <c r="AB863" s="89"/>
      <c r="AC863" s="89"/>
      <c r="AD863" s="89"/>
      <c r="AE863" s="89"/>
      <c r="AF863" s="89"/>
      <c r="AG863" s="89"/>
      <c r="AH863" s="89"/>
    </row>
    <row r="864">
      <c r="A864" s="8" t="s">
        <v>1002</v>
      </c>
      <c r="B864" s="97"/>
      <c r="C864" s="8"/>
      <c r="D864" s="89" t="str">
        <f t="shared" si="1"/>
        <v/>
      </c>
      <c r="E864" s="89" t="str">
        <f t="shared" si="2"/>
        <v>OT Hours</v>
      </c>
      <c r="F864" s="89" t="str">
        <f>IFERROR(VLOOKUP(C864,'Employees List'!$B$1:$G$999,2,0),"")</f>
        <v/>
      </c>
      <c r="G864" s="89" t="str">
        <f t="shared" si="23"/>
        <v>#DIV/0!</v>
      </c>
      <c r="H864" s="98"/>
      <c r="I864" s="89" t="str">
        <f>IFERROR(VLOOKUP(F864,'Employees List'!$C:$F,2,0),"")</f>
        <v/>
      </c>
      <c r="J864" s="93" t="str">
        <f>IFERROR(VLOOKUP(C864,'Employees List'!$B$2:$G$991,5,0),"")</f>
        <v/>
      </c>
      <c r="K864" s="95" t="str">
        <f>IFERROR(VLOOKUP(F864,'Employees List'!$C$1:$AB$991,5,0),"")</f>
        <v/>
      </c>
      <c r="L864" s="91">
        <f t="shared" si="3"/>
        <v>0</v>
      </c>
      <c r="M864" s="91">
        <f t="shared" si="4"/>
        <v>0</v>
      </c>
      <c r="N864" s="89" t="str">
        <f>IFERROR(VLOOKUP(B864,'Employees List'!$A$2:$H$991,8,0),"")</f>
        <v/>
      </c>
      <c r="O864" s="89" t="str">
        <f>IFERROR(VLOOKUP(D864,'Daily Attendance Report 24-25'!A828:BP999,5,0),"")</f>
        <v/>
      </c>
      <c r="P864" s="89" t="str">
        <f>IFERROR(VLOOKUP(E864,'Daily Attendance Report 24-25'!$A$1:$BO$617,5,0),"")</f>
        <v/>
      </c>
      <c r="Q864" s="89"/>
      <c r="R864" s="89"/>
      <c r="S864" s="89" t="str">
        <f t="shared" si="17"/>
        <v>#DIV/0!</v>
      </c>
      <c r="T864" s="89" t="str">
        <f t="shared" si="6"/>
        <v>#DIV/0!</v>
      </c>
      <c r="U864" s="89" t="str">
        <f t="shared" si="25"/>
        <v>#DIV/0!</v>
      </c>
      <c r="V864" s="89" t="str">
        <f t="shared" si="24"/>
        <v>#DIV/0!</v>
      </c>
      <c r="W864" s="89" t="str">
        <f t="shared" si="9"/>
        <v>#DIV/0!</v>
      </c>
      <c r="X864" s="89"/>
      <c r="Y864" s="89"/>
      <c r="Z864" s="89"/>
      <c r="AA864" s="89"/>
      <c r="AB864" s="89"/>
      <c r="AC864" s="89"/>
      <c r="AD864" s="89"/>
      <c r="AE864" s="89"/>
      <c r="AF864" s="89"/>
      <c r="AG864" s="89"/>
      <c r="AH864" s="89"/>
    </row>
    <row r="865">
      <c r="A865" s="8" t="s">
        <v>1003</v>
      </c>
      <c r="B865" s="97"/>
      <c r="C865" s="8"/>
      <c r="D865" s="89" t="str">
        <f t="shared" si="1"/>
        <v/>
      </c>
      <c r="E865" s="89" t="str">
        <f t="shared" si="2"/>
        <v>OT Hours</v>
      </c>
      <c r="F865" s="89" t="str">
        <f>IFERROR(VLOOKUP(C865,'Employees List'!$B$1:$G$999,2,0),"")</f>
        <v/>
      </c>
      <c r="G865" s="89" t="str">
        <f t="shared" si="23"/>
        <v>#DIV/0!</v>
      </c>
      <c r="H865" s="98"/>
      <c r="I865" s="89" t="str">
        <f>IFERROR(VLOOKUP(F865,'Employees List'!$C:$F,2,0),"")</f>
        <v/>
      </c>
      <c r="J865" s="93" t="str">
        <f>IFERROR(VLOOKUP(C865,'Employees List'!$B$2:$G$991,5,0),"")</f>
        <v/>
      </c>
      <c r="K865" s="95" t="str">
        <f>IFERROR(VLOOKUP(F865,'Employees List'!$C$1:$AB$991,5,0),"")</f>
        <v/>
      </c>
      <c r="L865" s="91">
        <f t="shared" si="3"/>
        <v>0</v>
      </c>
      <c r="M865" s="91">
        <f t="shared" si="4"/>
        <v>0</v>
      </c>
      <c r="N865" s="89" t="str">
        <f>IFERROR(VLOOKUP(B865,'Employees List'!$A$2:$H$991,8,0),"")</f>
        <v/>
      </c>
      <c r="O865" s="89" t="str">
        <f>IFERROR(VLOOKUP(D865,'Daily Attendance Report 24-25'!A829:BP999,5,0),"")</f>
        <v/>
      </c>
      <c r="P865" s="89" t="str">
        <f>IFERROR(VLOOKUP(E865,'Daily Attendance Report 24-25'!$A$1:$BO$617,5,0),"")</f>
        <v/>
      </c>
      <c r="Q865" s="89"/>
      <c r="R865" s="89"/>
      <c r="S865" s="89" t="str">
        <f t="shared" si="17"/>
        <v>#DIV/0!</v>
      </c>
      <c r="T865" s="89" t="str">
        <f t="shared" si="6"/>
        <v>#DIV/0!</v>
      </c>
      <c r="U865" s="89" t="str">
        <f t="shared" si="25"/>
        <v>#DIV/0!</v>
      </c>
      <c r="V865" s="89" t="str">
        <f t="shared" si="24"/>
        <v>#DIV/0!</v>
      </c>
      <c r="W865" s="89" t="str">
        <f t="shared" si="9"/>
        <v>#DIV/0!</v>
      </c>
      <c r="X865" s="89"/>
      <c r="Y865" s="89"/>
      <c r="Z865" s="89"/>
      <c r="AA865" s="89"/>
      <c r="AB865" s="89"/>
      <c r="AC865" s="89"/>
      <c r="AD865" s="89"/>
      <c r="AE865" s="89"/>
      <c r="AF865" s="89"/>
      <c r="AG865" s="89"/>
      <c r="AH865" s="89"/>
    </row>
    <row r="866">
      <c r="A866" s="8" t="s">
        <v>1004</v>
      </c>
      <c r="B866" s="97"/>
      <c r="C866" s="8"/>
      <c r="D866" s="89" t="str">
        <f t="shared" si="1"/>
        <v/>
      </c>
      <c r="E866" s="89" t="str">
        <f t="shared" si="2"/>
        <v>OT Hours</v>
      </c>
      <c r="F866" s="89" t="str">
        <f>IFERROR(VLOOKUP(C866,'Employees List'!$B$1:$G$999,2,0),"")</f>
        <v/>
      </c>
      <c r="G866" s="89" t="str">
        <f t="shared" si="23"/>
        <v>#DIV/0!</v>
      </c>
      <c r="H866" s="98"/>
      <c r="I866" s="89" t="str">
        <f>IFERROR(VLOOKUP(F866,'Employees List'!$C:$F,2,0),"")</f>
        <v/>
      </c>
      <c r="J866" s="93" t="str">
        <f>IFERROR(VLOOKUP(C866,'Employees List'!$B$2:$G$991,5,0),"")</f>
        <v/>
      </c>
      <c r="K866" s="95" t="str">
        <f>IFERROR(VLOOKUP(F866,'Employees List'!$C$1:$AB$991,5,0),"")</f>
        <v/>
      </c>
      <c r="L866" s="91">
        <f t="shared" si="3"/>
        <v>0</v>
      </c>
      <c r="M866" s="91">
        <f t="shared" si="4"/>
        <v>0</v>
      </c>
      <c r="N866" s="89" t="str">
        <f>IFERROR(VLOOKUP(B866,'Employees List'!$A$2:$H$991,8,0),"")</f>
        <v/>
      </c>
      <c r="O866" s="89" t="str">
        <f>IFERROR(VLOOKUP(D866,'Daily Attendance Report 24-25'!A830:BP999,5,0),"")</f>
        <v/>
      </c>
      <c r="P866" s="89" t="str">
        <f>IFERROR(VLOOKUP(E866,'Daily Attendance Report 24-25'!$A$1:$BO$617,5,0),"")</f>
        <v/>
      </c>
      <c r="Q866" s="89"/>
      <c r="R866" s="89"/>
      <c r="S866" s="89" t="str">
        <f t="shared" si="17"/>
        <v>#DIV/0!</v>
      </c>
      <c r="T866" s="89" t="str">
        <f t="shared" si="6"/>
        <v>#DIV/0!</v>
      </c>
      <c r="U866" s="89" t="str">
        <f t="shared" si="25"/>
        <v>#DIV/0!</v>
      </c>
      <c r="V866" s="89" t="str">
        <f t="shared" si="24"/>
        <v>#DIV/0!</v>
      </c>
      <c r="W866" s="89" t="str">
        <f t="shared" si="9"/>
        <v>#DIV/0!</v>
      </c>
      <c r="X866" s="89"/>
      <c r="Y866" s="89"/>
      <c r="Z866" s="89"/>
      <c r="AA866" s="89"/>
      <c r="AB866" s="89"/>
      <c r="AC866" s="89"/>
      <c r="AD866" s="89"/>
      <c r="AE866" s="89"/>
      <c r="AF866" s="89"/>
      <c r="AG866" s="89"/>
      <c r="AH866" s="89"/>
    </row>
    <row r="867">
      <c r="A867" s="8" t="s">
        <v>1005</v>
      </c>
      <c r="B867" s="97"/>
      <c r="C867" s="8"/>
      <c r="D867" s="89" t="str">
        <f t="shared" si="1"/>
        <v/>
      </c>
      <c r="E867" s="89" t="str">
        <f t="shared" si="2"/>
        <v>OT Hours</v>
      </c>
      <c r="F867" s="89" t="str">
        <f>IFERROR(VLOOKUP(C867,'Employees List'!$B$1:$G$999,2,0),"")</f>
        <v/>
      </c>
      <c r="G867" s="89" t="str">
        <f t="shared" si="23"/>
        <v>#DIV/0!</v>
      </c>
      <c r="H867" s="98"/>
      <c r="I867" s="89" t="str">
        <f>IFERROR(VLOOKUP(F867,'Employees List'!$C:$F,2,0),"")</f>
        <v/>
      </c>
      <c r="J867" s="93" t="str">
        <f>IFERROR(VLOOKUP(C867,'Employees List'!$B$2:$G$991,5,0),"")</f>
        <v/>
      </c>
      <c r="K867" s="95" t="str">
        <f>IFERROR(VLOOKUP(F867,'Employees List'!$C$1:$AB$991,5,0),"")</f>
        <v/>
      </c>
      <c r="L867" s="91">
        <f t="shared" si="3"/>
        <v>0</v>
      </c>
      <c r="M867" s="91">
        <f t="shared" si="4"/>
        <v>0</v>
      </c>
      <c r="N867" s="89" t="str">
        <f>IFERROR(VLOOKUP(B867,'Employees List'!$A$2:$H$991,8,0),"")</f>
        <v/>
      </c>
      <c r="O867" s="89" t="str">
        <f>IFERROR(VLOOKUP(D867,'Daily Attendance Report 24-25'!A831:BP999,5,0),"")</f>
        <v/>
      </c>
      <c r="P867" s="89" t="str">
        <f>IFERROR(VLOOKUP(E867,'Daily Attendance Report 24-25'!$A$1:$BO$617,5,0),"")</f>
        <v/>
      </c>
      <c r="Q867" s="89"/>
      <c r="R867" s="89"/>
      <c r="S867" s="89" t="str">
        <f t="shared" si="17"/>
        <v>#DIV/0!</v>
      </c>
      <c r="T867" s="89" t="str">
        <f t="shared" si="6"/>
        <v>#DIV/0!</v>
      </c>
      <c r="U867" s="89" t="str">
        <f t="shared" si="25"/>
        <v>#DIV/0!</v>
      </c>
      <c r="V867" s="89" t="str">
        <f t="shared" si="24"/>
        <v>#DIV/0!</v>
      </c>
      <c r="W867" s="89" t="str">
        <f t="shared" si="9"/>
        <v>#DIV/0!</v>
      </c>
      <c r="X867" s="89"/>
      <c r="Y867" s="89"/>
      <c r="Z867" s="89"/>
      <c r="AA867" s="89"/>
      <c r="AB867" s="89"/>
      <c r="AC867" s="89"/>
      <c r="AD867" s="89"/>
      <c r="AE867" s="89"/>
      <c r="AF867" s="89"/>
      <c r="AG867" s="89"/>
      <c r="AH867" s="89"/>
    </row>
    <row r="868">
      <c r="A868" s="8" t="s">
        <v>1006</v>
      </c>
      <c r="B868" s="97"/>
      <c r="C868" s="8"/>
      <c r="D868" s="89" t="str">
        <f t="shared" si="1"/>
        <v/>
      </c>
      <c r="E868" s="89" t="str">
        <f t="shared" si="2"/>
        <v>OT Hours</v>
      </c>
      <c r="F868" s="89" t="str">
        <f>IFERROR(VLOOKUP(C868,'Employees List'!$B$1:$G$999,2,0),"")</f>
        <v/>
      </c>
      <c r="G868" s="89" t="str">
        <f t="shared" si="23"/>
        <v>#DIV/0!</v>
      </c>
      <c r="H868" s="98"/>
      <c r="I868" s="89" t="str">
        <f>IFERROR(VLOOKUP(F868,'Employees List'!$C:$F,2,0),"")</f>
        <v/>
      </c>
      <c r="J868" s="93" t="str">
        <f>IFERROR(VLOOKUP(C868,'Employees List'!$B$2:$G$991,5,0),"")</f>
        <v/>
      </c>
      <c r="K868" s="95" t="str">
        <f>IFERROR(VLOOKUP(F868,'Employees List'!$C$1:$AB$991,5,0),"")</f>
        <v/>
      </c>
      <c r="L868" s="91">
        <f t="shared" si="3"/>
        <v>0</v>
      </c>
      <c r="M868" s="91">
        <f t="shared" si="4"/>
        <v>0</v>
      </c>
      <c r="N868" s="89" t="str">
        <f>IFERROR(VLOOKUP(B868,'Employees List'!$A$2:$H$991,8,0),"")</f>
        <v/>
      </c>
      <c r="O868" s="89" t="str">
        <f>IFERROR(VLOOKUP(D868,'Daily Attendance Report 24-25'!A832:BP999,5,0),"")</f>
        <v/>
      </c>
      <c r="P868" s="89" t="str">
        <f>IFERROR(VLOOKUP(E868,'Daily Attendance Report 24-25'!$A$1:$BO$617,5,0),"")</f>
        <v/>
      </c>
      <c r="Q868" s="89"/>
      <c r="R868" s="89"/>
      <c r="S868" s="89" t="str">
        <f t="shared" si="17"/>
        <v>#DIV/0!</v>
      </c>
      <c r="T868" s="89" t="str">
        <f t="shared" si="6"/>
        <v>#DIV/0!</v>
      </c>
      <c r="U868" s="89" t="str">
        <f t="shared" si="25"/>
        <v>#DIV/0!</v>
      </c>
      <c r="V868" s="89" t="str">
        <f t="shared" si="24"/>
        <v>#DIV/0!</v>
      </c>
      <c r="W868" s="89" t="str">
        <f t="shared" si="9"/>
        <v>#DIV/0!</v>
      </c>
      <c r="X868" s="89"/>
      <c r="Y868" s="89"/>
      <c r="Z868" s="89"/>
      <c r="AA868" s="89"/>
      <c r="AB868" s="89"/>
      <c r="AC868" s="89"/>
      <c r="AD868" s="89"/>
      <c r="AE868" s="89"/>
      <c r="AF868" s="89"/>
      <c r="AG868" s="89"/>
      <c r="AH868" s="89"/>
    </row>
    <row r="869">
      <c r="A869" s="8" t="s">
        <v>1007</v>
      </c>
      <c r="B869" s="97"/>
      <c r="C869" s="8"/>
      <c r="D869" s="89" t="str">
        <f t="shared" si="1"/>
        <v/>
      </c>
      <c r="E869" s="89" t="str">
        <f t="shared" si="2"/>
        <v>OT Hours</v>
      </c>
      <c r="F869" s="89" t="str">
        <f>IFERROR(VLOOKUP(C869,'Employees List'!$B$1:$G$999,2,0),"")</f>
        <v/>
      </c>
      <c r="G869" s="89" t="str">
        <f t="shared" si="23"/>
        <v>#DIV/0!</v>
      </c>
      <c r="H869" s="98"/>
      <c r="I869" s="89" t="str">
        <f>IFERROR(VLOOKUP(F869,'Employees List'!$C:$F,2,0),"")</f>
        <v/>
      </c>
      <c r="J869" s="93" t="str">
        <f>IFERROR(VLOOKUP(C869,'Employees List'!$B$2:$G$991,5,0),"")</f>
        <v/>
      </c>
      <c r="K869" s="95" t="str">
        <f>IFERROR(VLOOKUP(F869,'Employees List'!$C$1:$AB$991,5,0),"")</f>
        <v/>
      </c>
      <c r="L869" s="91">
        <f t="shared" si="3"/>
        <v>0</v>
      </c>
      <c r="M869" s="91">
        <f t="shared" si="4"/>
        <v>0</v>
      </c>
      <c r="N869" s="89" t="str">
        <f>IFERROR(VLOOKUP(B869,'Employees List'!$A$2:$H$991,8,0),"")</f>
        <v/>
      </c>
      <c r="O869" s="89" t="str">
        <f>IFERROR(VLOOKUP(D869,'Daily Attendance Report 24-25'!A833:BP999,5,0),"")</f>
        <v/>
      </c>
      <c r="P869" s="89" t="str">
        <f>IFERROR(VLOOKUP(E869,'Daily Attendance Report 24-25'!$A$1:$BO$617,5,0),"")</f>
        <v/>
      </c>
      <c r="Q869" s="89"/>
      <c r="R869" s="89"/>
      <c r="S869" s="89" t="str">
        <f t="shared" si="17"/>
        <v>#DIV/0!</v>
      </c>
      <c r="T869" s="89" t="str">
        <f t="shared" si="6"/>
        <v>#DIV/0!</v>
      </c>
      <c r="U869" s="89" t="str">
        <f t="shared" si="25"/>
        <v>#DIV/0!</v>
      </c>
      <c r="V869" s="89" t="str">
        <f t="shared" si="24"/>
        <v>#DIV/0!</v>
      </c>
      <c r="W869" s="89" t="str">
        <f t="shared" si="9"/>
        <v>#DIV/0!</v>
      </c>
      <c r="X869" s="89"/>
      <c r="Y869" s="89"/>
      <c r="Z869" s="89"/>
      <c r="AA869" s="89"/>
      <c r="AB869" s="89"/>
      <c r="AC869" s="89"/>
      <c r="AD869" s="89"/>
      <c r="AE869" s="89"/>
      <c r="AF869" s="89"/>
      <c r="AG869" s="89"/>
      <c r="AH869" s="89"/>
    </row>
    <row r="870">
      <c r="A870" s="8" t="s">
        <v>1008</v>
      </c>
      <c r="B870" s="97"/>
      <c r="C870" s="8"/>
      <c r="D870" s="89" t="str">
        <f t="shared" si="1"/>
        <v/>
      </c>
      <c r="E870" s="89" t="str">
        <f t="shared" si="2"/>
        <v>OT Hours</v>
      </c>
      <c r="F870" s="89" t="str">
        <f>IFERROR(VLOOKUP(C870,'Employees List'!$B$1:$G$999,2,0),"")</f>
        <v/>
      </c>
      <c r="G870" s="89" t="str">
        <f t="shared" si="23"/>
        <v>#DIV/0!</v>
      </c>
      <c r="H870" s="98"/>
      <c r="I870" s="89" t="str">
        <f>IFERROR(VLOOKUP(F870,'Employees List'!$C:$F,2,0),"")</f>
        <v/>
      </c>
      <c r="J870" s="93" t="str">
        <f>IFERROR(VLOOKUP(C870,'Employees List'!$B$2:$G$991,5,0),"")</f>
        <v/>
      </c>
      <c r="K870" s="95" t="str">
        <f>IFERROR(VLOOKUP(F870,'Employees List'!$C$1:$AB$991,5,0),"")</f>
        <v/>
      </c>
      <c r="L870" s="91">
        <f t="shared" si="3"/>
        <v>0</v>
      </c>
      <c r="M870" s="91">
        <f t="shared" si="4"/>
        <v>0</v>
      </c>
      <c r="N870" s="89" t="str">
        <f>IFERROR(VLOOKUP(B870,'Employees List'!$A$2:$H$991,8,0),"")</f>
        <v/>
      </c>
      <c r="O870" s="89" t="str">
        <f>IFERROR(VLOOKUP(D870,'Daily Attendance Report 24-25'!A834:BP999,5,0),"")</f>
        <v/>
      </c>
      <c r="P870" s="89" t="str">
        <f>IFERROR(VLOOKUP(E870,'Daily Attendance Report 24-25'!$A$1:$BO$617,5,0),"")</f>
        <v/>
      </c>
      <c r="Q870" s="89"/>
      <c r="R870" s="89"/>
      <c r="S870" s="89" t="str">
        <f t="shared" si="17"/>
        <v>#DIV/0!</v>
      </c>
      <c r="T870" s="89" t="str">
        <f t="shared" si="6"/>
        <v>#DIV/0!</v>
      </c>
      <c r="U870" s="89" t="str">
        <f t="shared" si="25"/>
        <v>#DIV/0!</v>
      </c>
      <c r="V870" s="89" t="str">
        <f t="shared" si="24"/>
        <v>#DIV/0!</v>
      </c>
      <c r="W870" s="89" t="str">
        <f t="shared" si="9"/>
        <v>#DIV/0!</v>
      </c>
      <c r="X870" s="89"/>
      <c r="Y870" s="89"/>
      <c r="Z870" s="89"/>
      <c r="AA870" s="89"/>
      <c r="AB870" s="89"/>
      <c r="AC870" s="89"/>
      <c r="AD870" s="89"/>
      <c r="AE870" s="89"/>
      <c r="AF870" s="89"/>
      <c r="AG870" s="89"/>
      <c r="AH870" s="89"/>
    </row>
    <row r="871">
      <c r="A871" s="8" t="s">
        <v>1009</v>
      </c>
      <c r="B871" s="97"/>
      <c r="C871" s="8"/>
      <c r="D871" s="89" t="str">
        <f t="shared" si="1"/>
        <v/>
      </c>
      <c r="E871" s="89" t="str">
        <f t="shared" si="2"/>
        <v>OT Hours</v>
      </c>
      <c r="F871" s="89" t="str">
        <f>IFERROR(VLOOKUP(C871,'Employees List'!$B$1:$G$999,2,0),"")</f>
        <v/>
      </c>
      <c r="G871" s="89" t="str">
        <f t="shared" si="23"/>
        <v>#DIV/0!</v>
      </c>
      <c r="H871" s="98"/>
      <c r="I871" s="89" t="str">
        <f>IFERROR(VLOOKUP(F871,'Employees List'!$C:$F,2,0),"")</f>
        <v/>
      </c>
      <c r="J871" s="93" t="str">
        <f>IFERROR(VLOOKUP(C871,'Employees List'!$B$2:$G$991,5,0),"")</f>
        <v/>
      </c>
      <c r="K871" s="95" t="str">
        <f>IFERROR(VLOOKUP(F871,'Employees List'!$C$1:$AB$991,5,0),"")</f>
        <v/>
      </c>
      <c r="L871" s="91">
        <f t="shared" si="3"/>
        <v>0</v>
      </c>
      <c r="M871" s="91">
        <f t="shared" si="4"/>
        <v>0</v>
      </c>
      <c r="N871" s="89" t="str">
        <f>IFERROR(VLOOKUP(B871,'Employees List'!$A$2:$H$991,8,0),"")</f>
        <v/>
      </c>
      <c r="O871" s="89" t="str">
        <f>IFERROR(VLOOKUP(D871,'Daily Attendance Report 24-25'!A835:BP999,5,0),"")</f>
        <v/>
      </c>
      <c r="P871" s="89" t="str">
        <f>IFERROR(VLOOKUP(E871,'Daily Attendance Report 24-25'!$A$1:$BO$617,5,0),"")</f>
        <v/>
      </c>
      <c r="Q871" s="89"/>
      <c r="R871" s="89"/>
      <c r="S871" s="89" t="str">
        <f t="shared" si="17"/>
        <v>#DIV/0!</v>
      </c>
      <c r="T871" s="89" t="str">
        <f t="shared" si="6"/>
        <v>#DIV/0!</v>
      </c>
      <c r="U871" s="89" t="str">
        <f t="shared" si="25"/>
        <v>#DIV/0!</v>
      </c>
      <c r="V871" s="89" t="str">
        <f t="shared" si="24"/>
        <v>#DIV/0!</v>
      </c>
      <c r="W871" s="89" t="str">
        <f t="shared" si="9"/>
        <v>#DIV/0!</v>
      </c>
      <c r="X871" s="89"/>
      <c r="Y871" s="89"/>
      <c r="Z871" s="89"/>
      <c r="AA871" s="89"/>
      <c r="AB871" s="89"/>
      <c r="AC871" s="89"/>
      <c r="AD871" s="89"/>
      <c r="AE871" s="89"/>
      <c r="AF871" s="89"/>
      <c r="AG871" s="89"/>
      <c r="AH871" s="89"/>
    </row>
    <row r="872">
      <c r="A872" s="8" t="s">
        <v>1010</v>
      </c>
      <c r="B872" s="97"/>
      <c r="C872" s="8"/>
      <c r="D872" s="89" t="str">
        <f t="shared" si="1"/>
        <v/>
      </c>
      <c r="E872" s="89" t="str">
        <f t="shared" si="2"/>
        <v>OT Hours</v>
      </c>
      <c r="F872" s="89" t="str">
        <f>IFERROR(VLOOKUP(C872,'Employees List'!$B$1:$G$999,2,0),"")</f>
        <v/>
      </c>
      <c r="G872" s="89" t="str">
        <f t="shared" si="23"/>
        <v>#DIV/0!</v>
      </c>
      <c r="H872" s="98"/>
      <c r="I872" s="89" t="str">
        <f>IFERROR(VLOOKUP(F872,'Employees List'!$C:$F,2,0),"")</f>
        <v/>
      </c>
      <c r="J872" s="93" t="str">
        <f>IFERROR(VLOOKUP(C872,'Employees List'!$B$2:$G$991,5,0),"")</f>
        <v/>
      </c>
      <c r="K872" s="95" t="str">
        <f>IFERROR(VLOOKUP(F872,'Employees List'!$C$1:$AB$991,5,0),"")</f>
        <v/>
      </c>
      <c r="L872" s="91">
        <f t="shared" si="3"/>
        <v>0</v>
      </c>
      <c r="M872" s="91">
        <f t="shared" si="4"/>
        <v>0</v>
      </c>
      <c r="N872" s="89" t="str">
        <f>IFERROR(VLOOKUP(B872,'Employees List'!$A$2:$H$991,8,0),"")</f>
        <v/>
      </c>
      <c r="O872" s="89" t="str">
        <f>IFERROR(VLOOKUP(D872,'Daily Attendance Report 24-25'!A836:BP999,5,0),"")</f>
        <v/>
      </c>
      <c r="P872" s="89" t="str">
        <f>IFERROR(VLOOKUP(E872,'Daily Attendance Report 24-25'!$A$1:$BO$617,5,0),"")</f>
        <v/>
      </c>
      <c r="Q872" s="89"/>
      <c r="R872" s="89"/>
      <c r="S872" s="89" t="str">
        <f t="shared" si="17"/>
        <v>#DIV/0!</v>
      </c>
      <c r="T872" s="89" t="str">
        <f t="shared" si="6"/>
        <v>#DIV/0!</v>
      </c>
      <c r="U872" s="89" t="str">
        <f t="shared" si="25"/>
        <v>#DIV/0!</v>
      </c>
      <c r="V872" s="89" t="str">
        <f t="shared" si="24"/>
        <v>#DIV/0!</v>
      </c>
      <c r="W872" s="89" t="str">
        <f t="shared" si="9"/>
        <v>#DIV/0!</v>
      </c>
      <c r="X872" s="89"/>
      <c r="Y872" s="89"/>
      <c r="Z872" s="89"/>
      <c r="AA872" s="89"/>
      <c r="AB872" s="89"/>
      <c r="AC872" s="89"/>
      <c r="AD872" s="89"/>
      <c r="AE872" s="89"/>
      <c r="AF872" s="89"/>
      <c r="AG872" s="89"/>
      <c r="AH872" s="89"/>
    </row>
    <row r="873">
      <c r="A873" s="8" t="s">
        <v>1011</v>
      </c>
      <c r="B873" s="97"/>
      <c r="C873" s="8"/>
      <c r="D873" s="89" t="str">
        <f t="shared" si="1"/>
        <v/>
      </c>
      <c r="E873" s="89" t="str">
        <f t="shared" si="2"/>
        <v>OT Hours</v>
      </c>
      <c r="F873" s="89" t="str">
        <f>IFERROR(VLOOKUP(C873,'Employees List'!$B$1:$G$999,2,0),"")</f>
        <v/>
      </c>
      <c r="G873" s="89" t="str">
        <f t="shared" si="23"/>
        <v>#DIV/0!</v>
      </c>
      <c r="H873" s="98"/>
      <c r="I873" s="89" t="str">
        <f>IFERROR(VLOOKUP(F873,'Employees List'!$C:$F,2,0),"")</f>
        <v/>
      </c>
      <c r="J873" s="93" t="str">
        <f>IFERROR(VLOOKUP(C873,'Employees List'!$B$2:$G$991,5,0),"")</f>
        <v/>
      </c>
      <c r="K873" s="95" t="str">
        <f>IFERROR(VLOOKUP(F873,'Employees List'!$C$1:$AB$991,5,0),"")</f>
        <v/>
      </c>
      <c r="L873" s="91">
        <f t="shared" si="3"/>
        <v>0</v>
      </c>
      <c r="M873" s="91">
        <f t="shared" si="4"/>
        <v>0</v>
      </c>
      <c r="N873" s="89" t="str">
        <f>IFERROR(VLOOKUP(B873,'Employees List'!$A$2:$H$991,8,0),"")</f>
        <v/>
      </c>
      <c r="O873" s="89" t="str">
        <f>IFERROR(VLOOKUP(D873,'Daily Attendance Report 24-25'!A837:BP999,5,0),"")</f>
        <v/>
      </c>
      <c r="P873" s="89" t="str">
        <f>IFERROR(VLOOKUP(E873,'Daily Attendance Report 24-25'!$A$1:$BO$617,5,0),"")</f>
        <v/>
      </c>
      <c r="Q873" s="89"/>
      <c r="R873" s="89"/>
      <c r="S873" s="89" t="str">
        <f t="shared" si="17"/>
        <v>#DIV/0!</v>
      </c>
      <c r="T873" s="89" t="str">
        <f t="shared" si="6"/>
        <v>#DIV/0!</v>
      </c>
      <c r="U873" s="89" t="str">
        <f t="shared" si="25"/>
        <v>#DIV/0!</v>
      </c>
      <c r="V873" s="89" t="str">
        <f t="shared" si="24"/>
        <v>#DIV/0!</v>
      </c>
      <c r="W873" s="89" t="str">
        <f t="shared" si="9"/>
        <v>#DIV/0!</v>
      </c>
      <c r="X873" s="89"/>
      <c r="Y873" s="89"/>
      <c r="Z873" s="89"/>
      <c r="AA873" s="89"/>
      <c r="AB873" s="89"/>
      <c r="AC873" s="89"/>
      <c r="AD873" s="89"/>
      <c r="AE873" s="89"/>
      <c r="AF873" s="89"/>
      <c r="AG873" s="89"/>
      <c r="AH873" s="89"/>
    </row>
    <row r="874">
      <c r="A874" s="8" t="s">
        <v>1012</v>
      </c>
      <c r="B874" s="97"/>
      <c r="C874" s="8"/>
      <c r="D874" s="89" t="str">
        <f t="shared" si="1"/>
        <v/>
      </c>
      <c r="E874" s="89" t="str">
        <f t="shared" si="2"/>
        <v>OT Hours</v>
      </c>
      <c r="F874" s="89" t="str">
        <f>IFERROR(VLOOKUP(C874,'Employees List'!$B$1:$G$999,2,0),"")</f>
        <v/>
      </c>
      <c r="G874" s="89" t="str">
        <f t="shared" si="23"/>
        <v>#DIV/0!</v>
      </c>
      <c r="H874" s="98"/>
      <c r="I874" s="89" t="str">
        <f>IFERROR(VLOOKUP(F874,'Employees List'!$C:$F,2,0),"")</f>
        <v/>
      </c>
      <c r="J874" s="93" t="str">
        <f>IFERROR(VLOOKUP(C874,'Employees List'!$B$2:$G$991,5,0),"")</f>
        <v/>
      </c>
      <c r="K874" s="95" t="str">
        <f>IFERROR(VLOOKUP(F874,'Employees List'!$C$1:$AB$991,5,0),"")</f>
        <v/>
      </c>
      <c r="L874" s="91">
        <f t="shared" si="3"/>
        <v>0</v>
      </c>
      <c r="M874" s="91">
        <f t="shared" si="4"/>
        <v>0</v>
      </c>
      <c r="N874" s="89" t="str">
        <f>IFERROR(VLOOKUP(B874,'Employees List'!$A$2:$H$991,8,0),"")</f>
        <v/>
      </c>
      <c r="O874" s="89" t="str">
        <f>IFERROR(VLOOKUP(D874,'Daily Attendance Report 24-25'!A838:BP999,5,0),"")</f>
        <v/>
      </c>
      <c r="P874" s="89" t="str">
        <f>IFERROR(VLOOKUP(E874,'Daily Attendance Report 24-25'!$A$1:$BO$617,5,0),"")</f>
        <v/>
      </c>
      <c r="Q874" s="89"/>
      <c r="R874" s="89"/>
      <c r="S874" s="89" t="str">
        <f t="shared" si="17"/>
        <v>#DIV/0!</v>
      </c>
      <c r="T874" s="89" t="str">
        <f t="shared" si="6"/>
        <v>#DIV/0!</v>
      </c>
      <c r="U874" s="89" t="str">
        <f t="shared" si="25"/>
        <v>#DIV/0!</v>
      </c>
      <c r="V874" s="89" t="str">
        <f t="shared" si="24"/>
        <v>#DIV/0!</v>
      </c>
      <c r="W874" s="89" t="str">
        <f t="shared" si="9"/>
        <v>#DIV/0!</v>
      </c>
      <c r="X874" s="89"/>
      <c r="Y874" s="89"/>
      <c r="Z874" s="89"/>
      <c r="AA874" s="89"/>
      <c r="AB874" s="89"/>
      <c r="AC874" s="89"/>
      <c r="AD874" s="89"/>
      <c r="AE874" s="89"/>
      <c r="AF874" s="89"/>
      <c r="AG874" s="89"/>
      <c r="AH874" s="89"/>
    </row>
    <row r="875">
      <c r="A875" s="8" t="s">
        <v>1013</v>
      </c>
      <c r="B875" s="97"/>
      <c r="C875" s="8"/>
      <c r="D875" s="89" t="str">
        <f t="shared" si="1"/>
        <v/>
      </c>
      <c r="E875" s="89" t="str">
        <f t="shared" si="2"/>
        <v>OT Hours</v>
      </c>
      <c r="F875" s="89" t="str">
        <f>IFERROR(VLOOKUP(C875,'Employees List'!$B$1:$G$999,2,0),"")</f>
        <v/>
      </c>
      <c r="G875" s="89" t="str">
        <f t="shared" si="23"/>
        <v>#DIV/0!</v>
      </c>
      <c r="H875" s="98"/>
      <c r="I875" s="89" t="str">
        <f>IFERROR(VLOOKUP(F875,'Employees List'!$C:$F,2,0),"")</f>
        <v/>
      </c>
      <c r="J875" s="93" t="str">
        <f>IFERROR(VLOOKUP(C875,'Employees List'!$B$2:$G$991,5,0),"")</f>
        <v/>
      </c>
      <c r="K875" s="95" t="str">
        <f>IFERROR(VLOOKUP(F875,'Employees List'!$C$1:$AB$991,5,0),"")</f>
        <v/>
      </c>
      <c r="L875" s="91">
        <f t="shared" si="3"/>
        <v>0</v>
      </c>
      <c r="M875" s="91">
        <f t="shared" si="4"/>
        <v>0</v>
      </c>
      <c r="N875" s="89" t="str">
        <f>IFERROR(VLOOKUP(B875,'Employees List'!$A$2:$H$991,8,0),"")</f>
        <v/>
      </c>
      <c r="O875" s="89" t="str">
        <f>IFERROR(VLOOKUP(D875,'Daily Attendance Report 24-25'!A839:BP999,5,0),"")</f>
        <v/>
      </c>
      <c r="P875" s="89" t="str">
        <f>IFERROR(VLOOKUP(E875,'Daily Attendance Report 24-25'!$A$1:$BO$617,5,0),"")</f>
        <v/>
      </c>
      <c r="Q875" s="89"/>
      <c r="R875" s="89"/>
      <c r="S875" s="89" t="str">
        <f t="shared" si="17"/>
        <v>#DIV/0!</v>
      </c>
      <c r="T875" s="89" t="str">
        <f t="shared" si="6"/>
        <v>#DIV/0!</v>
      </c>
      <c r="U875" s="89" t="str">
        <f t="shared" si="25"/>
        <v>#DIV/0!</v>
      </c>
      <c r="V875" s="89" t="str">
        <f t="shared" si="24"/>
        <v>#DIV/0!</v>
      </c>
      <c r="W875" s="89" t="str">
        <f t="shared" si="9"/>
        <v>#DIV/0!</v>
      </c>
      <c r="X875" s="89"/>
      <c r="Y875" s="89"/>
      <c r="Z875" s="89"/>
      <c r="AA875" s="89"/>
      <c r="AB875" s="89"/>
      <c r="AC875" s="89"/>
      <c r="AD875" s="89"/>
      <c r="AE875" s="89"/>
      <c r="AF875" s="89"/>
      <c r="AG875" s="89"/>
      <c r="AH875" s="89"/>
    </row>
    <row r="876">
      <c r="A876" s="8" t="s">
        <v>1014</v>
      </c>
      <c r="B876" s="97"/>
      <c r="C876" s="8"/>
      <c r="D876" s="89" t="str">
        <f t="shared" si="1"/>
        <v/>
      </c>
      <c r="E876" s="89" t="str">
        <f t="shared" si="2"/>
        <v>OT Hours</v>
      </c>
      <c r="F876" s="89" t="str">
        <f>IFERROR(VLOOKUP(C876,'Employees List'!$B$1:$G$999,2,0),"")</f>
        <v/>
      </c>
      <c r="G876" s="89" t="str">
        <f t="shared" si="23"/>
        <v>#DIV/0!</v>
      </c>
      <c r="H876" s="98"/>
      <c r="I876" s="89" t="str">
        <f>IFERROR(VLOOKUP(F876,'Employees List'!$C:$F,2,0),"")</f>
        <v/>
      </c>
      <c r="J876" s="93" t="str">
        <f>IFERROR(VLOOKUP(C876,'Employees List'!$B$2:$G$991,5,0),"")</f>
        <v/>
      </c>
      <c r="K876" s="95" t="str">
        <f>IFERROR(VLOOKUP(F876,'Employees List'!$C$1:$AB$991,5,0),"")</f>
        <v/>
      </c>
      <c r="L876" s="91">
        <f t="shared" si="3"/>
        <v>0</v>
      </c>
      <c r="M876" s="91">
        <f t="shared" si="4"/>
        <v>0</v>
      </c>
      <c r="N876" s="89" t="str">
        <f>IFERROR(VLOOKUP(B876,'Employees List'!$A$2:$H$991,8,0),"")</f>
        <v/>
      </c>
      <c r="O876" s="89" t="str">
        <f>IFERROR(VLOOKUP(D876,'Daily Attendance Report 24-25'!A840:BP999,5,0),"")</f>
        <v/>
      </c>
      <c r="P876" s="89" t="str">
        <f>IFERROR(VLOOKUP(E876,'Daily Attendance Report 24-25'!$A$1:$BO$617,5,0),"")</f>
        <v/>
      </c>
      <c r="Q876" s="89"/>
      <c r="R876" s="89"/>
      <c r="S876" s="89" t="str">
        <f t="shared" si="17"/>
        <v>#DIV/0!</v>
      </c>
      <c r="T876" s="89" t="str">
        <f t="shared" si="6"/>
        <v>#DIV/0!</v>
      </c>
      <c r="U876" s="89" t="str">
        <f t="shared" si="25"/>
        <v>#DIV/0!</v>
      </c>
      <c r="V876" s="89" t="str">
        <f t="shared" si="24"/>
        <v>#DIV/0!</v>
      </c>
      <c r="W876" s="89" t="str">
        <f t="shared" si="9"/>
        <v>#DIV/0!</v>
      </c>
      <c r="X876" s="89"/>
      <c r="Y876" s="89"/>
      <c r="Z876" s="89"/>
      <c r="AA876" s="89"/>
      <c r="AB876" s="89"/>
      <c r="AC876" s="89"/>
      <c r="AD876" s="89"/>
      <c r="AE876" s="89"/>
      <c r="AF876" s="89"/>
      <c r="AG876" s="89"/>
      <c r="AH876" s="89"/>
    </row>
    <row r="877">
      <c r="A877" s="8" t="s">
        <v>1015</v>
      </c>
      <c r="B877" s="97"/>
      <c r="C877" s="8"/>
      <c r="D877" s="89" t="str">
        <f t="shared" si="1"/>
        <v/>
      </c>
      <c r="E877" s="89" t="str">
        <f t="shared" si="2"/>
        <v>OT Hours</v>
      </c>
      <c r="F877" s="89" t="str">
        <f>IFERROR(VLOOKUP(C877,'Employees List'!$B$1:$G$999,2,0),"")</f>
        <v/>
      </c>
      <c r="G877" s="89" t="str">
        <f t="shared" si="23"/>
        <v>#DIV/0!</v>
      </c>
      <c r="H877" s="98"/>
      <c r="I877" s="89" t="str">
        <f>IFERROR(VLOOKUP(F877,'Employees List'!$C:$F,2,0),"")</f>
        <v/>
      </c>
      <c r="J877" s="93" t="str">
        <f>IFERROR(VLOOKUP(C877,'Employees List'!$B$2:$G$991,5,0),"")</f>
        <v/>
      </c>
      <c r="K877" s="95" t="str">
        <f>IFERROR(VLOOKUP(F877,'Employees List'!$C$1:$AB$991,5,0),"")</f>
        <v/>
      </c>
      <c r="L877" s="91">
        <f t="shared" si="3"/>
        <v>0</v>
      </c>
      <c r="M877" s="91">
        <f t="shared" si="4"/>
        <v>0</v>
      </c>
      <c r="N877" s="89" t="str">
        <f>IFERROR(VLOOKUP(B877,'Employees List'!$A$2:$H$991,8,0),"")</f>
        <v/>
      </c>
      <c r="O877" s="89" t="str">
        <f>IFERROR(VLOOKUP(D877,'Daily Attendance Report 24-25'!A841:BP999,5,0),"")</f>
        <v/>
      </c>
      <c r="P877" s="89" t="str">
        <f>IFERROR(VLOOKUP(E877,'Daily Attendance Report 24-25'!$A$1:$BO$617,5,0),"")</f>
        <v/>
      </c>
      <c r="Q877" s="89"/>
      <c r="R877" s="89"/>
      <c r="S877" s="89" t="str">
        <f t="shared" si="17"/>
        <v>#DIV/0!</v>
      </c>
      <c r="T877" s="89" t="str">
        <f t="shared" si="6"/>
        <v>#DIV/0!</v>
      </c>
      <c r="U877" s="89" t="str">
        <f t="shared" si="25"/>
        <v>#DIV/0!</v>
      </c>
      <c r="V877" s="89" t="str">
        <f t="shared" si="24"/>
        <v>#DIV/0!</v>
      </c>
      <c r="W877" s="89" t="str">
        <f t="shared" si="9"/>
        <v>#DIV/0!</v>
      </c>
      <c r="X877" s="89"/>
      <c r="Y877" s="89"/>
      <c r="Z877" s="89"/>
      <c r="AA877" s="89"/>
      <c r="AB877" s="89"/>
      <c r="AC877" s="89"/>
      <c r="AD877" s="89"/>
      <c r="AE877" s="89"/>
      <c r="AF877" s="89"/>
      <c r="AG877" s="89"/>
      <c r="AH877" s="89"/>
    </row>
    <row r="878">
      <c r="A878" s="8" t="s">
        <v>1016</v>
      </c>
      <c r="B878" s="97"/>
      <c r="C878" s="8"/>
      <c r="D878" s="89" t="str">
        <f t="shared" si="1"/>
        <v/>
      </c>
      <c r="E878" s="89" t="str">
        <f t="shared" si="2"/>
        <v>OT Hours</v>
      </c>
      <c r="F878" s="89" t="str">
        <f>IFERROR(VLOOKUP(C878,'Employees List'!$B$1:$G$999,2,0),"")</f>
        <v/>
      </c>
      <c r="G878" s="89" t="str">
        <f t="shared" si="23"/>
        <v>#DIV/0!</v>
      </c>
      <c r="H878" s="98"/>
      <c r="I878" s="89" t="str">
        <f>IFERROR(VLOOKUP(F878,'Employees List'!$C:$F,2,0),"")</f>
        <v/>
      </c>
      <c r="J878" s="93" t="str">
        <f>IFERROR(VLOOKUP(C878,'Employees List'!$B$2:$G$991,5,0),"")</f>
        <v/>
      </c>
      <c r="K878" s="95" t="str">
        <f>IFERROR(VLOOKUP(F878,'Employees List'!$C$1:$AB$991,5,0),"")</f>
        <v/>
      </c>
      <c r="L878" s="91">
        <f t="shared" si="3"/>
        <v>0</v>
      </c>
      <c r="M878" s="91">
        <f t="shared" si="4"/>
        <v>0</v>
      </c>
      <c r="N878" s="89" t="str">
        <f>IFERROR(VLOOKUP(B878,'Employees List'!$A$2:$H$991,8,0),"")</f>
        <v/>
      </c>
      <c r="O878" s="89" t="str">
        <f>IFERROR(VLOOKUP(D878,'Daily Attendance Report 24-25'!A842:BP999,5,0),"")</f>
        <v/>
      </c>
      <c r="P878" s="89" t="str">
        <f>IFERROR(VLOOKUP(E878,'Daily Attendance Report 24-25'!$A$1:$BO$617,5,0),"")</f>
        <v/>
      </c>
      <c r="Q878" s="89"/>
      <c r="R878" s="89"/>
      <c r="S878" s="89" t="str">
        <f t="shared" si="17"/>
        <v>#DIV/0!</v>
      </c>
      <c r="T878" s="89" t="str">
        <f t="shared" si="6"/>
        <v>#DIV/0!</v>
      </c>
      <c r="U878" s="89" t="str">
        <f t="shared" si="25"/>
        <v>#DIV/0!</v>
      </c>
      <c r="V878" s="89" t="str">
        <f t="shared" si="24"/>
        <v>#DIV/0!</v>
      </c>
      <c r="W878" s="89" t="str">
        <f t="shared" si="9"/>
        <v>#DIV/0!</v>
      </c>
      <c r="X878" s="89"/>
      <c r="Y878" s="89"/>
      <c r="Z878" s="89"/>
      <c r="AA878" s="89"/>
      <c r="AB878" s="89"/>
      <c r="AC878" s="89"/>
      <c r="AD878" s="89"/>
      <c r="AE878" s="89"/>
      <c r="AF878" s="89"/>
      <c r="AG878" s="89"/>
      <c r="AH878" s="89"/>
    </row>
    <row r="879">
      <c r="A879" s="8" t="s">
        <v>1017</v>
      </c>
      <c r="B879" s="97"/>
      <c r="C879" s="8"/>
      <c r="D879" s="89" t="str">
        <f t="shared" si="1"/>
        <v/>
      </c>
      <c r="E879" s="89" t="str">
        <f t="shared" si="2"/>
        <v>OT Hours</v>
      </c>
      <c r="F879" s="89" t="str">
        <f>IFERROR(VLOOKUP(C879,'Employees List'!$B$1:$G$999,2,0),"")</f>
        <v/>
      </c>
      <c r="G879" s="89" t="str">
        <f t="shared" si="23"/>
        <v>#DIV/0!</v>
      </c>
      <c r="H879" s="98"/>
      <c r="I879" s="89" t="str">
        <f>IFERROR(VLOOKUP(F879,'Employees List'!$C:$F,2,0),"")</f>
        <v/>
      </c>
      <c r="J879" s="93" t="str">
        <f>IFERROR(VLOOKUP(C879,'Employees List'!$B$2:$G$991,5,0),"")</f>
        <v/>
      </c>
      <c r="K879" s="95" t="str">
        <f>IFERROR(VLOOKUP(F879,'Employees List'!$C$1:$AB$991,5,0),"")</f>
        <v/>
      </c>
      <c r="L879" s="91">
        <f t="shared" si="3"/>
        <v>0</v>
      </c>
      <c r="M879" s="91">
        <f t="shared" si="4"/>
        <v>0</v>
      </c>
      <c r="N879" s="89" t="str">
        <f>IFERROR(VLOOKUP(B879,'Employees List'!$A$2:$H$991,8,0),"")</f>
        <v/>
      </c>
      <c r="O879" s="89" t="str">
        <f>IFERROR(VLOOKUP(D879,'Daily Attendance Report 24-25'!A843:BP999,5,0),"")</f>
        <v/>
      </c>
      <c r="P879" s="89" t="str">
        <f>IFERROR(VLOOKUP(E879,'Daily Attendance Report 24-25'!$A$1:$BO$617,5,0),"")</f>
        <v/>
      </c>
      <c r="Q879" s="89"/>
      <c r="R879" s="89"/>
      <c r="S879" s="89" t="str">
        <f t="shared" si="17"/>
        <v>#DIV/0!</v>
      </c>
      <c r="T879" s="89" t="str">
        <f t="shared" si="6"/>
        <v>#DIV/0!</v>
      </c>
      <c r="U879" s="89" t="str">
        <f t="shared" si="25"/>
        <v>#DIV/0!</v>
      </c>
      <c r="V879" s="89" t="str">
        <f t="shared" si="24"/>
        <v>#DIV/0!</v>
      </c>
      <c r="W879" s="89" t="str">
        <f t="shared" si="9"/>
        <v>#DIV/0!</v>
      </c>
      <c r="X879" s="89"/>
      <c r="Y879" s="89"/>
      <c r="Z879" s="89"/>
      <c r="AA879" s="89"/>
      <c r="AB879" s="89"/>
      <c r="AC879" s="89"/>
      <c r="AD879" s="89"/>
      <c r="AE879" s="89"/>
      <c r="AF879" s="89"/>
      <c r="AG879" s="89"/>
      <c r="AH879" s="89"/>
    </row>
    <row r="880">
      <c r="A880" s="8" t="s">
        <v>1018</v>
      </c>
      <c r="B880" s="97"/>
      <c r="C880" s="8"/>
      <c r="D880" s="89" t="str">
        <f t="shared" si="1"/>
        <v/>
      </c>
      <c r="E880" s="89" t="str">
        <f t="shared" si="2"/>
        <v>OT Hours</v>
      </c>
      <c r="F880" s="89" t="str">
        <f>IFERROR(VLOOKUP(C880,'Employees List'!$B$1:$G$999,2,0),"")</f>
        <v/>
      </c>
      <c r="G880" s="89" t="str">
        <f t="shared" si="23"/>
        <v>#DIV/0!</v>
      </c>
      <c r="H880" s="98"/>
      <c r="I880" s="89" t="str">
        <f>IFERROR(VLOOKUP(F880,'Employees List'!$C:$F,2,0),"")</f>
        <v/>
      </c>
      <c r="J880" s="93" t="str">
        <f>IFERROR(VLOOKUP(C880,'Employees List'!$B$2:$G$991,5,0),"")</f>
        <v/>
      </c>
      <c r="K880" s="95" t="str">
        <f>IFERROR(VLOOKUP(F880,'Employees List'!$C$1:$AB$991,5,0),"")</f>
        <v/>
      </c>
      <c r="L880" s="91">
        <f t="shared" si="3"/>
        <v>0</v>
      </c>
      <c r="M880" s="91">
        <f t="shared" si="4"/>
        <v>0</v>
      </c>
      <c r="N880" s="89" t="str">
        <f>IFERROR(VLOOKUP(B880,'Employees List'!$A$2:$H$991,8,0),"")</f>
        <v/>
      </c>
      <c r="O880" s="89" t="str">
        <f>IFERROR(VLOOKUP(D880,'Daily Attendance Report 24-25'!A844:BP999,5,0),"")</f>
        <v/>
      </c>
      <c r="P880" s="89" t="str">
        <f>IFERROR(VLOOKUP(E880,'Daily Attendance Report 24-25'!$A$1:$BO$617,5,0),"")</f>
        <v/>
      </c>
      <c r="Q880" s="89"/>
      <c r="R880" s="89"/>
      <c r="S880" s="89" t="str">
        <f t="shared" si="17"/>
        <v>#DIV/0!</v>
      </c>
      <c r="T880" s="89" t="str">
        <f t="shared" si="6"/>
        <v>#DIV/0!</v>
      </c>
      <c r="U880" s="89" t="str">
        <f t="shared" si="25"/>
        <v>#DIV/0!</v>
      </c>
      <c r="V880" s="89" t="str">
        <f t="shared" si="24"/>
        <v>#DIV/0!</v>
      </c>
      <c r="W880" s="89" t="str">
        <f t="shared" si="9"/>
        <v>#DIV/0!</v>
      </c>
      <c r="X880" s="89"/>
      <c r="Y880" s="89"/>
      <c r="Z880" s="89"/>
      <c r="AA880" s="89"/>
      <c r="AB880" s="89"/>
      <c r="AC880" s="89"/>
      <c r="AD880" s="89"/>
      <c r="AE880" s="89"/>
      <c r="AF880" s="89"/>
      <c r="AG880" s="89"/>
      <c r="AH880" s="89"/>
    </row>
    <row r="881">
      <c r="A881" s="8" t="s">
        <v>1019</v>
      </c>
      <c r="B881" s="97"/>
      <c r="C881" s="8"/>
      <c r="D881" s="89" t="str">
        <f t="shared" si="1"/>
        <v/>
      </c>
      <c r="E881" s="89" t="str">
        <f t="shared" si="2"/>
        <v>OT Hours</v>
      </c>
      <c r="F881" s="89" t="str">
        <f>IFERROR(VLOOKUP(C881,'Employees List'!$B$1:$G$999,2,0),"")</f>
        <v/>
      </c>
      <c r="G881" s="89" t="str">
        <f t="shared" si="23"/>
        <v>#DIV/0!</v>
      </c>
      <c r="H881" s="98"/>
      <c r="I881" s="89" t="str">
        <f>IFERROR(VLOOKUP(F881,'Employees List'!$C:$F,2,0),"")</f>
        <v/>
      </c>
      <c r="J881" s="93" t="str">
        <f>IFERROR(VLOOKUP(C881,'Employees List'!$B$2:$G$991,5,0),"")</f>
        <v/>
      </c>
      <c r="K881" s="95" t="str">
        <f>IFERROR(VLOOKUP(F881,'Employees List'!$C$1:$AB$991,5,0),"")</f>
        <v/>
      </c>
      <c r="L881" s="91">
        <f t="shared" si="3"/>
        <v>0</v>
      </c>
      <c r="M881" s="91">
        <f t="shared" si="4"/>
        <v>0</v>
      </c>
      <c r="N881" s="89" t="str">
        <f>IFERROR(VLOOKUP(B881,'Employees List'!$A$2:$H$991,8,0),"")</f>
        <v/>
      </c>
      <c r="O881" s="89" t="str">
        <f>IFERROR(VLOOKUP(D881,'Daily Attendance Report 24-25'!A845:BP999,5,0),"")</f>
        <v/>
      </c>
      <c r="P881" s="89" t="str">
        <f>IFERROR(VLOOKUP(E881,'Daily Attendance Report 24-25'!$A$1:$BO$617,5,0),"")</f>
        <v/>
      </c>
      <c r="Q881" s="89"/>
      <c r="R881" s="89"/>
      <c r="S881" s="89" t="str">
        <f t="shared" si="17"/>
        <v>#DIV/0!</v>
      </c>
      <c r="T881" s="89" t="str">
        <f t="shared" si="6"/>
        <v>#DIV/0!</v>
      </c>
      <c r="U881" s="89" t="str">
        <f t="shared" si="25"/>
        <v>#DIV/0!</v>
      </c>
      <c r="V881" s="89" t="str">
        <f t="shared" si="24"/>
        <v>#DIV/0!</v>
      </c>
      <c r="W881" s="89" t="str">
        <f t="shared" si="9"/>
        <v>#DIV/0!</v>
      </c>
      <c r="X881" s="89"/>
      <c r="Y881" s="89"/>
      <c r="Z881" s="89"/>
      <c r="AA881" s="89"/>
      <c r="AB881" s="89"/>
      <c r="AC881" s="89"/>
      <c r="AD881" s="89"/>
      <c r="AE881" s="89"/>
      <c r="AF881" s="89"/>
      <c r="AG881" s="89"/>
      <c r="AH881" s="89"/>
    </row>
    <row r="882">
      <c r="A882" s="8" t="s">
        <v>1020</v>
      </c>
      <c r="B882" s="97"/>
      <c r="C882" s="8"/>
      <c r="D882" s="89" t="str">
        <f t="shared" si="1"/>
        <v/>
      </c>
      <c r="E882" s="89" t="str">
        <f t="shared" si="2"/>
        <v>OT Hours</v>
      </c>
      <c r="F882" s="89" t="str">
        <f>IFERROR(VLOOKUP(C882,'Employees List'!$B$1:$G$999,2,0),"")</f>
        <v/>
      </c>
      <c r="G882" s="89" t="str">
        <f t="shared" si="23"/>
        <v>#DIV/0!</v>
      </c>
      <c r="H882" s="98"/>
      <c r="I882" s="89" t="str">
        <f>IFERROR(VLOOKUP(F882,'Employees List'!$C:$F,2,0),"")</f>
        <v/>
      </c>
      <c r="J882" s="93" t="str">
        <f>IFERROR(VLOOKUP(C882,'Employees List'!$B$2:$G$991,5,0),"")</f>
        <v/>
      </c>
      <c r="K882" s="95" t="str">
        <f>IFERROR(VLOOKUP(F882,'Employees List'!$C$1:$AB$991,5,0),"")</f>
        <v/>
      </c>
      <c r="L882" s="91">
        <f t="shared" si="3"/>
        <v>0</v>
      </c>
      <c r="M882" s="91">
        <f t="shared" si="4"/>
        <v>0</v>
      </c>
      <c r="N882" s="89" t="str">
        <f>IFERROR(VLOOKUP(B882,'Employees List'!$A$2:$H$991,8,0),"")</f>
        <v/>
      </c>
      <c r="O882" s="89" t="str">
        <f>IFERROR(VLOOKUP(D882,'Daily Attendance Report 24-25'!A846:BP999,5,0),"")</f>
        <v/>
      </c>
      <c r="P882" s="89" t="str">
        <f>IFERROR(VLOOKUP(E882,'Daily Attendance Report 24-25'!$A$1:$BO$617,5,0),"")</f>
        <v/>
      </c>
      <c r="Q882" s="89"/>
      <c r="R882" s="89"/>
      <c r="S882" s="89" t="str">
        <f t="shared" si="17"/>
        <v>#DIV/0!</v>
      </c>
      <c r="T882" s="89" t="str">
        <f t="shared" si="6"/>
        <v>#DIV/0!</v>
      </c>
      <c r="U882" s="89" t="str">
        <f t="shared" si="25"/>
        <v>#DIV/0!</v>
      </c>
      <c r="V882" s="89" t="str">
        <f t="shared" si="24"/>
        <v>#DIV/0!</v>
      </c>
      <c r="W882" s="89" t="str">
        <f t="shared" si="9"/>
        <v>#DIV/0!</v>
      </c>
      <c r="X882" s="89"/>
      <c r="Y882" s="89"/>
      <c r="Z882" s="89"/>
      <c r="AA882" s="89"/>
      <c r="AB882" s="89"/>
      <c r="AC882" s="89"/>
      <c r="AD882" s="89"/>
      <c r="AE882" s="89"/>
      <c r="AF882" s="89"/>
      <c r="AG882" s="89"/>
      <c r="AH882" s="89"/>
    </row>
    <row r="883">
      <c r="A883" s="8" t="s">
        <v>1021</v>
      </c>
      <c r="B883" s="97"/>
      <c r="C883" s="8"/>
      <c r="D883" s="89" t="str">
        <f t="shared" si="1"/>
        <v/>
      </c>
      <c r="E883" s="89" t="str">
        <f t="shared" si="2"/>
        <v>OT Hours</v>
      </c>
      <c r="F883" s="89" t="str">
        <f>IFERROR(VLOOKUP(C883,'Employees List'!$B$1:$G$999,2,0),"")</f>
        <v/>
      </c>
      <c r="G883" s="89" t="str">
        <f t="shared" si="23"/>
        <v>#DIV/0!</v>
      </c>
      <c r="H883" s="98"/>
      <c r="I883" s="89" t="str">
        <f>IFERROR(VLOOKUP(F883,'Employees List'!$C:$F,2,0),"")</f>
        <v/>
      </c>
      <c r="J883" s="93" t="str">
        <f>IFERROR(VLOOKUP(C883,'Employees List'!$B$2:$G$991,5,0),"")</f>
        <v/>
      </c>
      <c r="K883" s="95" t="str">
        <f>IFERROR(VLOOKUP(F883,'Employees List'!$C$1:$AB$991,5,0),"")</f>
        <v/>
      </c>
      <c r="L883" s="91">
        <f t="shared" si="3"/>
        <v>0</v>
      </c>
      <c r="M883" s="91">
        <f t="shared" si="4"/>
        <v>0</v>
      </c>
      <c r="N883" s="89" t="str">
        <f>IFERROR(VLOOKUP(B883,'Employees List'!$A$2:$H$991,8,0),"")</f>
        <v/>
      </c>
      <c r="O883" s="89" t="str">
        <f>IFERROR(VLOOKUP(D883,'Daily Attendance Report 24-25'!A847:BP999,5,0),"")</f>
        <v/>
      </c>
      <c r="P883" s="89" t="str">
        <f>IFERROR(VLOOKUP(E883,'Daily Attendance Report 24-25'!$A$1:$BO$617,5,0),"")</f>
        <v/>
      </c>
      <c r="Q883" s="89"/>
      <c r="R883" s="89"/>
      <c r="S883" s="89" t="str">
        <f t="shared" si="17"/>
        <v>#DIV/0!</v>
      </c>
      <c r="T883" s="89" t="str">
        <f t="shared" si="6"/>
        <v>#DIV/0!</v>
      </c>
      <c r="U883" s="89" t="str">
        <f t="shared" si="25"/>
        <v>#DIV/0!</v>
      </c>
      <c r="V883" s="89" t="str">
        <f t="shared" si="24"/>
        <v>#DIV/0!</v>
      </c>
      <c r="W883" s="89" t="str">
        <f t="shared" si="9"/>
        <v>#DIV/0!</v>
      </c>
      <c r="X883" s="89"/>
      <c r="Y883" s="89"/>
      <c r="Z883" s="89"/>
      <c r="AA883" s="89"/>
      <c r="AB883" s="89"/>
      <c r="AC883" s="89"/>
      <c r="AD883" s="89"/>
      <c r="AE883" s="89"/>
      <c r="AF883" s="89"/>
      <c r="AG883" s="89"/>
      <c r="AH883" s="89"/>
    </row>
    <row r="884">
      <c r="A884" s="8" t="s">
        <v>1022</v>
      </c>
      <c r="B884" s="97"/>
      <c r="C884" s="8"/>
      <c r="D884" s="89" t="str">
        <f t="shared" si="1"/>
        <v/>
      </c>
      <c r="E884" s="89" t="str">
        <f t="shared" si="2"/>
        <v>OT Hours</v>
      </c>
      <c r="F884" s="89" t="str">
        <f>IFERROR(VLOOKUP(C884,'Employees List'!$B$1:$G$999,2,0),"")</f>
        <v/>
      </c>
      <c r="G884" s="89" t="str">
        <f t="shared" si="23"/>
        <v>#DIV/0!</v>
      </c>
      <c r="H884" s="98"/>
      <c r="I884" s="89" t="str">
        <f>IFERROR(VLOOKUP(F884,'Employees List'!$C:$F,2,0),"")</f>
        <v/>
      </c>
      <c r="J884" s="93" t="str">
        <f>IFERROR(VLOOKUP(C884,'Employees List'!$B$2:$G$991,5,0),"")</f>
        <v/>
      </c>
      <c r="K884" s="95" t="str">
        <f>IFERROR(VLOOKUP(F884,'Employees List'!$C$1:$AB$991,5,0),"")</f>
        <v/>
      </c>
      <c r="L884" s="91">
        <f t="shared" si="3"/>
        <v>0</v>
      </c>
      <c r="M884" s="91">
        <f t="shared" si="4"/>
        <v>0</v>
      </c>
      <c r="N884" s="89" t="str">
        <f>IFERROR(VLOOKUP(B884,'Employees List'!$A$2:$H$991,8,0),"")</f>
        <v/>
      </c>
      <c r="O884" s="89" t="str">
        <f>IFERROR(VLOOKUP(D884,'Daily Attendance Report 24-25'!A848:BP999,5,0),"")</f>
        <v/>
      </c>
      <c r="P884" s="89" t="str">
        <f>IFERROR(VLOOKUP(E884,'Daily Attendance Report 24-25'!$A$1:$BO$617,5,0),"")</f>
        <v/>
      </c>
      <c r="Q884" s="89"/>
      <c r="R884" s="89"/>
      <c r="S884" s="89" t="str">
        <f t="shared" si="17"/>
        <v>#DIV/0!</v>
      </c>
      <c r="T884" s="89" t="str">
        <f t="shared" si="6"/>
        <v>#DIV/0!</v>
      </c>
      <c r="U884" s="89" t="str">
        <f t="shared" si="25"/>
        <v>#DIV/0!</v>
      </c>
      <c r="V884" s="89" t="str">
        <f t="shared" si="24"/>
        <v>#DIV/0!</v>
      </c>
      <c r="W884" s="89" t="str">
        <f t="shared" si="9"/>
        <v>#DIV/0!</v>
      </c>
      <c r="X884" s="89"/>
      <c r="Y884" s="89"/>
      <c r="Z884" s="89"/>
      <c r="AA884" s="89"/>
      <c r="AB884" s="89"/>
      <c r="AC884" s="89"/>
      <c r="AD884" s="89"/>
      <c r="AE884" s="89"/>
      <c r="AF884" s="89"/>
      <c r="AG884" s="89"/>
      <c r="AH884" s="89"/>
    </row>
    <row r="885">
      <c r="A885" s="8" t="s">
        <v>1023</v>
      </c>
      <c r="B885" s="97"/>
      <c r="C885" s="8"/>
      <c r="D885" s="89" t="str">
        <f t="shared" si="1"/>
        <v/>
      </c>
      <c r="E885" s="89" t="str">
        <f t="shared" si="2"/>
        <v>OT Hours</v>
      </c>
      <c r="F885" s="89" t="str">
        <f>IFERROR(VLOOKUP(C885,'Employees List'!$B$1:$G$999,2,0),"")</f>
        <v/>
      </c>
      <c r="G885" s="89" t="str">
        <f t="shared" si="23"/>
        <v>#DIV/0!</v>
      </c>
      <c r="H885" s="98"/>
      <c r="I885" s="89" t="str">
        <f>IFERROR(VLOOKUP(F885,'Employees List'!$C:$F,2,0),"")</f>
        <v/>
      </c>
      <c r="J885" s="93" t="str">
        <f>IFERROR(VLOOKUP(C885,'Employees List'!$B$2:$G$991,5,0),"")</f>
        <v/>
      </c>
      <c r="K885" s="95" t="str">
        <f>IFERROR(VLOOKUP(F885,'Employees List'!$C$1:$AB$991,5,0),"")</f>
        <v/>
      </c>
      <c r="L885" s="91">
        <f t="shared" si="3"/>
        <v>0</v>
      </c>
      <c r="M885" s="91">
        <f t="shared" si="4"/>
        <v>0</v>
      </c>
      <c r="N885" s="89" t="str">
        <f>IFERROR(VLOOKUP(B885,'Employees List'!$A$2:$H$991,8,0),"")</f>
        <v/>
      </c>
      <c r="O885" s="89" t="str">
        <f>IFERROR(VLOOKUP(D885,'Daily Attendance Report 24-25'!A849:BP999,5,0),"")</f>
        <v/>
      </c>
      <c r="P885" s="89" t="str">
        <f>IFERROR(VLOOKUP(E885,'Daily Attendance Report 24-25'!$A$1:$BO$617,5,0),"")</f>
        <v/>
      </c>
      <c r="Q885" s="89"/>
      <c r="R885" s="89"/>
      <c r="S885" s="89" t="str">
        <f t="shared" si="17"/>
        <v>#DIV/0!</v>
      </c>
      <c r="T885" s="89" t="str">
        <f t="shared" si="6"/>
        <v>#DIV/0!</v>
      </c>
      <c r="U885" s="89" t="str">
        <f t="shared" si="25"/>
        <v>#DIV/0!</v>
      </c>
      <c r="V885" s="89" t="str">
        <f t="shared" si="24"/>
        <v>#DIV/0!</v>
      </c>
      <c r="W885" s="89" t="str">
        <f t="shared" si="9"/>
        <v>#DIV/0!</v>
      </c>
      <c r="X885" s="89"/>
      <c r="Y885" s="89"/>
      <c r="Z885" s="89"/>
      <c r="AA885" s="89"/>
      <c r="AB885" s="89"/>
      <c r="AC885" s="89"/>
      <c r="AD885" s="89"/>
      <c r="AE885" s="89"/>
      <c r="AF885" s="89"/>
      <c r="AG885" s="89"/>
      <c r="AH885" s="89"/>
    </row>
    <row r="886">
      <c r="A886" s="8" t="s">
        <v>1024</v>
      </c>
      <c r="B886" s="97"/>
      <c r="C886" s="8"/>
      <c r="D886" s="89" t="str">
        <f t="shared" si="1"/>
        <v/>
      </c>
      <c r="E886" s="89" t="str">
        <f t="shared" si="2"/>
        <v>OT Hours</v>
      </c>
      <c r="F886" s="89" t="str">
        <f>IFERROR(VLOOKUP(C886,'Employees List'!$B$1:$G$999,2,0),"")</f>
        <v/>
      </c>
      <c r="G886" s="89" t="str">
        <f t="shared" si="23"/>
        <v>#DIV/0!</v>
      </c>
      <c r="H886" s="98"/>
      <c r="I886" s="89" t="str">
        <f>IFERROR(VLOOKUP(F886,'Employees List'!$C:$F,2,0),"")</f>
        <v/>
      </c>
      <c r="J886" s="93" t="str">
        <f>IFERROR(VLOOKUP(C886,'Employees List'!$B$2:$G$991,5,0),"")</f>
        <v/>
      </c>
      <c r="K886" s="95" t="str">
        <f>IFERROR(VLOOKUP(F886,'Employees List'!$C$1:$AB$991,5,0),"")</f>
        <v/>
      </c>
      <c r="L886" s="91">
        <f t="shared" si="3"/>
        <v>0</v>
      </c>
      <c r="M886" s="91">
        <f t="shared" si="4"/>
        <v>0</v>
      </c>
      <c r="N886" s="89" t="str">
        <f>IFERROR(VLOOKUP(B886,'Employees List'!$A$2:$H$991,8,0),"")</f>
        <v/>
      </c>
      <c r="O886" s="89" t="str">
        <f>IFERROR(VLOOKUP(D886,'Daily Attendance Report 24-25'!A850:BP999,5,0),"")</f>
        <v/>
      </c>
      <c r="P886" s="89" t="str">
        <f>IFERROR(VLOOKUP(E886,'Daily Attendance Report 24-25'!$A$1:$BO$617,5,0),"")</f>
        <v/>
      </c>
      <c r="Q886" s="89"/>
      <c r="R886" s="89"/>
      <c r="S886" s="89" t="str">
        <f t="shared" si="17"/>
        <v>#DIV/0!</v>
      </c>
      <c r="T886" s="89" t="str">
        <f t="shared" si="6"/>
        <v>#DIV/0!</v>
      </c>
      <c r="U886" s="89" t="str">
        <f t="shared" si="25"/>
        <v>#DIV/0!</v>
      </c>
      <c r="V886" s="89" t="str">
        <f t="shared" si="24"/>
        <v>#DIV/0!</v>
      </c>
      <c r="W886" s="89" t="str">
        <f t="shared" si="9"/>
        <v>#DIV/0!</v>
      </c>
      <c r="X886" s="89"/>
      <c r="Y886" s="89"/>
      <c r="Z886" s="89"/>
      <c r="AA886" s="89"/>
      <c r="AB886" s="89"/>
      <c r="AC886" s="89"/>
      <c r="AD886" s="89"/>
      <c r="AE886" s="89"/>
      <c r="AF886" s="89"/>
      <c r="AG886" s="89"/>
      <c r="AH886" s="89"/>
    </row>
    <row r="887">
      <c r="A887" s="8" t="s">
        <v>1025</v>
      </c>
      <c r="B887" s="97"/>
      <c r="C887" s="8"/>
      <c r="D887" s="89" t="str">
        <f t="shared" si="1"/>
        <v/>
      </c>
      <c r="E887" s="89" t="str">
        <f t="shared" si="2"/>
        <v>OT Hours</v>
      </c>
      <c r="F887" s="89" t="str">
        <f>IFERROR(VLOOKUP(C887,'Employees List'!$B$1:$G$999,2,0),"")</f>
        <v/>
      </c>
      <c r="G887" s="89" t="str">
        <f t="shared" si="23"/>
        <v>#DIV/0!</v>
      </c>
      <c r="H887" s="98"/>
      <c r="I887" s="89" t="str">
        <f>IFERROR(VLOOKUP(F887,'Employees List'!$C:$F,2,0),"")</f>
        <v/>
      </c>
      <c r="J887" s="93" t="str">
        <f>IFERROR(VLOOKUP(C887,'Employees List'!$B$2:$G$991,5,0),"")</f>
        <v/>
      </c>
      <c r="K887" s="95" t="str">
        <f>IFERROR(VLOOKUP(F887,'Employees List'!$C$1:$AB$991,5,0),"")</f>
        <v/>
      </c>
      <c r="L887" s="91">
        <f t="shared" si="3"/>
        <v>0</v>
      </c>
      <c r="M887" s="91">
        <f t="shared" si="4"/>
        <v>0</v>
      </c>
      <c r="N887" s="89" t="str">
        <f>IFERROR(VLOOKUP(B887,'Employees List'!$A$2:$H$991,8,0),"")</f>
        <v/>
      </c>
      <c r="O887" s="89" t="str">
        <f>IFERROR(VLOOKUP(D887,'Daily Attendance Report 24-25'!A851:BP999,5,0),"")</f>
        <v/>
      </c>
      <c r="P887" s="89" t="str">
        <f>IFERROR(VLOOKUP(E887,'Daily Attendance Report 24-25'!$A$1:$BO$617,5,0),"")</f>
        <v/>
      </c>
      <c r="Q887" s="89"/>
      <c r="R887" s="89"/>
      <c r="S887" s="89" t="str">
        <f t="shared" si="17"/>
        <v>#DIV/0!</v>
      </c>
      <c r="T887" s="89" t="str">
        <f t="shared" si="6"/>
        <v>#DIV/0!</v>
      </c>
      <c r="U887" s="89" t="str">
        <f t="shared" si="25"/>
        <v>#DIV/0!</v>
      </c>
      <c r="V887" s="89" t="str">
        <f t="shared" si="24"/>
        <v>#DIV/0!</v>
      </c>
      <c r="W887" s="89" t="str">
        <f t="shared" si="9"/>
        <v>#DIV/0!</v>
      </c>
      <c r="X887" s="89"/>
      <c r="Y887" s="89"/>
      <c r="Z887" s="89"/>
      <c r="AA887" s="89"/>
      <c r="AB887" s="89"/>
      <c r="AC887" s="89"/>
      <c r="AD887" s="89"/>
      <c r="AE887" s="89"/>
      <c r="AF887" s="89"/>
      <c r="AG887" s="89"/>
      <c r="AH887" s="89"/>
    </row>
    <row r="888">
      <c r="A888" s="8" t="s">
        <v>1026</v>
      </c>
      <c r="B888" s="97"/>
      <c r="C888" s="8"/>
      <c r="D888" s="89" t="str">
        <f t="shared" si="1"/>
        <v/>
      </c>
      <c r="E888" s="89" t="str">
        <f t="shared" si="2"/>
        <v>OT Hours</v>
      </c>
      <c r="F888" s="89" t="str">
        <f>IFERROR(VLOOKUP(C888,'Employees List'!$B$1:$G$999,2,0),"")</f>
        <v/>
      </c>
      <c r="G888" s="89" t="str">
        <f t="shared" si="23"/>
        <v>#DIV/0!</v>
      </c>
      <c r="H888" s="98"/>
      <c r="I888" s="89" t="str">
        <f>IFERROR(VLOOKUP(F888,'Employees List'!$C:$F,2,0),"")</f>
        <v/>
      </c>
      <c r="J888" s="93" t="str">
        <f>IFERROR(VLOOKUP(C888,'Employees List'!$B$2:$G$991,5,0),"")</f>
        <v/>
      </c>
      <c r="K888" s="95" t="str">
        <f>IFERROR(VLOOKUP(F888,'Employees List'!$C$1:$AB$991,5,0),"")</f>
        <v/>
      </c>
      <c r="L888" s="91">
        <f t="shared" si="3"/>
        <v>0</v>
      </c>
      <c r="M888" s="91">
        <f t="shared" si="4"/>
        <v>0</v>
      </c>
      <c r="N888" s="89" t="str">
        <f>IFERROR(VLOOKUP(B888,'Employees List'!$A$2:$H$991,8,0),"")</f>
        <v/>
      </c>
      <c r="O888" s="89" t="str">
        <f>IFERROR(VLOOKUP(D888,'Daily Attendance Report 24-25'!A852:BP999,5,0),"")</f>
        <v/>
      </c>
      <c r="P888" s="89" t="str">
        <f>IFERROR(VLOOKUP(E888,'Daily Attendance Report 24-25'!$A$1:$BO$617,5,0),"")</f>
        <v/>
      </c>
      <c r="Q888" s="89"/>
      <c r="R888" s="89"/>
      <c r="S888" s="89" t="str">
        <f t="shared" si="17"/>
        <v>#DIV/0!</v>
      </c>
      <c r="T888" s="89" t="str">
        <f t="shared" si="6"/>
        <v>#DIV/0!</v>
      </c>
      <c r="U888" s="89" t="str">
        <f t="shared" si="25"/>
        <v>#DIV/0!</v>
      </c>
      <c r="V888" s="89" t="str">
        <f t="shared" si="24"/>
        <v>#DIV/0!</v>
      </c>
      <c r="W888" s="89" t="str">
        <f t="shared" si="9"/>
        <v>#DIV/0!</v>
      </c>
      <c r="X888" s="89"/>
      <c r="Y888" s="89"/>
      <c r="Z888" s="89"/>
      <c r="AA888" s="89"/>
      <c r="AB888" s="89"/>
      <c r="AC888" s="89"/>
      <c r="AD888" s="89"/>
      <c r="AE888" s="89"/>
      <c r="AF888" s="89"/>
      <c r="AG888" s="89"/>
      <c r="AH888" s="89"/>
    </row>
    <row r="889">
      <c r="A889" s="8" t="s">
        <v>1027</v>
      </c>
      <c r="B889" s="97"/>
      <c r="C889" s="8"/>
      <c r="D889" s="89" t="str">
        <f t="shared" si="1"/>
        <v/>
      </c>
      <c r="E889" s="89" t="str">
        <f t="shared" si="2"/>
        <v>OT Hours</v>
      </c>
      <c r="F889" s="89" t="str">
        <f>IFERROR(VLOOKUP(C889,'Employees List'!$B$1:$G$999,2,0),"")</f>
        <v/>
      </c>
      <c r="G889" s="89" t="str">
        <f t="shared" si="23"/>
        <v>#DIV/0!</v>
      </c>
      <c r="H889" s="98"/>
      <c r="I889" s="89" t="str">
        <f>IFERROR(VLOOKUP(F889,'Employees List'!$C:$F,2,0),"")</f>
        <v/>
      </c>
      <c r="J889" s="93" t="str">
        <f>IFERROR(VLOOKUP(C889,'Employees List'!$B$2:$G$991,5,0),"")</f>
        <v/>
      </c>
      <c r="K889" s="95" t="str">
        <f>IFERROR(VLOOKUP(F889,'Employees List'!$C$1:$AB$991,5,0),"")</f>
        <v/>
      </c>
      <c r="L889" s="91">
        <f t="shared" si="3"/>
        <v>0</v>
      </c>
      <c r="M889" s="91">
        <f t="shared" si="4"/>
        <v>0</v>
      </c>
      <c r="N889" s="89" t="str">
        <f>IFERROR(VLOOKUP(B889,'Employees List'!$A$2:$H$991,8,0),"")</f>
        <v/>
      </c>
      <c r="O889" s="89" t="str">
        <f>IFERROR(VLOOKUP(D889,'Daily Attendance Report 24-25'!A853:BP999,5,0),"")</f>
        <v/>
      </c>
      <c r="P889" s="89" t="str">
        <f>IFERROR(VLOOKUP(E889,'Daily Attendance Report 24-25'!$A$1:$BO$617,5,0),"")</f>
        <v/>
      </c>
      <c r="Q889" s="89"/>
      <c r="R889" s="89"/>
      <c r="S889" s="89" t="str">
        <f t="shared" si="17"/>
        <v>#DIV/0!</v>
      </c>
      <c r="T889" s="89" t="str">
        <f t="shared" si="6"/>
        <v>#DIV/0!</v>
      </c>
      <c r="U889" s="89" t="str">
        <f t="shared" si="25"/>
        <v>#DIV/0!</v>
      </c>
      <c r="V889" s="89" t="str">
        <f t="shared" si="24"/>
        <v>#DIV/0!</v>
      </c>
      <c r="W889" s="89" t="str">
        <f t="shared" si="9"/>
        <v>#DIV/0!</v>
      </c>
      <c r="X889" s="89"/>
      <c r="Y889" s="89"/>
      <c r="Z889" s="89"/>
      <c r="AA889" s="89"/>
      <c r="AB889" s="89"/>
      <c r="AC889" s="89"/>
      <c r="AD889" s="89"/>
      <c r="AE889" s="89"/>
      <c r="AF889" s="89"/>
      <c r="AG889" s="89"/>
      <c r="AH889" s="89"/>
    </row>
    <row r="890">
      <c r="A890" s="8" t="s">
        <v>1028</v>
      </c>
      <c r="B890" s="97"/>
      <c r="C890" s="8"/>
      <c r="D890" s="89" t="str">
        <f t="shared" si="1"/>
        <v/>
      </c>
      <c r="E890" s="89" t="str">
        <f t="shared" si="2"/>
        <v>OT Hours</v>
      </c>
      <c r="F890" s="89" t="str">
        <f>IFERROR(VLOOKUP(C890,'Employees List'!$B$1:$G$999,2,0),"")</f>
        <v/>
      </c>
      <c r="G890" s="89" t="str">
        <f t="shared" si="23"/>
        <v>#DIV/0!</v>
      </c>
      <c r="H890" s="98"/>
      <c r="I890" s="89" t="str">
        <f>IFERROR(VLOOKUP(F890,'Employees List'!$C:$F,2,0),"")</f>
        <v/>
      </c>
      <c r="J890" s="93" t="str">
        <f>IFERROR(VLOOKUP(C890,'Employees List'!$B$2:$G$991,5,0),"")</f>
        <v/>
      </c>
      <c r="K890" s="95" t="str">
        <f>IFERROR(VLOOKUP(F890,'Employees List'!$C$1:$AB$991,5,0),"")</f>
        <v/>
      </c>
      <c r="L890" s="91">
        <f t="shared" si="3"/>
        <v>0</v>
      </c>
      <c r="M890" s="91">
        <f t="shared" si="4"/>
        <v>0</v>
      </c>
      <c r="N890" s="89" t="str">
        <f>IFERROR(VLOOKUP(B890,'Employees List'!$A$2:$H$991,8,0),"")</f>
        <v/>
      </c>
      <c r="O890" s="89" t="str">
        <f>IFERROR(VLOOKUP(D890,'Daily Attendance Report 24-25'!A854:BP999,5,0),"")</f>
        <v/>
      </c>
      <c r="P890" s="89" t="str">
        <f>IFERROR(VLOOKUP(E890,'Daily Attendance Report 24-25'!$A$1:$BO$617,5,0),"")</f>
        <v/>
      </c>
      <c r="Q890" s="89"/>
      <c r="R890" s="89"/>
      <c r="S890" s="89" t="str">
        <f t="shared" si="17"/>
        <v>#DIV/0!</v>
      </c>
      <c r="T890" s="89" t="str">
        <f t="shared" si="6"/>
        <v>#DIV/0!</v>
      </c>
      <c r="U890" s="89" t="str">
        <f t="shared" si="25"/>
        <v>#DIV/0!</v>
      </c>
      <c r="V890" s="89" t="str">
        <f t="shared" si="24"/>
        <v>#DIV/0!</v>
      </c>
      <c r="W890" s="89" t="str">
        <f t="shared" si="9"/>
        <v>#DIV/0!</v>
      </c>
      <c r="X890" s="89"/>
      <c r="Y890" s="89"/>
      <c r="Z890" s="89"/>
      <c r="AA890" s="89"/>
      <c r="AB890" s="89"/>
      <c r="AC890" s="89"/>
      <c r="AD890" s="89"/>
      <c r="AE890" s="89"/>
      <c r="AF890" s="89"/>
      <c r="AG890" s="89"/>
      <c r="AH890" s="89"/>
    </row>
    <row r="891">
      <c r="A891" s="8" t="s">
        <v>1029</v>
      </c>
      <c r="B891" s="97"/>
      <c r="C891" s="8"/>
      <c r="D891" s="89" t="str">
        <f t="shared" si="1"/>
        <v/>
      </c>
      <c r="E891" s="89" t="str">
        <f t="shared" si="2"/>
        <v>OT Hours</v>
      </c>
      <c r="F891" s="89" t="str">
        <f>IFERROR(VLOOKUP(C891,'Employees List'!$B$1:$G$999,2,0),"")</f>
        <v/>
      </c>
      <c r="G891" s="89" t="str">
        <f t="shared" si="23"/>
        <v>#DIV/0!</v>
      </c>
      <c r="H891" s="98"/>
      <c r="I891" s="89" t="str">
        <f>IFERROR(VLOOKUP(F891,'Employees List'!$C:$F,2,0),"")</f>
        <v/>
      </c>
      <c r="J891" s="93" t="str">
        <f>IFERROR(VLOOKUP(C891,'Employees List'!$B$2:$G$991,5,0),"")</f>
        <v/>
      </c>
      <c r="K891" s="95" t="str">
        <f>IFERROR(VLOOKUP(F891,'Employees List'!$C$1:$AB$991,5,0),"")</f>
        <v/>
      </c>
      <c r="L891" s="91">
        <f t="shared" si="3"/>
        <v>0</v>
      </c>
      <c r="M891" s="91">
        <f t="shared" si="4"/>
        <v>0</v>
      </c>
      <c r="N891" s="89" t="str">
        <f>IFERROR(VLOOKUP(B891,'Employees List'!$A$2:$H$991,8,0),"")</f>
        <v/>
      </c>
      <c r="O891" s="89" t="str">
        <f>IFERROR(VLOOKUP(D891,'Daily Attendance Report 24-25'!A855:BP999,5,0),"")</f>
        <v/>
      </c>
      <c r="P891" s="89" t="str">
        <f>IFERROR(VLOOKUP(E891,'Daily Attendance Report 24-25'!$A$1:$BO$617,5,0),"")</f>
        <v/>
      </c>
      <c r="Q891" s="89"/>
      <c r="R891" s="89"/>
      <c r="S891" s="89" t="str">
        <f t="shared" si="17"/>
        <v>#DIV/0!</v>
      </c>
      <c r="T891" s="89" t="str">
        <f t="shared" si="6"/>
        <v>#DIV/0!</v>
      </c>
      <c r="U891" s="89" t="str">
        <f t="shared" si="25"/>
        <v>#DIV/0!</v>
      </c>
      <c r="V891" s="89" t="str">
        <f t="shared" si="24"/>
        <v>#DIV/0!</v>
      </c>
      <c r="W891" s="89" t="str">
        <f t="shared" si="9"/>
        <v>#DIV/0!</v>
      </c>
      <c r="X891" s="89"/>
      <c r="Y891" s="89"/>
      <c r="Z891" s="89"/>
      <c r="AA891" s="89"/>
      <c r="AB891" s="89"/>
      <c r="AC891" s="89"/>
      <c r="AD891" s="89"/>
      <c r="AE891" s="89"/>
      <c r="AF891" s="89"/>
      <c r="AG891" s="89"/>
      <c r="AH891" s="89"/>
    </row>
    <row r="892">
      <c r="A892" s="8" t="s">
        <v>1030</v>
      </c>
      <c r="B892" s="97"/>
      <c r="C892" s="8"/>
      <c r="D892" s="89" t="str">
        <f t="shared" si="1"/>
        <v/>
      </c>
      <c r="E892" s="89" t="str">
        <f t="shared" si="2"/>
        <v>OT Hours</v>
      </c>
      <c r="F892" s="89" t="str">
        <f>IFERROR(VLOOKUP(C892,'Employees List'!$B$1:$G$999,2,0),"")</f>
        <v/>
      </c>
      <c r="G892" s="89" t="str">
        <f t="shared" si="23"/>
        <v>#DIV/0!</v>
      </c>
      <c r="H892" s="98"/>
      <c r="I892" s="89" t="str">
        <f>IFERROR(VLOOKUP(F892,'Employees List'!$C:$F,2,0),"")</f>
        <v/>
      </c>
      <c r="J892" s="93" t="str">
        <f>IFERROR(VLOOKUP(C892,'Employees List'!$B$2:$G$991,5,0),"")</f>
        <v/>
      </c>
      <c r="K892" s="95" t="str">
        <f>IFERROR(VLOOKUP(F892,'Employees List'!$C$1:$AB$991,5,0),"")</f>
        <v/>
      </c>
      <c r="L892" s="91">
        <f t="shared" si="3"/>
        <v>0</v>
      </c>
      <c r="M892" s="91">
        <f t="shared" si="4"/>
        <v>0</v>
      </c>
      <c r="N892" s="89" t="str">
        <f>IFERROR(VLOOKUP(B892,'Employees List'!$A$2:$H$991,8,0),"")</f>
        <v/>
      </c>
      <c r="O892" s="89" t="str">
        <f>IFERROR(VLOOKUP(D892,'Daily Attendance Report 24-25'!A856:BP999,5,0),"")</f>
        <v/>
      </c>
      <c r="P892" s="89" t="str">
        <f>IFERROR(VLOOKUP(E892,'Daily Attendance Report 24-25'!$A$1:$BO$617,5,0),"")</f>
        <v/>
      </c>
      <c r="Q892" s="89"/>
      <c r="R892" s="89"/>
      <c r="S892" s="89" t="str">
        <f t="shared" si="17"/>
        <v>#DIV/0!</v>
      </c>
      <c r="T892" s="89" t="str">
        <f t="shared" si="6"/>
        <v>#DIV/0!</v>
      </c>
      <c r="U892" s="89" t="str">
        <f t="shared" si="25"/>
        <v>#DIV/0!</v>
      </c>
      <c r="V892" s="89" t="str">
        <f t="shared" si="24"/>
        <v>#DIV/0!</v>
      </c>
      <c r="W892" s="89" t="str">
        <f t="shared" si="9"/>
        <v>#DIV/0!</v>
      </c>
      <c r="X892" s="89"/>
      <c r="Y892" s="89"/>
      <c r="Z892" s="89"/>
      <c r="AA892" s="89"/>
      <c r="AB892" s="89"/>
      <c r="AC892" s="89"/>
      <c r="AD892" s="89"/>
      <c r="AE892" s="89"/>
      <c r="AF892" s="89"/>
      <c r="AG892" s="89"/>
      <c r="AH892" s="89"/>
    </row>
    <row r="893">
      <c r="A893" s="8" t="s">
        <v>1031</v>
      </c>
      <c r="B893" s="97"/>
      <c r="C893" s="8"/>
      <c r="D893" s="89" t="str">
        <f t="shared" si="1"/>
        <v/>
      </c>
      <c r="E893" s="89" t="str">
        <f t="shared" si="2"/>
        <v>OT Hours</v>
      </c>
      <c r="F893" s="89" t="str">
        <f>IFERROR(VLOOKUP(C893,'Employees List'!$B$1:$G$999,2,0),"")</f>
        <v/>
      </c>
      <c r="G893" s="89" t="str">
        <f t="shared" si="23"/>
        <v>#DIV/0!</v>
      </c>
      <c r="H893" s="98"/>
      <c r="I893" s="89" t="str">
        <f>IFERROR(VLOOKUP(F893,'Employees List'!$C:$F,2,0),"")</f>
        <v/>
      </c>
      <c r="J893" s="93" t="str">
        <f>IFERROR(VLOOKUP(C893,'Employees List'!$B$2:$G$991,5,0),"")</f>
        <v/>
      </c>
      <c r="K893" s="95" t="str">
        <f>IFERROR(VLOOKUP(F893,'Employees List'!$C$1:$AB$991,5,0),"")</f>
        <v/>
      </c>
      <c r="L893" s="91">
        <f t="shared" si="3"/>
        <v>0</v>
      </c>
      <c r="M893" s="91">
        <f t="shared" si="4"/>
        <v>0</v>
      </c>
      <c r="N893" s="89" t="str">
        <f>IFERROR(VLOOKUP(B893,'Employees List'!$A$2:$H$991,8,0),"")</f>
        <v/>
      </c>
      <c r="O893" s="89" t="str">
        <f>IFERROR(VLOOKUP(D893,'Daily Attendance Report 24-25'!A857:BP999,5,0),"")</f>
        <v/>
      </c>
      <c r="P893" s="89" t="str">
        <f>IFERROR(VLOOKUP(E893,'Daily Attendance Report 24-25'!$A$1:$BO$617,5,0),"")</f>
        <v/>
      </c>
      <c r="Q893" s="89"/>
      <c r="R893" s="89"/>
      <c r="S893" s="89" t="str">
        <f t="shared" si="17"/>
        <v>#DIV/0!</v>
      </c>
      <c r="T893" s="89" t="str">
        <f t="shared" si="6"/>
        <v>#DIV/0!</v>
      </c>
      <c r="U893" s="89" t="str">
        <f t="shared" si="25"/>
        <v>#DIV/0!</v>
      </c>
      <c r="V893" s="89" t="str">
        <f t="shared" si="24"/>
        <v>#DIV/0!</v>
      </c>
      <c r="W893" s="89" t="str">
        <f t="shared" si="9"/>
        <v>#DIV/0!</v>
      </c>
      <c r="X893" s="89"/>
      <c r="Y893" s="89"/>
      <c r="Z893" s="89"/>
      <c r="AA893" s="89"/>
      <c r="AB893" s="89"/>
      <c r="AC893" s="89"/>
      <c r="AD893" s="89"/>
      <c r="AE893" s="89"/>
      <c r="AF893" s="89"/>
      <c r="AG893" s="89"/>
      <c r="AH893" s="89"/>
    </row>
    <row r="894">
      <c r="A894" s="8" t="s">
        <v>1032</v>
      </c>
      <c r="B894" s="97"/>
      <c r="C894" s="8"/>
      <c r="D894" s="89" t="str">
        <f t="shared" si="1"/>
        <v/>
      </c>
      <c r="E894" s="89" t="str">
        <f t="shared" si="2"/>
        <v>OT Hours</v>
      </c>
      <c r="F894" s="89" t="str">
        <f>IFERROR(VLOOKUP(C894,'Employees List'!$B$1:$G$999,2,0),"")</f>
        <v/>
      </c>
      <c r="G894" s="89" t="str">
        <f t="shared" si="23"/>
        <v>#DIV/0!</v>
      </c>
      <c r="H894" s="98"/>
      <c r="I894" s="89" t="str">
        <f>IFERROR(VLOOKUP(F894,'Employees List'!$C:$F,2,0),"")</f>
        <v/>
      </c>
      <c r="J894" s="93" t="str">
        <f>IFERROR(VLOOKUP(C894,'Employees List'!$B$2:$G$991,5,0),"")</f>
        <v/>
      </c>
      <c r="K894" s="95" t="str">
        <f>IFERROR(VLOOKUP(F894,'Employees List'!$C$1:$AB$991,5,0),"")</f>
        <v/>
      </c>
      <c r="L894" s="91">
        <f t="shared" si="3"/>
        <v>0</v>
      </c>
      <c r="M894" s="91">
        <f t="shared" si="4"/>
        <v>0</v>
      </c>
      <c r="N894" s="89" t="str">
        <f>IFERROR(VLOOKUP(B894,'Employees List'!$A$2:$H$991,8,0),"")</f>
        <v/>
      </c>
      <c r="O894" s="89" t="str">
        <f>IFERROR(VLOOKUP(D894,'Daily Attendance Report 24-25'!A858:BP999,5,0),"")</f>
        <v/>
      </c>
      <c r="P894" s="89" t="str">
        <f>IFERROR(VLOOKUP(E894,'Daily Attendance Report 24-25'!$A$1:$BO$617,5,0),"")</f>
        <v/>
      </c>
      <c r="Q894" s="89"/>
      <c r="R894" s="89"/>
      <c r="S894" s="89" t="str">
        <f t="shared" si="17"/>
        <v>#DIV/0!</v>
      </c>
      <c r="T894" s="89" t="str">
        <f t="shared" si="6"/>
        <v>#DIV/0!</v>
      </c>
      <c r="U894" s="89" t="str">
        <f t="shared" si="25"/>
        <v>#DIV/0!</v>
      </c>
      <c r="V894" s="89" t="str">
        <f t="shared" si="24"/>
        <v>#DIV/0!</v>
      </c>
      <c r="W894" s="89" t="str">
        <f t="shared" si="9"/>
        <v>#DIV/0!</v>
      </c>
      <c r="X894" s="89"/>
      <c r="Y894" s="89"/>
      <c r="Z894" s="89"/>
      <c r="AA894" s="89"/>
      <c r="AB894" s="89"/>
      <c r="AC894" s="89"/>
      <c r="AD894" s="89"/>
      <c r="AE894" s="89"/>
      <c r="AF894" s="89"/>
      <c r="AG894" s="89"/>
      <c r="AH894" s="89"/>
    </row>
    <row r="895">
      <c r="A895" s="8" t="s">
        <v>1033</v>
      </c>
      <c r="B895" s="97"/>
      <c r="C895" s="8"/>
      <c r="D895" s="89" t="str">
        <f t="shared" si="1"/>
        <v/>
      </c>
      <c r="E895" s="89" t="str">
        <f t="shared" si="2"/>
        <v>OT Hours</v>
      </c>
      <c r="F895" s="89" t="str">
        <f>IFERROR(VLOOKUP(C895,'Employees List'!$B$1:$G$999,2,0),"")</f>
        <v/>
      </c>
      <c r="G895" s="89" t="str">
        <f t="shared" si="23"/>
        <v>#DIV/0!</v>
      </c>
      <c r="H895" s="98"/>
      <c r="I895" s="89" t="str">
        <f>IFERROR(VLOOKUP(F895,'Employees List'!$C:$F,2,0),"")</f>
        <v/>
      </c>
      <c r="J895" s="93" t="str">
        <f>IFERROR(VLOOKUP(C895,'Employees List'!$B$2:$G$991,5,0),"")</f>
        <v/>
      </c>
      <c r="K895" s="95" t="str">
        <f>IFERROR(VLOOKUP(F895,'Employees List'!$C$1:$AB$991,5,0),"")</f>
        <v/>
      </c>
      <c r="L895" s="91">
        <f t="shared" si="3"/>
        <v>0</v>
      </c>
      <c r="M895" s="91">
        <f t="shared" si="4"/>
        <v>0</v>
      </c>
      <c r="N895" s="89" t="str">
        <f>IFERROR(VLOOKUP(B895,'Employees List'!$A$2:$H$991,8,0),"")</f>
        <v/>
      </c>
      <c r="O895" s="89" t="str">
        <f>IFERROR(VLOOKUP(D895,'Daily Attendance Report 24-25'!A859:BP999,5,0),"")</f>
        <v/>
      </c>
      <c r="P895" s="89" t="str">
        <f>IFERROR(VLOOKUP(E895,'Daily Attendance Report 24-25'!$A$1:$BO$617,5,0),"")</f>
        <v/>
      </c>
      <c r="Q895" s="89"/>
      <c r="R895" s="89"/>
      <c r="S895" s="89" t="str">
        <f t="shared" si="17"/>
        <v>#DIV/0!</v>
      </c>
      <c r="T895" s="89" t="str">
        <f t="shared" si="6"/>
        <v>#DIV/0!</v>
      </c>
      <c r="U895" s="89" t="str">
        <f t="shared" si="25"/>
        <v>#DIV/0!</v>
      </c>
      <c r="V895" s="89" t="str">
        <f t="shared" si="24"/>
        <v>#DIV/0!</v>
      </c>
      <c r="W895" s="89" t="str">
        <f t="shared" si="9"/>
        <v>#DIV/0!</v>
      </c>
      <c r="X895" s="89"/>
      <c r="Y895" s="89"/>
      <c r="Z895" s="89"/>
      <c r="AA895" s="89"/>
      <c r="AB895" s="89"/>
      <c r="AC895" s="89"/>
      <c r="AD895" s="89"/>
      <c r="AE895" s="89"/>
      <c r="AF895" s="89"/>
      <c r="AG895" s="89"/>
      <c r="AH895" s="89"/>
    </row>
    <row r="896">
      <c r="A896" s="8" t="s">
        <v>1034</v>
      </c>
      <c r="B896" s="97"/>
      <c r="C896" s="8"/>
      <c r="D896" s="89" t="str">
        <f t="shared" si="1"/>
        <v/>
      </c>
      <c r="E896" s="89" t="str">
        <f t="shared" si="2"/>
        <v>OT Hours</v>
      </c>
      <c r="F896" s="89" t="str">
        <f>IFERROR(VLOOKUP(C896,'Employees List'!$B$1:$G$999,2,0),"")</f>
        <v/>
      </c>
      <c r="G896" s="89" t="str">
        <f t="shared" si="23"/>
        <v>#DIV/0!</v>
      </c>
      <c r="H896" s="98"/>
      <c r="I896" s="89" t="str">
        <f>IFERROR(VLOOKUP(F896,'Employees List'!$C:$F,2,0),"")</f>
        <v/>
      </c>
      <c r="J896" s="93" t="str">
        <f>IFERROR(VLOOKUP(C896,'Employees List'!$B$2:$G$991,5,0),"")</f>
        <v/>
      </c>
      <c r="K896" s="95" t="str">
        <f>IFERROR(VLOOKUP(F896,'Employees List'!$C$1:$AB$991,5,0),"")</f>
        <v/>
      </c>
      <c r="L896" s="91">
        <f t="shared" si="3"/>
        <v>0</v>
      </c>
      <c r="M896" s="91">
        <f t="shared" si="4"/>
        <v>0</v>
      </c>
      <c r="N896" s="89" t="str">
        <f>IFERROR(VLOOKUP(B896,'Employees List'!$A$2:$H$991,8,0),"")</f>
        <v/>
      </c>
      <c r="O896" s="89" t="str">
        <f>IFERROR(VLOOKUP(D896,'Daily Attendance Report 24-25'!A860:BP999,5,0),"")</f>
        <v/>
      </c>
      <c r="P896" s="89" t="str">
        <f>IFERROR(VLOOKUP(E896,'Daily Attendance Report 24-25'!$A$1:$BO$617,5,0),"")</f>
        <v/>
      </c>
      <c r="Q896" s="89"/>
      <c r="R896" s="89"/>
      <c r="S896" s="89" t="str">
        <f t="shared" si="17"/>
        <v>#DIV/0!</v>
      </c>
      <c r="T896" s="89" t="str">
        <f t="shared" si="6"/>
        <v>#DIV/0!</v>
      </c>
      <c r="U896" s="89" t="str">
        <f t="shared" si="25"/>
        <v>#DIV/0!</v>
      </c>
      <c r="V896" s="89" t="str">
        <f t="shared" si="24"/>
        <v>#DIV/0!</v>
      </c>
      <c r="W896" s="89" t="str">
        <f t="shared" si="9"/>
        <v>#DIV/0!</v>
      </c>
      <c r="X896" s="89"/>
      <c r="Y896" s="89"/>
      <c r="Z896" s="89"/>
      <c r="AA896" s="89"/>
      <c r="AB896" s="89"/>
      <c r="AC896" s="89"/>
      <c r="AD896" s="89"/>
      <c r="AE896" s="89"/>
      <c r="AF896" s="89"/>
      <c r="AG896" s="89"/>
      <c r="AH896" s="89"/>
    </row>
    <row r="897">
      <c r="A897" s="8" t="s">
        <v>1035</v>
      </c>
      <c r="B897" s="97"/>
      <c r="C897" s="8"/>
      <c r="D897" s="89" t="str">
        <f t="shared" si="1"/>
        <v/>
      </c>
      <c r="E897" s="89" t="str">
        <f t="shared" si="2"/>
        <v>OT Hours</v>
      </c>
      <c r="F897" s="89" t="str">
        <f>IFERROR(VLOOKUP(C897,'Employees List'!$B$1:$G$999,2,0),"")</f>
        <v/>
      </c>
      <c r="G897" s="89" t="str">
        <f t="shared" si="23"/>
        <v>#DIV/0!</v>
      </c>
      <c r="H897" s="98"/>
      <c r="I897" s="89" t="str">
        <f>IFERROR(VLOOKUP(F897,'Employees List'!$C:$F,2,0),"")</f>
        <v/>
      </c>
      <c r="J897" s="93" t="str">
        <f>IFERROR(VLOOKUP(C897,'Employees List'!$B$2:$G$991,5,0),"")</f>
        <v/>
      </c>
      <c r="K897" s="95" t="str">
        <f>IFERROR(VLOOKUP(F897,'Employees List'!$C$1:$AB$991,5,0),"")</f>
        <v/>
      </c>
      <c r="L897" s="91">
        <f t="shared" si="3"/>
        <v>0</v>
      </c>
      <c r="M897" s="91">
        <f t="shared" si="4"/>
        <v>0</v>
      </c>
      <c r="N897" s="89" t="str">
        <f>IFERROR(VLOOKUP(B897,'Employees List'!$A$2:$H$991,8,0),"")</f>
        <v/>
      </c>
      <c r="O897" s="89" t="str">
        <f>IFERROR(VLOOKUP(D897,'Daily Attendance Report 24-25'!A861:BP999,5,0),"")</f>
        <v/>
      </c>
      <c r="P897" s="89" t="str">
        <f>IFERROR(VLOOKUP(E897,'Daily Attendance Report 24-25'!$A$1:$BO$617,5,0),"")</f>
        <v/>
      </c>
      <c r="Q897" s="89"/>
      <c r="R897" s="89"/>
      <c r="S897" s="89" t="str">
        <f t="shared" si="17"/>
        <v>#DIV/0!</v>
      </c>
      <c r="T897" s="89" t="str">
        <f t="shared" si="6"/>
        <v>#DIV/0!</v>
      </c>
      <c r="U897" s="89" t="str">
        <f t="shared" si="25"/>
        <v>#DIV/0!</v>
      </c>
      <c r="V897" s="89" t="str">
        <f t="shared" si="24"/>
        <v>#DIV/0!</v>
      </c>
      <c r="W897" s="89" t="str">
        <f t="shared" si="9"/>
        <v>#DIV/0!</v>
      </c>
      <c r="X897" s="89"/>
      <c r="Y897" s="89"/>
      <c r="Z897" s="89"/>
      <c r="AA897" s="89"/>
      <c r="AB897" s="89"/>
      <c r="AC897" s="89"/>
      <c r="AD897" s="89"/>
      <c r="AE897" s="89"/>
      <c r="AF897" s="89"/>
      <c r="AG897" s="89"/>
      <c r="AH897" s="89"/>
    </row>
    <row r="898">
      <c r="A898" s="8" t="s">
        <v>1036</v>
      </c>
      <c r="B898" s="97"/>
      <c r="C898" s="8"/>
      <c r="D898" s="89" t="str">
        <f t="shared" si="1"/>
        <v/>
      </c>
      <c r="E898" s="89" t="str">
        <f t="shared" si="2"/>
        <v>OT Hours</v>
      </c>
      <c r="F898" s="89" t="str">
        <f>IFERROR(VLOOKUP(C898,'Employees List'!$B$1:$G$999,2,0),"")</f>
        <v/>
      </c>
      <c r="G898" s="89" t="str">
        <f t="shared" si="23"/>
        <v>#DIV/0!</v>
      </c>
      <c r="H898" s="98"/>
      <c r="I898" s="89" t="str">
        <f>IFERROR(VLOOKUP(F898,'Employees List'!$C:$F,2,0),"")</f>
        <v/>
      </c>
      <c r="J898" s="93" t="str">
        <f>IFERROR(VLOOKUP(C898,'Employees List'!$B$2:$G$991,5,0),"")</f>
        <v/>
      </c>
      <c r="K898" s="95" t="str">
        <f>IFERROR(VLOOKUP(F898,'Employees List'!$C$1:$AB$991,5,0),"")</f>
        <v/>
      </c>
      <c r="L898" s="91">
        <f t="shared" si="3"/>
        <v>0</v>
      </c>
      <c r="M898" s="91">
        <f t="shared" si="4"/>
        <v>0</v>
      </c>
      <c r="N898" s="89" t="str">
        <f>IFERROR(VLOOKUP(B898,'Employees List'!$A$2:$H$991,8,0),"")</f>
        <v/>
      </c>
      <c r="O898" s="89" t="str">
        <f>IFERROR(VLOOKUP(D898,'Daily Attendance Report 24-25'!A862:BP999,5,0),"")</f>
        <v/>
      </c>
      <c r="P898" s="89" t="str">
        <f>IFERROR(VLOOKUP(E898,'Daily Attendance Report 24-25'!$A$1:$BO$617,5,0),"")</f>
        <v/>
      </c>
      <c r="Q898" s="89"/>
      <c r="R898" s="89"/>
      <c r="S898" s="89" t="str">
        <f t="shared" si="17"/>
        <v>#DIV/0!</v>
      </c>
      <c r="T898" s="89" t="str">
        <f t="shared" si="6"/>
        <v>#DIV/0!</v>
      </c>
      <c r="U898" s="89" t="str">
        <f t="shared" si="25"/>
        <v>#DIV/0!</v>
      </c>
      <c r="V898" s="89" t="str">
        <f t="shared" si="24"/>
        <v>#DIV/0!</v>
      </c>
      <c r="W898" s="89" t="str">
        <f t="shared" si="9"/>
        <v>#DIV/0!</v>
      </c>
      <c r="X898" s="89"/>
      <c r="Y898" s="89"/>
      <c r="Z898" s="89"/>
      <c r="AA898" s="89"/>
      <c r="AB898" s="89"/>
      <c r="AC898" s="89"/>
      <c r="AD898" s="89"/>
      <c r="AE898" s="89"/>
      <c r="AF898" s="89"/>
      <c r="AG898" s="89"/>
      <c r="AH898" s="89"/>
    </row>
    <row r="899">
      <c r="A899" s="8" t="s">
        <v>1037</v>
      </c>
      <c r="B899" s="97"/>
      <c r="C899" s="8"/>
      <c r="D899" s="89" t="str">
        <f t="shared" si="1"/>
        <v/>
      </c>
      <c r="E899" s="89" t="str">
        <f t="shared" si="2"/>
        <v>OT Hours</v>
      </c>
      <c r="F899" s="89" t="str">
        <f>IFERROR(VLOOKUP(C899,'Employees List'!$B$1:$G$999,2,0),"")</f>
        <v/>
      </c>
      <c r="G899" s="89" t="str">
        <f t="shared" si="23"/>
        <v>#DIV/0!</v>
      </c>
      <c r="H899" s="98"/>
      <c r="I899" s="89" t="str">
        <f>IFERROR(VLOOKUP(F899,'Employees List'!$C:$F,2,0),"")</f>
        <v/>
      </c>
      <c r="J899" s="93" t="str">
        <f>IFERROR(VLOOKUP(C899,'Employees List'!$B$2:$G$991,5,0),"")</f>
        <v/>
      </c>
      <c r="K899" s="95" t="str">
        <f>IFERROR(VLOOKUP(F899,'Employees List'!$C$1:$AB$991,5,0),"")</f>
        <v/>
      </c>
      <c r="L899" s="91">
        <f t="shared" si="3"/>
        <v>0</v>
      </c>
      <c r="M899" s="91">
        <f t="shared" si="4"/>
        <v>0</v>
      </c>
      <c r="N899" s="89" t="str">
        <f>IFERROR(VLOOKUP(B899,'Employees List'!$A$2:$H$991,8,0),"")</f>
        <v/>
      </c>
      <c r="O899" s="89" t="str">
        <f>IFERROR(VLOOKUP(D899,'Daily Attendance Report 24-25'!A863:BP999,5,0),"")</f>
        <v/>
      </c>
      <c r="P899" s="89" t="str">
        <f>IFERROR(VLOOKUP(E899,'Daily Attendance Report 24-25'!$A$1:$BO$617,5,0),"")</f>
        <v/>
      </c>
      <c r="Q899" s="89"/>
      <c r="R899" s="89"/>
      <c r="S899" s="89" t="str">
        <f t="shared" si="17"/>
        <v>#DIV/0!</v>
      </c>
      <c r="T899" s="89" t="str">
        <f t="shared" si="6"/>
        <v>#DIV/0!</v>
      </c>
      <c r="U899" s="89" t="str">
        <f t="shared" si="25"/>
        <v>#DIV/0!</v>
      </c>
      <c r="V899" s="89" t="str">
        <f t="shared" si="24"/>
        <v>#DIV/0!</v>
      </c>
      <c r="W899" s="89" t="str">
        <f t="shared" si="9"/>
        <v>#DIV/0!</v>
      </c>
      <c r="X899" s="89"/>
      <c r="Y899" s="89"/>
      <c r="Z899" s="89"/>
      <c r="AA899" s="89"/>
      <c r="AB899" s="89"/>
      <c r="AC899" s="89"/>
      <c r="AD899" s="89"/>
      <c r="AE899" s="89"/>
      <c r="AF899" s="89"/>
      <c r="AG899" s="89"/>
      <c r="AH899" s="89"/>
    </row>
    <row r="900">
      <c r="A900" s="8" t="s">
        <v>1038</v>
      </c>
      <c r="B900" s="97"/>
      <c r="C900" s="8"/>
      <c r="D900" s="89" t="str">
        <f t="shared" si="1"/>
        <v/>
      </c>
      <c r="E900" s="89" t="str">
        <f t="shared" si="2"/>
        <v>OT Hours</v>
      </c>
      <c r="F900" s="89" t="str">
        <f>IFERROR(VLOOKUP(C900,'Employees List'!$B$1:$G$999,2,0),"")</f>
        <v/>
      </c>
      <c r="G900" s="89" t="str">
        <f t="shared" si="23"/>
        <v>#DIV/0!</v>
      </c>
      <c r="H900" s="98"/>
      <c r="I900" s="89" t="str">
        <f>IFERROR(VLOOKUP(F900,'Employees List'!$C:$F,2,0),"")</f>
        <v/>
      </c>
      <c r="J900" s="93" t="str">
        <f>IFERROR(VLOOKUP(C900,'Employees List'!$B$2:$G$991,5,0),"")</f>
        <v/>
      </c>
      <c r="K900" s="95" t="str">
        <f>IFERROR(VLOOKUP(F900,'Employees List'!$C$1:$AB$991,5,0),"")</f>
        <v/>
      </c>
      <c r="L900" s="91">
        <f t="shared" si="3"/>
        <v>0</v>
      </c>
      <c r="M900" s="91">
        <f t="shared" si="4"/>
        <v>0</v>
      </c>
      <c r="N900" s="89" t="str">
        <f>IFERROR(VLOOKUP(B900,'Employees List'!$A$2:$H$991,8,0),"")</f>
        <v/>
      </c>
      <c r="O900" s="89" t="str">
        <f>IFERROR(VLOOKUP(D900,'Daily Attendance Report 24-25'!A864:BP999,5,0),"")</f>
        <v/>
      </c>
      <c r="P900" s="89" t="str">
        <f>IFERROR(VLOOKUP(E900,'Daily Attendance Report 24-25'!$A$1:$BO$617,5,0),"")</f>
        <v/>
      </c>
      <c r="Q900" s="89"/>
      <c r="R900" s="89"/>
      <c r="S900" s="89" t="str">
        <f t="shared" si="17"/>
        <v>#DIV/0!</v>
      </c>
      <c r="T900" s="89" t="str">
        <f t="shared" si="6"/>
        <v>#DIV/0!</v>
      </c>
      <c r="U900" s="89" t="str">
        <f t="shared" si="25"/>
        <v>#DIV/0!</v>
      </c>
      <c r="V900" s="89" t="str">
        <f t="shared" si="24"/>
        <v>#DIV/0!</v>
      </c>
      <c r="W900" s="89" t="str">
        <f t="shared" si="9"/>
        <v>#DIV/0!</v>
      </c>
      <c r="X900" s="89"/>
      <c r="Y900" s="89"/>
      <c r="Z900" s="89"/>
      <c r="AA900" s="89"/>
      <c r="AB900" s="89"/>
      <c r="AC900" s="89"/>
      <c r="AD900" s="89"/>
      <c r="AE900" s="89"/>
      <c r="AF900" s="89"/>
      <c r="AG900" s="89"/>
      <c r="AH900" s="89"/>
    </row>
    <row r="901">
      <c r="A901" s="8" t="s">
        <v>1039</v>
      </c>
      <c r="B901" s="97"/>
      <c r="C901" s="8"/>
      <c r="D901" s="89" t="str">
        <f t="shared" si="1"/>
        <v/>
      </c>
      <c r="E901" s="89" t="str">
        <f t="shared" si="2"/>
        <v>OT Hours</v>
      </c>
      <c r="F901" s="89" t="str">
        <f>IFERROR(VLOOKUP(C901,'Employees List'!$B$1:$G$999,2,0),"")</f>
        <v/>
      </c>
      <c r="G901" s="89" t="str">
        <f t="shared" si="23"/>
        <v>#DIV/0!</v>
      </c>
      <c r="H901" s="98"/>
      <c r="I901" s="89" t="str">
        <f>IFERROR(VLOOKUP(F901,'Employees List'!$C:$F,2,0),"")</f>
        <v/>
      </c>
      <c r="J901" s="93" t="str">
        <f>IFERROR(VLOOKUP(C901,'Employees List'!$B$2:$G$991,5,0),"")</f>
        <v/>
      </c>
      <c r="K901" s="95" t="str">
        <f>IFERROR(VLOOKUP(F901,'Employees List'!$C$1:$AB$991,5,0),"")</f>
        <v/>
      </c>
      <c r="L901" s="91">
        <f t="shared" si="3"/>
        <v>0</v>
      </c>
      <c r="M901" s="91">
        <f t="shared" si="4"/>
        <v>0</v>
      </c>
      <c r="N901" s="89" t="str">
        <f>IFERROR(VLOOKUP(B901,'Employees List'!$A$2:$H$991,8,0),"")</f>
        <v/>
      </c>
      <c r="O901" s="89" t="str">
        <f>IFERROR(VLOOKUP(D901,'Daily Attendance Report 24-25'!A865:BP999,5,0),"")</f>
        <v/>
      </c>
      <c r="P901" s="89" t="str">
        <f>IFERROR(VLOOKUP(E901,'Daily Attendance Report 24-25'!$A$1:$BO$617,5,0),"")</f>
        <v/>
      </c>
      <c r="Q901" s="89"/>
      <c r="R901" s="89"/>
      <c r="S901" s="89" t="str">
        <f t="shared" si="17"/>
        <v>#DIV/0!</v>
      </c>
      <c r="T901" s="89" t="str">
        <f t="shared" si="6"/>
        <v>#DIV/0!</v>
      </c>
      <c r="U901" s="89" t="str">
        <f t="shared" si="25"/>
        <v>#DIV/0!</v>
      </c>
      <c r="V901" s="89" t="str">
        <f t="shared" si="24"/>
        <v>#DIV/0!</v>
      </c>
      <c r="W901" s="89" t="str">
        <f t="shared" si="9"/>
        <v>#DIV/0!</v>
      </c>
      <c r="X901" s="89"/>
      <c r="Y901" s="89"/>
      <c r="Z901" s="89"/>
      <c r="AA901" s="89"/>
      <c r="AB901" s="89"/>
      <c r="AC901" s="89"/>
      <c r="AD901" s="89"/>
      <c r="AE901" s="89"/>
      <c r="AF901" s="89"/>
      <c r="AG901" s="89"/>
      <c r="AH901" s="89"/>
    </row>
    <row r="902">
      <c r="A902" s="8" t="s">
        <v>1040</v>
      </c>
      <c r="B902" s="97"/>
      <c r="C902" s="8"/>
      <c r="D902" s="89" t="str">
        <f t="shared" si="1"/>
        <v/>
      </c>
      <c r="E902" s="89" t="str">
        <f t="shared" si="2"/>
        <v>OT Hours</v>
      </c>
      <c r="F902" s="89" t="str">
        <f>IFERROR(VLOOKUP(C902,'Employees List'!$B$1:$G$999,2,0),"")</f>
        <v/>
      </c>
      <c r="G902" s="89" t="str">
        <f t="shared" si="23"/>
        <v>#DIV/0!</v>
      </c>
      <c r="H902" s="98"/>
      <c r="I902" s="89" t="str">
        <f>IFERROR(VLOOKUP(F902,'Employees List'!$C:$F,2,0),"")</f>
        <v/>
      </c>
      <c r="J902" s="93" t="str">
        <f>IFERROR(VLOOKUP(C902,'Employees List'!$B$2:$G$991,5,0),"")</f>
        <v/>
      </c>
      <c r="K902" s="95" t="str">
        <f>IFERROR(VLOOKUP(F902,'Employees List'!$C$1:$AB$991,5,0),"")</f>
        <v/>
      </c>
      <c r="L902" s="91">
        <f t="shared" si="3"/>
        <v>0</v>
      </c>
      <c r="M902" s="91">
        <f t="shared" si="4"/>
        <v>0</v>
      </c>
      <c r="N902" s="89" t="str">
        <f>IFERROR(VLOOKUP(B902,'Employees List'!$A$2:$H$991,8,0),"")</f>
        <v/>
      </c>
      <c r="O902" s="89" t="str">
        <f>IFERROR(VLOOKUP(D902,'Daily Attendance Report 24-25'!A866:BP999,5,0),"")</f>
        <v/>
      </c>
      <c r="P902" s="89" t="str">
        <f>IFERROR(VLOOKUP(E902,'Daily Attendance Report 24-25'!$A$1:$BO$617,5,0),"")</f>
        <v/>
      </c>
      <c r="Q902" s="89"/>
      <c r="R902" s="89"/>
      <c r="S902" s="89" t="str">
        <f t="shared" si="17"/>
        <v>#DIV/0!</v>
      </c>
      <c r="T902" s="89" t="str">
        <f t="shared" si="6"/>
        <v>#DIV/0!</v>
      </c>
      <c r="U902" s="89" t="str">
        <f t="shared" si="25"/>
        <v>#DIV/0!</v>
      </c>
      <c r="V902" s="89" t="str">
        <f t="shared" si="24"/>
        <v>#DIV/0!</v>
      </c>
      <c r="W902" s="89" t="str">
        <f t="shared" si="9"/>
        <v>#DIV/0!</v>
      </c>
      <c r="X902" s="89"/>
      <c r="Y902" s="89"/>
      <c r="Z902" s="89"/>
      <c r="AA902" s="89"/>
      <c r="AB902" s="89"/>
      <c r="AC902" s="89"/>
      <c r="AD902" s="89"/>
      <c r="AE902" s="89"/>
      <c r="AF902" s="89"/>
      <c r="AG902" s="89"/>
      <c r="AH902" s="89"/>
    </row>
    <row r="903">
      <c r="A903" s="8" t="s">
        <v>1041</v>
      </c>
      <c r="B903" s="97"/>
      <c r="C903" s="8"/>
      <c r="D903" s="89" t="str">
        <f t="shared" si="1"/>
        <v/>
      </c>
      <c r="E903" s="89" t="str">
        <f t="shared" si="2"/>
        <v>OT Hours</v>
      </c>
      <c r="F903" s="89" t="str">
        <f>IFERROR(VLOOKUP(C903,'Employees List'!$B$1:$G$999,2,0),"")</f>
        <v/>
      </c>
      <c r="G903" s="89" t="str">
        <f t="shared" si="23"/>
        <v>#DIV/0!</v>
      </c>
      <c r="H903" s="98"/>
      <c r="I903" s="89" t="str">
        <f>IFERROR(VLOOKUP(F903,'Employees List'!$C:$F,2,0),"")</f>
        <v/>
      </c>
      <c r="J903" s="93" t="str">
        <f>IFERROR(VLOOKUP(C903,'Employees List'!$B$2:$G$991,5,0),"")</f>
        <v/>
      </c>
      <c r="K903" s="95" t="str">
        <f>IFERROR(VLOOKUP(F903,'Employees List'!$C$1:$AB$991,5,0),"")</f>
        <v/>
      </c>
      <c r="L903" s="91">
        <f t="shared" si="3"/>
        <v>0</v>
      </c>
      <c r="M903" s="91">
        <f t="shared" si="4"/>
        <v>0</v>
      </c>
      <c r="N903" s="89" t="str">
        <f>IFERROR(VLOOKUP(B903,'Employees List'!$A$2:$H$991,8,0),"")</f>
        <v/>
      </c>
      <c r="O903" s="89" t="str">
        <f>IFERROR(VLOOKUP(D903,'Daily Attendance Report 24-25'!A867:BP999,5,0),"")</f>
        <v/>
      </c>
      <c r="P903" s="89" t="str">
        <f>IFERROR(VLOOKUP(E903,'Daily Attendance Report 24-25'!$A$1:$BO$617,5,0),"")</f>
        <v/>
      </c>
      <c r="Q903" s="89"/>
      <c r="R903" s="89"/>
      <c r="S903" s="89" t="str">
        <f t="shared" si="17"/>
        <v>#DIV/0!</v>
      </c>
      <c r="T903" s="89" t="str">
        <f t="shared" si="6"/>
        <v>#DIV/0!</v>
      </c>
      <c r="U903" s="89" t="str">
        <f t="shared" si="25"/>
        <v>#DIV/0!</v>
      </c>
      <c r="V903" s="89" t="str">
        <f t="shared" si="24"/>
        <v>#DIV/0!</v>
      </c>
      <c r="W903" s="89" t="str">
        <f t="shared" si="9"/>
        <v>#DIV/0!</v>
      </c>
      <c r="X903" s="89"/>
      <c r="Y903" s="89"/>
      <c r="Z903" s="89"/>
      <c r="AA903" s="89"/>
      <c r="AB903" s="89"/>
      <c r="AC903" s="89"/>
      <c r="AD903" s="89"/>
      <c r="AE903" s="89"/>
      <c r="AF903" s="89"/>
      <c r="AG903" s="89"/>
      <c r="AH903" s="89"/>
    </row>
    <row r="904">
      <c r="A904" s="8" t="s">
        <v>1042</v>
      </c>
      <c r="B904" s="97"/>
      <c r="C904" s="8"/>
      <c r="D904" s="89" t="str">
        <f t="shared" si="1"/>
        <v/>
      </c>
      <c r="E904" s="89" t="str">
        <f t="shared" si="2"/>
        <v>OT Hours</v>
      </c>
      <c r="F904" s="89" t="str">
        <f>IFERROR(VLOOKUP(C904,'Employees List'!$B$1:$G$999,2,0),"")</f>
        <v/>
      </c>
      <c r="G904" s="89" t="str">
        <f t="shared" si="23"/>
        <v>#DIV/0!</v>
      </c>
      <c r="H904" s="98"/>
      <c r="I904" s="89" t="str">
        <f>IFERROR(VLOOKUP(F904,'Employees List'!$C:$F,2,0),"")</f>
        <v/>
      </c>
      <c r="J904" s="93" t="str">
        <f>IFERROR(VLOOKUP(C904,'Employees List'!$B$2:$G$991,5,0),"")</f>
        <v/>
      </c>
      <c r="K904" s="95" t="str">
        <f>IFERROR(VLOOKUP(F904,'Employees List'!$C$1:$AB$991,5,0),"")</f>
        <v/>
      </c>
      <c r="L904" s="91">
        <f t="shared" si="3"/>
        <v>0</v>
      </c>
      <c r="M904" s="91">
        <f t="shared" si="4"/>
        <v>0</v>
      </c>
      <c r="N904" s="89" t="str">
        <f>IFERROR(VLOOKUP(B904,'Employees List'!$A$2:$H$991,8,0),"")</f>
        <v/>
      </c>
      <c r="O904" s="89" t="str">
        <f>IFERROR(VLOOKUP(D904,'Daily Attendance Report 24-25'!A868:BP999,5,0),"")</f>
        <v/>
      </c>
      <c r="P904" s="89" t="str">
        <f>IFERROR(VLOOKUP(E904,'Daily Attendance Report 24-25'!$A$1:$BO$617,5,0),"")</f>
        <v/>
      </c>
      <c r="Q904" s="89"/>
      <c r="R904" s="89"/>
      <c r="S904" s="89" t="str">
        <f t="shared" si="17"/>
        <v>#DIV/0!</v>
      </c>
      <c r="T904" s="89" t="str">
        <f t="shared" si="6"/>
        <v>#DIV/0!</v>
      </c>
      <c r="U904" s="89" t="str">
        <f t="shared" si="25"/>
        <v>#DIV/0!</v>
      </c>
      <c r="V904" s="89" t="str">
        <f t="shared" si="24"/>
        <v>#DIV/0!</v>
      </c>
      <c r="W904" s="89" t="str">
        <f t="shared" si="9"/>
        <v>#DIV/0!</v>
      </c>
      <c r="X904" s="89"/>
      <c r="Y904" s="89"/>
      <c r="Z904" s="89"/>
      <c r="AA904" s="89"/>
      <c r="AB904" s="89"/>
      <c r="AC904" s="89"/>
      <c r="AD904" s="89"/>
      <c r="AE904" s="89"/>
      <c r="AF904" s="89"/>
      <c r="AG904" s="89"/>
      <c r="AH904" s="89"/>
    </row>
    <row r="905">
      <c r="A905" s="8" t="s">
        <v>1043</v>
      </c>
      <c r="B905" s="97"/>
      <c r="C905" s="8"/>
      <c r="D905" s="89" t="str">
        <f t="shared" si="1"/>
        <v/>
      </c>
      <c r="E905" s="89" t="str">
        <f t="shared" si="2"/>
        <v>OT Hours</v>
      </c>
      <c r="F905" s="89" t="str">
        <f>IFERROR(VLOOKUP(C905,'Employees List'!$B$1:$G$999,2,0),"")</f>
        <v/>
      </c>
      <c r="G905" s="89" t="str">
        <f t="shared" si="23"/>
        <v>#DIV/0!</v>
      </c>
      <c r="H905" s="98"/>
      <c r="I905" s="89" t="str">
        <f>IFERROR(VLOOKUP(F905,'Employees List'!$C:$F,2,0),"")</f>
        <v/>
      </c>
      <c r="J905" s="93" t="str">
        <f>IFERROR(VLOOKUP(C905,'Employees List'!$B$2:$G$991,5,0),"")</f>
        <v/>
      </c>
      <c r="K905" s="95" t="str">
        <f>IFERROR(VLOOKUP(F905,'Employees List'!$C$1:$AB$991,5,0),"")</f>
        <v/>
      </c>
      <c r="L905" s="91">
        <f t="shared" si="3"/>
        <v>0</v>
      </c>
      <c r="M905" s="91">
        <f t="shared" si="4"/>
        <v>0</v>
      </c>
      <c r="N905" s="89" t="str">
        <f>IFERROR(VLOOKUP(B905,'Employees List'!$A$2:$H$991,8,0),"")</f>
        <v/>
      </c>
      <c r="O905" s="89" t="str">
        <f>IFERROR(VLOOKUP(D905,'Daily Attendance Report 24-25'!A869:BP999,5,0),"")</f>
        <v/>
      </c>
      <c r="P905" s="89" t="str">
        <f>IFERROR(VLOOKUP(E905,'Daily Attendance Report 24-25'!$A$1:$BO$617,5,0),"")</f>
        <v/>
      </c>
      <c r="Q905" s="89"/>
      <c r="R905" s="89"/>
      <c r="S905" s="89" t="str">
        <f t="shared" si="17"/>
        <v>#DIV/0!</v>
      </c>
      <c r="T905" s="89" t="str">
        <f t="shared" si="6"/>
        <v>#DIV/0!</v>
      </c>
      <c r="U905" s="89" t="str">
        <f t="shared" si="25"/>
        <v>#DIV/0!</v>
      </c>
      <c r="V905" s="89" t="str">
        <f t="shared" si="24"/>
        <v>#DIV/0!</v>
      </c>
      <c r="W905" s="89" t="str">
        <f t="shared" si="9"/>
        <v>#DIV/0!</v>
      </c>
      <c r="X905" s="89"/>
      <c r="Y905" s="89"/>
      <c r="Z905" s="89"/>
      <c r="AA905" s="89"/>
      <c r="AB905" s="89"/>
      <c r="AC905" s="89"/>
      <c r="AD905" s="89"/>
      <c r="AE905" s="89"/>
      <c r="AF905" s="89"/>
      <c r="AG905" s="89"/>
      <c r="AH905" s="89"/>
    </row>
    <row r="906">
      <c r="A906" s="8" t="s">
        <v>1044</v>
      </c>
      <c r="B906" s="97"/>
      <c r="C906" s="8"/>
      <c r="D906" s="89" t="str">
        <f t="shared" si="1"/>
        <v/>
      </c>
      <c r="E906" s="89" t="str">
        <f t="shared" si="2"/>
        <v>OT Hours</v>
      </c>
      <c r="F906" s="89" t="str">
        <f>IFERROR(VLOOKUP(C906,'Employees List'!$B$1:$G$999,2,0),"")</f>
        <v/>
      </c>
      <c r="G906" s="89" t="str">
        <f t="shared" si="23"/>
        <v>#DIV/0!</v>
      </c>
      <c r="H906" s="98"/>
      <c r="I906" s="89" t="str">
        <f>IFERROR(VLOOKUP(F906,'Employees List'!$C:$F,2,0),"")</f>
        <v/>
      </c>
      <c r="J906" s="93" t="str">
        <f>IFERROR(VLOOKUP(C906,'Employees List'!$B$2:$G$991,5,0),"")</f>
        <v/>
      </c>
      <c r="K906" s="95" t="str">
        <f>IFERROR(VLOOKUP(F906,'Employees List'!$C$1:$AB$991,5,0),"")</f>
        <v/>
      </c>
      <c r="L906" s="91">
        <f t="shared" si="3"/>
        <v>0</v>
      </c>
      <c r="M906" s="91">
        <f t="shared" si="4"/>
        <v>0</v>
      </c>
      <c r="N906" s="89" t="str">
        <f>IFERROR(VLOOKUP(B906,'Employees List'!$A$2:$H$991,8,0),"")</f>
        <v/>
      </c>
      <c r="O906" s="89" t="str">
        <f>IFERROR(VLOOKUP(D906,'Daily Attendance Report 24-25'!A870:BP999,5,0),"")</f>
        <v/>
      </c>
      <c r="P906" s="89" t="str">
        <f>IFERROR(VLOOKUP(E906,'Daily Attendance Report 24-25'!$A$1:$BO$617,5,0),"")</f>
        <v/>
      </c>
      <c r="Q906" s="89"/>
      <c r="R906" s="89"/>
      <c r="S906" s="89" t="str">
        <f t="shared" si="17"/>
        <v>#DIV/0!</v>
      </c>
      <c r="T906" s="89" t="str">
        <f t="shared" si="6"/>
        <v>#DIV/0!</v>
      </c>
      <c r="U906" s="89" t="str">
        <f t="shared" si="25"/>
        <v>#DIV/0!</v>
      </c>
      <c r="V906" s="89" t="str">
        <f t="shared" si="24"/>
        <v>#DIV/0!</v>
      </c>
      <c r="W906" s="89" t="str">
        <f t="shared" si="9"/>
        <v>#DIV/0!</v>
      </c>
      <c r="X906" s="89"/>
      <c r="Y906" s="89"/>
      <c r="Z906" s="89"/>
      <c r="AA906" s="89"/>
      <c r="AB906" s="89"/>
      <c r="AC906" s="89"/>
      <c r="AD906" s="89"/>
      <c r="AE906" s="89"/>
      <c r="AF906" s="89"/>
      <c r="AG906" s="89"/>
      <c r="AH906" s="89"/>
    </row>
    <row r="907">
      <c r="A907" s="8" t="s">
        <v>1045</v>
      </c>
      <c r="B907" s="97"/>
      <c r="C907" s="8"/>
      <c r="D907" s="89" t="str">
        <f t="shared" si="1"/>
        <v/>
      </c>
      <c r="E907" s="89" t="str">
        <f t="shared" si="2"/>
        <v>OT Hours</v>
      </c>
      <c r="F907" s="89" t="str">
        <f>IFERROR(VLOOKUP(C907,'Employees List'!$B$1:$G$999,2,0),"")</f>
        <v/>
      </c>
      <c r="G907" s="89" t="str">
        <f t="shared" si="23"/>
        <v>#DIV/0!</v>
      </c>
      <c r="H907" s="98"/>
      <c r="I907" s="89" t="str">
        <f>IFERROR(VLOOKUP(F907,'Employees List'!$C:$F,2,0),"")</f>
        <v/>
      </c>
      <c r="J907" s="93" t="str">
        <f>IFERROR(VLOOKUP(C907,'Employees List'!$B$2:$G$991,5,0),"")</f>
        <v/>
      </c>
      <c r="K907" s="95" t="str">
        <f>IFERROR(VLOOKUP(F907,'Employees List'!$C$1:$AB$991,5,0),"")</f>
        <v/>
      </c>
      <c r="L907" s="91">
        <f t="shared" si="3"/>
        <v>0</v>
      </c>
      <c r="M907" s="91">
        <f t="shared" si="4"/>
        <v>0</v>
      </c>
      <c r="N907" s="89" t="str">
        <f>IFERROR(VLOOKUP(B907,'Employees List'!$A$2:$H$991,8,0),"")</f>
        <v/>
      </c>
      <c r="O907" s="89" t="str">
        <f>IFERROR(VLOOKUP(D907,'Daily Attendance Report 24-25'!A871:BP999,5,0),"")</f>
        <v/>
      </c>
      <c r="P907" s="89" t="str">
        <f>IFERROR(VLOOKUP(E907,'Daily Attendance Report 24-25'!$A$1:$BO$617,5,0),"")</f>
        <v/>
      </c>
      <c r="Q907" s="89"/>
      <c r="R907" s="89"/>
      <c r="S907" s="89" t="str">
        <f t="shared" si="17"/>
        <v>#DIV/0!</v>
      </c>
      <c r="T907" s="89" t="str">
        <f t="shared" si="6"/>
        <v>#DIV/0!</v>
      </c>
      <c r="U907" s="89" t="str">
        <f t="shared" si="25"/>
        <v>#DIV/0!</v>
      </c>
      <c r="V907" s="89" t="str">
        <f t="shared" si="24"/>
        <v>#DIV/0!</v>
      </c>
      <c r="W907" s="89" t="str">
        <f t="shared" si="9"/>
        <v>#DIV/0!</v>
      </c>
      <c r="X907" s="89"/>
      <c r="Y907" s="89"/>
      <c r="Z907" s="89"/>
      <c r="AA907" s="89"/>
      <c r="AB907" s="89"/>
      <c r="AC907" s="89"/>
      <c r="AD907" s="89"/>
      <c r="AE907" s="89"/>
      <c r="AF907" s="89"/>
      <c r="AG907" s="89"/>
      <c r="AH907" s="89"/>
    </row>
    <row r="908">
      <c r="A908" s="8" t="s">
        <v>1046</v>
      </c>
      <c r="B908" s="97"/>
      <c r="C908" s="8"/>
      <c r="D908" s="89" t="str">
        <f t="shared" si="1"/>
        <v/>
      </c>
      <c r="E908" s="89" t="str">
        <f t="shared" si="2"/>
        <v>OT Hours</v>
      </c>
      <c r="F908" s="89" t="str">
        <f>IFERROR(VLOOKUP(C908,'Employees List'!$B$1:$G$999,2,0),"")</f>
        <v/>
      </c>
      <c r="G908" s="89" t="str">
        <f t="shared" si="23"/>
        <v>#DIV/0!</v>
      </c>
      <c r="H908" s="98"/>
      <c r="I908" s="89" t="str">
        <f>IFERROR(VLOOKUP(F908,'Employees List'!$C:$F,2,0),"")</f>
        <v/>
      </c>
      <c r="J908" s="93" t="str">
        <f>IFERROR(VLOOKUP(C908,'Employees List'!$B$2:$G$991,5,0),"")</f>
        <v/>
      </c>
      <c r="K908" s="95" t="str">
        <f>IFERROR(VLOOKUP(F908,'Employees List'!$C$1:$AB$991,5,0),"")</f>
        <v/>
      </c>
      <c r="L908" s="91">
        <f t="shared" si="3"/>
        <v>0</v>
      </c>
      <c r="M908" s="91">
        <f t="shared" si="4"/>
        <v>0</v>
      </c>
      <c r="N908" s="89" t="str">
        <f>IFERROR(VLOOKUP(B908,'Employees List'!$A$2:$H$991,8,0),"")</f>
        <v/>
      </c>
      <c r="O908" s="89" t="str">
        <f>IFERROR(VLOOKUP(D908,'Daily Attendance Report 24-25'!A872:BP999,5,0),"")</f>
        <v/>
      </c>
      <c r="P908" s="89" t="str">
        <f>IFERROR(VLOOKUP(E908,'Daily Attendance Report 24-25'!$A$1:$BO$617,5,0),"")</f>
        <v/>
      </c>
      <c r="Q908" s="89"/>
      <c r="R908" s="89"/>
      <c r="S908" s="89" t="str">
        <f t="shared" si="17"/>
        <v>#DIV/0!</v>
      </c>
      <c r="T908" s="89" t="str">
        <f t="shared" si="6"/>
        <v>#DIV/0!</v>
      </c>
      <c r="U908" s="89" t="str">
        <f t="shared" si="25"/>
        <v>#DIV/0!</v>
      </c>
      <c r="V908" s="89" t="str">
        <f t="shared" si="24"/>
        <v>#DIV/0!</v>
      </c>
      <c r="W908" s="89" t="str">
        <f t="shared" si="9"/>
        <v>#DIV/0!</v>
      </c>
      <c r="X908" s="89"/>
      <c r="Y908" s="89"/>
      <c r="Z908" s="89"/>
      <c r="AA908" s="89"/>
      <c r="AB908" s="89"/>
      <c r="AC908" s="89"/>
      <c r="AD908" s="89"/>
      <c r="AE908" s="89"/>
      <c r="AF908" s="89"/>
      <c r="AG908" s="89"/>
      <c r="AH908" s="89"/>
    </row>
    <row r="909">
      <c r="A909" s="8" t="s">
        <v>1047</v>
      </c>
      <c r="B909" s="97"/>
      <c r="C909" s="8"/>
      <c r="D909" s="89" t="str">
        <f t="shared" si="1"/>
        <v/>
      </c>
      <c r="E909" s="89" t="str">
        <f t="shared" si="2"/>
        <v>OT Hours</v>
      </c>
      <c r="F909" s="89" t="str">
        <f>IFERROR(VLOOKUP(C909,'Employees List'!$B$1:$G$999,2,0),"")</f>
        <v/>
      </c>
      <c r="G909" s="89" t="str">
        <f t="shared" si="23"/>
        <v>#DIV/0!</v>
      </c>
      <c r="H909" s="98"/>
      <c r="I909" s="89" t="str">
        <f>IFERROR(VLOOKUP(F909,'Employees List'!$C:$F,2,0),"")</f>
        <v/>
      </c>
      <c r="J909" s="93" t="str">
        <f>IFERROR(VLOOKUP(C909,'Employees List'!$B$2:$G$991,5,0),"")</f>
        <v/>
      </c>
      <c r="K909" s="95" t="str">
        <f>IFERROR(VLOOKUP(F909,'Employees List'!$C$1:$AB$991,5,0),"")</f>
        <v/>
      </c>
      <c r="L909" s="91">
        <f t="shared" si="3"/>
        <v>0</v>
      </c>
      <c r="M909" s="91">
        <f t="shared" si="4"/>
        <v>0</v>
      </c>
      <c r="N909" s="89" t="str">
        <f>IFERROR(VLOOKUP(B909,'Employees List'!$A$2:$H$991,8,0),"")</f>
        <v/>
      </c>
      <c r="O909" s="89" t="str">
        <f>IFERROR(VLOOKUP(D909,'Daily Attendance Report 24-25'!A873:BP999,5,0),"")</f>
        <v/>
      </c>
      <c r="P909" s="89" t="str">
        <f>IFERROR(VLOOKUP(E909,'Daily Attendance Report 24-25'!$A$1:$BO$617,5,0),"")</f>
        <v/>
      </c>
      <c r="Q909" s="89"/>
      <c r="R909" s="89"/>
      <c r="S909" s="89" t="str">
        <f t="shared" si="17"/>
        <v>#DIV/0!</v>
      </c>
      <c r="T909" s="89" t="str">
        <f t="shared" si="6"/>
        <v>#DIV/0!</v>
      </c>
      <c r="U909" s="89" t="str">
        <f t="shared" si="25"/>
        <v>#DIV/0!</v>
      </c>
      <c r="V909" s="89" t="str">
        <f t="shared" si="24"/>
        <v>#DIV/0!</v>
      </c>
      <c r="W909" s="89" t="str">
        <f t="shared" si="9"/>
        <v>#DIV/0!</v>
      </c>
      <c r="X909" s="89"/>
      <c r="Y909" s="89"/>
      <c r="Z909" s="89"/>
      <c r="AA909" s="89"/>
      <c r="AB909" s="89"/>
      <c r="AC909" s="89"/>
      <c r="AD909" s="89"/>
      <c r="AE909" s="89"/>
      <c r="AF909" s="89"/>
      <c r="AG909" s="89"/>
      <c r="AH909" s="89"/>
    </row>
    <row r="910">
      <c r="A910" s="8" t="s">
        <v>1048</v>
      </c>
      <c r="B910" s="97"/>
      <c r="C910" s="8"/>
      <c r="D910" s="89" t="str">
        <f t="shared" si="1"/>
        <v/>
      </c>
      <c r="E910" s="89" t="str">
        <f t="shared" si="2"/>
        <v>OT Hours</v>
      </c>
      <c r="F910" s="89" t="str">
        <f>IFERROR(VLOOKUP(C910,'Employees List'!$B$1:$G$999,2,0),"")</f>
        <v/>
      </c>
      <c r="G910" s="89" t="str">
        <f t="shared" si="23"/>
        <v>#DIV/0!</v>
      </c>
      <c r="H910" s="98"/>
      <c r="I910" s="89" t="str">
        <f>IFERROR(VLOOKUP(F910,'Employees List'!$C:$F,2,0),"")</f>
        <v/>
      </c>
      <c r="J910" s="93" t="str">
        <f>IFERROR(VLOOKUP(C910,'Employees List'!$B$2:$G$991,5,0),"")</f>
        <v/>
      </c>
      <c r="K910" s="95" t="str">
        <f>IFERROR(VLOOKUP(F910,'Employees List'!$C$1:$AB$991,5,0),"")</f>
        <v/>
      </c>
      <c r="L910" s="91">
        <f t="shared" si="3"/>
        <v>0</v>
      </c>
      <c r="M910" s="91">
        <f t="shared" si="4"/>
        <v>0</v>
      </c>
      <c r="N910" s="89" t="str">
        <f>IFERROR(VLOOKUP(B910,'Employees List'!$A$2:$H$991,8,0),"")</f>
        <v/>
      </c>
      <c r="O910" s="89" t="str">
        <f>IFERROR(VLOOKUP(D910,'Daily Attendance Report 24-25'!A874:BP999,5,0),"")</f>
        <v/>
      </c>
      <c r="P910" s="89" t="str">
        <f>IFERROR(VLOOKUP(E910,'Daily Attendance Report 24-25'!$A$1:$BO$617,5,0),"")</f>
        <v/>
      </c>
      <c r="Q910" s="89"/>
      <c r="R910" s="89"/>
      <c r="S910" s="89" t="str">
        <f t="shared" si="17"/>
        <v>#DIV/0!</v>
      </c>
      <c r="T910" s="89" t="str">
        <f t="shared" si="6"/>
        <v>#DIV/0!</v>
      </c>
      <c r="U910" s="89" t="str">
        <f t="shared" si="25"/>
        <v>#DIV/0!</v>
      </c>
      <c r="V910" s="89" t="str">
        <f t="shared" si="24"/>
        <v>#DIV/0!</v>
      </c>
      <c r="W910" s="89" t="str">
        <f t="shared" si="9"/>
        <v>#DIV/0!</v>
      </c>
      <c r="X910" s="89"/>
      <c r="Y910" s="89"/>
      <c r="Z910" s="89"/>
      <c r="AA910" s="89"/>
      <c r="AB910" s="89"/>
      <c r="AC910" s="89"/>
      <c r="AD910" s="89"/>
      <c r="AE910" s="89"/>
      <c r="AF910" s="89"/>
      <c r="AG910" s="89"/>
      <c r="AH910" s="89"/>
    </row>
    <row r="911">
      <c r="A911" s="8" t="s">
        <v>1049</v>
      </c>
      <c r="B911" s="97"/>
      <c r="C911" s="8"/>
      <c r="D911" s="89" t="str">
        <f t="shared" si="1"/>
        <v/>
      </c>
      <c r="E911" s="89" t="str">
        <f t="shared" si="2"/>
        <v>OT Hours</v>
      </c>
      <c r="F911" s="89" t="str">
        <f>IFERROR(VLOOKUP(C911,'Employees List'!$B$1:$G$999,2,0),"")</f>
        <v/>
      </c>
      <c r="G911" s="89" t="str">
        <f t="shared" si="23"/>
        <v>#DIV/0!</v>
      </c>
      <c r="H911" s="98"/>
      <c r="I911" s="89" t="str">
        <f>IFERROR(VLOOKUP(F911,'Employees List'!$C:$F,2,0),"")</f>
        <v/>
      </c>
      <c r="J911" s="93" t="str">
        <f>IFERROR(VLOOKUP(C911,'Employees List'!$B$2:$G$991,5,0),"")</f>
        <v/>
      </c>
      <c r="K911" s="95" t="str">
        <f>IFERROR(VLOOKUP(F911,'Employees List'!$C$1:$AB$991,5,0),"")</f>
        <v/>
      </c>
      <c r="L911" s="91">
        <f t="shared" si="3"/>
        <v>0</v>
      </c>
      <c r="M911" s="91">
        <f t="shared" si="4"/>
        <v>0</v>
      </c>
      <c r="N911" s="89" t="str">
        <f>IFERROR(VLOOKUP(B911,'Employees List'!$A$2:$H$991,8,0),"")</f>
        <v/>
      </c>
      <c r="O911" s="89" t="str">
        <f>IFERROR(VLOOKUP(D911,'Daily Attendance Report 24-25'!A875:BP999,5,0),"")</f>
        <v/>
      </c>
      <c r="P911" s="89" t="str">
        <f>IFERROR(VLOOKUP(E911,'Daily Attendance Report 24-25'!$A$1:$BO$617,5,0),"")</f>
        <v/>
      </c>
      <c r="Q911" s="89"/>
      <c r="R911" s="89"/>
      <c r="S911" s="89" t="str">
        <f t="shared" si="17"/>
        <v>#DIV/0!</v>
      </c>
      <c r="T911" s="89" t="str">
        <f t="shared" si="6"/>
        <v>#DIV/0!</v>
      </c>
      <c r="U911" s="89" t="str">
        <f t="shared" si="25"/>
        <v>#DIV/0!</v>
      </c>
      <c r="V911" s="89" t="str">
        <f t="shared" si="24"/>
        <v>#DIV/0!</v>
      </c>
      <c r="W911" s="89" t="str">
        <f t="shared" si="9"/>
        <v>#DIV/0!</v>
      </c>
      <c r="X911" s="89"/>
      <c r="Y911" s="89"/>
      <c r="Z911" s="89"/>
      <c r="AA911" s="89"/>
      <c r="AB911" s="89"/>
      <c r="AC911" s="89"/>
      <c r="AD911" s="89"/>
      <c r="AE911" s="89"/>
      <c r="AF911" s="89"/>
      <c r="AG911" s="89"/>
      <c r="AH911" s="89"/>
    </row>
    <row r="912">
      <c r="A912" s="8" t="s">
        <v>1050</v>
      </c>
      <c r="B912" s="97"/>
      <c r="C912" s="8"/>
      <c r="D912" s="89" t="str">
        <f t="shared" si="1"/>
        <v/>
      </c>
      <c r="E912" s="89" t="str">
        <f t="shared" si="2"/>
        <v>OT Hours</v>
      </c>
      <c r="F912" s="89" t="str">
        <f>IFERROR(VLOOKUP(C912,'Employees List'!$B$1:$G$999,2,0),"")</f>
        <v/>
      </c>
      <c r="G912" s="89" t="str">
        <f t="shared" si="23"/>
        <v>#DIV/0!</v>
      </c>
      <c r="H912" s="98"/>
      <c r="I912" s="89" t="str">
        <f>IFERROR(VLOOKUP(F912,'Employees List'!$C:$F,2,0),"")</f>
        <v/>
      </c>
      <c r="J912" s="93" t="str">
        <f>IFERROR(VLOOKUP(C912,'Employees List'!$B$2:$G$991,5,0),"")</f>
        <v/>
      </c>
      <c r="K912" s="95" t="str">
        <f>IFERROR(VLOOKUP(F912,'Employees List'!$C$1:$AB$991,5,0),"")</f>
        <v/>
      </c>
      <c r="L912" s="91">
        <f t="shared" si="3"/>
        <v>0</v>
      </c>
      <c r="M912" s="91">
        <f t="shared" si="4"/>
        <v>0</v>
      </c>
      <c r="N912" s="89" t="str">
        <f>IFERROR(VLOOKUP(B912,'Employees List'!$A$2:$H$991,8,0),"")</f>
        <v/>
      </c>
      <c r="O912" s="89" t="str">
        <f>IFERROR(VLOOKUP(D912,'Daily Attendance Report 24-25'!A876:BP999,5,0),"")</f>
        <v/>
      </c>
      <c r="P912" s="89" t="str">
        <f>IFERROR(VLOOKUP(E912,'Daily Attendance Report 24-25'!$A$1:$BO$617,5,0),"")</f>
        <v/>
      </c>
      <c r="Q912" s="89"/>
      <c r="R912" s="89"/>
      <c r="S912" s="89" t="str">
        <f t="shared" si="17"/>
        <v>#DIV/0!</v>
      </c>
      <c r="T912" s="89" t="str">
        <f t="shared" si="6"/>
        <v>#DIV/0!</v>
      </c>
      <c r="U912" s="89" t="str">
        <f t="shared" si="25"/>
        <v>#DIV/0!</v>
      </c>
      <c r="V912" s="89" t="str">
        <f t="shared" si="24"/>
        <v>#DIV/0!</v>
      </c>
      <c r="W912" s="89" t="str">
        <f t="shared" si="9"/>
        <v>#DIV/0!</v>
      </c>
      <c r="X912" s="89"/>
      <c r="Y912" s="89"/>
      <c r="Z912" s="89"/>
      <c r="AA912" s="89"/>
      <c r="AB912" s="89"/>
      <c r="AC912" s="89"/>
      <c r="AD912" s="89"/>
      <c r="AE912" s="89"/>
      <c r="AF912" s="89"/>
      <c r="AG912" s="89"/>
      <c r="AH912" s="89"/>
    </row>
    <row r="913">
      <c r="A913" s="8" t="s">
        <v>1051</v>
      </c>
      <c r="B913" s="97"/>
      <c r="C913" s="8"/>
      <c r="D913" s="89" t="str">
        <f t="shared" si="1"/>
        <v/>
      </c>
      <c r="E913" s="89" t="str">
        <f t="shared" si="2"/>
        <v>OT Hours</v>
      </c>
      <c r="F913" s="89" t="str">
        <f>IFERROR(VLOOKUP(C913,'Employees List'!$B$1:$G$999,2,0),"")</f>
        <v/>
      </c>
      <c r="G913" s="89" t="str">
        <f t="shared" si="23"/>
        <v>#DIV/0!</v>
      </c>
      <c r="H913" s="98"/>
      <c r="I913" s="89" t="str">
        <f>IFERROR(VLOOKUP(F913,'Employees List'!$C:$F,2,0),"")</f>
        <v/>
      </c>
      <c r="J913" s="93" t="str">
        <f>IFERROR(VLOOKUP(C913,'Employees List'!$B$2:$G$991,5,0),"")</f>
        <v/>
      </c>
      <c r="K913" s="95" t="str">
        <f>IFERROR(VLOOKUP(F913,'Employees List'!$C$1:$AB$991,5,0),"")</f>
        <v/>
      </c>
      <c r="L913" s="91">
        <f t="shared" si="3"/>
        <v>0</v>
      </c>
      <c r="M913" s="91">
        <f t="shared" si="4"/>
        <v>0</v>
      </c>
      <c r="N913" s="89" t="str">
        <f>IFERROR(VLOOKUP(B913,'Employees List'!$A$2:$H$991,8,0),"")</f>
        <v/>
      </c>
      <c r="O913" s="89" t="str">
        <f>IFERROR(VLOOKUP(D913,'Daily Attendance Report 24-25'!A877:BP999,5,0),"")</f>
        <v/>
      </c>
      <c r="P913" s="89" t="str">
        <f>IFERROR(VLOOKUP(E913,'Daily Attendance Report 24-25'!$A$1:$BO$617,5,0),"")</f>
        <v/>
      </c>
      <c r="Q913" s="89"/>
      <c r="R913" s="89"/>
      <c r="S913" s="89" t="str">
        <f t="shared" si="17"/>
        <v>#DIV/0!</v>
      </c>
      <c r="T913" s="89" t="str">
        <f t="shared" si="6"/>
        <v>#DIV/0!</v>
      </c>
      <c r="U913" s="89" t="str">
        <f t="shared" si="25"/>
        <v>#DIV/0!</v>
      </c>
      <c r="V913" s="89" t="str">
        <f t="shared" si="24"/>
        <v>#DIV/0!</v>
      </c>
      <c r="W913" s="89" t="str">
        <f t="shared" si="9"/>
        <v>#DIV/0!</v>
      </c>
      <c r="X913" s="89"/>
      <c r="Y913" s="89"/>
      <c r="Z913" s="89"/>
      <c r="AA913" s="89"/>
      <c r="AB913" s="89"/>
      <c r="AC913" s="89"/>
      <c r="AD913" s="89"/>
      <c r="AE913" s="89"/>
      <c r="AF913" s="89"/>
      <c r="AG913" s="89"/>
      <c r="AH913" s="89"/>
    </row>
    <row r="914">
      <c r="A914" s="8" t="s">
        <v>1052</v>
      </c>
      <c r="B914" s="97"/>
      <c r="C914" s="8"/>
      <c r="D914" s="89" t="str">
        <f t="shared" si="1"/>
        <v/>
      </c>
      <c r="E914" s="89" t="str">
        <f t="shared" si="2"/>
        <v>OT Hours</v>
      </c>
      <c r="F914" s="89" t="str">
        <f>IFERROR(VLOOKUP(C914,'Employees List'!$B$1:$G$999,2,0),"")</f>
        <v/>
      </c>
      <c r="G914" s="89" t="str">
        <f t="shared" si="23"/>
        <v>#DIV/0!</v>
      </c>
      <c r="H914" s="98"/>
      <c r="I914" s="89" t="str">
        <f>IFERROR(VLOOKUP(F914,'Employees List'!$C:$F,2,0),"")</f>
        <v/>
      </c>
      <c r="J914" s="93" t="str">
        <f>IFERROR(VLOOKUP(C914,'Employees List'!$B$2:$G$991,5,0),"")</f>
        <v/>
      </c>
      <c r="K914" s="95" t="str">
        <f>IFERROR(VLOOKUP(F914,'Employees List'!$C$1:$AB$991,5,0),"")</f>
        <v/>
      </c>
      <c r="L914" s="91">
        <f t="shared" si="3"/>
        <v>0</v>
      </c>
      <c r="M914" s="91">
        <f t="shared" si="4"/>
        <v>0</v>
      </c>
      <c r="N914" s="89" t="str">
        <f>IFERROR(VLOOKUP(B914,'Employees List'!$A$2:$H$991,8,0),"")</f>
        <v/>
      </c>
      <c r="O914" s="89" t="str">
        <f>IFERROR(VLOOKUP(D914,'Daily Attendance Report 24-25'!A878:BP999,5,0),"")</f>
        <v/>
      </c>
      <c r="P914" s="89" t="str">
        <f>IFERROR(VLOOKUP(E914,'Daily Attendance Report 24-25'!$A$1:$BO$617,5,0),"")</f>
        <v/>
      </c>
      <c r="Q914" s="89"/>
      <c r="R914" s="89"/>
      <c r="S914" s="89" t="str">
        <f t="shared" si="17"/>
        <v>#DIV/0!</v>
      </c>
      <c r="T914" s="89" t="str">
        <f t="shared" si="6"/>
        <v>#DIV/0!</v>
      </c>
      <c r="U914" s="89" t="str">
        <f t="shared" si="25"/>
        <v>#DIV/0!</v>
      </c>
      <c r="V914" s="89" t="str">
        <f t="shared" si="24"/>
        <v>#DIV/0!</v>
      </c>
      <c r="W914" s="89" t="str">
        <f t="shared" si="9"/>
        <v>#DIV/0!</v>
      </c>
      <c r="X914" s="89"/>
      <c r="Y914" s="89"/>
      <c r="Z914" s="89"/>
      <c r="AA914" s="89"/>
      <c r="AB914" s="89"/>
      <c r="AC914" s="89"/>
      <c r="AD914" s="89"/>
      <c r="AE914" s="89"/>
      <c r="AF914" s="89"/>
      <c r="AG914" s="89"/>
      <c r="AH914" s="89"/>
    </row>
    <row r="915">
      <c r="A915" s="8" t="s">
        <v>1053</v>
      </c>
      <c r="B915" s="97"/>
      <c r="C915" s="8"/>
      <c r="D915" s="89" t="str">
        <f t="shared" si="1"/>
        <v/>
      </c>
      <c r="E915" s="89" t="str">
        <f t="shared" si="2"/>
        <v>OT Hours</v>
      </c>
      <c r="F915" s="89" t="str">
        <f>IFERROR(VLOOKUP(C915,'Employees List'!$B$1:$G$999,2,0),"")</f>
        <v/>
      </c>
      <c r="G915" s="89" t="str">
        <f t="shared" si="23"/>
        <v>#DIV/0!</v>
      </c>
      <c r="H915" s="98"/>
      <c r="I915" s="89" t="str">
        <f>IFERROR(VLOOKUP(F915,'Employees List'!$C:$F,2,0),"")</f>
        <v/>
      </c>
      <c r="J915" s="93" t="str">
        <f>IFERROR(VLOOKUP(C915,'Employees List'!$B$2:$G$991,5,0),"")</f>
        <v/>
      </c>
      <c r="K915" s="95" t="str">
        <f>IFERROR(VLOOKUP(F915,'Employees List'!$C$1:$AB$991,5,0),"")</f>
        <v/>
      </c>
      <c r="L915" s="91">
        <f t="shared" si="3"/>
        <v>0</v>
      </c>
      <c r="M915" s="91">
        <f t="shared" si="4"/>
        <v>0</v>
      </c>
      <c r="N915" s="89" t="str">
        <f>IFERROR(VLOOKUP(B915,'Employees List'!$A$2:$H$991,8,0),"")</f>
        <v/>
      </c>
      <c r="O915" s="89" t="str">
        <f>IFERROR(VLOOKUP(D915,'Daily Attendance Report 24-25'!A879:BP999,5,0),"")</f>
        <v/>
      </c>
      <c r="P915" s="89" t="str">
        <f>IFERROR(VLOOKUP(E915,'Daily Attendance Report 24-25'!$A$1:$BO$617,5,0),"")</f>
        <v/>
      </c>
      <c r="Q915" s="89"/>
      <c r="R915" s="89"/>
      <c r="S915" s="89" t="str">
        <f t="shared" si="17"/>
        <v>#DIV/0!</v>
      </c>
      <c r="T915" s="89" t="str">
        <f t="shared" si="6"/>
        <v>#DIV/0!</v>
      </c>
      <c r="U915" s="89" t="str">
        <f t="shared" si="25"/>
        <v>#DIV/0!</v>
      </c>
      <c r="V915" s="89" t="str">
        <f t="shared" si="24"/>
        <v>#DIV/0!</v>
      </c>
      <c r="W915" s="89" t="str">
        <f t="shared" si="9"/>
        <v>#DIV/0!</v>
      </c>
      <c r="X915" s="89"/>
      <c r="Y915" s="89"/>
      <c r="Z915" s="89"/>
      <c r="AA915" s="89"/>
      <c r="AB915" s="89"/>
      <c r="AC915" s="89"/>
      <c r="AD915" s="89"/>
      <c r="AE915" s="89"/>
      <c r="AF915" s="89"/>
      <c r="AG915" s="89"/>
      <c r="AH915" s="89"/>
    </row>
    <row r="916">
      <c r="A916" s="8" t="s">
        <v>1054</v>
      </c>
      <c r="B916" s="97"/>
      <c r="C916" s="8"/>
      <c r="D916" s="89" t="str">
        <f t="shared" si="1"/>
        <v/>
      </c>
      <c r="E916" s="89" t="str">
        <f t="shared" si="2"/>
        <v>OT Hours</v>
      </c>
      <c r="F916" s="89" t="str">
        <f>IFERROR(VLOOKUP(C916,'Employees List'!$B$1:$G$999,2,0),"")</f>
        <v/>
      </c>
      <c r="G916" s="89" t="str">
        <f t="shared" si="23"/>
        <v>#DIV/0!</v>
      </c>
      <c r="H916" s="98"/>
      <c r="I916" s="89" t="str">
        <f>IFERROR(VLOOKUP(F916,'Employees List'!$C:$F,2,0),"")</f>
        <v/>
      </c>
      <c r="J916" s="93" t="str">
        <f>IFERROR(VLOOKUP(C916,'Employees List'!$B$2:$G$991,5,0),"")</f>
        <v/>
      </c>
      <c r="K916" s="95" t="str">
        <f>IFERROR(VLOOKUP(F916,'Employees List'!$C$1:$AB$991,5,0),"")</f>
        <v/>
      </c>
      <c r="L916" s="91">
        <f t="shared" si="3"/>
        <v>0</v>
      </c>
      <c r="M916" s="91">
        <f t="shared" si="4"/>
        <v>0</v>
      </c>
      <c r="N916" s="89" t="str">
        <f>IFERROR(VLOOKUP(B916,'Employees List'!$A$2:$H$991,8,0),"")</f>
        <v/>
      </c>
      <c r="O916" s="89" t="str">
        <f>IFERROR(VLOOKUP(D916,'Daily Attendance Report 24-25'!A880:BP999,5,0),"")</f>
        <v/>
      </c>
      <c r="P916" s="89" t="str">
        <f>IFERROR(VLOOKUP(E916,'Daily Attendance Report 24-25'!$A$1:$BO$617,5,0),"")</f>
        <v/>
      </c>
      <c r="Q916" s="89"/>
      <c r="R916" s="89"/>
      <c r="S916" s="89" t="str">
        <f t="shared" si="17"/>
        <v>#DIV/0!</v>
      </c>
      <c r="T916" s="89" t="str">
        <f t="shared" si="6"/>
        <v>#DIV/0!</v>
      </c>
      <c r="U916" s="89" t="str">
        <f t="shared" si="25"/>
        <v>#DIV/0!</v>
      </c>
      <c r="V916" s="89" t="str">
        <f t="shared" si="24"/>
        <v>#DIV/0!</v>
      </c>
      <c r="W916" s="89" t="str">
        <f t="shared" si="9"/>
        <v>#DIV/0!</v>
      </c>
      <c r="X916" s="89"/>
      <c r="Y916" s="89"/>
      <c r="Z916" s="89"/>
      <c r="AA916" s="89"/>
      <c r="AB916" s="89"/>
      <c r="AC916" s="89"/>
      <c r="AD916" s="89"/>
      <c r="AE916" s="89"/>
      <c r="AF916" s="89"/>
      <c r="AG916" s="89"/>
      <c r="AH916" s="89"/>
    </row>
    <row r="917">
      <c r="A917" s="8" t="s">
        <v>1055</v>
      </c>
      <c r="B917" s="97"/>
      <c r="C917" s="8"/>
      <c r="D917" s="89" t="str">
        <f t="shared" si="1"/>
        <v/>
      </c>
      <c r="E917" s="89" t="str">
        <f t="shared" si="2"/>
        <v>OT Hours</v>
      </c>
      <c r="F917" s="89" t="str">
        <f>IFERROR(VLOOKUP(C917,'Employees List'!$B$1:$G$999,2,0),"")</f>
        <v/>
      </c>
      <c r="G917" s="89" t="str">
        <f t="shared" si="23"/>
        <v>#DIV/0!</v>
      </c>
      <c r="H917" s="98"/>
      <c r="I917" s="89" t="str">
        <f>IFERROR(VLOOKUP(F917,'Employees List'!$C:$F,2,0),"")</f>
        <v/>
      </c>
      <c r="J917" s="93" t="str">
        <f>IFERROR(VLOOKUP(C917,'Employees List'!$B$2:$G$991,5,0),"")</f>
        <v/>
      </c>
      <c r="K917" s="95" t="str">
        <f>IFERROR(VLOOKUP(F917,'Employees List'!$C$1:$AB$991,5,0),"")</f>
        <v/>
      </c>
      <c r="L917" s="91">
        <f t="shared" si="3"/>
        <v>0</v>
      </c>
      <c r="M917" s="91">
        <f t="shared" si="4"/>
        <v>0</v>
      </c>
      <c r="N917" s="89" t="str">
        <f>IFERROR(VLOOKUP(B917,'Employees List'!$A$2:$H$991,8,0),"")</f>
        <v/>
      </c>
      <c r="O917" s="89" t="str">
        <f>IFERROR(VLOOKUP(D917,'Daily Attendance Report 24-25'!A881:BP999,5,0),"")</f>
        <v/>
      </c>
      <c r="P917" s="89" t="str">
        <f>IFERROR(VLOOKUP(E917,'Daily Attendance Report 24-25'!$A$1:$BO$617,5,0),"")</f>
        <v/>
      </c>
      <c r="Q917" s="89"/>
      <c r="R917" s="89"/>
      <c r="S917" s="89" t="str">
        <f t="shared" si="17"/>
        <v>#DIV/0!</v>
      </c>
      <c r="T917" s="89" t="str">
        <f t="shared" si="6"/>
        <v>#DIV/0!</v>
      </c>
      <c r="U917" s="89" t="str">
        <f t="shared" si="25"/>
        <v>#DIV/0!</v>
      </c>
      <c r="V917" s="89" t="str">
        <f t="shared" si="24"/>
        <v>#DIV/0!</v>
      </c>
      <c r="W917" s="89" t="str">
        <f t="shared" si="9"/>
        <v>#DIV/0!</v>
      </c>
      <c r="X917" s="89"/>
      <c r="Y917" s="89"/>
      <c r="Z917" s="89"/>
      <c r="AA917" s="89"/>
      <c r="AB917" s="89"/>
      <c r="AC917" s="89"/>
      <c r="AD917" s="89"/>
      <c r="AE917" s="89"/>
      <c r="AF917" s="89"/>
      <c r="AG917" s="89"/>
      <c r="AH917" s="89"/>
    </row>
    <row r="918">
      <c r="A918" s="8" t="s">
        <v>1056</v>
      </c>
      <c r="B918" s="97"/>
      <c r="C918" s="8"/>
      <c r="D918" s="89" t="str">
        <f t="shared" si="1"/>
        <v/>
      </c>
      <c r="E918" s="89" t="str">
        <f t="shared" si="2"/>
        <v>OT Hours</v>
      </c>
      <c r="F918" s="89" t="str">
        <f>IFERROR(VLOOKUP(C918,'Employees List'!$B$1:$G$999,2,0),"")</f>
        <v/>
      </c>
      <c r="G918" s="89" t="str">
        <f t="shared" si="23"/>
        <v>#DIV/0!</v>
      </c>
      <c r="H918" s="98"/>
      <c r="I918" s="89" t="str">
        <f>IFERROR(VLOOKUP(F918,'Employees List'!$C:$F,2,0),"")</f>
        <v/>
      </c>
      <c r="J918" s="93" t="str">
        <f>IFERROR(VLOOKUP(C918,'Employees List'!$B$2:$G$991,5,0),"")</f>
        <v/>
      </c>
      <c r="K918" s="95" t="str">
        <f>IFERROR(VLOOKUP(F918,'Employees List'!$C$1:$AB$991,5,0),"")</f>
        <v/>
      </c>
      <c r="L918" s="91">
        <f t="shared" si="3"/>
        <v>0</v>
      </c>
      <c r="M918" s="91">
        <f t="shared" si="4"/>
        <v>0</v>
      </c>
      <c r="N918" s="89" t="str">
        <f>IFERROR(VLOOKUP(B918,'Employees List'!$A$2:$H$991,8,0),"")</f>
        <v/>
      </c>
      <c r="O918" s="89" t="str">
        <f>IFERROR(VLOOKUP(D918,'Daily Attendance Report 24-25'!A882:BP999,5,0),"")</f>
        <v/>
      </c>
      <c r="P918" s="89" t="str">
        <f>IFERROR(VLOOKUP(E918,'Daily Attendance Report 24-25'!$A$1:$BO$617,5,0),"")</f>
        <v/>
      </c>
      <c r="Q918" s="89"/>
      <c r="R918" s="89"/>
      <c r="S918" s="89" t="str">
        <f t="shared" si="17"/>
        <v>#DIV/0!</v>
      </c>
      <c r="T918" s="89" t="str">
        <f t="shared" si="6"/>
        <v>#DIV/0!</v>
      </c>
      <c r="U918" s="89" t="str">
        <f t="shared" si="25"/>
        <v>#DIV/0!</v>
      </c>
      <c r="V918" s="89" t="str">
        <f t="shared" si="24"/>
        <v>#DIV/0!</v>
      </c>
      <c r="W918" s="89" t="str">
        <f t="shared" si="9"/>
        <v>#DIV/0!</v>
      </c>
      <c r="X918" s="89"/>
      <c r="Y918" s="89"/>
      <c r="Z918" s="89"/>
      <c r="AA918" s="89"/>
      <c r="AB918" s="89"/>
      <c r="AC918" s="89"/>
      <c r="AD918" s="89"/>
      <c r="AE918" s="89"/>
      <c r="AF918" s="89"/>
      <c r="AG918" s="89"/>
      <c r="AH918" s="89"/>
    </row>
    <row r="919">
      <c r="A919" s="8" t="s">
        <v>1057</v>
      </c>
      <c r="B919" s="97"/>
      <c r="C919" s="8"/>
      <c r="D919" s="89" t="str">
        <f t="shared" si="1"/>
        <v/>
      </c>
      <c r="E919" s="89" t="str">
        <f t="shared" si="2"/>
        <v>OT Hours</v>
      </c>
      <c r="F919" s="89" t="str">
        <f>IFERROR(VLOOKUP(C919,'Employees List'!$B$1:$G$999,2,0),"")</f>
        <v/>
      </c>
      <c r="G919" s="89" t="str">
        <f t="shared" si="23"/>
        <v>#DIV/0!</v>
      </c>
      <c r="H919" s="98"/>
      <c r="I919" s="89" t="str">
        <f>IFERROR(VLOOKUP(F919,'Employees List'!$C:$F,2,0),"")</f>
        <v/>
      </c>
      <c r="J919" s="93" t="str">
        <f>IFERROR(VLOOKUP(C919,'Employees List'!$B$2:$G$991,5,0),"")</f>
        <v/>
      </c>
      <c r="K919" s="95" t="str">
        <f>IFERROR(VLOOKUP(F919,'Employees List'!$C$1:$AB$991,5,0),"")</f>
        <v/>
      </c>
      <c r="L919" s="91">
        <f t="shared" si="3"/>
        <v>0</v>
      </c>
      <c r="M919" s="91">
        <f t="shared" si="4"/>
        <v>0</v>
      </c>
      <c r="N919" s="89" t="str">
        <f>IFERROR(VLOOKUP(B919,'Employees List'!$A$2:$H$991,8,0),"")</f>
        <v/>
      </c>
      <c r="O919" s="89" t="str">
        <f>IFERROR(VLOOKUP(D919,'Daily Attendance Report 24-25'!A883:BP999,5,0),"")</f>
        <v/>
      </c>
      <c r="P919" s="89" t="str">
        <f>IFERROR(VLOOKUP(E919,'Daily Attendance Report 24-25'!$A$1:$BO$617,5,0),"")</f>
        <v/>
      </c>
      <c r="Q919" s="89"/>
      <c r="R919" s="89"/>
      <c r="S919" s="89" t="str">
        <f t="shared" si="17"/>
        <v>#DIV/0!</v>
      </c>
      <c r="T919" s="89" t="str">
        <f t="shared" si="6"/>
        <v>#DIV/0!</v>
      </c>
      <c r="U919" s="89" t="str">
        <f t="shared" si="25"/>
        <v>#DIV/0!</v>
      </c>
      <c r="V919" s="89" t="str">
        <f t="shared" si="24"/>
        <v>#DIV/0!</v>
      </c>
      <c r="W919" s="89" t="str">
        <f t="shared" si="9"/>
        <v>#DIV/0!</v>
      </c>
      <c r="X919" s="89"/>
      <c r="Y919" s="89"/>
      <c r="Z919" s="89"/>
      <c r="AA919" s="89"/>
      <c r="AB919" s="89"/>
      <c r="AC919" s="89"/>
      <c r="AD919" s="89"/>
      <c r="AE919" s="89"/>
      <c r="AF919" s="89"/>
      <c r="AG919" s="89"/>
      <c r="AH919" s="89"/>
    </row>
    <row r="920">
      <c r="A920" s="8" t="s">
        <v>1058</v>
      </c>
      <c r="B920" s="97"/>
      <c r="C920" s="8"/>
      <c r="D920" s="89" t="str">
        <f t="shared" si="1"/>
        <v/>
      </c>
      <c r="E920" s="89" t="str">
        <f t="shared" si="2"/>
        <v>OT Hours</v>
      </c>
      <c r="F920" s="89" t="str">
        <f>IFERROR(VLOOKUP(C920,'Employees List'!$B$1:$G$999,2,0),"")</f>
        <v/>
      </c>
      <c r="G920" s="89" t="str">
        <f t="shared" si="23"/>
        <v>#DIV/0!</v>
      </c>
      <c r="H920" s="98"/>
      <c r="I920" s="89" t="str">
        <f>IFERROR(VLOOKUP(F920,'Employees List'!$C:$F,2,0),"")</f>
        <v/>
      </c>
      <c r="J920" s="93" t="str">
        <f>IFERROR(VLOOKUP(C920,'Employees List'!$B$2:$G$991,5,0),"")</f>
        <v/>
      </c>
      <c r="K920" s="95" t="str">
        <f>IFERROR(VLOOKUP(F920,'Employees List'!$C$1:$AB$991,5,0),"")</f>
        <v/>
      </c>
      <c r="L920" s="91">
        <f t="shared" si="3"/>
        <v>0</v>
      </c>
      <c r="M920" s="91">
        <f t="shared" si="4"/>
        <v>0</v>
      </c>
      <c r="N920" s="89" t="str">
        <f>IFERROR(VLOOKUP(B920,'Employees List'!$A$2:$H$991,8,0),"")</f>
        <v/>
      </c>
      <c r="O920" s="89" t="str">
        <f>IFERROR(VLOOKUP(D920,'Daily Attendance Report 24-25'!A884:BP999,5,0),"")</f>
        <v/>
      </c>
      <c r="P920" s="89" t="str">
        <f>IFERROR(VLOOKUP(E920,'Daily Attendance Report 24-25'!$A$1:$BO$617,5,0),"")</f>
        <v/>
      </c>
      <c r="Q920" s="89"/>
      <c r="R920" s="89"/>
      <c r="S920" s="89" t="str">
        <f t="shared" si="17"/>
        <v>#DIV/0!</v>
      </c>
      <c r="T920" s="89" t="str">
        <f t="shared" si="6"/>
        <v>#DIV/0!</v>
      </c>
      <c r="U920" s="89" t="str">
        <f t="shared" si="25"/>
        <v>#DIV/0!</v>
      </c>
      <c r="V920" s="89" t="str">
        <f t="shared" si="24"/>
        <v>#DIV/0!</v>
      </c>
      <c r="W920" s="89" t="str">
        <f t="shared" si="9"/>
        <v>#DIV/0!</v>
      </c>
      <c r="X920" s="89"/>
      <c r="Y920" s="89"/>
      <c r="Z920" s="89"/>
      <c r="AA920" s="89"/>
      <c r="AB920" s="89"/>
      <c r="AC920" s="89"/>
      <c r="AD920" s="89"/>
      <c r="AE920" s="89"/>
      <c r="AF920" s="89"/>
      <c r="AG920" s="89"/>
      <c r="AH920" s="89"/>
    </row>
    <row r="921">
      <c r="A921" s="8" t="s">
        <v>1059</v>
      </c>
      <c r="B921" s="97"/>
      <c r="C921" s="8"/>
      <c r="D921" s="89" t="str">
        <f t="shared" si="1"/>
        <v/>
      </c>
      <c r="E921" s="89" t="str">
        <f t="shared" si="2"/>
        <v>OT Hours</v>
      </c>
      <c r="F921" s="89" t="str">
        <f>IFERROR(VLOOKUP(C921,'Employees List'!$B$1:$G$999,2,0),"")</f>
        <v/>
      </c>
      <c r="G921" s="89" t="str">
        <f t="shared" si="23"/>
        <v>#DIV/0!</v>
      </c>
      <c r="H921" s="98"/>
      <c r="I921" s="89" t="str">
        <f>IFERROR(VLOOKUP(F921,'Employees List'!$C:$F,2,0),"")</f>
        <v/>
      </c>
      <c r="J921" s="93" t="str">
        <f>IFERROR(VLOOKUP(C921,'Employees List'!$B$2:$G$991,5,0),"")</f>
        <v/>
      </c>
      <c r="K921" s="95" t="str">
        <f>IFERROR(VLOOKUP(F921,'Employees List'!$C$1:$AB$991,5,0),"")</f>
        <v/>
      </c>
      <c r="L921" s="91">
        <f t="shared" si="3"/>
        <v>0</v>
      </c>
      <c r="M921" s="91">
        <f t="shared" si="4"/>
        <v>0</v>
      </c>
      <c r="N921" s="89" t="str">
        <f>IFERROR(VLOOKUP(B921,'Employees List'!$A$2:$H$991,8,0),"")</f>
        <v/>
      </c>
      <c r="O921" s="89" t="str">
        <f>IFERROR(VLOOKUP(D921,'Daily Attendance Report 24-25'!A885:BP999,5,0),"")</f>
        <v/>
      </c>
      <c r="P921" s="89" t="str">
        <f>IFERROR(VLOOKUP(E921,'Daily Attendance Report 24-25'!$A$1:$BO$617,5,0),"")</f>
        <v/>
      </c>
      <c r="Q921" s="89"/>
      <c r="R921" s="89"/>
      <c r="S921" s="89" t="str">
        <f t="shared" si="17"/>
        <v>#DIV/0!</v>
      </c>
      <c r="T921" s="89" t="str">
        <f t="shared" si="6"/>
        <v>#DIV/0!</v>
      </c>
      <c r="U921" s="89" t="str">
        <f t="shared" si="25"/>
        <v>#DIV/0!</v>
      </c>
      <c r="V921" s="89" t="str">
        <f t="shared" si="24"/>
        <v>#DIV/0!</v>
      </c>
      <c r="W921" s="89" t="str">
        <f t="shared" si="9"/>
        <v>#DIV/0!</v>
      </c>
      <c r="X921" s="89"/>
      <c r="Y921" s="89"/>
      <c r="Z921" s="89"/>
      <c r="AA921" s="89"/>
      <c r="AB921" s="89"/>
      <c r="AC921" s="89"/>
      <c r="AD921" s="89"/>
      <c r="AE921" s="89"/>
      <c r="AF921" s="89"/>
      <c r="AG921" s="89"/>
      <c r="AH921" s="89"/>
    </row>
    <row r="922">
      <c r="A922" s="8" t="s">
        <v>1060</v>
      </c>
      <c r="B922" s="97"/>
      <c r="C922" s="8"/>
      <c r="D922" s="89" t="str">
        <f t="shared" si="1"/>
        <v/>
      </c>
      <c r="E922" s="89" t="str">
        <f t="shared" si="2"/>
        <v>OT Hours</v>
      </c>
      <c r="F922" s="89" t="str">
        <f>IFERROR(VLOOKUP(C922,'Employees List'!$B$1:$G$999,2,0),"")</f>
        <v/>
      </c>
      <c r="G922" s="89" t="str">
        <f t="shared" si="23"/>
        <v>#DIV/0!</v>
      </c>
      <c r="H922" s="98"/>
      <c r="I922" s="89" t="str">
        <f>IFERROR(VLOOKUP(F922,'Employees List'!$C:$F,2,0),"")</f>
        <v/>
      </c>
      <c r="J922" s="93" t="str">
        <f>IFERROR(VLOOKUP(C922,'Employees List'!$B$2:$G$991,5,0),"")</f>
        <v/>
      </c>
      <c r="K922" s="95" t="str">
        <f>IFERROR(VLOOKUP(F922,'Employees List'!$C$1:$AB$991,5,0),"")</f>
        <v/>
      </c>
      <c r="L922" s="91">
        <f t="shared" si="3"/>
        <v>0</v>
      </c>
      <c r="M922" s="91">
        <f t="shared" si="4"/>
        <v>0</v>
      </c>
      <c r="N922" s="89" t="str">
        <f>IFERROR(VLOOKUP(B922,'Employees List'!$A$2:$H$991,8,0),"")</f>
        <v/>
      </c>
      <c r="O922" s="89" t="str">
        <f>IFERROR(VLOOKUP(D922,'Daily Attendance Report 24-25'!A886:BP999,5,0),"")</f>
        <v/>
      </c>
      <c r="P922" s="89" t="str">
        <f>IFERROR(VLOOKUP(E922,'Daily Attendance Report 24-25'!$A$1:$BO$617,5,0),"")</f>
        <v/>
      </c>
      <c r="Q922" s="89"/>
      <c r="R922" s="89"/>
      <c r="S922" s="89" t="str">
        <f t="shared" si="17"/>
        <v>#DIV/0!</v>
      </c>
      <c r="T922" s="89" t="str">
        <f t="shared" si="6"/>
        <v>#DIV/0!</v>
      </c>
      <c r="U922" s="89" t="str">
        <f t="shared" si="25"/>
        <v>#DIV/0!</v>
      </c>
      <c r="V922" s="89" t="str">
        <f t="shared" si="24"/>
        <v>#DIV/0!</v>
      </c>
      <c r="W922" s="89" t="str">
        <f t="shared" si="9"/>
        <v>#DIV/0!</v>
      </c>
      <c r="X922" s="89"/>
      <c r="Y922" s="89"/>
      <c r="Z922" s="89"/>
      <c r="AA922" s="89"/>
      <c r="AB922" s="89"/>
      <c r="AC922" s="89"/>
      <c r="AD922" s="89"/>
      <c r="AE922" s="89"/>
      <c r="AF922" s="89"/>
      <c r="AG922" s="89"/>
      <c r="AH922" s="89"/>
    </row>
    <row r="923">
      <c r="A923" s="8" t="s">
        <v>1061</v>
      </c>
      <c r="B923" s="97"/>
      <c r="C923" s="8"/>
      <c r="D923" s="89" t="str">
        <f t="shared" si="1"/>
        <v/>
      </c>
      <c r="E923" s="89" t="str">
        <f t="shared" si="2"/>
        <v>OT Hours</v>
      </c>
      <c r="F923" s="89" t="str">
        <f>IFERROR(VLOOKUP(C923,'Employees List'!$B$1:$G$999,2,0),"")</f>
        <v/>
      </c>
      <c r="G923" s="89" t="str">
        <f t="shared" si="23"/>
        <v>#DIV/0!</v>
      </c>
      <c r="H923" s="98"/>
      <c r="I923" s="89" t="str">
        <f>IFERROR(VLOOKUP(F923,'Employees List'!$C:$F,2,0),"")</f>
        <v/>
      </c>
      <c r="J923" s="93" t="str">
        <f>IFERROR(VLOOKUP(C923,'Employees List'!$B$2:$G$991,5,0),"")</f>
        <v/>
      </c>
      <c r="K923" s="95" t="str">
        <f>IFERROR(VLOOKUP(F923,'Employees List'!$C$1:$AB$991,5,0),"")</f>
        <v/>
      </c>
      <c r="L923" s="91">
        <f t="shared" si="3"/>
        <v>0</v>
      </c>
      <c r="M923" s="91">
        <f t="shared" si="4"/>
        <v>0</v>
      </c>
      <c r="N923" s="89" t="str">
        <f>IFERROR(VLOOKUP(B923,'Employees List'!$A$2:$H$991,8,0),"")</f>
        <v/>
      </c>
      <c r="O923" s="89" t="str">
        <f>IFERROR(VLOOKUP(D923,'Daily Attendance Report 24-25'!A887:BP999,5,0),"")</f>
        <v/>
      </c>
      <c r="P923" s="89" t="str">
        <f>IFERROR(VLOOKUP(E923,'Daily Attendance Report 24-25'!$A$1:$BO$617,5,0),"")</f>
        <v/>
      </c>
      <c r="Q923" s="89"/>
      <c r="R923" s="89"/>
      <c r="S923" s="89" t="str">
        <f t="shared" si="17"/>
        <v>#DIV/0!</v>
      </c>
      <c r="T923" s="89" t="str">
        <f t="shared" si="6"/>
        <v>#DIV/0!</v>
      </c>
      <c r="U923" s="89" t="str">
        <f t="shared" si="25"/>
        <v>#DIV/0!</v>
      </c>
      <c r="V923" s="89" t="str">
        <f t="shared" si="24"/>
        <v>#DIV/0!</v>
      </c>
      <c r="W923" s="89" t="str">
        <f t="shared" si="9"/>
        <v>#DIV/0!</v>
      </c>
      <c r="X923" s="89"/>
      <c r="Y923" s="89"/>
      <c r="Z923" s="89"/>
      <c r="AA923" s="89"/>
      <c r="AB923" s="89"/>
      <c r="AC923" s="89"/>
      <c r="AD923" s="89"/>
      <c r="AE923" s="89"/>
      <c r="AF923" s="89"/>
      <c r="AG923" s="89"/>
      <c r="AH923" s="89"/>
    </row>
    <row r="924">
      <c r="A924" s="8" t="s">
        <v>1062</v>
      </c>
      <c r="B924" s="97"/>
      <c r="C924" s="8"/>
      <c r="D924" s="89" t="str">
        <f t="shared" si="1"/>
        <v/>
      </c>
      <c r="E924" s="89" t="str">
        <f t="shared" si="2"/>
        <v>OT Hours</v>
      </c>
      <c r="F924" s="89" t="str">
        <f>IFERROR(VLOOKUP(C924,'Employees List'!$B$1:$G$999,2,0),"")</f>
        <v/>
      </c>
      <c r="G924" s="89" t="str">
        <f t="shared" si="23"/>
        <v>#DIV/0!</v>
      </c>
      <c r="H924" s="98"/>
      <c r="I924" s="89" t="str">
        <f>IFERROR(VLOOKUP(F924,'Employees List'!$C:$F,2,0),"")</f>
        <v/>
      </c>
      <c r="J924" s="93" t="str">
        <f>IFERROR(VLOOKUP(C924,'Employees List'!$B$2:$G$991,5,0),"")</f>
        <v/>
      </c>
      <c r="K924" s="95" t="str">
        <f>IFERROR(VLOOKUP(F924,'Employees List'!$C$1:$AB$991,5,0),"")</f>
        <v/>
      </c>
      <c r="L924" s="91">
        <f t="shared" si="3"/>
        <v>0</v>
      </c>
      <c r="M924" s="91">
        <f t="shared" si="4"/>
        <v>0</v>
      </c>
      <c r="N924" s="89" t="str">
        <f>IFERROR(VLOOKUP(B924,'Employees List'!$A$2:$H$991,8,0),"")</f>
        <v/>
      </c>
      <c r="O924" s="89" t="str">
        <f>IFERROR(VLOOKUP(D924,'Daily Attendance Report 24-25'!A888:BP999,5,0),"")</f>
        <v/>
      </c>
      <c r="P924" s="89" t="str">
        <f>IFERROR(VLOOKUP(E924,'Daily Attendance Report 24-25'!$A$1:$BO$617,5,0),"")</f>
        <v/>
      </c>
      <c r="Q924" s="89"/>
      <c r="R924" s="89"/>
      <c r="S924" s="89" t="str">
        <f t="shared" si="17"/>
        <v>#DIV/0!</v>
      </c>
      <c r="T924" s="89" t="str">
        <f t="shared" si="6"/>
        <v>#DIV/0!</v>
      </c>
      <c r="U924" s="89" t="str">
        <f t="shared" si="25"/>
        <v>#DIV/0!</v>
      </c>
      <c r="V924" s="89" t="str">
        <f t="shared" si="24"/>
        <v>#DIV/0!</v>
      </c>
      <c r="W924" s="89" t="str">
        <f t="shared" si="9"/>
        <v>#DIV/0!</v>
      </c>
      <c r="X924" s="89"/>
      <c r="Y924" s="89"/>
      <c r="Z924" s="89"/>
      <c r="AA924" s="89"/>
      <c r="AB924" s="89"/>
      <c r="AC924" s="89"/>
      <c r="AD924" s="89"/>
      <c r="AE924" s="89"/>
      <c r="AF924" s="89"/>
      <c r="AG924" s="89"/>
      <c r="AH924" s="89"/>
    </row>
    <row r="925">
      <c r="A925" s="8" t="s">
        <v>1063</v>
      </c>
      <c r="B925" s="97"/>
      <c r="C925" s="8"/>
      <c r="D925" s="89" t="str">
        <f t="shared" si="1"/>
        <v/>
      </c>
      <c r="E925" s="89" t="str">
        <f t="shared" si="2"/>
        <v>OT Hours</v>
      </c>
      <c r="F925" s="89" t="str">
        <f>IFERROR(VLOOKUP(C925,'Employees List'!$B$1:$G$999,2,0),"")</f>
        <v/>
      </c>
      <c r="G925" s="89" t="str">
        <f t="shared" si="23"/>
        <v>#DIV/0!</v>
      </c>
      <c r="H925" s="98"/>
      <c r="I925" s="89" t="str">
        <f>IFERROR(VLOOKUP(F925,'Employees List'!$C:$F,2,0),"")</f>
        <v/>
      </c>
      <c r="J925" s="93" t="str">
        <f>IFERROR(VLOOKUP(C925,'Employees List'!$B$2:$G$991,5,0),"")</f>
        <v/>
      </c>
      <c r="K925" s="95" t="str">
        <f>IFERROR(VLOOKUP(F925,'Employees List'!$C$1:$AB$991,5,0),"")</f>
        <v/>
      </c>
      <c r="L925" s="91">
        <f t="shared" si="3"/>
        <v>0</v>
      </c>
      <c r="M925" s="91">
        <f t="shared" si="4"/>
        <v>0</v>
      </c>
      <c r="N925" s="89" t="str">
        <f>IFERROR(VLOOKUP(B925,'Employees List'!$A$2:$H$991,8,0),"")</f>
        <v/>
      </c>
      <c r="O925" s="89" t="str">
        <f>IFERROR(VLOOKUP(D925,'Daily Attendance Report 24-25'!A889:BP999,5,0),"")</f>
        <v/>
      </c>
      <c r="P925" s="89" t="str">
        <f>IFERROR(VLOOKUP(E925,'Daily Attendance Report 24-25'!$A$1:$BO$617,5,0),"")</f>
        <v/>
      </c>
      <c r="Q925" s="89"/>
      <c r="R925" s="89"/>
      <c r="S925" s="89" t="str">
        <f t="shared" si="17"/>
        <v>#DIV/0!</v>
      </c>
      <c r="T925" s="89" t="str">
        <f t="shared" si="6"/>
        <v>#DIV/0!</v>
      </c>
      <c r="U925" s="89" t="str">
        <f t="shared" si="25"/>
        <v>#DIV/0!</v>
      </c>
      <c r="V925" s="89" t="str">
        <f t="shared" si="24"/>
        <v>#DIV/0!</v>
      </c>
      <c r="W925" s="89" t="str">
        <f t="shared" si="9"/>
        <v>#DIV/0!</v>
      </c>
      <c r="X925" s="89"/>
      <c r="Y925" s="89"/>
      <c r="Z925" s="89"/>
      <c r="AA925" s="89"/>
      <c r="AB925" s="89"/>
      <c r="AC925" s="89"/>
      <c r="AD925" s="89"/>
      <c r="AE925" s="89"/>
      <c r="AF925" s="89"/>
      <c r="AG925" s="89"/>
      <c r="AH925" s="89"/>
    </row>
    <row r="926">
      <c r="A926" s="8" t="s">
        <v>1064</v>
      </c>
      <c r="B926" s="97"/>
      <c r="C926" s="8"/>
      <c r="D926" s="89" t="str">
        <f t="shared" si="1"/>
        <v/>
      </c>
      <c r="E926" s="89" t="str">
        <f t="shared" si="2"/>
        <v>OT Hours</v>
      </c>
      <c r="F926" s="89" t="str">
        <f>IFERROR(VLOOKUP(C926,'Employees List'!$B$1:$G$999,2,0),"")</f>
        <v/>
      </c>
      <c r="G926" s="89" t="str">
        <f t="shared" si="23"/>
        <v>#DIV/0!</v>
      </c>
      <c r="H926" s="98"/>
      <c r="I926" s="89" t="str">
        <f>IFERROR(VLOOKUP(F926,'Employees List'!$C:$F,2,0),"")</f>
        <v/>
      </c>
      <c r="J926" s="93" t="str">
        <f>IFERROR(VLOOKUP(C926,'Employees List'!$B$2:$G$991,5,0),"")</f>
        <v/>
      </c>
      <c r="K926" s="95" t="str">
        <f>IFERROR(VLOOKUP(F926,'Employees List'!$C$1:$AB$991,5,0),"")</f>
        <v/>
      </c>
      <c r="L926" s="91">
        <f t="shared" si="3"/>
        <v>0</v>
      </c>
      <c r="M926" s="91">
        <f t="shared" si="4"/>
        <v>0</v>
      </c>
      <c r="N926" s="89" t="str">
        <f>IFERROR(VLOOKUP(B926,'Employees List'!$A$2:$H$991,8,0),"")</f>
        <v/>
      </c>
      <c r="O926" s="89" t="str">
        <f>IFERROR(VLOOKUP(D926,'Daily Attendance Report 24-25'!A890:BP999,5,0),"")</f>
        <v/>
      </c>
      <c r="P926" s="89" t="str">
        <f>IFERROR(VLOOKUP(E926,'Daily Attendance Report 24-25'!$A$1:$BO$617,5,0),"")</f>
        <v/>
      </c>
      <c r="Q926" s="89"/>
      <c r="R926" s="89"/>
      <c r="S926" s="89" t="str">
        <f t="shared" si="17"/>
        <v>#DIV/0!</v>
      </c>
      <c r="T926" s="89" t="str">
        <f t="shared" si="6"/>
        <v>#DIV/0!</v>
      </c>
      <c r="U926" s="89" t="str">
        <f t="shared" si="25"/>
        <v>#DIV/0!</v>
      </c>
      <c r="V926" s="89" t="str">
        <f t="shared" si="24"/>
        <v>#DIV/0!</v>
      </c>
      <c r="W926" s="89" t="str">
        <f t="shared" si="9"/>
        <v>#DIV/0!</v>
      </c>
      <c r="X926" s="89"/>
      <c r="Y926" s="89"/>
      <c r="Z926" s="89"/>
      <c r="AA926" s="89"/>
      <c r="AB926" s="89"/>
      <c r="AC926" s="89"/>
      <c r="AD926" s="89"/>
      <c r="AE926" s="89"/>
      <c r="AF926" s="89"/>
      <c r="AG926" s="89"/>
      <c r="AH926" s="89"/>
    </row>
    <row r="927">
      <c r="A927" s="8" t="s">
        <v>1065</v>
      </c>
      <c r="B927" s="97"/>
      <c r="C927" s="8"/>
      <c r="D927" s="89" t="str">
        <f t="shared" si="1"/>
        <v/>
      </c>
      <c r="E927" s="89" t="str">
        <f t="shared" si="2"/>
        <v>OT Hours</v>
      </c>
      <c r="F927" s="89" t="str">
        <f>IFERROR(VLOOKUP(C927,'Employees List'!$B$1:$G$999,2,0),"")</f>
        <v/>
      </c>
      <c r="G927" s="89" t="str">
        <f t="shared" si="23"/>
        <v>#DIV/0!</v>
      </c>
      <c r="H927" s="98"/>
      <c r="I927" s="89" t="str">
        <f>IFERROR(VLOOKUP(F927,'Employees List'!$C:$F,2,0),"")</f>
        <v/>
      </c>
      <c r="J927" s="93" t="str">
        <f>IFERROR(VLOOKUP(C927,'Employees List'!$B$2:$G$991,5,0),"")</f>
        <v/>
      </c>
      <c r="K927" s="95" t="str">
        <f>IFERROR(VLOOKUP(F927,'Employees List'!$C$1:$AB$991,5,0),"")</f>
        <v/>
      </c>
      <c r="L927" s="91">
        <f t="shared" si="3"/>
        <v>0</v>
      </c>
      <c r="M927" s="91">
        <f t="shared" si="4"/>
        <v>0</v>
      </c>
      <c r="N927" s="89" t="str">
        <f>IFERROR(VLOOKUP(B927,'Employees List'!$A$2:$H$991,8,0),"")</f>
        <v/>
      </c>
      <c r="O927" s="89" t="str">
        <f>IFERROR(VLOOKUP(D927,'Daily Attendance Report 24-25'!A891:BP999,5,0),"")</f>
        <v/>
      </c>
      <c r="P927" s="89" t="str">
        <f>IFERROR(VLOOKUP(E927,'Daily Attendance Report 24-25'!$A$1:$BO$617,5,0),"")</f>
        <v/>
      </c>
      <c r="Q927" s="89"/>
      <c r="R927" s="89"/>
      <c r="S927" s="89" t="str">
        <f t="shared" si="17"/>
        <v>#DIV/0!</v>
      </c>
      <c r="T927" s="89" t="str">
        <f t="shared" si="6"/>
        <v>#DIV/0!</v>
      </c>
      <c r="U927" s="89" t="str">
        <f t="shared" si="25"/>
        <v>#DIV/0!</v>
      </c>
      <c r="V927" s="89" t="str">
        <f t="shared" si="24"/>
        <v>#DIV/0!</v>
      </c>
      <c r="W927" s="89" t="str">
        <f t="shared" si="9"/>
        <v>#DIV/0!</v>
      </c>
      <c r="X927" s="89"/>
      <c r="Y927" s="89"/>
      <c r="Z927" s="89"/>
      <c r="AA927" s="89"/>
      <c r="AB927" s="89"/>
      <c r="AC927" s="89"/>
      <c r="AD927" s="89"/>
      <c r="AE927" s="89"/>
      <c r="AF927" s="89"/>
      <c r="AG927" s="89"/>
      <c r="AH927" s="89"/>
    </row>
    <row r="928">
      <c r="A928" s="8" t="s">
        <v>1066</v>
      </c>
      <c r="B928" s="97"/>
      <c r="C928" s="8"/>
      <c r="D928" s="89" t="str">
        <f t="shared" si="1"/>
        <v/>
      </c>
      <c r="E928" s="89" t="str">
        <f t="shared" si="2"/>
        <v>OT Hours</v>
      </c>
      <c r="F928" s="89" t="str">
        <f>IFERROR(VLOOKUP(C928,'Employees List'!$B$1:$G$999,2,0),"")</f>
        <v/>
      </c>
      <c r="G928" s="89" t="str">
        <f t="shared" si="23"/>
        <v>#DIV/0!</v>
      </c>
      <c r="H928" s="98"/>
      <c r="I928" s="89" t="str">
        <f>IFERROR(VLOOKUP(F928,'Employees List'!$C:$F,2,0),"")</f>
        <v/>
      </c>
      <c r="J928" s="93" t="str">
        <f>IFERROR(VLOOKUP(C928,'Employees List'!$B$2:$G$991,5,0),"")</f>
        <v/>
      </c>
      <c r="K928" s="95" t="str">
        <f>IFERROR(VLOOKUP(F928,'Employees List'!$C$1:$AB$991,5,0),"")</f>
        <v/>
      </c>
      <c r="L928" s="91">
        <f t="shared" si="3"/>
        <v>0</v>
      </c>
      <c r="M928" s="91">
        <f t="shared" si="4"/>
        <v>0</v>
      </c>
      <c r="N928" s="89" t="str">
        <f>IFERROR(VLOOKUP(B928,'Employees List'!$A$2:$H$991,8,0),"")</f>
        <v/>
      </c>
      <c r="O928" s="89" t="str">
        <f>IFERROR(VLOOKUP(D928,'Daily Attendance Report 24-25'!A892:BP999,5,0),"")</f>
        <v/>
      </c>
      <c r="P928" s="89" t="str">
        <f>IFERROR(VLOOKUP(E928,'Daily Attendance Report 24-25'!$A$1:$BO$617,5,0),"")</f>
        <v/>
      </c>
      <c r="Q928" s="89"/>
      <c r="R928" s="89"/>
      <c r="S928" s="89" t="str">
        <f t="shared" si="17"/>
        <v>#DIV/0!</v>
      </c>
      <c r="T928" s="89" t="str">
        <f t="shared" si="6"/>
        <v>#DIV/0!</v>
      </c>
      <c r="U928" s="89" t="str">
        <f t="shared" si="25"/>
        <v>#DIV/0!</v>
      </c>
      <c r="V928" s="89" t="str">
        <f t="shared" si="24"/>
        <v>#DIV/0!</v>
      </c>
      <c r="W928" s="89" t="str">
        <f t="shared" si="9"/>
        <v>#DIV/0!</v>
      </c>
      <c r="X928" s="89"/>
      <c r="Y928" s="89"/>
      <c r="Z928" s="89"/>
      <c r="AA928" s="89"/>
      <c r="AB928" s="89"/>
      <c r="AC928" s="89"/>
      <c r="AD928" s="89"/>
      <c r="AE928" s="89"/>
      <c r="AF928" s="89"/>
      <c r="AG928" s="89"/>
      <c r="AH928" s="89"/>
    </row>
    <row r="929">
      <c r="A929" s="8" t="s">
        <v>1067</v>
      </c>
      <c r="B929" s="97"/>
      <c r="C929" s="8"/>
      <c r="D929" s="89" t="str">
        <f t="shared" si="1"/>
        <v/>
      </c>
      <c r="E929" s="89" t="str">
        <f t="shared" si="2"/>
        <v>OT Hours</v>
      </c>
      <c r="F929" s="89" t="str">
        <f>IFERROR(VLOOKUP(C929,'Employees List'!$B$1:$G$999,2,0),"")</f>
        <v/>
      </c>
      <c r="G929" s="89" t="str">
        <f t="shared" si="23"/>
        <v>#DIV/0!</v>
      </c>
      <c r="H929" s="98"/>
      <c r="I929" s="89" t="str">
        <f>IFERROR(VLOOKUP(F929,'Employees List'!$C:$F,2,0),"")</f>
        <v/>
      </c>
      <c r="J929" s="93" t="str">
        <f>IFERROR(VLOOKUP(C929,'Employees List'!$B$2:$G$991,5,0),"")</f>
        <v/>
      </c>
      <c r="K929" s="95" t="str">
        <f>IFERROR(VLOOKUP(F929,'Employees List'!$C$1:$AB$991,5,0),"")</f>
        <v/>
      </c>
      <c r="L929" s="91">
        <f t="shared" si="3"/>
        <v>0</v>
      </c>
      <c r="M929" s="91">
        <f t="shared" si="4"/>
        <v>0</v>
      </c>
      <c r="N929" s="89" t="str">
        <f>IFERROR(VLOOKUP(B929,'Employees List'!$A$2:$H$991,8,0),"")</f>
        <v/>
      </c>
      <c r="O929" s="89" t="str">
        <f>IFERROR(VLOOKUP(D929,'Daily Attendance Report 24-25'!A893:BP999,5,0),"")</f>
        <v/>
      </c>
      <c r="P929" s="89" t="str">
        <f>IFERROR(VLOOKUP(E929,'Daily Attendance Report 24-25'!$A$1:$BO$617,5,0),"")</f>
        <v/>
      </c>
      <c r="Q929" s="89"/>
      <c r="R929" s="89"/>
      <c r="S929" s="89" t="str">
        <f t="shared" si="17"/>
        <v>#DIV/0!</v>
      </c>
      <c r="T929" s="89" t="str">
        <f t="shared" si="6"/>
        <v>#DIV/0!</v>
      </c>
      <c r="U929" s="89" t="str">
        <f t="shared" si="25"/>
        <v>#DIV/0!</v>
      </c>
      <c r="V929" s="89" t="str">
        <f t="shared" si="24"/>
        <v>#DIV/0!</v>
      </c>
      <c r="W929" s="89" t="str">
        <f t="shared" si="9"/>
        <v>#DIV/0!</v>
      </c>
      <c r="X929" s="89"/>
      <c r="Y929" s="89"/>
      <c r="Z929" s="89"/>
      <c r="AA929" s="89"/>
      <c r="AB929" s="89"/>
      <c r="AC929" s="89"/>
      <c r="AD929" s="89"/>
      <c r="AE929" s="89"/>
      <c r="AF929" s="89"/>
      <c r="AG929" s="89"/>
      <c r="AH929" s="89"/>
    </row>
    <row r="930">
      <c r="A930" s="8" t="s">
        <v>1068</v>
      </c>
      <c r="B930" s="97"/>
      <c r="C930" s="8"/>
      <c r="D930" s="89" t="str">
        <f t="shared" si="1"/>
        <v/>
      </c>
      <c r="E930" s="89" t="str">
        <f t="shared" si="2"/>
        <v>OT Hours</v>
      </c>
      <c r="F930" s="89" t="str">
        <f>IFERROR(VLOOKUP(C930,'Employees List'!$B$1:$G$999,2,0),"")</f>
        <v/>
      </c>
      <c r="G930" s="89" t="str">
        <f t="shared" si="23"/>
        <v>#DIV/0!</v>
      </c>
      <c r="H930" s="98"/>
      <c r="I930" s="89" t="str">
        <f>IFERROR(VLOOKUP(F930,'Employees List'!$C:$F,2,0),"")</f>
        <v/>
      </c>
      <c r="J930" s="93" t="str">
        <f>IFERROR(VLOOKUP(C930,'Employees List'!$B$2:$G$991,5,0),"")</f>
        <v/>
      </c>
      <c r="K930" s="95" t="str">
        <f>IFERROR(VLOOKUP(F930,'Employees List'!$C$1:$AB$991,5,0),"")</f>
        <v/>
      </c>
      <c r="L930" s="91">
        <f t="shared" si="3"/>
        <v>0</v>
      </c>
      <c r="M930" s="91">
        <f t="shared" si="4"/>
        <v>0</v>
      </c>
      <c r="N930" s="89" t="str">
        <f>IFERROR(VLOOKUP(B930,'Employees List'!$A$2:$H$991,8,0),"")</f>
        <v/>
      </c>
      <c r="O930" s="89" t="str">
        <f>IFERROR(VLOOKUP(D930,'Daily Attendance Report 24-25'!A894:BP999,5,0),"")</f>
        <v/>
      </c>
      <c r="P930" s="89" t="str">
        <f>IFERROR(VLOOKUP(E930,'Daily Attendance Report 24-25'!$A$1:$BO$617,5,0),"")</f>
        <v/>
      </c>
      <c r="Q930" s="89"/>
      <c r="R930" s="89"/>
      <c r="S930" s="89" t="str">
        <f t="shared" si="17"/>
        <v>#DIV/0!</v>
      </c>
      <c r="T930" s="89" t="str">
        <f t="shared" si="6"/>
        <v>#DIV/0!</v>
      </c>
      <c r="U930" s="89" t="str">
        <f t="shared" si="25"/>
        <v>#DIV/0!</v>
      </c>
      <c r="V930" s="89" t="str">
        <f t="shared" si="24"/>
        <v>#DIV/0!</v>
      </c>
      <c r="W930" s="89" t="str">
        <f t="shared" si="9"/>
        <v>#DIV/0!</v>
      </c>
      <c r="X930" s="89"/>
      <c r="Y930" s="89"/>
      <c r="Z930" s="89"/>
      <c r="AA930" s="89"/>
      <c r="AB930" s="89"/>
      <c r="AC930" s="89"/>
      <c r="AD930" s="89"/>
      <c r="AE930" s="89"/>
      <c r="AF930" s="89"/>
      <c r="AG930" s="89"/>
      <c r="AH930" s="89"/>
    </row>
    <row r="931">
      <c r="A931" s="8" t="s">
        <v>1069</v>
      </c>
      <c r="B931" s="97"/>
      <c r="C931" s="8"/>
      <c r="D931" s="89" t="str">
        <f t="shared" si="1"/>
        <v/>
      </c>
      <c r="E931" s="89" t="str">
        <f t="shared" si="2"/>
        <v>OT Hours</v>
      </c>
      <c r="F931" s="89" t="str">
        <f>IFERROR(VLOOKUP(C931,'Employees List'!$B$1:$G$999,2,0),"")</f>
        <v/>
      </c>
      <c r="G931" s="89" t="str">
        <f t="shared" si="23"/>
        <v>#DIV/0!</v>
      </c>
      <c r="H931" s="98"/>
      <c r="I931" s="89" t="str">
        <f>IFERROR(VLOOKUP(F931,'Employees List'!$C:$F,2,0),"")</f>
        <v/>
      </c>
      <c r="J931" s="93" t="str">
        <f>IFERROR(VLOOKUP(C931,'Employees List'!$B$2:$G$991,5,0),"")</f>
        <v/>
      </c>
      <c r="K931" s="95" t="str">
        <f>IFERROR(VLOOKUP(F931,'Employees List'!$C$1:$AB$991,5,0),"")</f>
        <v/>
      </c>
      <c r="L931" s="91">
        <f t="shared" si="3"/>
        <v>0</v>
      </c>
      <c r="M931" s="91">
        <f t="shared" si="4"/>
        <v>0</v>
      </c>
      <c r="N931" s="89" t="str">
        <f>IFERROR(VLOOKUP(B931,'Employees List'!$A$2:$H$991,8,0),"")</f>
        <v/>
      </c>
      <c r="O931" s="89" t="str">
        <f>IFERROR(VLOOKUP(D931,'Daily Attendance Report 24-25'!A895:BP999,5,0),"")</f>
        <v/>
      </c>
      <c r="P931" s="89" t="str">
        <f>IFERROR(VLOOKUP(E931,'Daily Attendance Report 24-25'!$A$1:$BO$617,5,0),"")</f>
        <v/>
      </c>
      <c r="Q931" s="89"/>
      <c r="R931" s="89"/>
      <c r="S931" s="89" t="str">
        <f t="shared" si="17"/>
        <v>#DIV/0!</v>
      </c>
      <c r="T931" s="89" t="str">
        <f t="shared" si="6"/>
        <v>#DIV/0!</v>
      </c>
      <c r="U931" s="89" t="str">
        <f t="shared" si="25"/>
        <v>#DIV/0!</v>
      </c>
      <c r="V931" s="89" t="str">
        <f t="shared" si="24"/>
        <v>#DIV/0!</v>
      </c>
      <c r="W931" s="89" t="str">
        <f t="shared" si="9"/>
        <v>#DIV/0!</v>
      </c>
      <c r="X931" s="89"/>
      <c r="Y931" s="89"/>
      <c r="Z931" s="89"/>
      <c r="AA931" s="89"/>
      <c r="AB931" s="89"/>
      <c r="AC931" s="89"/>
      <c r="AD931" s="89"/>
      <c r="AE931" s="89"/>
      <c r="AF931" s="89"/>
      <c r="AG931" s="89"/>
      <c r="AH931" s="89"/>
    </row>
    <row r="932">
      <c r="A932" s="8" t="s">
        <v>1070</v>
      </c>
      <c r="B932" s="97"/>
      <c r="C932" s="8"/>
      <c r="D932" s="89" t="str">
        <f t="shared" si="1"/>
        <v/>
      </c>
      <c r="E932" s="89" t="str">
        <f t="shared" si="2"/>
        <v>OT Hours</v>
      </c>
      <c r="F932" s="89" t="str">
        <f>IFERROR(VLOOKUP(C932,'Employees List'!$B$1:$G$999,2,0),"")</f>
        <v/>
      </c>
      <c r="G932" s="89" t="str">
        <f t="shared" si="23"/>
        <v>#DIV/0!</v>
      </c>
      <c r="H932" s="98"/>
      <c r="I932" s="89" t="str">
        <f>IFERROR(VLOOKUP(F932,'Employees List'!$C:$F,2,0),"")</f>
        <v/>
      </c>
      <c r="J932" s="93" t="str">
        <f>IFERROR(VLOOKUP(C932,'Employees List'!$B$2:$G$991,5,0),"")</f>
        <v/>
      </c>
      <c r="K932" s="95" t="str">
        <f>IFERROR(VLOOKUP(F932,'Employees List'!$C$1:$AB$991,5,0),"")</f>
        <v/>
      </c>
      <c r="L932" s="91">
        <f t="shared" si="3"/>
        <v>0</v>
      </c>
      <c r="M932" s="91">
        <f t="shared" si="4"/>
        <v>0</v>
      </c>
      <c r="N932" s="89" t="str">
        <f>IFERROR(VLOOKUP(B932,'Employees List'!$A$2:$H$991,8,0),"")</f>
        <v/>
      </c>
      <c r="O932" s="89" t="str">
        <f>IFERROR(VLOOKUP(D932,'Daily Attendance Report 24-25'!A896:BP999,5,0),"")</f>
        <v/>
      </c>
      <c r="P932" s="89" t="str">
        <f>IFERROR(VLOOKUP(E932,'Daily Attendance Report 24-25'!$A$1:$BO$617,5,0),"")</f>
        <v/>
      </c>
      <c r="Q932" s="89"/>
      <c r="R932" s="89"/>
      <c r="S932" s="89" t="str">
        <f t="shared" si="17"/>
        <v>#DIV/0!</v>
      </c>
      <c r="T932" s="89" t="str">
        <f t="shared" si="6"/>
        <v>#DIV/0!</v>
      </c>
      <c r="U932" s="89" t="str">
        <f t="shared" si="25"/>
        <v>#DIV/0!</v>
      </c>
      <c r="V932" s="89" t="str">
        <f t="shared" si="24"/>
        <v>#DIV/0!</v>
      </c>
      <c r="W932" s="89" t="str">
        <f t="shared" si="9"/>
        <v>#DIV/0!</v>
      </c>
      <c r="X932" s="89"/>
      <c r="Y932" s="89"/>
      <c r="Z932" s="89"/>
      <c r="AA932" s="89"/>
      <c r="AB932" s="89"/>
      <c r="AC932" s="89"/>
      <c r="AD932" s="89"/>
      <c r="AE932" s="89"/>
      <c r="AF932" s="89"/>
      <c r="AG932" s="89"/>
      <c r="AH932" s="89"/>
    </row>
    <row r="933">
      <c r="A933" s="8" t="s">
        <v>1071</v>
      </c>
      <c r="B933" s="97"/>
      <c r="C933" s="8"/>
      <c r="D933" s="89" t="str">
        <f t="shared" si="1"/>
        <v/>
      </c>
      <c r="E933" s="89" t="str">
        <f t="shared" si="2"/>
        <v>OT Hours</v>
      </c>
      <c r="F933" s="89" t="str">
        <f>IFERROR(VLOOKUP(C933,'Employees List'!$B$1:$G$999,2,0),"")</f>
        <v/>
      </c>
      <c r="G933" s="89" t="str">
        <f t="shared" si="23"/>
        <v>#DIV/0!</v>
      </c>
      <c r="H933" s="98"/>
      <c r="I933" s="89" t="str">
        <f>IFERROR(VLOOKUP(F933,'Employees List'!$C:$F,2,0),"")</f>
        <v/>
      </c>
      <c r="J933" s="93" t="str">
        <f>IFERROR(VLOOKUP(C933,'Employees List'!$B$2:$G$991,5,0),"")</f>
        <v/>
      </c>
      <c r="K933" s="95" t="str">
        <f>IFERROR(VLOOKUP(F933,'Employees List'!$C$1:$AB$991,5,0),"")</f>
        <v/>
      </c>
      <c r="L933" s="91">
        <f t="shared" si="3"/>
        <v>0</v>
      </c>
      <c r="M933" s="91">
        <f t="shared" si="4"/>
        <v>0</v>
      </c>
      <c r="N933" s="89" t="str">
        <f>IFERROR(VLOOKUP(B933,'Employees List'!$A$2:$H$991,8,0),"")</f>
        <v/>
      </c>
      <c r="O933" s="89" t="str">
        <f>IFERROR(VLOOKUP(D933,'Daily Attendance Report 24-25'!A897:BP999,5,0),"")</f>
        <v/>
      </c>
      <c r="P933" s="89" t="str">
        <f>IFERROR(VLOOKUP(E933,'Daily Attendance Report 24-25'!$A$1:$BO$617,5,0),"")</f>
        <v/>
      </c>
      <c r="Q933" s="89"/>
      <c r="R933" s="89"/>
      <c r="S933" s="89" t="str">
        <f t="shared" si="17"/>
        <v>#DIV/0!</v>
      </c>
      <c r="T933" s="89" t="str">
        <f t="shared" si="6"/>
        <v>#DIV/0!</v>
      </c>
      <c r="U933" s="89" t="str">
        <f t="shared" si="25"/>
        <v>#DIV/0!</v>
      </c>
      <c r="V933" s="89" t="str">
        <f t="shared" si="24"/>
        <v>#DIV/0!</v>
      </c>
      <c r="W933" s="89" t="str">
        <f t="shared" si="9"/>
        <v>#DIV/0!</v>
      </c>
      <c r="X933" s="89"/>
      <c r="Y933" s="89"/>
      <c r="Z933" s="89"/>
      <c r="AA933" s="89"/>
      <c r="AB933" s="89"/>
      <c r="AC933" s="89"/>
      <c r="AD933" s="89"/>
      <c r="AE933" s="89"/>
      <c r="AF933" s="89"/>
      <c r="AG933" s="89"/>
      <c r="AH933" s="89"/>
    </row>
    <row r="934">
      <c r="A934" s="8" t="s">
        <v>1072</v>
      </c>
      <c r="B934" s="97"/>
      <c r="C934" s="8"/>
      <c r="D934" s="89" t="str">
        <f t="shared" si="1"/>
        <v/>
      </c>
      <c r="E934" s="89" t="str">
        <f t="shared" si="2"/>
        <v>OT Hours</v>
      </c>
      <c r="F934" s="89" t="str">
        <f>IFERROR(VLOOKUP(C934,'Employees List'!$B$1:$G$999,2,0),"")</f>
        <v/>
      </c>
      <c r="G934" s="89" t="str">
        <f t="shared" si="23"/>
        <v>#DIV/0!</v>
      </c>
      <c r="H934" s="98"/>
      <c r="I934" s="89" t="str">
        <f>IFERROR(VLOOKUP(F934,'Employees List'!$C:$F,2,0),"")</f>
        <v/>
      </c>
      <c r="J934" s="93" t="str">
        <f>IFERROR(VLOOKUP(C934,'Employees List'!$B$2:$G$991,5,0),"")</f>
        <v/>
      </c>
      <c r="K934" s="95" t="str">
        <f>IFERROR(VLOOKUP(F934,'Employees List'!$C$1:$AB$991,5,0),"")</f>
        <v/>
      </c>
      <c r="L934" s="91">
        <f t="shared" si="3"/>
        <v>0</v>
      </c>
      <c r="M934" s="91">
        <f t="shared" si="4"/>
        <v>0</v>
      </c>
      <c r="N934" s="89" t="str">
        <f>IFERROR(VLOOKUP(B934,'Employees List'!$A$2:$H$991,8,0),"")</f>
        <v/>
      </c>
      <c r="O934" s="89" t="str">
        <f>IFERROR(VLOOKUP(D934,'Daily Attendance Report 24-25'!A898:BP999,5,0),"")</f>
        <v/>
      </c>
      <c r="P934" s="89" t="str">
        <f>IFERROR(VLOOKUP(E934,'Daily Attendance Report 24-25'!$A$1:$BO$617,5,0),"")</f>
        <v/>
      </c>
      <c r="Q934" s="89"/>
      <c r="R934" s="89"/>
      <c r="S934" s="89" t="str">
        <f t="shared" si="17"/>
        <v>#DIV/0!</v>
      </c>
      <c r="T934" s="89" t="str">
        <f t="shared" si="6"/>
        <v>#DIV/0!</v>
      </c>
      <c r="U934" s="89" t="str">
        <f t="shared" si="25"/>
        <v>#DIV/0!</v>
      </c>
      <c r="V934" s="89" t="str">
        <f t="shared" si="24"/>
        <v>#DIV/0!</v>
      </c>
      <c r="W934" s="89" t="str">
        <f t="shared" si="9"/>
        <v>#DIV/0!</v>
      </c>
      <c r="X934" s="89"/>
      <c r="Y934" s="89"/>
      <c r="Z934" s="89"/>
      <c r="AA934" s="89"/>
      <c r="AB934" s="89"/>
      <c r="AC934" s="89"/>
      <c r="AD934" s="89"/>
      <c r="AE934" s="89"/>
      <c r="AF934" s="89"/>
      <c r="AG934" s="89"/>
      <c r="AH934" s="89"/>
    </row>
    <row r="935">
      <c r="A935" s="8" t="s">
        <v>1073</v>
      </c>
      <c r="B935" s="97"/>
      <c r="C935" s="8"/>
      <c r="D935" s="89" t="str">
        <f t="shared" si="1"/>
        <v/>
      </c>
      <c r="E935" s="89" t="str">
        <f t="shared" si="2"/>
        <v>OT Hours</v>
      </c>
      <c r="F935" s="89" t="str">
        <f>IFERROR(VLOOKUP(C935,'Employees List'!$B$1:$G$999,2,0),"")</f>
        <v/>
      </c>
      <c r="G935" s="89" t="str">
        <f t="shared" si="23"/>
        <v>#DIV/0!</v>
      </c>
      <c r="H935" s="98"/>
      <c r="I935" s="89" t="str">
        <f>IFERROR(VLOOKUP(F935,'Employees List'!$C:$F,2,0),"")</f>
        <v/>
      </c>
      <c r="J935" s="93" t="str">
        <f>IFERROR(VLOOKUP(C935,'Employees List'!$B$2:$G$991,5,0),"")</f>
        <v/>
      </c>
      <c r="K935" s="95" t="str">
        <f>IFERROR(VLOOKUP(F935,'Employees List'!$C$1:$AB$991,5,0),"")</f>
        <v/>
      </c>
      <c r="L935" s="91">
        <f t="shared" si="3"/>
        <v>0</v>
      </c>
      <c r="M935" s="91">
        <f t="shared" si="4"/>
        <v>0</v>
      </c>
      <c r="N935" s="89" t="str">
        <f>IFERROR(VLOOKUP(B935,'Employees List'!$A$2:$H$991,8,0),"")</f>
        <v/>
      </c>
      <c r="O935" s="89" t="str">
        <f>IFERROR(VLOOKUP(D935,'Daily Attendance Report 24-25'!A899:BP999,5,0),"")</f>
        <v/>
      </c>
      <c r="P935" s="89" t="str">
        <f>IFERROR(VLOOKUP(E935,'Daily Attendance Report 24-25'!$A$1:$BO$617,5,0),"")</f>
        <v/>
      </c>
      <c r="Q935" s="89"/>
      <c r="R935" s="89"/>
      <c r="S935" s="89" t="str">
        <f t="shared" si="17"/>
        <v>#DIV/0!</v>
      </c>
      <c r="T935" s="89" t="str">
        <f t="shared" si="6"/>
        <v>#DIV/0!</v>
      </c>
      <c r="U935" s="89" t="str">
        <f t="shared" si="25"/>
        <v>#DIV/0!</v>
      </c>
      <c r="V935" s="89" t="str">
        <f t="shared" si="24"/>
        <v>#DIV/0!</v>
      </c>
      <c r="W935" s="89" t="str">
        <f t="shared" si="9"/>
        <v>#DIV/0!</v>
      </c>
      <c r="X935" s="89"/>
      <c r="Y935" s="89"/>
      <c r="Z935" s="89"/>
      <c r="AA935" s="89"/>
      <c r="AB935" s="89"/>
      <c r="AC935" s="89"/>
      <c r="AD935" s="89"/>
      <c r="AE935" s="89"/>
      <c r="AF935" s="89"/>
      <c r="AG935" s="89"/>
      <c r="AH935" s="89"/>
    </row>
    <row r="936">
      <c r="A936" s="8" t="s">
        <v>1074</v>
      </c>
      <c r="B936" s="97"/>
      <c r="C936" s="8"/>
      <c r="D936" s="89" t="str">
        <f t="shared" si="1"/>
        <v/>
      </c>
      <c r="E936" s="89" t="str">
        <f t="shared" si="2"/>
        <v>OT Hours</v>
      </c>
      <c r="F936" s="89" t="str">
        <f>IFERROR(VLOOKUP(C936,'Employees List'!$B$1:$G$999,2,0),"")</f>
        <v/>
      </c>
      <c r="G936" s="89" t="str">
        <f t="shared" si="23"/>
        <v>#DIV/0!</v>
      </c>
      <c r="H936" s="98"/>
      <c r="I936" s="89" t="str">
        <f>IFERROR(VLOOKUP(F936,'Employees List'!$C:$F,2,0),"")</f>
        <v/>
      </c>
      <c r="J936" s="93" t="str">
        <f>IFERROR(VLOOKUP(C936,'Employees List'!$B$2:$G$991,5,0),"")</f>
        <v/>
      </c>
      <c r="K936" s="95" t="str">
        <f>IFERROR(VLOOKUP(F936,'Employees List'!$C$1:$AB$991,5,0),"")</f>
        <v/>
      </c>
      <c r="L936" s="91">
        <f t="shared" si="3"/>
        <v>0</v>
      </c>
      <c r="M936" s="91">
        <f t="shared" si="4"/>
        <v>0</v>
      </c>
      <c r="N936" s="89" t="str">
        <f>IFERROR(VLOOKUP(B936,'Employees List'!$A$2:$H$991,8,0),"")</f>
        <v/>
      </c>
      <c r="O936" s="89" t="str">
        <f>IFERROR(VLOOKUP(D936,'Daily Attendance Report 24-25'!A900:BP999,5,0),"")</f>
        <v/>
      </c>
      <c r="P936" s="89" t="str">
        <f>IFERROR(VLOOKUP(E936,'Daily Attendance Report 24-25'!$A$1:$BO$617,5,0),"")</f>
        <v/>
      </c>
      <c r="Q936" s="89"/>
      <c r="R936" s="89"/>
      <c r="S936" s="89" t="str">
        <f t="shared" si="17"/>
        <v>#DIV/0!</v>
      </c>
      <c r="T936" s="89" t="str">
        <f t="shared" si="6"/>
        <v>#DIV/0!</v>
      </c>
      <c r="U936" s="89" t="str">
        <f t="shared" si="25"/>
        <v>#DIV/0!</v>
      </c>
      <c r="V936" s="89" t="str">
        <f t="shared" si="24"/>
        <v>#DIV/0!</v>
      </c>
      <c r="W936" s="89" t="str">
        <f t="shared" si="9"/>
        <v>#DIV/0!</v>
      </c>
      <c r="X936" s="89"/>
      <c r="Y936" s="89"/>
      <c r="Z936" s="89"/>
      <c r="AA936" s="89"/>
      <c r="AB936" s="89"/>
      <c r="AC936" s="89"/>
      <c r="AD936" s="89"/>
      <c r="AE936" s="89"/>
      <c r="AF936" s="89"/>
      <c r="AG936" s="89"/>
      <c r="AH936" s="89"/>
    </row>
    <row r="937">
      <c r="A937" s="8" t="s">
        <v>1075</v>
      </c>
      <c r="B937" s="97"/>
      <c r="C937" s="8"/>
      <c r="D937" s="89" t="str">
        <f t="shared" si="1"/>
        <v/>
      </c>
      <c r="E937" s="89" t="str">
        <f t="shared" si="2"/>
        <v>OT Hours</v>
      </c>
      <c r="F937" s="89" t="str">
        <f>IFERROR(VLOOKUP(C937,'Employees List'!$B$1:$G$999,2,0),"")</f>
        <v/>
      </c>
      <c r="G937" s="89" t="str">
        <f t="shared" si="23"/>
        <v>#DIV/0!</v>
      </c>
      <c r="H937" s="98"/>
      <c r="I937" s="89" t="str">
        <f>IFERROR(VLOOKUP(F937,'Employees List'!$C:$F,2,0),"")</f>
        <v/>
      </c>
      <c r="J937" s="93" t="str">
        <f>IFERROR(VLOOKUP(C937,'Employees List'!$B$2:$G$991,5,0),"")</f>
        <v/>
      </c>
      <c r="K937" s="95" t="str">
        <f>IFERROR(VLOOKUP(F937,'Employees List'!$C$1:$AB$991,5,0),"")</f>
        <v/>
      </c>
      <c r="L937" s="91">
        <f t="shared" si="3"/>
        <v>0</v>
      </c>
      <c r="M937" s="91">
        <f t="shared" si="4"/>
        <v>0</v>
      </c>
      <c r="N937" s="89" t="str">
        <f>IFERROR(VLOOKUP(B937,'Employees List'!$A$2:$H$991,8,0),"")</f>
        <v/>
      </c>
      <c r="O937" s="89" t="str">
        <f>IFERROR(VLOOKUP(D937,'Daily Attendance Report 24-25'!A901:BP999,5,0),"")</f>
        <v/>
      </c>
      <c r="P937" s="89" t="str">
        <f>IFERROR(VLOOKUP(E937,'Daily Attendance Report 24-25'!$A$1:$BO$617,5,0),"")</f>
        <v/>
      </c>
      <c r="Q937" s="89"/>
      <c r="R937" s="89"/>
      <c r="S937" s="89" t="str">
        <f t="shared" si="17"/>
        <v>#DIV/0!</v>
      </c>
      <c r="T937" s="89" t="str">
        <f t="shared" si="6"/>
        <v>#DIV/0!</v>
      </c>
      <c r="U937" s="89" t="str">
        <f t="shared" si="25"/>
        <v>#DIV/0!</v>
      </c>
      <c r="V937" s="89" t="str">
        <f t="shared" si="24"/>
        <v>#DIV/0!</v>
      </c>
      <c r="W937" s="89" t="str">
        <f t="shared" si="9"/>
        <v>#DIV/0!</v>
      </c>
      <c r="X937" s="89"/>
      <c r="Y937" s="89"/>
      <c r="Z937" s="89"/>
      <c r="AA937" s="89"/>
      <c r="AB937" s="89"/>
      <c r="AC937" s="89"/>
      <c r="AD937" s="89"/>
      <c r="AE937" s="89"/>
      <c r="AF937" s="89"/>
      <c r="AG937" s="89"/>
      <c r="AH937" s="89"/>
    </row>
    <row r="938">
      <c r="A938" s="8" t="s">
        <v>1076</v>
      </c>
      <c r="B938" s="97"/>
      <c r="C938" s="8"/>
      <c r="D938" s="89" t="str">
        <f t="shared" si="1"/>
        <v/>
      </c>
      <c r="E938" s="89" t="str">
        <f t="shared" si="2"/>
        <v>OT Hours</v>
      </c>
      <c r="F938" s="89" t="str">
        <f>IFERROR(VLOOKUP(C938,'Employees List'!$B$1:$G$999,2,0),"")</f>
        <v/>
      </c>
      <c r="G938" s="89" t="str">
        <f t="shared" si="23"/>
        <v>#DIV/0!</v>
      </c>
      <c r="H938" s="98"/>
      <c r="I938" s="89" t="str">
        <f>IFERROR(VLOOKUP(F938,'Employees List'!$C:$F,2,0),"")</f>
        <v/>
      </c>
      <c r="J938" s="93" t="str">
        <f>IFERROR(VLOOKUP(C938,'Employees List'!$B$2:$G$991,5,0),"")</f>
        <v/>
      </c>
      <c r="K938" s="95" t="str">
        <f>IFERROR(VLOOKUP(F938,'Employees List'!$C$1:$AB$991,5,0),"")</f>
        <v/>
      </c>
      <c r="L938" s="91">
        <f t="shared" si="3"/>
        <v>0</v>
      </c>
      <c r="M938" s="91">
        <f t="shared" si="4"/>
        <v>0</v>
      </c>
      <c r="N938" s="89" t="str">
        <f>IFERROR(VLOOKUP(B938,'Employees List'!$A$2:$H$991,8,0),"")</f>
        <v/>
      </c>
      <c r="O938" s="89" t="str">
        <f>IFERROR(VLOOKUP(D938,'Daily Attendance Report 24-25'!A902:BP999,5,0),"")</f>
        <v/>
      </c>
      <c r="P938" s="89" t="str">
        <f>IFERROR(VLOOKUP(E938,'Daily Attendance Report 24-25'!$A$1:$BO$617,5,0),"")</f>
        <v/>
      </c>
      <c r="Q938" s="89"/>
      <c r="R938" s="89"/>
      <c r="S938" s="89" t="str">
        <f t="shared" si="17"/>
        <v>#DIV/0!</v>
      </c>
      <c r="T938" s="89" t="str">
        <f t="shared" si="6"/>
        <v>#DIV/0!</v>
      </c>
      <c r="U938" s="89" t="str">
        <f t="shared" si="25"/>
        <v>#DIV/0!</v>
      </c>
      <c r="V938" s="89" t="str">
        <f t="shared" si="24"/>
        <v>#DIV/0!</v>
      </c>
      <c r="W938" s="89" t="str">
        <f t="shared" si="9"/>
        <v>#DIV/0!</v>
      </c>
      <c r="X938" s="89"/>
      <c r="Y938" s="89"/>
      <c r="Z938" s="89"/>
      <c r="AA938" s="89"/>
      <c r="AB938" s="89"/>
      <c r="AC938" s="89"/>
      <c r="AD938" s="89"/>
      <c r="AE938" s="89"/>
      <c r="AF938" s="89"/>
      <c r="AG938" s="89"/>
      <c r="AH938" s="89"/>
    </row>
    <row r="939">
      <c r="A939" s="8" t="s">
        <v>1077</v>
      </c>
      <c r="B939" s="97"/>
      <c r="C939" s="8"/>
      <c r="D939" s="89" t="str">
        <f t="shared" si="1"/>
        <v/>
      </c>
      <c r="E939" s="89" t="str">
        <f t="shared" si="2"/>
        <v>OT Hours</v>
      </c>
      <c r="F939" s="89" t="str">
        <f>IFERROR(VLOOKUP(C939,'Employees List'!$B$1:$G$999,2,0),"")</f>
        <v/>
      </c>
      <c r="G939" s="89" t="str">
        <f t="shared" si="23"/>
        <v>#DIV/0!</v>
      </c>
      <c r="H939" s="98"/>
      <c r="I939" s="89" t="str">
        <f>IFERROR(VLOOKUP(F939,'Employees List'!$C:$F,2,0),"")</f>
        <v/>
      </c>
      <c r="J939" s="93" t="str">
        <f>IFERROR(VLOOKUP(C939,'Employees List'!$B$2:$G$991,5,0),"")</f>
        <v/>
      </c>
      <c r="K939" s="95" t="str">
        <f>IFERROR(VLOOKUP(F939,'Employees List'!$C$1:$AB$991,5,0),"")</f>
        <v/>
      </c>
      <c r="L939" s="91">
        <f t="shared" si="3"/>
        <v>0</v>
      </c>
      <c r="M939" s="91">
        <f t="shared" si="4"/>
        <v>0</v>
      </c>
      <c r="N939" s="89" t="str">
        <f>IFERROR(VLOOKUP(B939,'Employees List'!$A$2:$H$991,8,0),"")</f>
        <v/>
      </c>
      <c r="O939" s="89" t="str">
        <f>IFERROR(VLOOKUP(D939,'Daily Attendance Report 24-25'!A903:BP999,5,0),"")</f>
        <v/>
      </c>
      <c r="P939" s="89" t="str">
        <f>IFERROR(VLOOKUP(E939,'Daily Attendance Report 24-25'!$A$1:$BO$617,5,0),"")</f>
        <v/>
      </c>
      <c r="Q939" s="89"/>
      <c r="R939" s="89"/>
      <c r="S939" s="89" t="str">
        <f t="shared" si="17"/>
        <v>#DIV/0!</v>
      </c>
      <c r="T939" s="89" t="str">
        <f t="shared" si="6"/>
        <v>#DIV/0!</v>
      </c>
      <c r="U939" s="89" t="str">
        <f t="shared" si="25"/>
        <v>#DIV/0!</v>
      </c>
      <c r="V939" s="89" t="str">
        <f t="shared" si="24"/>
        <v>#DIV/0!</v>
      </c>
      <c r="W939" s="89" t="str">
        <f t="shared" si="9"/>
        <v>#DIV/0!</v>
      </c>
      <c r="X939" s="89"/>
      <c r="Y939" s="89"/>
      <c r="Z939" s="89"/>
      <c r="AA939" s="89"/>
      <c r="AB939" s="89"/>
      <c r="AC939" s="89"/>
      <c r="AD939" s="89"/>
      <c r="AE939" s="89"/>
      <c r="AF939" s="89"/>
      <c r="AG939" s="89"/>
      <c r="AH939" s="89"/>
    </row>
    <row r="940">
      <c r="A940" s="8" t="s">
        <v>1078</v>
      </c>
      <c r="B940" s="97"/>
      <c r="C940" s="8"/>
      <c r="D940" s="89" t="str">
        <f t="shared" si="1"/>
        <v/>
      </c>
      <c r="E940" s="89" t="str">
        <f t="shared" si="2"/>
        <v>OT Hours</v>
      </c>
      <c r="F940" s="89" t="str">
        <f>IFERROR(VLOOKUP(C940,'Employees List'!$B$1:$G$999,2,0),"")</f>
        <v/>
      </c>
      <c r="G940" s="89" t="str">
        <f t="shared" si="23"/>
        <v>#DIV/0!</v>
      </c>
      <c r="H940" s="98"/>
      <c r="I940" s="89" t="str">
        <f>IFERROR(VLOOKUP(F940,'Employees List'!$C:$F,2,0),"")</f>
        <v/>
      </c>
      <c r="J940" s="93" t="str">
        <f>IFERROR(VLOOKUP(C940,'Employees List'!$B$2:$G$991,5,0),"")</f>
        <v/>
      </c>
      <c r="K940" s="95" t="str">
        <f>IFERROR(VLOOKUP(F940,'Employees List'!$C$1:$AB$991,5,0),"")</f>
        <v/>
      </c>
      <c r="L940" s="91">
        <f t="shared" si="3"/>
        <v>0</v>
      </c>
      <c r="M940" s="91">
        <f t="shared" si="4"/>
        <v>0</v>
      </c>
      <c r="N940" s="89" t="str">
        <f>IFERROR(VLOOKUP(B940,'Employees List'!$A$2:$H$991,8,0),"")</f>
        <v/>
      </c>
      <c r="O940" s="89" t="str">
        <f>IFERROR(VLOOKUP(D940,'Daily Attendance Report 24-25'!A904:BP999,5,0),"")</f>
        <v/>
      </c>
      <c r="P940" s="89" t="str">
        <f>IFERROR(VLOOKUP(E940,'Daily Attendance Report 24-25'!$A$1:$BO$617,5,0),"")</f>
        <v/>
      </c>
      <c r="Q940" s="89"/>
      <c r="R940" s="89"/>
      <c r="S940" s="89" t="str">
        <f t="shared" si="17"/>
        <v>#DIV/0!</v>
      </c>
      <c r="T940" s="89" t="str">
        <f t="shared" si="6"/>
        <v>#DIV/0!</v>
      </c>
      <c r="U940" s="89" t="str">
        <f t="shared" si="25"/>
        <v>#DIV/0!</v>
      </c>
      <c r="V940" s="89" t="str">
        <f t="shared" si="24"/>
        <v>#DIV/0!</v>
      </c>
      <c r="W940" s="89" t="str">
        <f t="shared" si="9"/>
        <v>#DIV/0!</v>
      </c>
      <c r="X940" s="89"/>
      <c r="Y940" s="89"/>
      <c r="Z940" s="89"/>
      <c r="AA940" s="89"/>
      <c r="AB940" s="89"/>
      <c r="AC940" s="89"/>
      <c r="AD940" s="89"/>
      <c r="AE940" s="89"/>
      <c r="AF940" s="89"/>
      <c r="AG940" s="89"/>
      <c r="AH940" s="89"/>
    </row>
    <row r="941">
      <c r="A941" s="8" t="s">
        <v>1079</v>
      </c>
      <c r="B941" s="97"/>
      <c r="C941" s="8"/>
      <c r="D941" s="89" t="str">
        <f t="shared" si="1"/>
        <v/>
      </c>
      <c r="E941" s="89" t="str">
        <f t="shared" si="2"/>
        <v>OT Hours</v>
      </c>
      <c r="F941" s="89" t="str">
        <f>IFERROR(VLOOKUP(C941,'Employees List'!$B$1:$G$999,2,0),"")</f>
        <v/>
      </c>
      <c r="G941" s="89" t="str">
        <f t="shared" si="23"/>
        <v>#DIV/0!</v>
      </c>
      <c r="H941" s="98"/>
      <c r="I941" s="89" t="str">
        <f>IFERROR(VLOOKUP(F941,'Employees List'!$C:$F,2,0),"")</f>
        <v/>
      </c>
      <c r="J941" s="93" t="str">
        <f>IFERROR(VLOOKUP(C941,'Employees List'!$B$2:$G$991,5,0),"")</f>
        <v/>
      </c>
      <c r="K941" s="95" t="str">
        <f>IFERROR(VLOOKUP(F941,'Employees List'!$C$1:$AB$991,5,0),"")</f>
        <v/>
      </c>
      <c r="L941" s="91">
        <f t="shared" si="3"/>
        <v>0</v>
      </c>
      <c r="M941" s="91">
        <f t="shared" si="4"/>
        <v>0</v>
      </c>
      <c r="N941" s="89" t="str">
        <f>IFERROR(VLOOKUP(B941,'Employees List'!$A$2:$H$991,8,0),"")</f>
        <v/>
      </c>
      <c r="O941" s="89" t="str">
        <f>IFERROR(VLOOKUP(D941,'Daily Attendance Report 24-25'!A905:BP999,5,0),"")</f>
        <v/>
      </c>
      <c r="P941" s="89" t="str">
        <f>IFERROR(VLOOKUP(E941,'Daily Attendance Report 24-25'!$A$1:$BO$617,5,0),"")</f>
        <v/>
      </c>
      <c r="Q941" s="89"/>
      <c r="R941" s="89"/>
      <c r="S941" s="89" t="str">
        <f t="shared" si="17"/>
        <v>#DIV/0!</v>
      </c>
      <c r="T941" s="89" t="str">
        <f t="shared" si="6"/>
        <v>#DIV/0!</v>
      </c>
      <c r="U941" s="89" t="str">
        <f t="shared" si="25"/>
        <v>#DIV/0!</v>
      </c>
      <c r="V941" s="89" t="str">
        <f t="shared" si="24"/>
        <v>#DIV/0!</v>
      </c>
      <c r="W941" s="89" t="str">
        <f t="shared" si="9"/>
        <v>#DIV/0!</v>
      </c>
      <c r="X941" s="89"/>
      <c r="Y941" s="89"/>
      <c r="Z941" s="89"/>
      <c r="AA941" s="89"/>
      <c r="AB941" s="89"/>
      <c r="AC941" s="89"/>
      <c r="AD941" s="89"/>
      <c r="AE941" s="89"/>
      <c r="AF941" s="89"/>
      <c r="AG941" s="89"/>
      <c r="AH941" s="89"/>
    </row>
    <row r="942">
      <c r="A942" s="8" t="s">
        <v>1080</v>
      </c>
      <c r="B942" s="97"/>
      <c r="C942" s="8"/>
      <c r="D942" s="89" t="str">
        <f t="shared" si="1"/>
        <v/>
      </c>
      <c r="E942" s="89" t="str">
        <f t="shared" si="2"/>
        <v>OT Hours</v>
      </c>
      <c r="F942" s="89" t="str">
        <f>IFERROR(VLOOKUP(C942,'Employees List'!$B$1:$G$999,2,0),"")</f>
        <v/>
      </c>
      <c r="G942" s="89" t="str">
        <f t="shared" si="23"/>
        <v>#DIV/0!</v>
      </c>
      <c r="H942" s="98"/>
      <c r="I942" s="89" t="str">
        <f>IFERROR(VLOOKUP(F942,'Employees List'!$C:$F,2,0),"")</f>
        <v/>
      </c>
      <c r="J942" s="93" t="str">
        <f>IFERROR(VLOOKUP(C942,'Employees List'!$B$2:$G$991,5,0),"")</f>
        <v/>
      </c>
      <c r="K942" s="95" t="str">
        <f>IFERROR(VLOOKUP(F942,'Employees List'!$C$1:$AB$991,5,0),"")</f>
        <v/>
      </c>
      <c r="L942" s="91">
        <f t="shared" si="3"/>
        <v>0</v>
      </c>
      <c r="M942" s="91">
        <f t="shared" si="4"/>
        <v>0</v>
      </c>
      <c r="N942" s="89" t="str">
        <f>IFERROR(VLOOKUP(B942,'Employees List'!$A$2:$H$991,8,0),"")</f>
        <v/>
      </c>
      <c r="O942" s="89" t="str">
        <f>IFERROR(VLOOKUP(D942,'Daily Attendance Report 24-25'!A906:BP999,5,0),"")</f>
        <v/>
      </c>
      <c r="P942" s="89" t="str">
        <f>IFERROR(VLOOKUP(E942,'Daily Attendance Report 24-25'!$A$1:$BO$617,5,0),"")</f>
        <v/>
      </c>
      <c r="Q942" s="89"/>
      <c r="R942" s="89"/>
      <c r="S942" s="89" t="str">
        <f t="shared" si="17"/>
        <v>#DIV/0!</v>
      </c>
      <c r="T942" s="89" t="str">
        <f t="shared" si="6"/>
        <v>#DIV/0!</v>
      </c>
      <c r="U942" s="89" t="str">
        <f t="shared" si="25"/>
        <v>#DIV/0!</v>
      </c>
      <c r="V942" s="89" t="str">
        <f t="shared" si="24"/>
        <v>#DIV/0!</v>
      </c>
      <c r="W942" s="89" t="str">
        <f t="shared" si="9"/>
        <v>#DIV/0!</v>
      </c>
      <c r="X942" s="89"/>
      <c r="Y942" s="89"/>
      <c r="Z942" s="89"/>
      <c r="AA942" s="89"/>
      <c r="AB942" s="89"/>
      <c r="AC942" s="89"/>
      <c r="AD942" s="89"/>
      <c r="AE942" s="89"/>
      <c r="AF942" s="89"/>
      <c r="AG942" s="89"/>
      <c r="AH942" s="89"/>
    </row>
    <row r="943">
      <c r="A943" s="8" t="s">
        <v>1081</v>
      </c>
      <c r="B943" s="97"/>
      <c r="C943" s="8"/>
      <c r="D943" s="89" t="str">
        <f t="shared" si="1"/>
        <v/>
      </c>
      <c r="E943" s="89" t="str">
        <f t="shared" si="2"/>
        <v>OT Hours</v>
      </c>
      <c r="F943" s="89" t="str">
        <f>IFERROR(VLOOKUP(C943,'Employees List'!$B$1:$G$999,2,0),"")</f>
        <v/>
      </c>
      <c r="G943" s="89" t="str">
        <f t="shared" si="23"/>
        <v>#DIV/0!</v>
      </c>
      <c r="H943" s="98"/>
      <c r="I943" s="89" t="str">
        <f>IFERROR(VLOOKUP(F943,'Employees List'!$C:$F,2,0),"")</f>
        <v/>
      </c>
      <c r="J943" s="93" t="str">
        <f>IFERROR(VLOOKUP(C943,'Employees List'!$B$2:$G$991,5,0),"")</f>
        <v/>
      </c>
      <c r="K943" s="95" t="str">
        <f>IFERROR(VLOOKUP(F943,'Employees List'!$C$1:$AB$991,5,0),"")</f>
        <v/>
      </c>
      <c r="L943" s="91">
        <f t="shared" si="3"/>
        <v>0</v>
      </c>
      <c r="M943" s="91">
        <f t="shared" si="4"/>
        <v>0</v>
      </c>
      <c r="N943" s="89" t="str">
        <f>IFERROR(VLOOKUP(B943,'Employees List'!$A$2:$H$991,8,0),"")</f>
        <v/>
      </c>
      <c r="O943" s="89" t="str">
        <f>IFERROR(VLOOKUP(D943,'Daily Attendance Report 24-25'!A907:BP999,5,0),"")</f>
        <v/>
      </c>
      <c r="P943" s="89" t="str">
        <f>IFERROR(VLOOKUP(E943,'Daily Attendance Report 24-25'!$A$1:$BO$617,5,0),"")</f>
        <v/>
      </c>
      <c r="Q943" s="89"/>
      <c r="R943" s="89"/>
      <c r="S943" s="89" t="str">
        <f t="shared" si="17"/>
        <v>#DIV/0!</v>
      </c>
      <c r="T943" s="89" t="str">
        <f t="shared" si="6"/>
        <v>#DIV/0!</v>
      </c>
      <c r="U943" s="89" t="str">
        <f t="shared" si="25"/>
        <v>#DIV/0!</v>
      </c>
      <c r="V943" s="89" t="str">
        <f t="shared" si="24"/>
        <v>#DIV/0!</v>
      </c>
      <c r="W943" s="89" t="str">
        <f t="shared" si="9"/>
        <v>#DIV/0!</v>
      </c>
      <c r="X943" s="89"/>
      <c r="Y943" s="89"/>
      <c r="Z943" s="89"/>
      <c r="AA943" s="89"/>
      <c r="AB943" s="89"/>
      <c r="AC943" s="89"/>
      <c r="AD943" s="89"/>
      <c r="AE943" s="89"/>
      <c r="AF943" s="89"/>
      <c r="AG943" s="89"/>
      <c r="AH943" s="89"/>
    </row>
    <row r="944">
      <c r="A944" s="8" t="s">
        <v>1082</v>
      </c>
      <c r="B944" s="97"/>
      <c r="C944" s="8"/>
      <c r="D944" s="89" t="str">
        <f t="shared" si="1"/>
        <v/>
      </c>
      <c r="E944" s="89" t="str">
        <f t="shared" si="2"/>
        <v>OT Hours</v>
      </c>
      <c r="F944" s="89" t="str">
        <f>IFERROR(VLOOKUP(C944,'Employees List'!$B$1:$G$999,2,0),"")</f>
        <v/>
      </c>
      <c r="G944" s="89" t="str">
        <f t="shared" si="23"/>
        <v>#DIV/0!</v>
      </c>
      <c r="H944" s="98"/>
      <c r="I944" s="89" t="str">
        <f>IFERROR(VLOOKUP(F944,'Employees List'!$C:$F,2,0),"")</f>
        <v/>
      </c>
      <c r="J944" s="93" t="str">
        <f>IFERROR(VLOOKUP(C944,'Employees List'!$B$2:$G$991,5,0),"")</f>
        <v/>
      </c>
      <c r="K944" s="95" t="str">
        <f>IFERROR(VLOOKUP(F944,'Employees List'!$C$1:$AB$991,5,0),"")</f>
        <v/>
      </c>
      <c r="L944" s="91">
        <f t="shared" si="3"/>
        <v>0</v>
      </c>
      <c r="M944" s="91">
        <f t="shared" si="4"/>
        <v>0</v>
      </c>
      <c r="N944" s="89" t="str">
        <f>IFERROR(VLOOKUP(B944,'Employees List'!$A$2:$H$991,8,0),"")</f>
        <v/>
      </c>
      <c r="O944" s="89" t="str">
        <f>IFERROR(VLOOKUP(D944,'Daily Attendance Report 24-25'!A908:BP999,5,0),"")</f>
        <v/>
      </c>
      <c r="P944" s="89" t="str">
        <f>IFERROR(VLOOKUP(E944,'Daily Attendance Report 24-25'!$A$1:$BO$617,5,0),"")</f>
        <v/>
      </c>
      <c r="Q944" s="89"/>
      <c r="R944" s="89"/>
      <c r="S944" s="89" t="str">
        <f t="shared" si="17"/>
        <v>#DIV/0!</v>
      </c>
      <c r="T944" s="89" t="str">
        <f t="shared" si="6"/>
        <v>#DIV/0!</v>
      </c>
      <c r="U944" s="89" t="str">
        <f t="shared" si="25"/>
        <v>#DIV/0!</v>
      </c>
      <c r="V944" s="89" t="str">
        <f t="shared" si="24"/>
        <v>#DIV/0!</v>
      </c>
      <c r="W944" s="89" t="str">
        <f t="shared" si="9"/>
        <v>#DIV/0!</v>
      </c>
      <c r="X944" s="89"/>
      <c r="Y944" s="89"/>
      <c r="Z944" s="89"/>
      <c r="AA944" s="89"/>
      <c r="AB944" s="89"/>
      <c r="AC944" s="89"/>
      <c r="AD944" s="89"/>
      <c r="AE944" s="89"/>
      <c r="AF944" s="89"/>
      <c r="AG944" s="89"/>
      <c r="AH944" s="89"/>
    </row>
    <row r="945">
      <c r="A945" s="8" t="s">
        <v>1083</v>
      </c>
      <c r="B945" s="97"/>
      <c r="C945" s="8"/>
      <c r="D945" s="89" t="str">
        <f t="shared" si="1"/>
        <v/>
      </c>
      <c r="E945" s="89" t="str">
        <f t="shared" si="2"/>
        <v>OT Hours</v>
      </c>
      <c r="F945" s="89" t="str">
        <f>IFERROR(VLOOKUP(C945,'Employees List'!$B$1:$G$999,2,0),"")</f>
        <v/>
      </c>
      <c r="G945" s="89" t="str">
        <f t="shared" si="23"/>
        <v>#DIV/0!</v>
      </c>
      <c r="H945" s="98"/>
      <c r="I945" s="89" t="str">
        <f>IFERROR(VLOOKUP(F945,'Employees List'!$C:$F,2,0),"")</f>
        <v/>
      </c>
      <c r="J945" s="93" t="str">
        <f>IFERROR(VLOOKUP(C945,'Employees List'!$B$2:$G$991,5,0),"")</f>
        <v/>
      </c>
      <c r="K945" s="95" t="str">
        <f>IFERROR(VLOOKUP(F945,'Employees List'!$C$1:$AB$991,5,0),"")</f>
        <v/>
      </c>
      <c r="L945" s="91">
        <f t="shared" si="3"/>
        <v>0</v>
      </c>
      <c r="M945" s="91">
        <f t="shared" si="4"/>
        <v>0</v>
      </c>
      <c r="N945" s="89" t="str">
        <f>IFERROR(VLOOKUP(B945,'Employees List'!$A$2:$H$991,8,0),"")</f>
        <v/>
      </c>
      <c r="O945" s="89" t="str">
        <f>IFERROR(VLOOKUP(D945,'Daily Attendance Report 24-25'!A909:BP999,5,0),"")</f>
        <v/>
      </c>
      <c r="P945" s="89" t="str">
        <f>IFERROR(VLOOKUP(E945,'Daily Attendance Report 24-25'!$A$1:$BO$617,5,0),"")</f>
        <v/>
      </c>
      <c r="Q945" s="89"/>
      <c r="R945" s="89"/>
      <c r="S945" s="89" t="str">
        <f t="shared" si="17"/>
        <v>#DIV/0!</v>
      </c>
      <c r="T945" s="89" t="str">
        <f t="shared" si="6"/>
        <v>#DIV/0!</v>
      </c>
      <c r="U945" s="89" t="str">
        <f t="shared" si="25"/>
        <v>#DIV/0!</v>
      </c>
      <c r="V945" s="89" t="str">
        <f t="shared" si="24"/>
        <v>#DIV/0!</v>
      </c>
      <c r="W945" s="89" t="str">
        <f t="shared" si="9"/>
        <v>#DIV/0!</v>
      </c>
      <c r="X945" s="89"/>
      <c r="Y945" s="89"/>
      <c r="Z945" s="89"/>
      <c r="AA945" s="89"/>
      <c r="AB945" s="89"/>
      <c r="AC945" s="89"/>
      <c r="AD945" s="89"/>
      <c r="AE945" s="89"/>
      <c r="AF945" s="89"/>
      <c r="AG945" s="89"/>
      <c r="AH945" s="89"/>
    </row>
    <row r="946">
      <c r="A946" s="8" t="s">
        <v>1084</v>
      </c>
      <c r="B946" s="97"/>
      <c r="C946" s="8"/>
      <c r="D946" s="89" t="str">
        <f t="shared" si="1"/>
        <v/>
      </c>
      <c r="E946" s="89" t="str">
        <f t="shared" si="2"/>
        <v>OT Hours</v>
      </c>
      <c r="F946" s="89" t="str">
        <f>IFERROR(VLOOKUP(C946,'Employees List'!$B$1:$G$999,2,0),"")</f>
        <v/>
      </c>
      <c r="G946" s="89" t="str">
        <f t="shared" si="23"/>
        <v>#DIV/0!</v>
      </c>
      <c r="H946" s="98"/>
      <c r="I946" s="89" t="str">
        <f>IFERROR(VLOOKUP(F946,'Employees List'!$C:$F,2,0),"")</f>
        <v/>
      </c>
      <c r="J946" s="93" t="str">
        <f>IFERROR(VLOOKUP(C946,'Employees List'!$B$2:$G$991,5,0),"")</f>
        <v/>
      </c>
      <c r="K946" s="95" t="str">
        <f>IFERROR(VLOOKUP(F946,'Employees List'!$C$1:$AB$991,5,0),"")</f>
        <v/>
      </c>
      <c r="L946" s="91">
        <f t="shared" si="3"/>
        <v>0</v>
      </c>
      <c r="M946" s="91">
        <f t="shared" si="4"/>
        <v>0</v>
      </c>
      <c r="N946" s="89" t="str">
        <f>IFERROR(VLOOKUP(B946,'Employees List'!$A$2:$H$991,8,0),"")</f>
        <v/>
      </c>
      <c r="O946" s="89" t="str">
        <f>IFERROR(VLOOKUP(D946,'Daily Attendance Report 24-25'!A910:BP999,5,0),"")</f>
        <v/>
      </c>
      <c r="P946" s="89" t="str">
        <f>IFERROR(VLOOKUP(E946,'Daily Attendance Report 24-25'!$A$1:$BO$617,5,0),"")</f>
        <v/>
      </c>
      <c r="Q946" s="89"/>
      <c r="R946" s="89"/>
      <c r="S946" s="89" t="str">
        <f t="shared" si="17"/>
        <v>#DIV/0!</v>
      </c>
      <c r="T946" s="89" t="str">
        <f t="shared" si="6"/>
        <v>#DIV/0!</v>
      </c>
      <c r="U946" s="89" t="str">
        <f t="shared" si="25"/>
        <v>#DIV/0!</v>
      </c>
      <c r="V946" s="89" t="str">
        <f t="shared" si="24"/>
        <v>#DIV/0!</v>
      </c>
      <c r="W946" s="89" t="str">
        <f t="shared" si="9"/>
        <v>#DIV/0!</v>
      </c>
      <c r="X946" s="89"/>
      <c r="Y946" s="89"/>
      <c r="Z946" s="89"/>
      <c r="AA946" s="89"/>
      <c r="AB946" s="89"/>
      <c r="AC946" s="89"/>
      <c r="AD946" s="89"/>
      <c r="AE946" s="89"/>
      <c r="AF946" s="89"/>
      <c r="AG946" s="89"/>
      <c r="AH946" s="89"/>
    </row>
    <row r="947">
      <c r="A947" s="8" t="s">
        <v>1085</v>
      </c>
      <c r="B947" s="97"/>
      <c r="C947" s="8"/>
      <c r="D947" s="89" t="str">
        <f t="shared" si="1"/>
        <v/>
      </c>
      <c r="E947" s="89" t="str">
        <f t="shared" si="2"/>
        <v>OT Hours</v>
      </c>
      <c r="F947" s="89" t="str">
        <f>IFERROR(VLOOKUP(C947,'Employees List'!$B$1:$G$999,2,0),"")</f>
        <v/>
      </c>
      <c r="G947" s="89" t="str">
        <f t="shared" si="23"/>
        <v>#DIV/0!</v>
      </c>
      <c r="H947" s="98"/>
      <c r="I947" s="89" t="str">
        <f>IFERROR(VLOOKUP(F947,'Employees List'!$C:$F,2,0),"")</f>
        <v/>
      </c>
      <c r="J947" s="93" t="str">
        <f>IFERROR(VLOOKUP(C947,'Employees List'!$B$2:$G$991,5,0),"")</f>
        <v/>
      </c>
      <c r="K947" s="95" t="str">
        <f>IFERROR(VLOOKUP(F947,'Employees List'!$C$1:$AB$991,5,0),"")</f>
        <v/>
      </c>
      <c r="L947" s="91">
        <f t="shared" si="3"/>
        <v>0</v>
      </c>
      <c r="M947" s="91">
        <f t="shared" si="4"/>
        <v>0</v>
      </c>
      <c r="N947" s="89" t="str">
        <f>IFERROR(VLOOKUP(B947,'Employees List'!$A$2:$H$991,8,0),"")</f>
        <v/>
      </c>
      <c r="O947" s="89" t="str">
        <f>IFERROR(VLOOKUP(D947,'Daily Attendance Report 24-25'!A911:BP999,5,0),"")</f>
        <v/>
      </c>
      <c r="P947" s="89" t="str">
        <f>IFERROR(VLOOKUP(E947,'Daily Attendance Report 24-25'!$A$1:$BO$617,5,0),"")</f>
        <v/>
      </c>
      <c r="Q947" s="89"/>
      <c r="R947" s="89"/>
      <c r="S947" s="89" t="str">
        <f t="shared" si="17"/>
        <v>#DIV/0!</v>
      </c>
      <c r="T947" s="89" t="str">
        <f t="shared" si="6"/>
        <v>#DIV/0!</v>
      </c>
      <c r="U947" s="89" t="str">
        <f t="shared" si="25"/>
        <v>#DIV/0!</v>
      </c>
      <c r="V947" s="89" t="str">
        <f t="shared" si="24"/>
        <v>#DIV/0!</v>
      </c>
      <c r="W947" s="89" t="str">
        <f t="shared" si="9"/>
        <v>#DIV/0!</v>
      </c>
      <c r="X947" s="89"/>
      <c r="Y947" s="89"/>
      <c r="Z947" s="89"/>
      <c r="AA947" s="89"/>
      <c r="AB947" s="89"/>
      <c r="AC947" s="89"/>
      <c r="AD947" s="89"/>
      <c r="AE947" s="89"/>
      <c r="AF947" s="89"/>
      <c r="AG947" s="89"/>
      <c r="AH947" s="89"/>
    </row>
    <row r="948">
      <c r="A948" s="8" t="s">
        <v>1086</v>
      </c>
      <c r="B948" s="97"/>
      <c r="C948" s="8"/>
      <c r="D948" s="89" t="str">
        <f t="shared" si="1"/>
        <v/>
      </c>
      <c r="E948" s="89" t="str">
        <f t="shared" si="2"/>
        <v>OT Hours</v>
      </c>
      <c r="F948" s="89" t="str">
        <f>IFERROR(VLOOKUP(C948,'Employees List'!$B$1:$G$999,2,0),"")</f>
        <v/>
      </c>
      <c r="G948" s="89" t="str">
        <f t="shared" si="23"/>
        <v>#DIV/0!</v>
      </c>
      <c r="H948" s="98"/>
      <c r="I948" s="89" t="str">
        <f>IFERROR(VLOOKUP(F948,'Employees List'!$C:$F,2,0),"")</f>
        <v/>
      </c>
      <c r="J948" s="93" t="str">
        <f>IFERROR(VLOOKUP(C948,'Employees List'!$B$2:$G$991,5,0),"")</f>
        <v/>
      </c>
      <c r="K948" s="95" t="str">
        <f>IFERROR(VLOOKUP(F948,'Employees List'!$C$1:$AB$991,5,0),"")</f>
        <v/>
      </c>
      <c r="L948" s="91">
        <f t="shared" si="3"/>
        <v>0</v>
      </c>
      <c r="M948" s="91">
        <f t="shared" si="4"/>
        <v>0</v>
      </c>
      <c r="N948" s="89" t="str">
        <f>IFERROR(VLOOKUP(B948,'Employees List'!$A$2:$H$991,8,0),"")</f>
        <v/>
      </c>
      <c r="O948" s="89" t="str">
        <f>IFERROR(VLOOKUP(D948,'Daily Attendance Report 24-25'!A912:BP999,5,0),"")</f>
        <v/>
      </c>
      <c r="P948" s="89" t="str">
        <f>IFERROR(VLOOKUP(E948,'Daily Attendance Report 24-25'!$A$1:$BO$617,5,0),"")</f>
        <v/>
      </c>
      <c r="Q948" s="89"/>
      <c r="R948" s="89"/>
      <c r="S948" s="89" t="str">
        <f t="shared" si="17"/>
        <v>#DIV/0!</v>
      </c>
      <c r="T948" s="89" t="str">
        <f t="shared" si="6"/>
        <v>#DIV/0!</v>
      </c>
      <c r="U948" s="89" t="str">
        <f t="shared" si="25"/>
        <v>#DIV/0!</v>
      </c>
      <c r="V948" s="89" t="str">
        <f t="shared" si="24"/>
        <v>#DIV/0!</v>
      </c>
      <c r="W948" s="89" t="str">
        <f t="shared" si="9"/>
        <v>#DIV/0!</v>
      </c>
      <c r="X948" s="89"/>
      <c r="Y948" s="89"/>
      <c r="Z948" s="89"/>
      <c r="AA948" s="89"/>
      <c r="AB948" s="89"/>
      <c r="AC948" s="89"/>
      <c r="AD948" s="89"/>
      <c r="AE948" s="89"/>
      <c r="AF948" s="89"/>
      <c r="AG948" s="89"/>
      <c r="AH948" s="89"/>
    </row>
    <row r="949">
      <c r="A949" s="8" t="s">
        <v>1087</v>
      </c>
      <c r="B949" s="97"/>
      <c r="C949" s="8"/>
      <c r="D949" s="89" t="str">
        <f t="shared" si="1"/>
        <v/>
      </c>
      <c r="E949" s="89" t="str">
        <f t="shared" si="2"/>
        <v>OT Hours</v>
      </c>
      <c r="F949" s="89" t="str">
        <f>IFERROR(VLOOKUP(C949,'Employees List'!$B$1:$G$999,2,0),"")</f>
        <v/>
      </c>
      <c r="G949" s="89" t="str">
        <f t="shared" si="23"/>
        <v>#DIV/0!</v>
      </c>
      <c r="H949" s="98"/>
      <c r="I949" s="89" t="str">
        <f>IFERROR(VLOOKUP(F949,'Employees List'!$C:$F,2,0),"")</f>
        <v/>
      </c>
      <c r="J949" s="93" t="str">
        <f>IFERROR(VLOOKUP(C949,'Employees List'!$B$2:$G$991,5,0),"")</f>
        <v/>
      </c>
      <c r="K949" s="95" t="str">
        <f>IFERROR(VLOOKUP(F949,'Employees List'!$C$1:$AB$991,5,0),"")</f>
        <v/>
      </c>
      <c r="L949" s="91">
        <f t="shared" si="3"/>
        <v>0</v>
      </c>
      <c r="M949" s="91">
        <f t="shared" si="4"/>
        <v>0</v>
      </c>
      <c r="N949" s="89" t="str">
        <f>IFERROR(VLOOKUP(B949,'Employees List'!$A$2:$H$991,8,0),"")</f>
        <v/>
      </c>
      <c r="O949" s="89" t="str">
        <f>IFERROR(VLOOKUP(D949,'Daily Attendance Report 24-25'!A913:BP999,5,0),"")</f>
        <v/>
      </c>
      <c r="P949" s="89" t="str">
        <f>IFERROR(VLOOKUP(E949,'Daily Attendance Report 24-25'!$A$1:$BO$617,5,0),"")</f>
        <v/>
      </c>
      <c r="Q949" s="89"/>
      <c r="R949" s="89"/>
      <c r="S949" s="89" t="str">
        <f t="shared" si="17"/>
        <v>#DIV/0!</v>
      </c>
      <c r="T949" s="89" t="str">
        <f t="shared" si="6"/>
        <v>#DIV/0!</v>
      </c>
      <c r="U949" s="89" t="str">
        <f t="shared" si="25"/>
        <v>#DIV/0!</v>
      </c>
      <c r="V949" s="89" t="str">
        <f t="shared" si="24"/>
        <v>#DIV/0!</v>
      </c>
      <c r="W949" s="89" t="str">
        <f t="shared" si="9"/>
        <v>#DIV/0!</v>
      </c>
      <c r="X949" s="89"/>
      <c r="Y949" s="89"/>
      <c r="Z949" s="89"/>
      <c r="AA949" s="89"/>
      <c r="AB949" s="89"/>
      <c r="AC949" s="89"/>
      <c r="AD949" s="89"/>
      <c r="AE949" s="89"/>
      <c r="AF949" s="89"/>
      <c r="AG949" s="89"/>
      <c r="AH949" s="89"/>
    </row>
    <row r="950">
      <c r="A950" s="8" t="s">
        <v>1088</v>
      </c>
      <c r="B950" s="97"/>
      <c r="C950" s="8"/>
      <c r="D950" s="89" t="str">
        <f t="shared" si="1"/>
        <v/>
      </c>
      <c r="E950" s="89" t="str">
        <f t="shared" si="2"/>
        <v>OT Hours</v>
      </c>
      <c r="F950" s="89" t="str">
        <f>IFERROR(VLOOKUP(C950,'Employees List'!$B$1:$G$999,2,0),"")</f>
        <v/>
      </c>
      <c r="G950" s="89" t="str">
        <f t="shared" si="23"/>
        <v>#DIV/0!</v>
      </c>
      <c r="H950" s="98"/>
      <c r="I950" s="89" t="str">
        <f>IFERROR(VLOOKUP(F950,'Employees List'!$C:$F,2,0),"")</f>
        <v/>
      </c>
      <c r="J950" s="93" t="str">
        <f>IFERROR(VLOOKUP(C950,'Employees List'!$B$2:$G$991,5,0),"")</f>
        <v/>
      </c>
      <c r="K950" s="95" t="str">
        <f>IFERROR(VLOOKUP(F950,'Employees List'!$C$1:$AB$991,5,0),"")</f>
        <v/>
      </c>
      <c r="L950" s="91">
        <f t="shared" si="3"/>
        <v>0</v>
      </c>
      <c r="M950" s="91">
        <f t="shared" si="4"/>
        <v>0</v>
      </c>
      <c r="N950" s="89" t="str">
        <f>IFERROR(VLOOKUP(B950,'Employees List'!$A$2:$H$991,8,0),"")</f>
        <v/>
      </c>
      <c r="O950" s="89" t="str">
        <f>IFERROR(VLOOKUP(D950,'Daily Attendance Report 24-25'!A914:BP999,5,0),"")</f>
        <v/>
      </c>
      <c r="P950" s="89" t="str">
        <f>IFERROR(VLOOKUP(E950,'Daily Attendance Report 24-25'!$A$1:$BO$617,5,0),"")</f>
        <v/>
      </c>
      <c r="Q950" s="89"/>
      <c r="R950" s="89"/>
      <c r="S950" s="89" t="str">
        <f t="shared" si="17"/>
        <v>#DIV/0!</v>
      </c>
      <c r="T950" s="89" t="str">
        <f t="shared" si="6"/>
        <v>#DIV/0!</v>
      </c>
      <c r="U950" s="89" t="str">
        <f t="shared" si="25"/>
        <v>#DIV/0!</v>
      </c>
      <c r="V950" s="89" t="str">
        <f t="shared" si="24"/>
        <v>#DIV/0!</v>
      </c>
      <c r="W950" s="89" t="str">
        <f t="shared" si="9"/>
        <v>#DIV/0!</v>
      </c>
      <c r="X950" s="89"/>
      <c r="Y950" s="89"/>
      <c r="Z950" s="89"/>
      <c r="AA950" s="89"/>
      <c r="AB950" s="89"/>
      <c r="AC950" s="89"/>
      <c r="AD950" s="89"/>
      <c r="AE950" s="89"/>
      <c r="AF950" s="89"/>
      <c r="AG950" s="89"/>
      <c r="AH950" s="89"/>
    </row>
    <row r="951">
      <c r="A951" s="8" t="s">
        <v>1089</v>
      </c>
      <c r="B951" s="97"/>
      <c r="C951" s="8"/>
      <c r="D951" s="89" t="str">
        <f t="shared" si="1"/>
        <v/>
      </c>
      <c r="E951" s="89" t="str">
        <f t="shared" si="2"/>
        <v>OT Hours</v>
      </c>
      <c r="F951" s="89" t="str">
        <f>IFERROR(VLOOKUP(C951,'Employees List'!$B$1:$G$999,2,0),"")</f>
        <v/>
      </c>
      <c r="G951" s="89" t="str">
        <f t="shared" si="23"/>
        <v>#DIV/0!</v>
      </c>
      <c r="H951" s="98"/>
      <c r="I951" s="89" t="str">
        <f>IFERROR(VLOOKUP(F951,'Employees List'!$C:$F,2,0),"")</f>
        <v/>
      </c>
      <c r="J951" s="93" t="str">
        <f>IFERROR(VLOOKUP(C951,'Employees List'!$B$2:$G$991,5,0),"")</f>
        <v/>
      </c>
      <c r="K951" s="95" t="str">
        <f>IFERROR(VLOOKUP(F951,'Employees List'!$C$1:$AB$991,5,0),"")</f>
        <v/>
      </c>
      <c r="L951" s="91">
        <f t="shared" si="3"/>
        <v>0</v>
      </c>
      <c r="M951" s="91">
        <f t="shared" si="4"/>
        <v>0</v>
      </c>
      <c r="N951" s="89" t="str">
        <f>IFERROR(VLOOKUP(B951,'Employees List'!$A$2:$H$991,8,0),"")</f>
        <v/>
      </c>
      <c r="O951" s="89" t="str">
        <f>IFERROR(VLOOKUP(D951,'Daily Attendance Report 24-25'!A915:BP999,5,0),"")</f>
        <v/>
      </c>
      <c r="P951" s="89" t="str">
        <f>IFERROR(VLOOKUP(E951,'Daily Attendance Report 24-25'!$A$1:$BO$617,5,0),"")</f>
        <v/>
      </c>
      <c r="Q951" s="89"/>
      <c r="R951" s="89"/>
      <c r="S951" s="89" t="str">
        <f t="shared" si="17"/>
        <v>#DIV/0!</v>
      </c>
      <c r="T951" s="89" t="str">
        <f t="shared" si="6"/>
        <v>#DIV/0!</v>
      </c>
      <c r="U951" s="89" t="str">
        <f t="shared" si="25"/>
        <v>#DIV/0!</v>
      </c>
      <c r="V951" s="89" t="str">
        <f t="shared" si="24"/>
        <v>#DIV/0!</v>
      </c>
      <c r="W951" s="89" t="str">
        <f t="shared" si="9"/>
        <v>#DIV/0!</v>
      </c>
      <c r="X951" s="89"/>
      <c r="Y951" s="89"/>
      <c r="Z951" s="89"/>
      <c r="AA951" s="89"/>
      <c r="AB951" s="89"/>
      <c r="AC951" s="89"/>
      <c r="AD951" s="89"/>
      <c r="AE951" s="89"/>
      <c r="AF951" s="89"/>
      <c r="AG951" s="89"/>
      <c r="AH951" s="89"/>
    </row>
    <row r="952">
      <c r="A952" s="8" t="s">
        <v>1090</v>
      </c>
      <c r="B952" s="97"/>
      <c r="C952" s="8"/>
      <c r="D952" s="89" t="str">
        <f t="shared" si="1"/>
        <v/>
      </c>
      <c r="E952" s="89" t="str">
        <f t="shared" si="2"/>
        <v>OT Hours</v>
      </c>
      <c r="F952" s="89" t="str">
        <f>IFERROR(VLOOKUP(C952,'Employees List'!$B$1:$G$999,2,0),"")</f>
        <v/>
      </c>
      <c r="G952" s="89" t="str">
        <f t="shared" si="23"/>
        <v>#DIV/0!</v>
      </c>
      <c r="H952" s="98"/>
      <c r="I952" s="89" t="str">
        <f>IFERROR(VLOOKUP(F952,'Employees List'!$C:$F,2,0),"")</f>
        <v/>
      </c>
      <c r="J952" s="93" t="str">
        <f>IFERROR(VLOOKUP(C952,'Employees List'!$B$2:$G$991,5,0),"")</f>
        <v/>
      </c>
      <c r="K952" s="95" t="str">
        <f>IFERROR(VLOOKUP(F952,'Employees List'!$C$1:$AB$991,5,0),"")</f>
        <v/>
      </c>
      <c r="L952" s="91">
        <f t="shared" si="3"/>
        <v>0</v>
      </c>
      <c r="M952" s="91">
        <f t="shared" si="4"/>
        <v>0</v>
      </c>
      <c r="N952" s="89" t="str">
        <f>IFERROR(VLOOKUP(B952,'Employees List'!$A$2:$H$991,8,0),"")</f>
        <v/>
      </c>
      <c r="O952" s="89" t="str">
        <f>IFERROR(VLOOKUP(D952,'Daily Attendance Report 24-25'!A916:BP999,5,0),"")</f>
        <v/>
      </c>
      <c r="P952" s="89" t="str">
        <f>IFERROR(VLOOKUP(E952,'Daily Attendance Report 24-25'!$A$1:$BO$617,5,0),"")</f>
        <v/>
      </c>
      <c r="Q952" s="89"/>
      <c r="R952" s="89"/>
      <c r="S952" s="89" t="str">
        <f t="shared" si="17"/>
        <v>#DIV/0!</v>
      </c>
      <c r="T952" s="89" t="str">
        <f t="shared" si="6"/>
        <v>#DIV/0!</v>
      </c>
      <c r="U952" s="89" t="str">
        <f t="shared" si="25"/>
        <v>#DIV/0!</v>
      </c>
      <c r="V952" s="89" t="str">
        <f t="shared" si="24"/>
        <v>#DIV/0!</v>
      </c>
      <c r="W952" s="89" t="str">
        <f t="shared" si="9"/>
        <v>#DIV/0!</v>
      </c>
      <c r="X952" s="89"/>
      <c r="Y952" s="89"/>
      <c r="Z952" s="89"/>
      <c r="AA952" s="89"/>
      <c r="AB952" s="89"/>
      <c r="AC952" s="89"/>
      <c r="AD952" s="89"/>
      <c r="AE952" s="89"/>
      <c r="AF952" s="89"/>
      <c r="AG952" s="89"/>
      <c r="AH952" s="89"/>
    </row>
    <row r="953">
      <c r="A953" s="8" t="s">
        <v>1091</v>
      </c>
      <c r="B953" s="97"/>
      <c r="C953" s="8"/>
      <c r="D953" s="89" t="str">
        <f t="shared" si="1"/>
        <v/>
      </c>
      <c r="E953" s="89" t="str">
        <f t="shared" si="2"/>
        <v>OT Hours</v>
      </c>
      <c r="F953" s="89" t="str">
        <f>IFERROR(VLOOKUP(C953,'Employees List'!$B$1:$G$999,2,0),"")</f>
        <v/>
      </c>
      <c r="G953" s="89" t="str">
        <f t="shared" si="23"/>
        <v>#DIV/0!</v>
      </c>
      <c r="H953" s="98"/>
      <c r="I953" s="89" t="str">
        <f>IFERROR(VLOOKUP(F953,'Employees List'!$C:$F,2,0),"")</f>
        <v/>
      </c>
      <c r="J953" s="93" t="str">
        <f>IFERROR(VLOOKUP(C953,'Employees List'!$B$2:$G$991,5,0),"")</f>
        <v/>
      </c>
      <c r="K953" s="95" t="str">
        <f>IFERROR(VLOOKUP(F953,'Employees List'!$C$1:$AB$991,5,0),"")</f>
        <v/>
      </c>
      <c r="L953" s="91">
        <f t="shared" si="3"/>
        <v>0</v>
      </c>
      <c r="M953" s="91">
        <f t="shared" si="4"/>
        <v>0</v>
      </c>
      <c r="N953" s="89" t="str">
        <f>IFERROR(VLOOKUP(B953,'Employees List'!$A$2:$H$991,8,0),"")</f>
        <v/>
      </c>
      <c r="O953" s="89" t="str">
        <f>IFERROR(VLOOKUP(D953,'Daily Attendance Report 24-25'!A917:BP999,5,0),"")</f>
        <v/>
      </c>
      <c r="P953" s="89" t="str">
        <f>IFERROR(VLOOKUP(E953,'Daily Attendance Report 24-25'!$A$1:$BO$617,5,0),"")</f>
        <v/>
      </c>
      <c r="Q953" s="89"/>
      <c r="R953" s="89"/>
      <c r="S953" s="89" t="str">
        <f t="shared" si="17"/>
        <v>#DIV/0!</v>
      </c>
      <c r="T953" s="89" t="str">
        <f t="shared" si="6"/>
        <v>#DIV/0!</v>
      </c>
      <c r="U953" s="89" t="str">
        <f t="shared" si="25"/>
        <v>#DIV/0!</v>
      </c>
      <c r="V953" s="89" t="str">
        <f t="shared" si="24"/>
        <v>#DIV/0!</v>
      </c>
      <c r="W953" s="89" t="str">
        <f t="shared" si="9"/>
        <v>#DIV/0!</v>
      </c>
      <c r="X953" s="89"/>
      <c r="Y953" s="89"/>
      <c r="Z953" s="89"/>
      <c r="AA953" s="89"/>
      <c r="AB953" s="89"/>
      <c r="AC953" s="89"/>
      <c r="AD953" s="89"/>
      <c r="AE953" s="89"/>
      <c r="AF953" s="89"/>
      <c r="AG953" s="89"/>
      <c r="AH953" s="89"/>
    </row>
    <row r="954">
      <c r="A954" s="8" t="s">
        <v>1092</v>
      </c>
      <c r="B954" s="97"/>
      <c r="C954" s="8"/>
      <c r="D954" s="89" t="str">
        <f t="shared" si="1"/>
        <v/>
      </c>
      <c r="E954" s="89" t="str">
        <f t="shared" si="2"/>
        <v>OT Hours</v>
      </c>
      <c r="F954" s="89" t="str">
        <f>IFERROR(VLOOKUP(C954,'Employees List'!$B$1:$G$999,2,0),"")</f>
        <v/>
      </c>
      <c r="G954" s="89" t="str">
        <f t="shared" si="23"/>
        <v>#DIV/0!</v>
      </c>
      <c r="H954" s="98"/>
      <c r="I954" s="89" t="str">
        <f>IFERROR(VLOOKUP(F954,'Employees List'!$C:$F,2,0),"")</f>
        <v/>
      </c>
      <c r="J954" s="93" t="str">
        <f>IFERROR(VLOOKUP(C954,'Employees List'!$B$2:$G$991,5,0),"")</f>
        <v/>
      </c>
      <c r="K954" s="95" t="str">
        <f>IFERROR(VLOOKUP(F954,'Employees List'!$C$1:$AB$991,5,0),"")</f>
        <v/>
      </c>
      <c r="L954" s="91">
        <f t="shared" si="3"/>
        <v>0</v>
      </c>
      <c r="M954" s="91">
        <f t="shared" si="4"/>
        <v>0</v>
      </c>
      <c r="N954" s="89" t="str">
        <f>IFERROR(VLOOKUP(B954,'Employees List'!$A$2:$H$991,8,0),"")</f>
        <v/>
      </c>
      <c r="O954" s="89" t="str">
        <f>IFERROR(VLOOKUP(D954,'Daily Attendance Report 24-25'!A918:BP999,5,0),"")</f>
        <v/>
      </c>
      <c r="P954" s="89" t="str">
        <f>IFERROR(VLOOKUP(E954,'Daily Attendance Report 24-25'!$A$1:$BO$617,5,0),"")</f>
        <v/>
      </c>
      <c r="Q954" s="89"/>
      <c r="R954" s="89"/>
      <c r="S954" s="89" t="str">
        <f t="shared" si="17"/>
        <v>#DIV/0!</v>
      </c>
      <c r="T954" s="89" t="str">
        <f t="shared" si="6"/>
        <v>#DIV/0!</v>
      </c>
      <c r="U954" s="89" t="str">
        <f t="shared" si="25"/>
        <v>#DIV/0!</v>
      </c>
      <c r="V954" s="89" t="str">
        <f t="shared" si="24"/>
        <v>#DIV/0!</v>
      </c>
      <c r="W954" s="89" t="str">
        <f t="shared" si="9"/>
        <v>#DIV/0!</v>
      </c>
      <c r="X954" s="89"/>
      <c r="Y954" s="89"/>
      <c r="Z954" s="89"/>
      <c r="AA954" s="89"/>
      <c r="AB954" s="89"/>
      <c r="AC954" s="89"/>
      <c r="AD954" s="89"/>
      <c r="AE954" s="89"/>
      <c r="AF954" s="89"/>
      <c r="AG954" s="89"/>
      <c r="AH954" s="89"/>
    </row>
    <row r="955">
      <c r="A955" s="8" t="s">
        <v>1093</v>
      </c>
      <c r="B955" s="97"/>
      <c r="C955" s="8"/>
      <c r="D955" s="89" t="str">
        <f t="shared" si="1"/>
        <v/>
      </c>
      <c r="E955" s="89" t="str">
        <f t="shared" si="2"/>
        <v>OT Hours</v>
      </c>
      <c r="F955" s="89" t="str">
        <f>IFERROR(VLOOKUP(C955,'Employees List'!$B$1:$G$999,2,0),"")</f>
        <v/>
      </c>
      <c r="G955" s="89" t="str">
        <f t="shared" si="23"/>
        <v>#DIV/0!</v>
      </c>
      <c r="H955" s="98"/>
      <c r="I955" s="89" t="str">
        <f>IFERROR(VLOOKUP(F955,'Employees List'!$C:$F,2,0),"")</f>
        <v/>
      </c>
      <c r="J955" s="93" t="str">
        <f>IFERROR(VLOOKUP(C955,'Employees List'!$B$2:$G$991,5,0),"")</f>
        <v/>
      </c>
      <c r="K955" s="95" t="str">
        <f>IFERROR(VLOOKUP(F955,'Employees List'!$C$1:$AB$991,5,0),"")</f>
        <v/>
      </c>
      <c r="L955" s="91">
        <f t="shared" si="3"/>
        <v>0</v>
      </c>
      <c r="M955" s="91">
        <f t="shared" si="4"/>
        <v>0</v>
      </c>
      <c r="N955" s="89" t="str">
        <f>IFERROR(VLOOKUP(B955,'Employees List'!$A$2:$H$991,8,0),"")</f>
        <v/>
      </c>
      <c r="O955" s="89" t="str">
        <f>IFERROR(VLOOKUP(D955,'Daily Attendance Report 24-25'!A919:BP999,5,0),"")</f>
        <v/>
      </c>
      <c r="P955" s="89" t="str">
        <f>IFERROR(VLOOKUP(E955,'Daily Attendance Report 24-25'!$A$1:$BO$617,5,0),"")</f>
        <v/>
      </c>
      <c r="Q955" s="89"/>
      <c r="R955" s="89"/>
      <c r="S955" s="89" t="str">
        <f t="shared" si="17"/>
        <v>#DIV/0!</v>
      </c>
      <c r="T955" s="89" t="str">
        <f t="shared" si="6"/>
        <v>#DIV/0!</v>
      </c>
      <c r="U955" s="89" t="str">
        <f t="shared" si="25"/>
        <v>#DIV/0!</v>
      </c>
      <c r="V955" s="89" t="str">
        <f t="shared" si="24"/>
        <v>#DIV/0!</v>
      </c>
      <c r="W955" s="89" t="str">
        <f t="shared" si="9"/>
        <v>#DIV/0!</v>
      </c>
      <c r="X955" s="89"/>
      <c r="Y955" s="89"/>
      <c r="Z955" s="89"/>
      <c r="AA955" s="89"/>
      <c r="AB955" s="89"/>
      <c r="AC955" s="89"/>
      <c r="AD955" s="89"/>
      <c r="AE955" s="89"/>
      <c r="AF955" s="89"/>
      <c r="AG955" s="89"/>
      <c r="AH955" s="89"/>
    </row>
    <row r="956">
      <c r="A956" s="8" t="s">
        <v>1094</v>
      </c>
      <c r="B956" s="97"/>
      <c r="C956" s="8"/>
      <c r="D956" s="89" t="str">
        <f t="shared" si="1"/>
        <v/>
      </c>
      <c r="E956" s="89" t="str">
        <f t="shared" si="2"/>
        <v>OT Hours</v>
      </c>
      <c r="F956" s="89" t="str">
        <f>IFERROR(VLOOKUP(C956,'Employees List'!$B$1:$G$999,2,0),"")</f>
        <v/>
      </c>
      <c r="G956" s="89" t="str">
        <f t="shared" si="23"/>
        <v>#DIV/0!</v>
      </c>
      <c r="H956" s="98"/>
      <c r="I956" s="89" t="str">
        <f>IFERROR(VLOOKUP(F956,'Employees List'!$C:$F,2,0),"")</f>
        <v/>
      </c>
      <c r="J956" s="93" t="str">
        <f>IFERROR(VLOOKUP(C956,'Employees List'!$B$2:$G$991,5,0),"")</f>
        <v/>
      </c>
      <c r="K956" s="95" t="str">
        <f>IFERROR(VLOOKUP(F956,'Employees List'!$C$1:$AB$991,5,0),"")</f>
        <v/>
      </c>
      <c r="L956" s="91">
        <f t="shared" si="3"/>
        <v>0</v>
      </c>
      <c r="M956" s="91">
        <f t="shared" si="4"/>
        <v>0</v>
      </c>
      <c r="N956" s="89" t="str">
        <f>IFERROR(VLOOKUP(B956,'Employees List'!$A$2:$H$991,8,0),"")</f>
        <v/>
      </c>
      <c r="O956" s="89" t="str">
        <f>IFERROR(VLOOKUP(D956,'Daily Attendance Report 24-25'!A920:BP999,5,0),"")</f>
        <v/>
      </c>
      <c r="P956" s="89" t="str">
        <f>IFERROR(VLOOKUP(E956,'Daily Attendance Report 24-25'!$A$1:$BO$617,5,0),"")</f>
        <v/>
      </c>
      <c r="Q956" s="89"/>
      <c r="R956" s="89"/>
      <c r="S956" s="89" t="str">
        <f t="shared" si="17"/>
        <v>#DIV/0!</v>
      </c>
      <c r="T956" s="89" t="str">
        <f t="shared" si="6"/>
        <v>#DIV/0!</v>
      </c>
      <c r="U956" s="89" t="str">
        <f t="shared" si="25"/>
        <v>#DIV/0!</v>
      </c>
      <c r="V956" s="89" t="str">
        <f t="shared" si="24"/>
        <v>#DIV/0!</v>
      </c>
      <c r="W956" s="89" t="str">
        <f t="shared" si="9"/>
        <v>#DIV/0!</v>
      </c>
      <c r="X956" s="89"/>
      <c r="Y956" s="89"/>
      <c r="Z956" s="89"/>
      <c r="AA956" s="89"/>
      <c r="AB956" s="89"/>
      <c r="AC956" s="89"/>
      <c r="AD956" s="89"/>
      <c r="AE956" s="89"/>
      <c r="AF956" s="89"/>
      <c r="AG956" s="89"/>
      <c r="AH956" s="89"/>
    </row>
    <row r="957">
      <c r="A957" s="8" t="s">
        <v>1095</v>
      </c>
      <c r="B957" s="97"/>
      <c r="C957" s="8"/>
      <c r="D957" s="89" t="str">
        <f t="shared" si="1"/>
        <v/>
      </c>
      <c r="E957" s="89" t="str">
        <f t="shared" si="2"/>
        <v>OT Hours</v>
      </c>
      <c r="F957" s="89" t="str">
        <f>IFERROR(VLOOKUP(C957,'Employees List'!$B$1:$G$999,2,0),"")</f>
        <v/>
      </c>
      <c r="G957" s="89" t="str">
        <f t="shared" si="23"/>
        <v>#DIV/0!</v>
      </c>
      <c r="H957" s="98"/>
      <c r="I957" s="89" t="str">
        <f>IFERROR(VLOOKUP(F957,'Employees List'!$C:$F,2,0),"")</f>
        <v/>
      </c>
      <c r="J957" s="93" t="str">
        <f>IFERROR(VLOOKUP(C957,'Employees List'!$B$2:$G$991,5,0),"")</f>
        <v/>
      </c>
      <c r="K957" s="95" t="str">
        <f>IFERROR(VLOOKUP(F957,'Employees List'!$C$1:$AB$991,5,0),"")</f>
        <v/>
      </c>
      <c r="L957" s="91">
        <f t="shared" si="3"/>
        <v>0</v>
      </c>
      <c r="M957" s="91">
        <f t="shared" si="4"/>
        <v>0</v>
      </c>
      <c r="N957" s="89" t="str">
        <f>IFERROR(VLOOKUP(B957,'Employees List'!$A$2:$H$991,8,0),"")</f>
        <v/>
      </c>
      <c r="O957" s="89" t="str">
        <f>IFERROR(VLOOKUP(D957,'Daily Attendance Report 24-25'!A921:BP999,5,0),"")</f>
        <v/>
      </c>
      <c r="P957" s="89" t="str">
        <f>IFERROR(VLOOKUP(E957,'Daily Attendance Report 24-25'!$A$1:$BO$617,5,0),"")</f>
        <v/>
      </c>
      <c r="Q957" s="89"/>
      <c r="R957" s="89"/>
      <c r="S957" s="89" t="str">
        <f t="shared" si="17"/>
        <v>#DIV/0!</v>
      </c>
      <c r="T957" s="89" t="str">
        <f t="shared" si="6"/>
        <v>#DIV/0!</v>
      </c>
      <c r="U957" s="89" t="str">
        <f t="shared" si="25"/>
        <v>#DIV/0!</v>
      </c>
      <c r="V957" s="89" t="str">
        <f t="shared" si="24"/>
        <v>#DIV/0!</v>
      </c>
      <c r="W957" s="89" t="str">
        <f t="shared" si="9"/>
        <v>#DIV/0!</v>
      </c>
      <c r="X957" s="89"/>
      <c r="Y957" s="89"/>
      <c r="Z957" s="89"/>
      <c r="AA957" s="89"/>
      <c r="AB957" s="89"/>
      <c r="AC957" s="89"/>
      <c r="AD957" s="89"/>
      <c r="AE957" s="89"/>
      <c r="AF957" s="89"/>
      <c r="AG957" s="89"/>
      <c r="AH957" s="89"/>
    </row>
    <row r="958">
      <c r="A958" s="8" t="s">
        <v>1096</v>
      </c>
      <c r="B958" s="97"/>
      <c r="C958" s="8"/>
      <c r="D958" s="89" t="str">
        <f t="shared" si="1"/>
        <v/>
      </c>
      <c r="E958" s="89" t="str">
        <f t="shared" si="2"/>
        <v>OT Hours</v>
      </c>
      <c r="F958" s="89" t="str">
        <f>IFERROR(VLOOKUP(C958,'Employees List'!$B$1:$G$999,2,0),"")</f>
        <v/>
      </c>
      <c r="G958" s="89" t="str">
        <f t="shared" si="23"/>
        <v>#DIV/0!</v>
      </c>
      <c r="H958" s="98"/>
      <c r="I958" s="89" t="str">
        <f>IFERROR(VLOOKUP(F958,'Employees List'!$C:$F,2,0),"")</f>
        <v/>
      </c>
      <c r="J958" s="93" t="str">
        <f>IFERROR(VLOOKUP(C958,'Employees List'!$B$2:$G$991,5,0),"")</f>
        <v/>
      </c>
      <c r="K958" s="95" t="str">
        <f>IFERROR(VLOOKUP(F958,'Employees List'!$C$1:$AB$991,5,0),"")</f>
        <v/>
      </c>
      <c r="L958" s="91">
        <f t="shared" si="3"/>
        <v>0</v>
      </c>
      <c r="M958" s="91">
        <f t="shared" si="4"/>
        <v>0</v>
      </c>
      <c r="N958" s="89" t="str">
        <f>IFERROR(VLOOKUP(B958,'Employees List'!$A$2:$H$991,8,0),"")</f>
        <v/>
      </c>
      <c r="O958" s="89" t="str">
        <f>IFERROR(VLOOKUP(D958,'Daily Attendance Report 24-25'!A922:BP999,5,0),"")</f>
        <v/>
      </c>
      <c r="P958" s="89" t="str">
        <f>IFERROR(VLOOKUP(E958,'Daily Attendance Report 24-25'!$A$1:$BO$617,5,0),"")</f>
        <v/>
      </c>
      <c r="Q958" s="89"/>
      <c r="R958" s="89"/>
      <c r="S958" s="89" t="str">
        <f t="shared" si="17"/>
        <v>#DIV/0!</v>
      </c>
      <c r="T958" s="89" t="str">
        <f t="shared" si="6"/>
        <v>#DIV/0!</v>
      </c>
      <c r="U958" s="89" t="str">
        <f t="shared" si="25"/>
        <v>#DIV/0!</v>
      </c>
      <c r="V958" s="89" t="str">
        <f t="shared" si="24"/>
        <v>#DIV/0!</v>
      </c>
      <c r="W958" s="89" t="str">
        <f t="shared" si="9"/>
        <v>#DIV/0!</v>
      </c>
      <c r="X958" s="89"/>
      <c r="Y958" s="89"/>
      <c r="Z958" s="89"/>
      <c r="AA958" s="89"/>
      <c r="AB958" s="89"/>
      <c r="AC958" s="89"/>
      <c r="AD958" s="89"/>
      <c r="AE958" s="89"/>
      <c r="AF958" s="89"/>
      <c r="AG958" s="89"/>
      <c r="AH958" s="89"/>
    </row>
    <row r="959">
      <c r="A959" s="8" t="s">
        <v>1097</v>
      </c>
      <c r="B959" s="97"/>
      <c r="C959" s="8"/>
      <c r="D959" s="89" t="str">
        <f t="shared" si="1"/>
        <v/>
      </c>
      <c r="E959" s="89" t="str">
        <f t="shared" si="2"/>
        <v>OT Hours</v>
      </c>
      <c r="F959" s="89" t="str">
        <f>IFERROR(VLOOKUP(C959,'Employees List'!$B$1:$G$999,2,0),"")</f>
        <v/>
      </c>
      <c r="G959" s="89" t="str">
        <f t="shared" si="23"/>
        <v>#DIV/0!</v>
      </c>
      <c r="H959" s="98"/>
      <c r="I959" s="89" t="str">
        <f>IFERROR(VLOOKUP(F959,'Employees List'!$C:$F,2,0),"")</f>
        <v/>
      </c>
      <c r="J959" s="93" t="str">
        <f>IFERROR(VLOOKUP(C959,'Employees List'!$B$2:$G$991,5,0),"")</f>
        <v/>
      </c>
      <c r="K959" s="95" t="str">
        <f>IFERROR(VLOOKUP(F959,'Employees List'!$C$1:$AB$991,5,0),"")</f>
        <v/>
      </c>
      <c r="L959" s="91">
        <f t="shared" si="3"/>
        <v>0</v>
      </c>
      <c r="M959" s="91">
        <f t="shared" si="4"/>
        <v>0</v>
      </c>
      <c r="N959" s="89" t="str">
        <f>IFERROR(VLOOKUP(B959,'Employees List'!$A$2:$H$991,8,0),"")</f>
        <v/>
      </c>
      <c r="O959" s="89" t="str">
        <f>IFERROR(VLOOKUP(D959,'Daily Attendance Report 24-25'!A923:BP999,5,0),"")</f>
        <v/>
      </c>
      <c r="P959" s="89" t="str">
        <f>IFERROR(VLOOKUP(E959,'Daily Attendance Report 24-25'!$A$1:$BO$617,5,0),"")</f>
        <v/>
      </c>
      <c r="Q959" s="89"/>
      <c r="R959" s="89"/>
      <c r="S959" s="89" t="str">
        <f t="shared" si="17"/>
        <v>#DIV/0!</v>
      </c>
      <c r="T959" s="89" t="str">
        <f t="shared" si="6"/>
        <v>#DIV/0!</v>
      </c>
      <c r="U959" s="89" t="str">
        <f t="shared" si="25"/>
        <v>#DIV/0!</v>
      </c>
      <c r="V959" s="89" t="str">
        <f t="shared" si="24"/>
        <v>#DIV/0!</v>
      </c>
      <c r="W959" s="89" t="str">
        <f t="shared" si="9"/>
        <v>#DIV/0!</v>
      </c>
      <c r="X959" s="89"/>
      <c r="Y959" s="89"/>
      <c r="Z959" s="89"/>
      <c r="AA959" s="89"/>
      <c r="AB959" s="89"/>
      <c r="AC959" s="89"/>
      <c r="AD959" s="89"/>
      <c r="AE959" s="89"/>
      <c r="AF959" s="89"/>
      <c r="AG959" s="89"/>
      <c r="AH959" s="89"/>
    </row>
    <row r="960">
      <c r="A960" s="8" t="s">
        <v>1098</v>
      </c>
      <c r="B960" s="97"/>
      <c r="C960" s="8"/>
      <c r="D960" s="89" t="str">
        <f t="shared" si="1"/>
        <v/>
      </c>
      <c r="E960" s="89" t="str">
        <f t="shared" si="2"/>
        <v>OT Hours</v>
      </c>
      <c r="F960" s="89" t="str">
        <f>IFERROR(VLOOKUP(C960,'Employees List'!$B$1:$G$999,2,0),"")</f>
        <v/>
      </c>
      <c r="G960" s="89" t="str">
        <f t="shared" si="23"/>
        <v>#DIV/0!</v>
      </c>
      <c r="H960" s="98"/>
      <c r="I960" s="89" t="str">
        <f>IFERROR(VLOOKUP(F960,'Employees List'!$C:$F,2,0),"")</f>
        <v/>
      </c>
      <c r="J960" s="93" t="str">
        <f>IFERROR(VLOOKUP(C960,'Employees List'!$B$2:$G$991,5,0),"")</f>
        <v/>
      </c>
      <c r="K960" s="95" t="str">
        <f>IFERROR(VLOOKUP(F960,'Employees List'!$C$1:$AB$991,5,0),"")</f>
        <v/>
      </c>
      <c r="L960" s="91">
        <f t="shared" si="3"/>
        <v>0</v>
      </c>
      <c r="M960" s="91">
        <f t="shared" si="4"/>
        <v>0</v>
      </c>
      <c r="N960" s="89" t="str">
        <f>IFERROR(VLOOKUP(B960,'Employees List'!$A$2:$H$991,8,0),"")</f>
        <v/>
      </c>
      <c r="O960" s="89" t="str">
        <f>IFERROR(VLOOKUP(D960,'Daily Attendance Report 24-25'!A924:BP999,5,0),"")</f>
        <v/>
      </c>
      <c r="P960" s="89" t="str">
        <f>IFERROR(VLOOKUP(E960,'Daily Attendance Report 24-25'!$A$1:$BO$617,5,0),"")</f>
        <v/>
      </c>
      <c r="Q960" s="89"/>
      <c r="R960" s="89"/>
      <c r="S960" s="89" t="str">
        <f t="shared" si="17"/>
        <v>#DIV/0!</v>
      </c>
      <c r="T960" s="89" t="str">
        <f t="shared" si="6"/>
        <v>#DIV/0!</v>
      </c>
      <c r="U960" s="89" t="str">
        <f t="shared" si="25"/>
        <v>#DIV/0!</v>
      </c>
      <c r="V960" s="89" t="str">
        <f t="shared" si="24"/>
        <v>#DIV/0!</v>
      </c>
      <c r="W960" s="89" t="str">
        <f t="shared" si="9"/>
        <v>#DIV/0!</v>
      </c>
      <c r="X960" s="89"/>
      <c r="Y960" s="89"/>
      <c r="Z960" s="89"/>
      <c r="AA960" s="89"/>
      <c r="AB960" s="89"/>
      <c r="AC960" s="89"/>
      <c r="AD960" s="89"/>
      <c r="AE960" s="89"/>
      <c r="AF960" s="89"/>
      <c r="AG960" s="89"/>
      <c r="AH960" s="89"/>
    </row>
    <row r="961">
      <c r="A961" s="8" t="s">
        <v>1099</v>
      </c>
      <c r="B961" s="97"/>
      <c r="C961" s="8"/>
      <c r="D961" s="89" t="str">
        <f t="shared" si="1"/>
        <v/>
      </c>
      <c r="E961" s="89" t="str">
        <f t="shared" si="2"/>
        <v>OT Hours</v>
      </c>
      <c r="F961" s="89" t="str">
        <f>IFERROR(VLOOKUP(C961,'Employees List'!$B$1:$G$999,2,0),"")</f>
        <v/>
      </c>
      <c r="G961" s="89" t="str">
        <f t="shared" si="23"/>
        <v>#DIV/0!</v>
      </c>
      <c r="H961" s="98"/>
      <c r="I961" s="89" t="str">
        <f>IFERROR(VLOOKUP(F961,'Employees List'!$C:$F,2,0),"")</f>
        <v/>
      </c>
      <c r="J961" s="93" t="str">
        <f>IFERROR(VLOOKUP(C961,'Employees List'!$B$2:$G$991,5,0),"")</f>
        <v/>
      </c>
      <c r="K961" s="95" t="str">
        <f>IFERROR(VLOOKUP(F961,'Employees List'!$C$1:$AB$991,5,0),"")</f>
        <v/>
      </c>
      <c r="L961" s="91">
        <f t="shared" si="3"/>
        <v>0</v>
      </c>
      <c r="M961" s="91">
        <f t="shared" si="4"/>
        <v>0</v>
      </c>
      <c r="N961" s="89" t="str">
        <f>IFERROR(VLOOKUP(B961,'Employees List'!$A$2:$H$991,8,0),"")</f>
        <v/>
      </c>
      <c r="O961" s="89" t="str">
        <f>IFERROR(VLOOKUP(D961,'Daily Attendance Report 24-25'!A925:BP999,5,0),"")</f>
        <v/>
      </c>
      <c r="P961" s="89" t="str">
        <f>IFERROR(VLOOKUP(E961,'Daily Attendance Report 24-25'!$A$1:$BO$617,5,0),"")</f>
        <v/>
      </c>
      <c r="Q961" s="89"/>
      <c r="R961" s="89"/>
      <c r="S961" s="89" t="str">
        <f t="shared" si="17"/>
        <v>#DIV/0!</v>
      </c>
      <c r="T961" s="89" t="str">
        <f t="shared" si="6"/>
        <v>#DIV/0!</v>
      </c>
      <c r="U961" s="89" t="str">
        <f t="shared" si="25"/>
        <v>#DIV/0!</v>
      </c>
      <c r="V961" s="89" t="str">
        <f t="shared" si="24"/>
        <v>#DIV/0!</v>
      </c>
      <c r="W961" s="89" t="str">
        <f t="shared" si="9"/>
        <v>#DIV/0!</v>
      </c>
      <c r="X961" s="89"/>
      <c r="Y961" s="89"/>
      <c r="Z961" s="89"/>
      <c r="AA961" s="89"/>
      <c r="AB961" s="89"/>
      <c r="AC961" s="89"/>
      <c r="AD961" s="89"/>
      <c r="AE961" s="89"/>
      <c r="AF961" s="89"/>
      <c r="AG961" s="89"/>
      <c r="AH961" s="89"/>
    </row>
    <row r="962">
      <c r="A962" s="8" t="s">
        <v>1100</v>
      </c>
      <c r="B962" s="97"/>
      <c r="C962" s="8"/>
      <c r="D962" s="89" t="str">
        <f t="shared" si="1"/>
        <v/>
      </c>
      <c r="E962" s="89" t="str">
        <f t="shared" si="2"/>
        <v>OT Hours</v>
      </c>
      <c r="F962" s="89" t="str">
        <f>IFERROR(VLOOKUP(C962,'Employees List'!$B$1:$G$999,2,0),"")</f>
        <v/>
      </c>
      <c r="G962" s="89" t="str">
        <f t="shared" si="23"/>
        <v>#DIV/0!</v>
      </c>
      <c r="H962" s="98"/>
      <c r="I962" s="89" t="str">
        <f>IFERROR(VLOOKUP(F962,'Employees List'!$C:$F,2,0),"")</f>
        <v/>
      </c>
      <c r="J962" s="93" t="str">
        <f>IFERROR(VLOOKUP(C962,'Employees List'!$B$2:$G$991,5,0),"")</f>
        <v/>
      </c>
      <c r="K962" s="95" t="str">
        <f>IFERROR(VLOOKUP(F962,'Employees List'!$C$1:$AB$991,5,0),"")</f>
        <v/>
      </c>
      <c r="L962" s="91">
        <f t="shared" si="3"/>
        <v>0</v>
      </c>
      <c r="M962" s="91">
        <f t="shared" si="4"/>
        <v>0</v>
      </c>
      <c r="N962" s="89" t="str">
        <f>IFERROR(VLOOKUP(B962,'Employees List'!$A$2:$H$991,8,0),"")</f>
        <v/>
      </c>
      <c r="O962" s="89" t="str">
        <f>IFERROR(VLOOKUP(D962,'Daily Attendance Report 24-25'!A926:BP999,5,0),"")</f>
        <v/>
      </c>
      <c r="P962" s="89" t="str">
        <f>IFERROR(VLOOKUP(E962,'Daily Attendance Report 24-25'!$A$1:$BO$617,5,0),"")</f>
        <v/>
      </c>
      <c r="Q962" s="89"/>
      <c r="R962" s="89"/>
      <c r="S962" s="89" t="str">
        <f t="shared" si="17"/>
        <v>#DIV/0!</v>
      </c>
      <c r="T962" s="89" t="str">
        <f t="shared" si="6"/>
        <v>#DIV/0!</v>
      </c>
      <c r="U962" s="89" t="str">
        <f t="shared" si="25"/>
        <v>#DIV/0!</v>
      </c>
      <c r="V962" s="89" t="str">
        <f t="shared" si="24"/>
        <v>#DIV/0!</v>
      </c>
      <c r="W962" s="89" t="str">
        <f t="shared" si="9"/>
        <v>#DIV/0!</v>
      </c>
      <c r="X962" s="89"/>
      <c r="Y962" s="89"/>
      <c r="Z962" s="89"/>
      <c r="AA962" s="89"/>
      <c r="AB962" s="89"/>
      <c r="AC962" s="89"/>
      <c r="AD962" s="89"/>
      <c r="AE962" s="89"/>
      <c r="AF962" s="89"/>
      <c r="AG962" s="89"/>
      <c r="AH962" s="89"/>
    </row>
    <row r="963">
      <c r="A963" s="8" t="s">
        <v>1101</v>
      </c>
      <c r="B963" s="97"/>
      <c r="C963" s="8"/>
      <c r="D963" s="89" t="str">
        <f t="shared" si="1"/>
        <v/>
      </c>
      <c r="E963" s="89" t="str">
        <f t="shared" si="2"/>
        <v>OT Hours</v>
      </c>
      <c r="F963" s="89" t="str">
        <f>IFERROR(VLOOKUP(C963,'Employees List'!$B$1:$G$999,2,0),"")</f>
        <v/>
      </c>
      <c r="G963" s="89" t="str">
        <f t="shared" si="23"/>
        <v>#DIV/0!</v>
      </c>
      <c r="H963" s="98"/>
      <c r="I963" s="89" t="str">
        <f>IFERROR(VLOOKUP(F963,'Employees List'!$C:$F,2,0),"")</f>
        <v/>
      </c>
      <c r="J963" s="93" t="str">
        <f>IFERROR(VLOOKUP(C963,'Employees List'!$B$2:$G$991,5,0),"")</f>
        <v/>
      </c>
      <c r="K963" s="95" t="str">
        <f>IFERROR(VLOOKUP(F963,'Employees List'!$C$1:$AB$991,5,0),"")</f>
        <v/>
      </c>
      <c r="L963" s="91">
        <f t="shared" si="3"/>
        <v>0</v>
      </c>
      <c r="M963" s="91">
        <f t="shared" si="4"/>
        <v>0</v>
      </c>
      <c r="N963" s="89" t="str">
        <f>IFERROR(VLOOKUP(B963,'Employees List'!$A$2:$H$991,8,0),"")</f>
        <v/>
      </c>
      <c r="O963" s="89" t="str">
        <f>IFERROR(VLOOKUP(D963,'Daily Attendance Report 24-25'!A927:BP999,5,0),"")</f>
        <v/>
      </c>
      <c r="P963" s="89" t="str">
        <f>IFERROR(VLOOKUP(E963,'Daily Attendance Report 24-25'!$A$1:$BO$617,5,0),"")</f>
        <v/>
      </c>
      <c r="Q963" s="89"/>
      <c r="R963" s="89"/>
      <c r="S963" s="89" t="str">
        <f t="shared" si="17"/>
        <v>#DIV/0!</v>
      </c>
      <c r="T963" s="89" t="str">
        <f t="shared" si="6"/>
        <v>#DIV/0!</v>
      </c>
      <c r="U963" s="89" t="str">
        <f t="shared" si="25"/>
        <v>#DIV/0!</v>
      </c>
      <c r="V963" s="89" t="str">
        <f t="shared" si="24"/>
        <v>#DIV/0!</v>
      </c>
      <c r="W963" s="89" t="str">
        <f t="shared" si="9"/>
        <v>#DIV/0!</v>
      </c>
      <c r="X963" s="89"/>
      <c r="Y963" s="89"/>
      <c r="Z963" s="89"/>
      <c r="AA963" s="89"/>
      <c r="AB963" s="89"/>
      <c r="AC963" s="89"/>
      <c r="AD963" s="89"/>
      <c r="AE963" s="89"/>
      <c r="AF963" s="89"/>
      <c r="AG963" s="89"/>
      <c r="AH963" s="89"/>
    </row>
    <row r="964">
      <c r="A964" s="8" t="s">
        <v>1102</v>
      </c>
      <c r="B964" s="97"/>
      <c r="C964" s="8"/>
      <c r="D964" s="89" t="str">
        <f t="shared" si="1"/>
        <v/>
      </c>
      <c r="E964" s="89" t="str">
        <f t="shared" si="2"/>
        <v>OT Hours</v>
      </c>
      <c r="F964" s="89" t="str">
        <f>IFERROR(VLOOKUP(C964,'Employees List'!$B$1:$G$999,2,0),"")</f>
        <v/>
      </c>
      <c r="G964" s="89" t="str">
        <f t="shared" si="23"/>
        <v>#DIV/0!</v>
      </c>
      <c r="H964" s="98"/>
      <c r="I964" s="89" t="str">
        <f>IFERROR(VLOOKUP(F964,'Employees List'!$C:$F,2,0),"")</f>
        <v/>
      </c>
      <c r="J964" s="93" t="str">
        <f>IFERROR(VLOOKUP(C964,'Employees List'!$B$2:$G$991,5,0),"")</f>
        <v/>
      </c>
      <c r="K964" s="95" t="str">
        <f>IFERROR(VLOOKUP(F964,'Employees List'!$C$1:$AB$991,5,0),"")</f>
        <v/>
      </c>
      <c r="L964" s="91">
        <f t="shared" si="3"/>
        <v>0</v>
      </c>
      <c r="M964" s="91">
        <f t="shared" si="4"/>
        <v>0</v>
      </c>
      <c r="N964" s="89" t="str">
        <f>IFERROR(VLOOKUP(B964,'Employees List'!$A$2:$H$991,8,0),"")</f>
        <v/>
      </c>
      <c r="O964" s="89" t="str">
        <f>IFERROR(VLOOKUP(D964,'Daily Attendance Report 24-25'!A928:BP999,5,0),"")</f>
        <v/>
      </c>
      <c r="P964" s="89" t="str">
        <f>IFERROR(VLOOKUP(E964,'Daily Attendance Report 24-25'!$A$1:$BO$617,5,0),"")</f>
        <v/>
      </c>
      <c r="Q964" s="89"/>
      <c r="R964" s="89"/>
      <c r="S964" s="89" t="str">
        <f t="shared" si="17"/>
        <v>#DIV/0!</v>
      </c>
      <c r="T964" s="89" t="str">
        <f t="shared" si="6"/>
        <v>#DIV/0!</v>
      </c>
      <c r="U964" s="89" t="str">
        <f t="shared" si="25"/>
        <v>#DIV/0!</v>
      </c>
      <c r="V964" s="89" t="str">
        <f t="shared" si="24"/>
        <v>#DIV/0!</v>
      </c>
      <c r="W964" s="89" t="str">
        <f t="shared" si="9"/>
        <v>#DIV/0!</v>
      </c>
      <c r="X964" s="89"/>
      <c r="Y964" s="89"/>
      <c r="Z964" s="89"/>
      <c r="AA964" s="89"/>
      <c r="AB964" s="89"/>
      <c r="AC964" s="89"/>
      <c r="AD964" s="89"/>
      <c r="AE964" s="89"/>
      <c r="AF964" s="89"/>
      <c r="AG964" s="89"/>
      <c r="AH964" s="89"/>
    </row>
    <row r="965">
      <c r="A965" s="8" t="s">
        <v>1103</v>
      </c>
      <c r="B965" s="97"/>
      <c r="C965" s="8"/>
      <c r="D965" s="89" t="str">
        <f t="shared" si="1"/>
        <v/>
      </c>
      <c r="E965" s="89" t="str">
        <f t="shared" si="2"/>
        <v>OT Hours</v>
      </c>
      <c r="F965" s="89" t="str">
        <f>IFERROR(VLOOKUP(C965,'Employees List'!$B$1:$G$999,2,0),"")</f>
        <v/>
      </c>
      <c r="G965" s="89" t="str">
        <f t="shared" si="23"/>
        <v>#DIV/0!</v>
      </c>
      <c r="H965" s="98"/>
      <c r="I965" s="89" t="str">
        <f>IFERROR(VLOOKUP(F965,'Employees List'!$C:$F,2,0),"")</f>
        <v/>
      </c>
      <c r="J965" s="93" t="str">
        <f>IFERROR(VLOOKUP(C965,'Employees List'!$B$2:$G$991,5,0),"")</f>
        <v/>
      </c>
      <c r="K965" s="95" t="str">
        <f>IFERROR(VLOOKUP(F965,'Employees List'!$C$1:$AB$991,5,0),"")</f>
        <v/>
      </c>
      <c r="L965" s="91">
        <f t="shared" si="3"/>
        <v>0</v>
      </c>
      <c r="M965" s="91">
        <f t="shared" si="4"/>
        <v>0</v>
      </c>
      <c r="N965" s="89" t="str">
        <f>IFERROR(VLOOKUP(B965,'Employees List'!$A$2:$H$991,8,0),"")</f>
        <v/>
      </c>
      <c r="O965" s="89" t="str">
        <f>IFERROR(VLOOKUP(D965,'Daily Attendance Report 24-25'!A929:BP999,5,0),"")</f>
        <v/>
      </c>
      <c r="P965" s="89" t="str">
        <f>IFERROR(VLOOKUP(E965,'Daily Attendance Report 24-25'!$A$1:$BO$617,5,0),"")</f>
        <v/>
      </c>
      <c r="Q965" s="89"/>
      <c r="R965" s="89"/>
      <c r="S965" s="89" t="str">
        <f t="shared" si="17"/>
        <v>#DIV/0!</v>
      </c>
      <c r="T965" s="89" t="str">
        <f t="shared" si="6"/>
        <v>#DIV/0!</v>
      </c>
      <c r="U965" s="89" t="str">
        <f t="shared" si="25"/>
        <v>#DIV/0!</v>
      </c>
      <c r="V965" s="89" t="str">
        <f t="shared" si="24"/>
        <v>#DIV/0!</v>
      </c>
      <c r="W965" s="89" t="str">
        <f t="shared" si="9"/>
        <v>#DIV/0!</v>
      </c>
      <c r="X965" s="89"/>
      <c r="Y965" s="89"/>
      <c r="Z965" s="89"/>
      <c r="AA965" s="89"/>
      <c r="AB965" s="89"/>
      <c r="AC965" s="89"/>
      <c r="AD965" s="89"/>
      <c r="AE965" s="89"/>
      <c r="AF965" s="89"/>
      <c r="AG965" s="89"/>
      <c r="AH965" s="89"/>
    </row>
    <row r="966">
      <c r="A966" s="8" t="s">
        <v>1104</v>
      </c>
      <c r="B966" s="97"/>
      <c r="C966" s="8"/>
      <c r="D966" s="89" t="str">
        <f t="shared" si="1"/>
        <v/>
      </c>
      <c r="E966" s="89" t="str">
        <f t="shared" si="2"/>
        <v>OT Hours</v>
      </c>
      <c r="F966" s="89" t="str">
        <f>IFERROR(VLOOKUP(C966,'Employees List'!$B$1:$G$999,2,0),"")</f>
        <v/>
      </c>
      <c r="G966" s="89" t="str">
        <f t="shared" si="23"/>
        <v>#DIV/0!</v>
      </c>
      <c r="H966" s="98"/>
      <c r="I966" s="89" t="str">
        <f>IFERROR(VLOOKUP(F966,'Employees List'!$C:$F,2,0),"")</f>
        <v/>
      </c>
      <c r="J966" s="93" t="str">
        <f>IFERROR(VLOOKUP(C966,'Employees List'!$B$2:$G$991,5,0),"")</f>
        <v/>
      </c>
      <c r="K966" s="95" t="str">
        <f>IFERROR(VLOOKUP(F966,'Employees List'!$C$1:$AB$991,5,0),"")</f>
        <v/>
      </c>
      <c r="L966" s="91">
        <f t="shared" si="3"/>
        <v>0</v>
      </c>
      <c r="M966" s="91">
        <f t="shared" si="4"/>
        <v>0</v>
      </c>
      <c r="N966" s="89" t="str">
        <f>IFERROR(VLOOKUP(B966,'Employees List'!$A$2:$H$991,8,0),"")</f>
        <v/>
      </c>
      <c r="O966" s="89" t="str">
        <f>IFERROR(VLOOKUP(D966,'Daily Attendance Report 24-25'!A930:BP999,5,0),"")</f>
        <v/>
      </c>
      <c r="P966" s="89" t="str">
        <f>IFERROR(VLOOKUP(E966,'Daily Attendance Report 24-25'!$A$1:$BO$617,5,0),"")</f>
        <v/>
      </c>
      <c r="Q966" s="89"/>
      <c r="R966" s="89"/>
      <c r="S966" s="89" t="str">
        <f t="shared" si="17"/>
        <v>#DIV/0!</v>
      </c>
      <c r="T966" s="89" t="str">
        <f t="shared" si="6"/>
        <v>#DIV/0!</v>
      </c>
      <c r="U966" s="89" t="str">
        <f t="shared" si="25"/>
        <v>#DIV/0!</v>
      </c>
      <c r="V966" s="89" t="str">
        <f t="shared" si="24"/>
        <v>#DIV/0!</v>
      </c>
      <c r="W966" s="89" t="str">
        <f t="shared" si="9"/>
        <v>#DIV/0!</v>
      </c>
      <c r="X966" s="89"/>
      <c r="Y966" s="89"/>
      <c r="Z966" s="89"/>
      <c r="AA966" s="89"/>
      <c r="AB966" s="89"/>
      <c r="AC966" s="89"/>
      <c r="AD966" s="89"/>
      <c r="AE966" s="89"/>
      <c r="AF966" s="89"/>
      <c r="AG966" s="89"/>
      <c r="AH966" s="89"/>
    </row>
    <row r="967">
      <c r="A967" s="8" t="s">
        <v>1105</v>
      </c>
      <c r="B967" s="97"/>
      <c r="C967" s="8"/>
      <c r="D967" s="89" t="str">
        <f t="shared" si="1"/>
        <v/>
      </c>
      <c r="E967" s="89" t="str">
        <f t="shared" si="2"/>
        <v>OT Hours</v>
      </c>
      <c r="F967" s="89" t="str">
        <f>IFERROR(VLOOKUP(C967,'Employees List'!$B$1:$G$999,2,0),"")</f>
        <v/>
      </c>
      <c r="G967" s="89" t="str">
        <f t="shared" si="23"/>
        <v>#DIV/0!</v>
      </c>
      <c r="H967" s="98"/>
      <c r="I967" s="89" t="str">
        <f>IFERROR(VLOOKUP(F967,'Employees List'!$C:$F,2,0),"")</f>
        <v/>
      </c>
      <c r="J967" s="93" t="str">
        <f>IFERROR(VLOOKUP(C967,'Employees List'!$B$2:$G$991,5,0),"")</f>
        <v/>
      </c>
      <c r="K967" s="95" t="str">
        <f>IFERROR(VLOOKUP(F967,'Employees List'!$C$1:$AB$991,5,0),"")</f>
        <v/>
      </c>
      <c r="L967" s="91">
        <f t="shared" si="3"/>
        <v>0</v>
      </c>
      <c r="M967" s="91">
        <f t="shared" si="4"/>
        <v>0</v>
      </c>
      <c r="N967" s="89" t="str">
        <f>IFERROR(VLOOKUP(B967,'Employees List'!$A$2:$H$991,8,0),"")</f>
        <v/>
      </c>
      <c r="O967" s="89" t="str">
        <f>IFERROR(VLOOKUP(D967,'Daily Attendance Report 24-25'!A931:BP999,5,0),"")</f>
        <v/>
      </c>
      <c r="P967" s="89" t="str">
        <f>IFERROR(VLOOKUP(E967,'Daily Attendance Report 24-25'!$A$1:$BO$617,5,0),"")</f>
        <v/>
      </c>
      <c r="Q967" s="89"/>
      <c r="R967" s="89"/>
      <c r="S967" s="89" t="str">
        <f t="shared" si="17"/>
        <v>#DIV/0!</v>
      </c>
      <c r="T967" s="89" t="str">
        <f t="shared" si="6"/>
        <v>#DIV/0!</v>
      </c>
      <c r="U967" s="89" t="str">
        <f t="shared" si="25"/>
        <v>#DIV/0!</v>
      </c>
      <c r="V967" s="89" t="str">
        <f t="shared" si="24"/>
        <v>#DIV/0!</v>
      </c>
      <c r="W967" s="89" t="str">
        <f t="shared" si="9"/>
        <v>#DIV/0!</v>
      </c>
      <c r="X967" s="89"/>
      <c r="Y967" s="89"/>
      <c r="Z967" s="89"/>
      <c r="AA967" s="89"/>
      <c r="AB967" s="89"/>
      <c r="AC967" s="89"/>
      <c r="AD967" s="89"/>
      <c r="AE967" s="89"/>
      <c r="AF967" s="89"/>
      <c r="AG967" s="89"/>
      <c r="AH967" s="89"/>
    </row>
    <row r="968">
      <c r="A968" s="8" t="s">
        <v>1106</v>
      </c>
      <c r="B968" s="97"/>
      <c r="C968" s="8"/>
      <c r="D968" s="89" t="str">
        <f t="shared" si="1"/>
        <v/>
      </c>
      <c r="E968" s="89" t="str">
        <f t="shared" si="2"/>
        <v>OT Hours</v>
      </c>
      <c r="F968" s="89" t="str">
        <f>IFERROR(VLOOKUP(C968,'Employees List'!$B$1:$G$999,2,0),"")</f>
        <v/>
      </c>
      <c r="G968" s="89" t="str">
        <f t="shared" si="23"/>
        <v>#DIV/0!</v>
      </c>
      <c r="H968" s="98"/>
      <c r="I968" s="89" t="str">
        <f>IFERROR(VLOOKUP(F968,'Employees List'!$C:$F,2,0),"")</f>
        <v/>
      </c>
      <c r="J968" s="93" t="str">
        <f>IFERROR(VLOOKUP(C968,'Employees List'!$B$2:$G$991,5,0),"")</f>
        <v/>
      </c>
      <c r="K968" s="95" t="str">
        <f>IFERROR(VLOOKUP(F968,'Employees List'!$C$1:$AB$991,5,0),"")</f>
        <v/>
      </c>
      <c r="L968" s="91">
        <f t="shared" si="3"/>
        <v>0</v>
      </c>
      <c r="M968" s="91">
        <f t="shared" si="4"/>
        <v>0</v>
      </c>
      <c r="N968" s="89" t="str">
        <f>IFERROR(VLOOKUP(B968,'Employees List'!$A$2:$H$991,8,0),"")</f>
        <v/>
      </c>
      <c r="O968" s="89" t="str">
        <f>IFERROR(VLOOKUP(D968,'Daily Attendance Report 24-25'!A932:BP999,5,0),"")</f>
        <v/>
      </c>
      <c r="P968" s="89" t="str">
        <f>IFERROR(VLOOKUP(E968,'Daily Attendance Report 24-25'!$A$1:$BO$617,5,0),"")</f>
        <v/>
      </c>
      <c r="Q968" s="89"/>
      <c r="R968" s="89"/>
      <c r="S968" s="89" t="str">
        <f t="shared" si="17"/>
        <v>#DIV/0!</v>
      </c>
      <c r="T968" s="89" t="str">
        <f t="shared" si="6"/>
        <v>#DIV/0!</v>
      </c>
      <c r="U968" s="89" t="str">
        <f t="shared" si="25"/>
        <v>#DIV/0!</v>
      </c>
      <c r="V968" s="89" t="str">
        <f t="shared" si="24"/>
        <v>#DIV/0!</v>
      </c>
      <c r="W968" s="89" t="str">
        <f t="shared" si="9"/>
        <v>#DIV/0!</v>
      </c>
      <c r="X968" s="89"/>
      <c r="Y968" s="89"/>
      <c r="Z968" s="89"/>
      <c r="AA968" s="89"/>
      <c r="AB968" s="89"/>
      <c r="AC968" s="89"/>
      <c r="AD968" s="89"/>
      <c r="AE968" s="89"/>
      <c r="AF968" s="89"/>
      <c r="AG968" s="89"/>
      <c r="AH968" s="89"/>
    </row>
    <row r="969">
      <c r="A969" s="8" t="s">
        <v>1107</v>
      </c>
      <c r="B969" s="97"/>
      <c r="C969" s="8"/>
      <c r="D969" s="89" t="str">
        <f t="shared" si="1"/>
        <v/>
      </c>
      <c r="E969" s="89" t="str">
        <f t="shared" si="2"/>
        <v>OT Hours</v>
      </c>
      <c r="F969" s="89" t="str">
        <f>IFERROR(VLOOKUP(C969,'Employees List'!$B$1:$G$999,2,0),"")</f>
        <v/>
      </c>
      <c r="G969" s="89" t="str">
        <f t="shared" si="23"/>
        <v>#DIV/0!</v>
      </c>
      <c r="H969" s="98"/>
      <c r="I969" s="89" t="str">
        <f>IFERROR(VLOOKUP(F969,'Employees List'!$C:$F,2,0),"")</f>
        <v/>
      </c>
      <c r="J969" s="93" t="str">
        <f>IFERROR(VLOOKUP(C969,'Employees List'!$B$2:$G$991,5,0),"")</f>
        <v/>
      </c>
      <c r="K969" s="95" t="str">
        <f>IFERROR(VLOOKUP(F969,'Employees List'!$C$1:$AB$991,5,0),"")</f>
        <v/>
      </c>
      <c r="L969" s="91">
        <f t="shared" si="3"/>
        <v>0</v>
      </c>
      <c r="M969" s="91">
        <f t="shared" si="4"/>
        <v>0</v>
      </c>
      <c r="N969" s="89" t="str">
        <f>IFERROR(VLOOKUP(B969,'Employees List'!$A$2:$H$991,8,0),"")</f>
        <v/>
      </c>
      <c r="O969" s="89" t="str">
        <f>IFERROR(VLOOKUP(D969,'Daily Attendance Report 24-25'!A933:BP999,5,0),"")</f>
        <v/>
      </c>
      <c r="P969" s="89" t="str">
        <f>IFERROR(VLOOKUP(E969,'Daily Attendance Report 24-25'!$A$1:$BO$617,5,0),"")</f>
        <v/>
      </c>
      <c r="Q969" s="89"/>
      <c r="R969" s="89"/>
      <c r="S969" s="89" t="str">
        <f t="shared" si="17"/>
        <v>#DIV/0!</v>
      </c>
      <c r="T969" s="89" t="str">
        <f t="shared" si="6"/>
        <v>#DIV/0!</v>
      </c>
      <c r="U969" s="89" t="str">
        <f t="shared" si="25"/>
        <v>#DIV/0!</v>
      </c>
      <c r="V969" s="89" t="str">
        <f t="shared" si="24"/>
        <v>#DIV/0!</v>
      </c>
      <c r="W969" s="89" t="str">
        <f t="shared" si="9"/>
        <v>#DIV/0!</v>
      </c>
      <c r="X969" s="89"/>
      <c r="Y969" s="89"/>
      <c r="Z969" s="89"/>
      <c r="AA969" s="89"/>
      <c r="AB969" s="89"/>
      <c r="AC969" s="89"/>
      <c r="AD969" s="89"/>
      <c r="AE969" s="89"/>
      <c r="AF969" s="89"/>
      <c r="AG969" s="89"/>
      <c r="AH969" s="89"/>
    </row>
    <row r="970">
      <c r="A970" s="8" t="s">
        <v>1108</v>
      </c>
      <c r="B970" s="97"/>
      <c r="C970" s="8"/>
      <c r="D970" s="89" t="str">
        <f t="shared" si="1"/>
        <v/>
      </c>
      <c r="E970" s="89" t="str">
        <f t="shared" si="2"/>
        <v>OT Hours</v>
      </c>
      <c r="F970" s="89" t="str">
        <f>IFERROR(VLOOKUP(C970,'Employees List'!$B$1:$G$999,2,0),"")</f>
        <v/>
      </c>
      <c r="G970" s="89" t="str">
        <f t="shared" si="23"/>
        <v>#DIV/0!</v>
      </c>
      <c r="H970" s="98"/>
      <c r="I970" s="89" t="str">
        <f>IFERROR(VLOOKUP(F970,'Employees List'!$C:$F,2,0),"")</f>
        <v/>
      </c>
      <c r="J970" s="93" t="str">
        <f>IFERROR(VLOOKUP(C970,'Employees List'!$B$2:$G$991,5,0),"")</f>
        <v/>
      </c>
      <c r="K970" s="95" t="str">
        <f>IFERROR(VLOOKUP(F970,'Employees List'!$C$1:$AB$991,5,0),"")</f>
        <v/>
      </c>
      <c r="L970" s="91">
        <f t="shared" si="3"/>
        <v>0</v>
      </c>
      <c r="M970" s="91">
        <f t="shared" si="4"/>
        <v>0</v>
      </c>
      <c r="N970" s="89" t="str">
        <f>IFERROR(VLOOKUP(B970,'Employees List'!$A$2:$H$991,8,0),"")</f>
        <v/>
      </c>
      <c r="O970" s="89" t="str">
        <f>IFERROR(VLOOKUP(D970,'Daily Attendance Report 24-25'!A934:BP999,5,0),"")</f>
        <v/>
      </c>
      <c r="P970" s="89" t="str">
        <f>IFERROR(VLOOKUP(E970,'Daily Attendance Report 24-25'!$A$1:$BO$617,5,0),"")</f>
        <v/>
      </c>
      <c r="Q970" s="89"/>
      <c r="R970" s="89"/>
      <c r="S970" s="89" t="str">
        <f t="shared" si="17"/>
        <v>#DIV/0!</v>
      </c>
      <c r="T970" s="89" t="str">
        <f t="shared" si="6"/>
        <v>#DIV/0!</v>
      </c>
      <c r="U970" s="89" t="str">
        <f t="shared" si="25"/>
        <v>#DIV/0!</v>
      </c>
      <c r="V970" s="89" t="str">
        <f t="shared" si="24"/>
        <v>#DIV/0!</v>
      </c>
      <c r="W970" s="89" t="str">
        <f t="shared" si="9"/>
        <v>#DIV/0!</v>
      </c>
      <c r="X970" s="89"/>
      <c r="Y970" s="89"/>
      <c r="Z970" s="89"/>
      <c r="AA970" s="89"/>
      <c r="AB970" s="89"/>
      <c r="AC970" s="89"/>
      <c r="AD970" s="89"/>
      <c r="AE970" s="89"/>
      <c r="AF970" s="89"/>
      <c r="AG970" s="89"/>
      <c r="AH970" s="89"/>
    </row>
    <row r="971">
      <c r="A971" s="8" t="s">
        <v>1109</v>
      </c>
      <c r="B971" s="97"/>
      <c r="C971" s="8"/>
      <c r="D971" s="89" t="str">
        <f t="shared" si="1"/>
        <v/>
      </c>
      <c r="E971" s="89" t="str">
        <f t="shared" si="2"/>
        <v>OT Hours</v>
      </c>
      <c r="F971" s="89" t="str">
        <f>IFERROR(VLOOKUP(C971,'Employees List'!$B$1:$G$999,2,0),"")</f>
        <v/>
      </c>
      <c r="G971" s="89" t="str">
        <f t="shared" si="23"/>
        <v>#DIV/0!</v>
      </c>
      <c r="H971" s="98"/>
      <c r="I971" s="89" t="str">
        <f>IFERROR(VLOOKUP(F971,'Employees List'!$C:$F,2,0),"")</f>
        <v/>
      </c>
      <c r="J971" s="93" t="str">
        <f>IFERROR(VLOOKUP(C971,'Employees List'!$B$2:$G$991,5,0),"")</f>
        <v/>
      </c>
      <c r="K971" s="95" t="str">
        <f>IFERROR(VLOOKUP(F971,'Employees List'!$C$1:$AB$991,5,0),"")</f>
        <v/>
      </c>
      <c r="L971" s="91">
        <f t="shared" si="3"/>
        <v>0</v>
      </c>
      <c r="M971" s="91">
        <f t="shared" si="4"/>
        <v>0</v>
      </c>
      <c r="N971" s="89" t="str">
        <f>IFERROR(VLOOKUP(B971,'Employees List'!$A$2:$H$991,8,0),"")</f>
        <v/>
      </c>
      <c r="O971" s="89" t="str">
        <f>IFERROR(VLOOKUP(D971,'Daily Attendance Report 24-25'!A935:BP999,5,0),"")</f>
        <v/>
      </c>
      <c r="P971" s="89" t="str">
        <f>IFERROR(VLOOKUP(E971,'Daily Attendance Report 24-25'!$A$1:$BO$617,5,0),"")</f>
        <v/>
      </c>
      <c r="Q971" s="89"/>
      <c r="R971" s="89"/>
      <c r="S971" s="89" t="str">
        <f t="shared" si="17"/>
        <v>#DIV/0!</v>
      </c>
      <c r="T971" s="89" t="str">
        <f t="shared" si="6"/>
        <v>#DIV/0!</v>
      </c>
      <c r="U971" s="89" t="str">
        <f t="shared" si="25"/>
        <v>#DIV/0!</v>
      </c>
      <c r="V971" s="89" t="str">
        <f t="shared" si="24"/>
        <v>#DIV/0!</v>
      </c>
      <c r="W971" s="89" t="str">
        <f t="shared" si="9"/>
        <v>#DIV/0!</v>
      </c>
      <c r="X971" s="89"/>
      <c r="Y971" s="89"/>
      <c r="Z971" s="89"/>
      <c r="AA971" s="89"/>
      <c r="AB971" s="89"/>
      <c r="AC971" s="89"/>
      <c r="AD971" s="89"/>
      <c r="AE971" s="89"/>
      <c r="AF971" s="89"/>
      <c r="AG971" s="89"/>
      <c r="AH971" s="89"/>
    </row>
    <row r="972">
      <c r="A972" s="8" t="s">
        <v>1110</v>
      </c>
      <c r="B972" s="97"/>
      <c r="C972" s="8"/>
      <c r="D972" s="89" t="str">
        <f t="shared" si="1"/>
        <v/>
      </c>
      <c r="E972" s="89" t="str">
        <f t="shared" si="2"/>
        <v>OT Hours</v>
      </c>
      <c r="F972" s="89" t="str">
        <f>IFERROR(VLOOKUP(C972,'Employees List'!$B$1:$G$999,2,0),"")</f>
        <v/>
      </c>
      <c r="G972" s="89" t="str">
        <f t="shared" si="23"/>
        <v>#DIV/0!</v>
      </c>
      <c r="H972" s="98"/>
      <c r="I972" s="89" t="str">
        <f>IFERROR(VLOOKUP(F972,'Employees List'!$C:$F,2,0),"")</f>
        <v/>
      </c>
      <c r="J972" s="93" t="str">
        <f>IFERROR(VLOOKUP(C972,'Employees List'!$B$2:$G$991,5,0),"")</f>
        <v/>
      </c>
      <c r="K972" s="95" t="str">
        <f>IFERROR(VLOOKUP(F972,'Employees List'!$C$1:$AB$991,5,0),"")</f>
        <v/>
      </c>
      <c r="L972" s="91">
        <f t="shared" si="3"/>
        <v>0</v>
      </c>
      <c r="M972" s="91">
        <f t="shared" si="4"/>
        <v>0</v>
      </c>
      <c r="N972" s="89" t="str">
        <f>IFERROR(VLOOKUP(B972,'Employees List'!$A$2:$H$991,8,0),"")</f>
        <v/>
      </c>
      <c r="O972" s="89" t="str">
        <f>IFERROR(VLOOKUP(D972,'Daily Attendance Report 24-25'!A936:BP999,5,0),"")</f>
        <v/>
      </c>
      <c r="P972" s="89" t="str">
        <f>IFERROR(VLOOKUP(E972,'Daily Attendance Report 24-25'!$A$1:$BO$617,5,0),"")</f>
        <v/>
      </c>
      <c r="Q972" s="89"/>
      <c r="R972" s="89"/>
      <c r="S972" s="89" t="str">
        <f t="shared" si="17"/>
        <v>#DIV/0!</v>
      </c>
      <c r="T972" s="89" t="str">
        <f t="shared" si="6"/>
        <v>#DIV/0!</v>
      </c>
      <c r="U972" s="89" t="str">
        <f t="shared" si="25"/>
        <v>#DIV/0!</v>
      </c>
      <c r="V972" s="89" t="str">
        <f t="shared" si="24"/>
        <v>#DIV/0!</v>
      </c>
      <c r="W972" s="89" t="str">
        <f t="shared" si="9"/>
        <v>#DIV/0!</v>
      </c>
      <c r="X972" s="89"/>
      <c r="Y972" s="89"/>
      <c r="Z972" s="89"/>
      <c r="AA972" s="89"/>
      <c r="AB972" s="89"/>
      <c r="AC972" s="89"/>
      <c r="AD972" s="89"/>
      <c r="AE972" s="89"/>
      <c r="AF972" s="89"/>
      <c r="AG972" s="89"/>
      <c r="AH972" s="89"/>
    </row>
    <row r="973">
      <c r="A973" s="8" t="s">
        <v>1111</v>
      </c>
      <c r="B973" s="97"/>
      <c r="C973" s="8"/>
      <c r="D973" s="89" t="str">
        <f t="shared" si="1"/>
        <v/>
      </c>
      <c r="E973" s="89" t="str">
        <f t="shared" si="2"/>
        <v>OT Hours</v>
      </c>
      <c r="F973" s="89" t="str">
        <f>IFERROR(VLOOKUP(C973,'Employees List'!$B$1:$G$999,2,0),"")</f>
        <v/>
      </c>
      <c r="G973" s="89" t="str">
        <f t="shared" si="23"/>
        <v>#DIV/0!</v>
      </c>
      <c r="H973" s="98"/>
      <c r="I973" s="89" t="str">
        <f>IFERROR(VLOOKUP(F973,'Employees List'!$C:$F,2,0),"")</f>
        <v/>
      </c>
      <c r="J973" s="93" t="str">
        <f>IFERROR(VLOOKUP(C973,'Employees List'!$B$2:$G$991,5,0),"")</f>
        <v/>
      </c>
      <c r="K973" s="95" t="str">
        <f>IFERROR(VLOOKUP(F973,'Employees List'!$C$1:$AB$991,5,0),"")</f>
        <v/>
      </c>
      <c r="L973" s="91">
        <f t="shared" si="3"/>
        <v>0</v>
      </c>
      <c r="M973" s="91">
        <f t="shared" si="4"/>
        <v>0</v>
      </c>
      <c r="N973" s="89" t="str">
        <f>IFERROR(VLOOKUP(B973,'Employees List'!$A$2:$H$991,8,0),"")</f>
        <v/>
      </c>
      <c r="O973" s="89" t="str">
        <f>IFERROR(VLOOKUP(D973,'Daily Attendance Report 24-25'!A937:BP999,5,0),"")</f>
        <v/>
      </c>
      <c r="P973" s="89" t="str">
        <f>IFERROR(VLOOKUP(E973,'Daily Attendance Report 24-25'!$A$1:$BO$617,5,0),"")</f>
        <v/>
      </c>
      <c r="Q973" s="89"/>
      <c r="R973" s="89"/>
      <c r="S973" s="89" t="str">
        <f t="shared" si="17"/>
        <v>#DIV/0!</v>
      </c>
      <c r="T973" s="89" t="str">
        <f t="shared" si="6"/>
        <v>#DIV/0!</v>
      </c>
      <c r="U973" s="89" t="str">
        <f t="shared" si="25"/>
        <v>#DIV/0!</v>
      </c>
      <c r="V973" s="89" t="str">
        <f t="shared" si="24"/>
        <v>#DIV/0!</v>
      </c>
      <c r="W973" s="89" t="str">
        <f t="shared" si="9"/>
        <v>#DIV/0!</v>
      </c>
      <c r="X973" s="89"/>
      <c r="Y973" s="89"/>
      <c r="Z973" s="89"/>
      <c r="AA973" s="89"/>
      <c r="AB973" s="89"/>
      <c r="AC973" s="89"/>
      <c r="AD973" s="89"/>
      <c r="AE973" s="89"/>
      <c r="AF973" s="89"/>
      <c r="AG973" s="89"/>
      <c r="AH973" s="89"/>
    </row>
    <row r="974">
      <c r="A974" s="8" t="s">
        <v>1112</v>
      </c>
      <c r="B974" s="97"/>
      <c r="C974" s="8"/>
      <c r="D974" s="89" t="str">
        <f t="shared" si="1"/>
        <v/>
      </c>
      <c r="E974" s="89" t="str">
        <f t="shared" si="2"/>
        <v>OT Hours</v>
      </c>
      <c r="F974" s="89" t="str">
        <f>IFERROR(VLOOKUP(C974,'Employees List'!$B$1:$G$999,2,0),"")</f>
        <v/>
      </c>
      <c r="G974" s="89" t="str">
        <f t="shared" si="23"/>
        <v>#DIV/0!</v>
      </c>
      <c r="H974" s="98"/>
      <c r="I974" s="89" t="str">
        <f>IFERROR(VLOOKUP(F974,'Employees List'!$C:$F,2,0),"")</f>
        <v/>
      </c>
      <c r="J974" s="93" t="str">
        <f>IFERROR(VLOOKUP(C974,'Employees List'!$B$2:$G$991,5,0),"")</f>
        <v/>
      </c>
      <c r="K974" s="95" t="str">
        <f>IFERROR(VLOOKUP(F974,'Employees List'!$C$1:$AB$991,5,0),"")</f>
        <v/>
      </c>
      <c r="L974" s="91">
        <f t="shared" si="3"/>
        <v>0</v>
      </c>
      <c r="M974" s="91">
        <f t="shared" si="4"/>
        <v>0</v>
      </c>
      <c r="N974" s="89" t="str">
        <f>IFERROR(VLOOKUP(B974,'Employees List'!$A$2:$H$991,8,0),"")</f>
        <v/>
      </c>
      <c r="O974" s="89" t="str">
        <f>IFERROR(VLOOKUP(D974,'Daily Attendance Report 24-25'!A938:BP999,5,0),"")</f>
        <v/>
      </c>
      <c r="P974" s="89" t="str">
        <f>IFERROR(VLOOKUP(E974,'Daily Attendance Report 24-25'!$A$1:$BO$617,5,0),"")</f>
        <v/>
      </c>
      <c r="Q974" s="89"/>
      <c r="R974" s="89"/>
      <c r="S974" s="89" t="str">
        <f t="shared" si="17"/>
        <v>#DIV/0!</v>
      </c>
      <c r="T974" s="89" t="str">
        <f t="shared" si="6"/>
        <v>#DIV/0!</v>
      </c>
      <c r="U974" s="89" t="str">
        <f t="shared" si="25"/>
        <v>#DIV/0!</v>
      </c>
      <c r="V974" s="89" t="str">
        <f t="shared" si="24"/>
        <v>#DIV/0!</v>
      </c>
      <c r="W974" s="89" t="str">
        <f t="shared" si="9"/>
        <v>#DIV/0!</v>
      </c>
      <c r="X974" s="89"/>
      <c r="Y974" s="89"/>
      <c r="Z974" s="89"/>
      <c r="AA974" s="89"/>
      <c r="AB974" s="89"/>
      <c r="AC974" s="89"/>
      <c r="AD974" s="89"/>
      <c r="AE974" s="89"/>
      <c r="AF974" s="89"/>
      <c r="AG974" s="89"/>
      <c r="AH974" s="89"/>
    </row>
    <row r="975">
      <c r="A975" s="8" t="s">
        <v>1113</v>
      </c>
      <c r="B975" s="97"/>
      <c r="C975" s="8"/>
      <c r="D975" s="89" t="str">
        <f t="shared" si="1"/>
        <v/>
      </c>
      <c r="E975" s="89" t="str">
        <f t="shared" si="2"/>
        <v>OT Hours</v>
      </c>
      <c r="F975" s="89" t="str">
        <f>IFERROR(VLOOKUP(C975,'Employees List'!$B$1:$G$999,2,0),"")</f>
        <v/>
      </c>
      <c r="G975" s="89" t="str">
        <f t="shared" si="23"/>
        <v>#DIV/0!</v>
      </c>
      <c r="H975" s="98"/>
      <c r="I975" s="89" t="str">
        <f>IFERROR(VLOOKUP(F975,'Employees List'!$C:$F,2,0),"")</f>
        <v/>
      </c>
      <c r="J975" s="93" t="str">
        <f>IFERROR(VLOOKUP(C975,'Employees List'!$B$2:$G$991,5,0),"")</f>
        <v/>
      </c>
      <c r="K975" s="95" t="str">
        <f>IFERROR(VLOOKUP(F975,'Employees List'!$C$1:$AB$991,5,0),"")</f>
        <v/>
      </c>
      <c r="L975" s="91">
        <f t="shared" si="3"/>
        <v>0</v>
      </c>
      <c r="M975" s="91">
        <f t="shared" si="4"/>
        <v>0</v>
      </c>
      <c r="N975" s="89" t="str">
        <f>IFERROR(VLOOKUP(B975,'Employees List'!$A$2:$H$991,8,0),"")</f>
        <v/>
      </c>
      <c r="O975" s="89" t="str">
        <f>IFERROR(VLOOKUP(D975,'Daily Attendance Report 24-25'!A939:BP999,5,0),"")</f>
        <v/>
      </c>
      <c r="P975" s="89" t="str">
        <f>IFERROR(VLOOKUP(E975,'Daily Attendance Report 24-25'!$A$1:$BO$617,5,0),"")</f>
        <v/>
      </c>
      <c r="Q975" s="89"/>
      <c r="R975" s="89"/>
      <c r="S975" s="89" t="str">
        <f t="shared" si="17"/>
        <v>#DIV/0!</v>
      </c>
      <c r="T975" s="89" t="str">
        <f t="shared" si="6"/>
        <v>#DIV/0!</v>
      </c>
      <c r="U975" s="89" t="str">
        <f t="shared" si="25"/>
        <v>#DIV/0!</v>
      </c>
      <c r="V975" s="89" t="str">
        <f t="shared" si="24"/>
        <v>#DIV/0!</v>
      </c>
      <c r="W975" s="89" t="str">
        <f t="shared" si="9"/>
        <v>#DIV/0!</v>
      </c>
      <c r="X975" s="89"/>
      <c r="Y975" s="89"/>
      <c r="Z975" s="89"/>
      <c r="AA975" s="89"/>
      <c r="AB975" s="89"/>
      <c r="AC975" s="89"/>
      <c r="AD975" s="89"/>
      <c r="AE975" s="89"/>
      <c r="AF975" s="89"/>
      <c r="AG975" s="89"/>
      <c r="AH975" s="89"/>
    </row>
    <row r="976">
      <c r="A976" s="8" t="s">
        <v>1114</v>
      </c>
      <c r="B976" s="97"/>
      <c r="C976" s="8"/>
      <c r="D976" s="89" t="str">
        <f t="shared" si="1"/>
        <v/>
      </c>
      <c r="E976" s="89" t="str">
        <f t="shared" si="2"/>
        <v>OT Hours</v>
      </c>
      <c r="F976" s="89" t="str">
        <f>IFERROR(VLOOKUP(C976,'Employees List'!$B$1:$G$999,2,0),"")</f>
        <v/>
      </c>
      <c r="G976" s="89" t="str">
        <f t="shared" si="23"/>
        <v>#DIV/0!</v>
      </c>
      <c r="H976" s="98"/>
      <c r="I976" s="89" t="str">
        <f>IFERROR(VLOOKUP(F976,'Employees List'!$C:$F,2,0),"")</f>
        <v/>
      </c>
      <c r="J976" s="93" t="str">
        <f>IFERROR(VLOOKUP(C976,'Employees List'!$B$2:$G$991,5,0),"")</f>
        <v/>
      </c>
      <c r="K976" s="95" t="str">
        <f>IFERROR(VLOOKUP(F976,'Employees List'!$C$1:$AB$991,5,0),"")</f>
        <v/>
      </c>
      <c r="L976" s="91">
        <f t="shared" si="3"/>
        <v>0</v>
      </c>
      <c r="M976" s="91">
        <f t="shared" si="4"/>
        <v>0</v>
      </c>
      <c r="N976" s="89" t="str">
        <f>IFERROR(VLOOKUP(B976,'Employees List'!$A$2:$H$991,8,0),"")</f>
        <v/>
      </c>
      <c r="O976" s="89" t="str">
        <f>IFERROR(VLOOKUP(D976,'Daily Attendance Report 24-25'!A940:BP999,5,0),"")</f>
        <v/>
      </c>
      <c r="P976" s="89" t="str">
        <f>IFERROR(VLOOKUP(E976,'Daily Attendance Report 24-25'!$A$1:$BO$617,5,0),"")</f>
        <v/>
      </c>
      <c r="Q976" s="89"/>
      <c r="R976" s="89"/>
      <c r="S976" s="89" t="str">
        <f t="shared" si="17"/>
        <v>#DIV/0!</v>
      </c>
      <c r="T976" s="89" t="str">
        <f t="shared" si="6"/>
        <v>#DIV/0!</v>
      </c>
      <c r="U976" s="89" t="str">
        <f t="shared" si="25"/>
        <v>#DIV/0!</v>
      </c>
      <c r="V976" s="89" t="str">
        <f t="shared" si="24"/>
        <v>#DIV/0!</v>
      </c>
      <c r="W976" s="89" t="str">
        <f t="shared" si="9"/>
        <v>#DIV/0!</v>
      </c>
      <c r="X976" s="89"/>
      <c r="Y976" s="89"/>
      <c r="Z976" s="89"/>
      <c r="AA976" s="89"/>
      <c r="AB976" s="89"/>
      <c r="AC976" s="89"/>
      <c r="AD976" s="89"/>
      <c r="AE976" s="89"/>
      <c r="AF976" s="89"/>
      <c r="AG976" s="89"/>
      <c r="AH976" s="89"/>
    </row>
    <row r="977">
      <c r="A977" s="8" t="s">
        <v>1115</v>
      </c>
      <c r="B977" s="97"/>
      <c r="C977" s="8"/>
      <c r="D977" s="89" t="str">
        <f t="shared" si="1"/>
        <v/>
      </c>
      <c r="E977" s="89" t="str">
        <f t="shared" si="2"/>
        <v>OT Hours</v>
      </c>
      <c r="F977" s="89" t="str">
        <f>IFERROR(VLOOKUP(C977,'Employees List'!$B$1:$G$999,2,0),"")</f>
        <v/>
      </c>
      <c r="G977" s="89" t="str">
        <f t="shared" si="23"/>
        <v>#DIV/0!</v>
      </c>
      <c r="H977" s="98"/>
      <c r="I977" s="89" t="str">
        <f>IFERROR(VLOOKUP(F977,'Employees List'!$C:$F,2,0),"")</f>
        <v/>
      </c>
      <c r="J977" s="93" t="str">
        <f>IFERROR(VLOOKUP(C977,'Employees List'!$B$2:$G$991,5,0),"")</f>
        <v/>
      </c>
      <c r="K977" s="95" t="str">
        <f>IFERROR(VLOOKUP(F977,'Employees List'!$C$1:$AB$991,5,0),"")</f>
        <v/>
      </c>
      <c r="L977" s="91">
        <f t="shared" si="3"/>
        <v>0</v>
      </c>
      <c r="M977" s="91">
        <f t="shared" si="4"/>
        <v>0</v>
      </c>
      <c r="N977" s="89" t="str">
        <f>IFERROR(VLOOKUP(B977,'Employees List'!$A$2:$H$991,8,0),"")</f>
        <v/>
      </c>
      <c r="O977" s="89" t="str">
        <f>IFERROR(VLOOKUP(D977,'Daily Attendance Report 24-25'!A941:BP999,5,0),"")</f>
        <v/>
      </c>
      <c r="P977" s="89" t="str">
        <f>IFERROR(VLOOKUP(E977,'Daily Attendance Report 24-25'!$A$1:$BO$617,5,0),"")</f>
        <v/>
      </c>
      <c r="Q977" s="89"/>
      <c r="R977" s="89"/>
      <c r="S977" s="89" t="str">
        <f t="shared" si="17"/>
        <v>#DIV/0!</v>
      </c>
      <c r="T977" s="89" t="str">
        <f t="shared" si="6"/>
        <v>#DIV/0!</v>
      </c>
      <c r="U977" s="89" t="str">
        <f t="shared" si="25"/>
        <v>#DIV/0!</v>
      </c>
      <c r="V977" s="89" t="str">
        <f t="shared" si="24"/>
        <v>#DIV/0!</v>
      </c>
      <c r="W977" s="89" t="str">
        <f t="shared" si="9"/>
        <v>#DIV/0!</v>
      </c>
      <c r="X977" s="89"/>
      <c r="Y977" s="89"/>
      <c r="Z977" s="89"/>
      <c r="AA977" s="89"/>
      <c r="AB977" s="89"/>
      <c r="AC977" s="89"/>
      <c r="AD977" s="89"/>
      <c r="AE977" s="89"/>
      <c r="AF977" s="89"/>
      <c r="AG977" s="89"/>
      <c r="AH977" s="89"/>
    </row>
    <row r="978">
      <c r="A978" s="8" t="s">
        <v>1116</v>
      </c>
      <c r="B978" s="97"/>
      <c r="C978" s="8"/>
      <c r="D978" s="89" t="str">
        <f t="shared" si="1"/>
        <v/>
      </c>
      <c r="E978" s="89" t="str">
        <f t="shared" si="2"/>
        <v>OT Hours</v>
      </c>
      <c r="F978" s="89" t="str">
        <f>IFERROR(VLOOKUP(C978,'Employees List'!$B$1:$G$999,2,0),"")</f>
        <v/>
      </c>
      <c r="G978" s="89" t="str">
        <f t="shared" si="23"/>
        <v>#DIV/0!</v>
      </c>
      <c r="H978" s="98"/>
      <c r="I978" s="89" t="str">
        <f>IFERROR(VLOOKUP(F978,'Employees List'!$C:$F,2,0),"")</f>
        <v/>
      </c>
      <c r="J978" s="93" t="str">
        <f>IFERROR(VLOOKUP(C978,'Employees List'!$B$2:$G$991,5,0),"")</f>
        <v/>
      </c>
      <c r="K978" s="95" t="str">
        <f>IFERROR(VLOOKUP(F978,'Employees List'!$C$1:$AB$991,5,0),"")</f>
        <v/>
      </c>
      <c r="L978" s="91">
        <f t="shared" si="3"/>
        <v>0</v>
      </c>
      <c r="M978" s="91">
        <f t="shared" si="4"/>
        <v>0</v>
      </c>
      <c r="N978" s="89" t="str">
        <f>IFERROR(VLOOKUP(B978,'Employees List'!$A$2:$H$991,8,0),"")</f>
        <v/>
      </c>
      <c r="O978" s="89" t="str">
        <f>IFERROR(VLOOKUP(D978,'Daily Attendance Report 24-25'!A942:BP999,5,0),"")</f>
        <v/>
      </c>
      <c r="P978" s="89" t="str">
        <f>IFERROR(VLOOKUP(E978,'Daily Attendance Report 24-25'!$A$1:$BO$617,5,0),"")</f>
        <v/>
      </c>
      <c r="Q978" s="89"/>
      <c r="R978" s="89"/>
      <c r="S978" s="89" t="str">
        <f t="shared" si="17"/>
        <v>#DIV/0!</v>
      </c>
      <c r="T978" s="89" t="str">
        <f t="shared" si="6"/>
        <v>#DIV/0!</v>
      </c>
      <c r="U978" s="89" t="str">
        <f t="shared" si="25"/>
        <v>#DIV/0!</v>
      </c>
      <c r="V978" s="89" t="str">
        <f t="shared" si="24"/>
        <v>#DIV/0!</v>
      </c>
      <c r="W978" s="89" t="str">
        <f t="shared" si="9"/>
        <v>#DIV/0!</v>
      </c>
      <c r="X978" s="89"/>
      <c r="Y978" s="89"/>
      <c r="Z978" s="89"/>
      <c r="AA978" s="89"/>
      <c r="AB978" s="89"/>
      <c r="AC978" s="89"/>
      <c r="AD978" s="89"/>
      <c r="AE978" s="89"/>
      <c r="AF978" s="89"/>
      <c r="AG978" s="89"/>
      <c r="AH978" s="89"/>
    </row>
    <row r="979">
      <c r="A979" s="8" t="s">
        <v>1117</v>
      </c>
      <c r="B979" s="97"/>
      <c r="C979" s="8"/>
      <c r="D979" s="89" t="str">
        <f t="shared" si="1"/>
        <v/>
      </c>
      <c r="E979" s="89" t="str">
        <f t="shared" si="2"/>
        <v>OT Hours</v>
      </c>
      <c r="F979" s="89" t="str">
        <f>IFERROR(VLOOKUP(C979,'Employees List'!$B$1:$G$999,2,0),"")</f>
        <v/>
      </c>
      <c r="G979" s="89" t="str">
        <f t="shared" si="23"/>
        <v>#DIV/0!</v>
      </c>
      <c r="H979" s="98"/>
      <c r="I979" s="89" t="str">
        <f>IFERROR(VLOOKUP(F979,'Employees List'!$C:$F,2,0),"")</f>
        <v/>
      </c>
      <c r="J979" s="93" t="str">
        <f>IFERROR(VLOOKUP(C979,'Employees List'!$B$2:$G$991,5,0),"")</f>
        <v/>
      </c>
      <c r="K979" s="95" t="str">
        <f>IFERROR(VLOOKUP(F979,'Employees List'!$C$1:$AB$991,5,0),"")</f>
        <v/>
      </c>
      <c r="L979" s="91">
        <f t="shared" si="3"/>
        <v>0</v>
      </c>
      <c r="M979" s="91">
        <f t="shared" si="4"/>
        <v>0</v>
      </c>
      <c r="N979" s="89" t="str">
        <f>IFERROR(VLOOKUP(B979,'Employees List'!$A$2:$H$991,8,0),"")</f>
        <v/>
      </c>
      <c r="O979" s="89" t="str">
        <f>IFERROR(VLOOKUP(D979,'Daily Attendance Report 24-25'!A943:BP999,5,0),"")</f>
        <v/>
      </c>
      <c r="P979" s="89" t="str">
        <f>IFERROR(VLOOKUP(E979,'Daily Attendance Report 24-25'!$A$1:$BO$617,5,0),"")</f>
        <v/>
      </c>
      <c r="Q979" s="89"/>
      <c r="R979" s="89"/>
      <c r="S979" s="89" t="str">
        <f t="shared" si="17"/>
        <v>#DIV/0!</v>
      </c>
      <c r="T979" s="89" t="str">
        <f t="shared" si="6"/>
        <v>#DIV/0!</v>
      </c>
      <c r="U979" s="89" t="str">
        <f t="shared" si="25"/>
        <v>#DIV/0!</v>
      </c>
      <c r="V979" s="89" t="str">
        <f t="shared" si="24"/>
        <v>#DIV/0!</v>
      </c>
      <c r="W979" s="89" t="str">
        <f t="shared" si="9"/>
        <v>#DIV/0!</v>
      </c>
      <c r="X979" s="89"/>
      <c r="Y979" s="89"/>
      <c r="Z979" s="89"/>
      <c r="AA979" s="89"/>
      <c r="AB979" s="89"/>
      <c r="AC979" s="89"/>
      <c r="AD979" s="89"/>
      <c r="AE979" s="89"/>
      <c r="AF979" s="89"/>
      <c r="AG979" s="89"/>
      <c r="AH979" s="89"/>
    </row>
    <row r="980">
      <c r="A980" s="8" t="s">
        <v>1118</v>
      </c>
      <c r="B980" s="97"/>
      <c r="C980" s="8"/>
      <c r="D980" s="89" t="str">
        <f t="shared" si="1"/>
        <v/>
      </c>
      <c r="E980" s="89" t="str">
        <f t="shared" si="2"/>
        <v>OT Hours</v>
      </c>
      <c r="F980" s="89" t="str">
        <f>IFERROR(VLOOKUP(C980,'Employees List'!$B$1:$G$999,2,0),"")</f>
        <v/>
      </c>
      <c r="G980" s="89" t="str">
        <f t="shared" si="23"/>
        <v>#DIV/0!</v>
      </c>
      <c r="H980" s="98"/>
      <c r="I980" s="89" t="str">
        <f>IFERROR(VLOOKUP(F980,'Employees List'!$C:$F,2,0),"")</f>
        <v/>
      </c>
      <c r="J980" s="93" t="str">
        <f>IFERROR(VLOOKUP(C980,'Employees List'!$B$2:$G$991,5,0),"")</f>
        <v/>
      </c>
      <c r="K980" s="95" t="str">
        <f>IFERROR(VLOOKUP(F980,'Employees List'!$C$1:$AB$991,5,0),"")</f>
        <v/>
      </c>
      <c r="L980" s="91">
        <f t="shared" si="3"/>
        <v>0</v>
      </c>
      <c r="M980" s="91">
        <f t="shared" si="4"/>
        <v>0</v>
      </c>
      <c r="N980" s="89" t="str">
        <f>IFERROR(VLOOKUP(B980,'Employees List'!$A$2:$H$991,8,0),"")</f>
        <v/>
      </c>
      <c r="O980" s="89" t="str">
        <f>IFERROR(VLOOKUP(D980,'Daily Attendance Report 24-25'!A944:BP999,5,0),"")</f>
        <v/>
      </c>
      <c r="P980" s="89" t="str">
        <f>IFERROR(VLOOKUP(E980,'Daily Attendance Report 24-25'!$A$1:$BO$617,5,0),"")</f>
        <v/>
      </c>
      <c r="Q980" s="89"/>
      <c r="R980" s="89"/>
      <c r="S980" s="89" t="str">
        <f t="shared" si="17"/>
        <v>#DIV/0!</v>
      </c>
      <c r="T980" s="89" t="str">
        <f t="shared" si="6"/>
        <v>#DIV/0!</v>
      </c>
      <c r="U980" s="89" t="str">
        <f t="shared" si="25"/>
        <v>#DIV/0!</v>
      </c>
      <c r="V980" s="89" t="str">
        <f t="shared" si="24"/>
        <v>#DIV/0!</v>
      </c>
      <c r="W980" s="89" t="str">
        <f t="shared" si="9"/>
        <v>#DIV/0!</v>
      </c>
      <c r="X980" s="89"/>
      <c r="Y980" s="89"/>
      <c r="Z980" s="89"/>
      <c r="AA980" s="89"/>
      <c r="AB980" s="89"/>
      <c r="AC980" s="89"/>
      <c r="AD980" s="89"/>
      <c r="AE980" s="89"/>
      <c r="AF980" s="89"/>
      <c r="AG980" s="89"/>
      <c r="AH980" s="89"/>
    </row>
    <row r="981">
      <c r="A981" s="8" t="s">
        <v>1119</v>
      </c>
      <c r="B981" s="97"/>
      <c r="C981" s="8"/>
      <c r="D981" s="89" t="str">
        <f t="shared" si="1"/>
        <v/>
      </c>
      <c r="E981" s="89" t="str">
        <f t="shared" si="2"/>
        <v>OT Hours</v>
      </c>
      <c r="F981" s="89" t="str">
        <f>IFERROR(VLOOKUP(C981,'Employees List'!$B$1:$G$999,2,0),"")</f>
        <v/>
      </c>
      <c r="G981" s="89" t="str">
        <f t="shared" si="23"/>
        <v>#DIV/0!</v>
      </c>
      <c r="H981" s="98"/>
      <c r="I981" s="89" t="str">
        <f>IFERROR(VLOOKUP(F981,'Employees List'!$C:$F,2,0),"")</f>
        <v/>
      </c>
      <c r="J981" s="93" t="str">
        <f>IFERROR(VLOOKUP(C981,'Employees List'!$B$2:$G$991,5,0),"")</f>
        <v/>
      </c>
      <c r="K981" s="95" t="str">
        <f>IFERROR(VLOOKUP(F981,'Employees List'!$C$1:$AB$991,5,0),"")</f>
        <v/>
      </c>
      <c r="L981" s="91">
        <f t="shared" si="3"/>
        <v>0</v>
      </c>
      <c r="M981" s="91">
        <f t="shared" si="4"/>
        <v>0</v>
      </c>
      <c r="N981" s="89" t="str">
        <f>IFERROR(VLOOKUP(B981,'Employees List'!$A$2:$H$991,8,0),"")</f>
        <v/>
      </c>
      <c r="O981" s="89" t="str">
        <f>IFERROR(VLOOKUP(D981,'Daily Attendance Report 24-25'!A945:BP999,5,0),"")</f>
        <v/>
      </c>
      <c r="P981" s="89" t="str">
        <f>IFERROR(VLOOKUP(E981,'Daily Attendance Report 24-25'!$A$1:$BO$617,5,0),"")</f>
        <v/>
      </c>
      <c r="Q981" s="89"/>
      <c r="R981" s="89"/>
      <c r="S981" s="89" t="str">
        <f t="shared" si="17"/>
        <v>#DIV/0!</v>
      </c>
      <c r="T981" s="89" t="str">
        <f t="shared" si="6"/>
        <v>#DIV/0!</v>
      </c>
      <c r="U981" s="89" t="str">
        <f t="shared" si="25"/>
        <v>#DIV/0!</v>
      </c>
      <c r="V981" s="89" t="str">
        <f t="shared" si="24"/>
        <v>#DIV/0!</v>
      </c>
      <c r="W981" s="89" t="str">
        <f t="shared" si="9"/>
        <v>#DIV/0!</v>
      </c>
      <c r="X981" s="89"/>
      <c r="Y981" s="89"/>
      <c r="Z981" s="89"/>
      <c r="AA981" s="89"/>
      <c r="AB981" s="89"/>
      <c r="AC981" s="89"/>
      <c r="AD981" s="89"/>
      <c r="AE981" s="89"/>
      <c r="AF981" s="89"/>
      <c r="AG981" s="89"/>
      <c r="AH981" s="89"/>
    </row>
    <row r="982">
      <c r="A982" s="8" t="s">
        <v>1120</v>
      </c>
      <c r="B982" s="97"/>
      <c r="C982" s="8"/>
      <c r="D982" s="89" t="str">
        <f t="shared" si="1"/>
        <v/>
      </c>
      <c r="E982" s="89" t="str">
        <f t="shared" si="2"/>
        <v>OT Hours</v>
      </c>
      <c r="F982" s="89" t="str">
        <f>IFERROR(VLOOKUP(C982,'Employees List'!$B$1:$G$999,2,0),"")</f>
        <v/>
      </c>
      <c r="G982" s="89" t="str">
        <f t="shared" si="23"/>
        <v>#DIV/0!</v>
      </c>
      <c r="H982" s="98"/>
      <c r="I982" s="89" t="str">
        <f>IFERROR(VLOOKUP(F982,'Employees List'!$C:$F,2,0),"")</f>
        <v/>
      </c>
      <c r="J982" s="93" t="str">
        <f>IFERROR(VLOOKUP(C982,'Employees List'!$B$2:$G$991,5,0),"")</f>
        <v/>
      </c>
      <c r="K982" s="95" t="str">
        <f>IFERROR(VLOOKUP(F982,'Employees List'!$C$1:$AB$991,5,0),"")</f>
        <v/>
      </c>
      <c r="L982" s="91">
        <f t="shared" si="3"/>
        <v>0</v>
      </c>
      <c r="M982" s="91">
        <f t="shared" si="4"/>
        <v>0</v>
      </c>
      <c r="N982" s="89" t="str">
        <f>IFERROR(VLOOKUP(B982,'Employees List'!$A$2:$H$991,8,0),"")</f>
        <v/>
      </c>
      <c r="O982" s="89" t="str">
        <f>IFERROR(VLOOKUP(D982,'Daily Attendance Report 24-25'!A946:BP999,5,0),"")</f>
        <v/>
      </c>
      <c r="P982" s="89" t="str">
        <f>IFERROR(VLOOKUP(E982,'Daily Attendance Report 24-25'!$A$1:$BO$617,5,0),"")</f>
        <v/>
      </c>
      <c r="Q982" s="89"/>
      <c r="R982" s="89"/>
      <c r="S982" s="89" t="str">
        <f t="shared" si="17"/>
        <v>#DIV/0!</v>
      </c>
      <c r="T982" s="89" t="str">
        <f t="shared" si="6"/>
        <v>#DIV/0!</v>
      </c>
      <c r="U982" s="89" t="str">
        <f t="shared" si="25"/>
        <v>#DIV/0!</v>
      </c>
      <c r="V982" s="89" t="str">
        <f t="shared" si="24"/>
        <v>#DIV/0!</v>
      </c>
      <c r="W982" s="89" t="str">
        <f t="shared" si="9"/>
        <v>#DIV/0!</v>
      </c>
      <c r="X982" s="89"/>
      <c r="Y982" s="89"/>
      <c r="Z982" s="89"/>
      <c r="AA982" s="89"/>
      <c r="AB982" s="89"/>
      <c r="AC982" s="89"/>
      <c r="AD982" s="89"/>
      <c r="AE982" s="89"/>
      <c r="AF982" s="89"/>
      <c r="AG982" s="89"/>
      <c r="AH982" s="89"/>
    </row>
    <row r="983">
      <c r="A983" s="8" t="s">
        <v>1121</v>
      </c>
      <c r="B983" s="97"/>
      <c r="C983" s="8"/>
      <c r="D983" s="89" t="str">
        <f t="shared" si="1"/>
        <v/>
      </c>
      <c r="E983" s="89" t="str">
        <f t="shared" si="2"/>
        <v>OT Hours</v>
      </c>
      <c r="F983" s="89" t="str">
        <f>IFERROR(VLOOKUP(C983,'Employees List'!$B$1:$G$999,2,0),"")</f>
        <v/>
      </c>
      <c r="G983" s="89" t="str">
        <f t="shared" si="23"/>
        <v>#DIV/0!</v>
      </c>
      <c r="H983" s="98"/>
      <c r="I983" s="89" t="str">
        <f>IFERROR(VLOOKUP(F983,'Employees List'!$C:$F,2,0),"")</f>
        <v/>
      </c>
      <c r="J983" s="93" t="str">
        <f>IFERROR(VLOOKUP(C983,'Employees List'!$B$2:$G$991,5,0),"")</f>
        <v/>
      </c>
      <c r="K983" s="95" t="str">
        <f>IFERROR(VLOOKUP(F983,'Employees List'!$C$1:$AB$991,5,0),"")</f>
        <v/>
      </c>
      <c r="L983" s="91">
        <f t="shared" si="3"/>
        <v>0</v>
      </c>
      <c r="M983" s="91">
        <f t="shared" si="4"/>
        <v>0</v>
      </c>
      <c r="N983" s="89" t="str">
        <f>IFERROR(VLOOKUP(B983,'Employees List'!$A$2:$H$991,8,0),"")</f>
        <v/>
      </c>
      <c r="O983" s="89" t="str">
        <f>IFERROR(VLOOKUP(D983,'Daily Attendance Report 24-25'!A947:BP999,5,0),"")</f>
        <v/>
      </c>
      <c r="P983" s="89" t="str">
        <f>IFERROR(VLOOKUP(E983,'Daily Attendance Report 24-25'!$A$1:$BO$617,5,0),"")</f>
        <v/>
      </c>
      <c r="Q983" s="89"/>
      <c r="R983" s="89"/>
      <c r="S983" s="89" t="str">
        <f t="shared" si="17"/>
        <v>#DIV/0!</v>
      </c>
      <c r="T983" s="89" t="str">
        <f t="shared" si="6"/>
        <v>#DIV/0!</v>
      </c>
      <c r="U983" s="89" t="str">
        <f t="shared" si="25"/>
        <v>#DIV/0!</v>
      </c>
      <c r="V983" s="89" t="str">
        <f t="shared" si="24"/>
        <v>#DIV/0!</v>
      </c>
      <c r="W983" s="89" t="str">
        <f t="shared" si="9"/>
        <v>#DIV/0!</v>
      </c>
      <c r="X983" s="89"/>
      <c r="Y983" s="89"/>
      <c r="Z983" s="89"/>
      <c r="AA983" s="89"/>
      <c r="AB983" s="89"/>
      <c r="AC983" s="89"/>
      <c r="AD983" s="89"/>
      <c r="AE983" s="89"/>
      <c r="AF983" s="89"/>
      <c r="AG983" s="89"/>
      <c r="AH983" s="89"/>
    </row>
    <row r="984">
      <c r="A984" s="8" t="s">
        <v>1122</v>
      </c>
      <c r="B984" s="97"/>
      <c r="C984" s="8"/>
      <c r="D984" s="89" t="str">
        <f t="shared" si="1"/>
        <v/>
      </c>
      <c r="E984" s="89" t="str">
        <f t="shared" si="2"/>
        <v>OT Hours</v>
      </c>
      <c r="F984" s="89" t="str">
        <f>IFERROR(VLOOKUP(C984,'Employees List'!$B$1:$G$999,2,0),"")</f>
        <v/>
      </c>
      <c r="G984" s="89" t="str">
        <f t="shared" si="23"/>
        <v>#DIV/0!</v>
      </c>
      <c r="H984" s="98"/>
      <c r="I984" s="89" t="str">
        <f>IFERROR(VLOOKUP(F984,'Employees List'!$C:$F,2,0),"")</f>
        <v/>
      </c>
      <c r="J984" s="93" t="str">
        <f>IFERROR(VLOOKUP(C984,'Employees List'!$B$2:$G$991,5,0),"")</f>
        <v/>
      </c>
      <c r="K984" s="95" t="str">
        <f>IFERROR(VLOOKUP(F984,'Employees List'!$C$1:$AB$991,5,0),"")</f>
        <v/>
      </c>
      <c r="L984" s="91">
        <f t="shared" si="3"/>
        <v>0</v>
      </c>
      <c r="M984" s="91">
        <f t="shared" si="4"/>
        <v>0</v>
      </c>
      <c r="N984" s="89" t="str">
        <f>IFERROR(VLOOKUP(B984,'Employees List'!$A$2:$H$991,8,0),"")</f>
        <v/>
      </c>
      <c r="O984" s="89" t="str">
        <f>IFERROR(VLOOKUP(D984,'Daily Attendance Report 24-25'!A948:BP999,5,0),"")</f>
        <v/>
      </c>
      <c r="P984" s="89" t="str">
        <f>IFERROR(VLOOKUP(E984,'Daily Attendance Report 24-25'!$A$1:$BO$617,5,0),"")</f>
        <v/>
      </c>
      <c r="Q984" s="89"/>
      <c r="R984" s="89"/>
      <c r="S984" s="89" t="str">
        <f t="shared" si="17"/>
        <v>#DIV/0!</v>
      </c>
      <c r="T984" s="89" t="str">
        <f t="shared" si="6"/>
        <v>#DIV/0!</v>
      </c>
      <c r="U984" s="89" t="str">
        <f t="shared" si="25"/>
        <v>#DIV/0!</v>
      </c>
      <c r="V984" s="89" t="str">
        <f t="shared" si="24"/>
        <v>#DIV/0!</v>
      </c>
      <c r="W984" s="89" t="str">
        <f t="shared" si="9"/>
        <v>#DIV/0!</v>
      </c>
      <c r="X984" s="89"/>
      <c r="Y984" s="89"/>
      <c r="Z984" s="89"/>
      <c r="AA984" s="89"/>
      <c r="AB984" s="89"/>
      <c r="AC984" s="89"/>
      <c r="AD984" s="89"/>
      <c r="AE984" s="89"/>
      <c r="AF984" s="89"/>
      <c r="AG984" s="89"/>
      <c r="AH984" s="89"/>
    </row>
    <row r="985">
      <c r="A985" s="8" t="s">
        <v>1123</v>
      </c>
      <c r="B985" s="97"/>
      <c r="C985" s="8"/>
      <c r="D985" s="89" t="str">
        <f t="shared" si="1"/>
        <v/>
      </c>
      <c r="E985" s="89" t="str">
        <f t="shared" si="2"/>
        <v>OT Hours</v>
      </c>
      <c r="F985" s="89" t="str">
        <f>IFERROR(VLOOKUP(C985,'Employees List'!$B$1:$G$999,2,0),"")</f>
        <v/>
      </c>
      <c r="G985" s="89" t="str">
        <f t="shared" si="23"/>
        <v>#DIV/0!</v>
      </c>
      <c r="H985" s="98"/>
      <c r="I985" s="89" t="str">
        <f>IFERROR(VLOOKUP(F985,'Employees List'!$C:$F,2,0),"")</f>
        <v/>
      </c>
      <c r="J985" s="93" t="str">
        <f>IFERROR(VLOOKUP(C985,'Employees List'!$B$2:$G$991,5,0),"")</f>
        <v/>
      </c>
      <c r="K985" s="95" t="str">
        <f>IFERROR(VLOOKUP(F985,'Employees List'!$C$1:$AB$991,5,0),"")</f>
        <v/>
      </c>
      <c r="L985" s="91">
        <f t="shared" si="3"/>
        <v>0</v>
      </c>
      <c r="M985" s="91">
        <f t="shared" si="4"/>
        <v>0</v>
      </c>
      <c r="N985" s="89" t="str">
        <f>IFERROR(VLOOKUP(B985,'Employees List'!$A$2:$H$991,8,0),"")</f>
        <v/>
      </c>
      <c r="O985" s="89" t="str">
        <f>IFERROR(VLOOKUP(D985,'Daily Attendance Report 24-25'!A949:BP999,5,0),"")</f>
        <v/>
      </c>
      <c r="P985" s="89" t="str">
        <f>IFERROR(VLOOKUP(E985,'Daily Attendance Report 24-25'!$A$1:$BO$617,5,0),"")</f>
        <v/>
      </c>
      <c r="Q985" s="89"/>
      <c r="R985" s="89"/>
      <c r="S985" s="89" t="str">
        <f t="shared" si="17"/>
        <v>#DIV/0!</v>
      </c>
      <c r="T985" s="89" t="str">
        <f t="shared" si="6"/>
        <v>#DIV/0!</v>
      </c>
      <c r="U985" s="89" t="str">
        <f t="shared" si="25"/>
        <v>#DIV/0!</v>
      </c>
      <c r="V985" s="89" t="str">
        <f t="shared" si="24"/>
        <v>#DIV/0!</v>
      </c>
      <c r="W985" s="89" t="str">
        <f t="shared" si="9"/>
        <v>#DIV/0!</v>
      </c>
      <c r="X985" s="89"/>
      <c r="Y985" s="89"/>
      <c r="Z985" s="89"/>
      <c r="AA985" s="89"/>
      <c r="AB985" s="89"/>
      <c r="AC985" s="89"/>
      <c r="AD985" s="89"/>
      <c r="AE985" s="89"/>
      <c r="AF985" s="89"/>
      <c r="AG985" s="89"/>
      <c r="AH985" s="89"/>
    </row>
    <row r="986">
      <c r="A986" s="8" t="s">
        <v>1124</v>
      </c>
      <c r="B986" s="97"/>
      <c r="C986" s="8"/>
      <c r="D986" s="89" t="str">
        <f t="shared" si="1"/>
        <v/>
      </c>
      <c r="E986" s="89" t="str">
        <f t="shared" si="2"/>
        <v>OT Hours</v>
      </c>
      <c r="F986" s="89" t="str">
        <f>IFERROR(VLOOKUP(C986,'Employees List'!$B$1:$G$999,2,0),"")</f>
        <v/>
      </c>
      <c r="G986" s="89" t="str">
        <f t="shared" si="23"/>
        <v>#DIV/0!</v>
      </c>
      <c r="H986" s="98"/>
      <c r="I986" s="89" t="str">
        <f>IFERROR(VLOOKUP(F986,'Employees List'!$C:$F,2,0),"")</f>
        <v/>
      </c>
      <c r="J986" s="93" t="str">
        <f>IFERROR(VLOOKUP(C986,'Employees List'!$B$2:$G$991,5,0),"")</f>
        <v/>
      </c>
      <c r="K986" s="95" t="str">
        <f>IFERROR(VLOOKUP(F986,'Employees List'!$C$1:$AB$991,5,0),"")</f>
        <v/>
      </c>
      <c r="L986" s="91">
        <f t="shared" si="3"/>
        <v>0</v>
      </c>
      <c r="M986" s="91">
        <f t="shared" si="4"/>
        <v>0</v>
      </c>
      <c r="N986" s="89" t="str">
        <f>IFERROR(VLOOKUP(B986,'Employees List'!$A$2:$H$991,8,0),"")</f>
        <v/>
      </c>
      <c r="O986" s="89" t="str">
        <f>IFERROR(VLOOKUP(D986,'Daily Attendance Report 24-25'!A950:BP999,5,0),"")</f>
        <v/>
      </c>
      <c r="P986" s="89" t="str">
        <f>IFERROR(VLOOKUP(E986,'Daily Attendance Report 24-25'!$A$1:$BO$617,5,0),"")</f>
        <v/>
      </c>
      <c r="Q986" s="89"/>
      <c r="R986" s="89"/>
      <c r="S986" s="89" t="str">
        <f t="shared" si="17"/>
        <v>#DIV/0!</v>
      </c>
      <c r="T986" s="89" t="str">
        <f t="shared" si="6"/>
        <v>#DIV/0!</v>
      </c>
      <c r="U986" s="89" t="str">
        <f t="shared" si="25"/>
        <v>#DIV/0!</v>
      </c>
      <c r="V986" s="89" t="str">
        <f t="shared" si="24"/>
        <v>#DIV/0!</v>
      </c>
      <c r="W986" s="89" t="str">
        <f t="shared" si="9"/>
        <v>#DIV/0!</v>
      </c>
      <c r="X986" s="89"/>
      <c r="Y986" s="89"/>
      <c r="Z986" s="89"/>
      <c r="AA986" s="89"/>
      <c r="AB986" s="89"/>
      <c r="AC986" s="89"/>
      <c r="AD986" s="89"/>
      <c r="AE986" s="89"/>
      <c r="AF986" s="89"/>
      <c r="AG986" s="89"/>
      <c r="AH986" s="89"/>
    </row>
    <row r="987">
      <c r="A987" s="8" t="s">
        <v>1125</v>
      </c>
      <c r="B987" s="97"/>
      <c r="C987" s="8"/>
      <c r="D987" s="89" t="str">
        <f t="shared" si="1"/>
        <v/>
      </c>
      <c r="E987" s="89" t="str">
        <f t="shared" si="2"/>
        <v>OT Hours</v>
      </c>
      <c r="F987" s="89" t="str">
        <f>IFERROR(VLOOKUP(C987,'Employees List'!$B$1:$G$999,2,0),"")</f>
        <v/>
      </c>
      <c r="G987" s="89" t="str">
        <f t="shared" si="23"/>
        <v>#DIV/0!</v>
      </c>
      <c r="H987" s="98"/>
      <c r="I987" s="89" t="str">
        <f>IFERROR(VLOOKUP(F987,'Employees List'!$C:$F,2,0),"")</f>
        <v/>
      </c>
      <c r="J987" s="93" t="str">
        <f>IFERROR(VLOOKUP(C987,'Employees List'!$B$2:$G$991,5,0),"")</f>
        <v/>
      </c>
      <c r="K987" s="95" t="str">
        <f>IFERROR(VLOOKUP(F987,'Employees List'!$C$1:$AB$991,5,0),"")</f>
        <v/>
      </c>
      <c r="L987" s="91">
        <f t="shared" si="3"/>
        <v>0</v>
      </c>
      <c r="M987" s="91">
        <f t="shared" si="4"/>
        <v>0</v>
      </c>
      <c r="N987" s="89" t="str">
        <f>IFERROR(VLOOKUP(B987,'Employees List'!$A$2:$H$991,8,0),"")</f>
        <v/>
      </c>
      <c r="O987" s="89" t="str">
        <f>IFERROR(VLOOKUP(D987,'Daily Attendance Report 24-25'!A951:BP999,5,0),"")</f>
        <v/>
      </c>
      <c r="P987" s="89" t="str">
        <f>IFERROR(VLOOKUP(E987,'Daily Attendance Report 24-25'!$A$1:$BO$617,5,0),"")</f>
        <v/>
      </c>
      <c r="Q987" s="89"/>
      <c r="R987" s="89"/>
      <c r="S987" s="89" t="str">
        <f t="shared" si="17"/>
        <v>#DIV/0!</v>
      </c>
      <c r="T987" s="89" t="str">
        <f t="shared" si="6"/>
        <v>#DIV/0!</v>
      </c>
      <c r="U987" s="89" t="str">
        <f t="shared" si="25"/>
        <v>#DIV/0!</v>
      </c>
      <c r="V987" s="89" t="str">
        <f t="shared" si="24"/>
        <v>#DIV/0!</v>
      </c>
      <c r="W987" s="89" t="str">
        <f t="shared" si="9"/>
        <v>#DIV/0!</v>
      </c>
      <c r="X987" s="89"/>
      <c r="Y987" s="89"/>
      <c r="Z987" s="89"/>
      <c r="AA987" s="89"/>
      <c r="AB987" s="89"/>
      <c r="AC987" s="89"/>
      <c r="AD987" s="89"/>
      <c r="AE987" s="89"/>
      <c r="AF987" s="89"/>
      <c r="AG987" s="89"/>
      <c r="AH987" s="89"/>
    </row>
    <row r="988">
      <c r="A988" s="8" t="s">
        <v>1126</v>
      </c>
      <c r="B988" s="97"/>
      <c r="C988" s="8"/>
      <c r="D988" s="89" t="str">
        <f t="shared" si="1"/>
        <v/>
      </c>
      <c r="E988" s="89" t="str">
        <f t="shared" si="2"/>
        <v>OT Hours</v>
      </c>
      <c r="F988" s="89" t="str">
        <f>IFERROR(VLOOKUP(C988,'Employees List'!$B$1:$G$999,2,0),"")</f>
        <v/>
      </c>
      <c r="G988" s="89" t="str">
        <f t="shared" si="23"/>
        <v>#DIV/0!</v>
      </c>
      <c r="H988" s="98"/>
      <c r="I988" s="89" t="str">
        <f>IFERROR(VLOOKUP(F988,'Employees List'!$C:$F,2,0),"")</f>
        <v/>
      </c>
      <c r="J988" s="93" t="str">
        <f>IFERROR(VLOOKUP(C988,'Employees List'!$B$2:$G$991,5,0),"")</f>
        <v/>
      </c>
      <c r="K988" s="95" t="str">
        <f>IFERROR(VLOOKUP(F988,'Employees List'!$C$1:$AB$991,5,0),"")</f>
        <v/>
      </c>
      <c r="L988" s="91">
        <f t="shared" si="3"/>
        <v>0</v>
      </c>
      <c r="M988" s="91">
        <f t="shared" si="4"/>
        <v>0</v>
      </c>
      <c r="N988" s="89" t="str">
        <f>IFERROR(VLOOKUP(B988,'Employees List'!$A$2:$H$991,8,0),"")</f>
        <v/>
      </c>
      <c r="O988" s="89" t="str">
        <f>IFERROR(VLOOKUP(D988,'Daily Attendance Report 24-25'!A952:BP999,5,0),"")</f>
        <v/>
      </c>
      <c r="P988" s="89" t="str">
        <f>IFERROR(VLOOKUP(E988,'Daily Attendance Report 24-25'!$A$1:$BO$617,5,0),"")</f>
        <v/>
      </c>
      <c r="Q988" s="89"/>
      <c r="R988" s="89"/>
      <c r="S988" s="89" t="str">
        <f t="shared" si="17"/>
        <v>#DIV/0!</v>
      </c>
      <c r="T988" s="89" t="str">
        <f t="shared" si="6"/>
        <v>#DIV/0!</v>
      </c>
      <c r="U988" s="89" t="str">
        <f t="shared" si="25"/>
        <v>#DIV/0!</v>
      </c>
      <c r="V988" s="89" t="str">
        <f t="shared" si="24"/>
        <v>#DIV/0!</v>
      </c>
      <c r="W988" s="89" t="str">
        <f t="shared" si="9"/>
        <v>#DIV/0!</v>
      </c>
      <c r="X988" s="89"/>
      <c r="Y988" s="89"/>
      <c r="Z988" s="89"/>
      <c r="AA988" s="89"/>
      <c r="AB988" s="89"/>
      <c r="AC988" s="89"/>
      <c r="AD988" s="89"/>
      <c r="AE988" s="89"/>
      <c r="AF988" s="89"/>
      <c r="AG988" s="89"/>
      <c r="AH988" s="89"/>
    </row>
    <row r="989">
      <c r="A989" s="8" t="s">
        <v>1127</v>
      </c>
      <c r="B989" s="97"/>
      <c r="C989" s="8"/>
      <c r="D989" s="89" t="str">
        <f t="shared" si="1"/>
        <v/>
      </c>
      <c r="E989" s="89" t="str">
        <f t="shared" si="2"/>
        <v>OT Hours</v>
      </c>
      <c r="F989" s="89" t="str">
        <f>IFERROR(VLOOKUP(C989,'Employees List'!$B$1:$G$999,2,0),"")</f>
        <v/>
      </c>
      <c r="G989" s="89" t="str">
        <f t="shared" si="23"/>
        <v>#DIV/0!</v>
      </c>
      <c r="H989" s="98"/>
      <c r="I989" s="89" t="str">
        <f>IFERROR(VLOOKUP(F989,'Employees List'!$C:$F,2,0),"")</f>
        <v/>
      </c>
      <c r="J989" s="93" t="str">
        <f>IFERROR(VLOOKUP(C989,'Employees List'!$B$2:$G$991,5,0),"")</f>
        <v/>
      </c>
      <c r="K989" s="95" t="str">
        <f>IFERROR(VLOOKUP(F989,'Employees List'!$C$1:$AB$991,5,0),"")</f>
        <v/>
      </c>
      <c r="L989" s="91">
        <f t="shared" si="3"/>
        <v>0</v>
      </c>
      <c r="M989" s="91">
        <f t="shared" si="4"/>
        <v>0</v>
      </c>
      <c r="N989" s="89" t="str">
        <f>IFERROR(VLOOKUP(B989,'Employees List'!$A$2:$H$991,8,0),"")</f>
        <v/>
      </c>
      <c r="O989" s="89" t="str">
        <f>IFERROR(VLOOKUP(D989,'Daily Attendance Report 24-25'!A953:BP999,5,0),"")</f>
        <v/>
      </c>
      <c r="P989" s="89" t="str">
        <f>IFERROR(VLOOKUP(E989,'Daily Attendance Report 24-25'!$A$1:$BO$617,5,0),"")</f>
        <v/>
      </c>
      <c r="Q989" s="89"/>
      <c r="R989" s="89"/>
      <c r="S989" s="89" t="str">
        <f t="shared" si="17"/>
        <v>#DIV/0!</v>
      </c>
      <c r="T989" s="89" t="str">
        <f t="shared" si="6"/>
        <v>#DIV/0!</v>
      </c>
      <c r="U989" s="89" t="str">
        <f t="shared" si="25"/>
        <v>#DIV/0!</v>
      </c>
      <c r="V989" s="89" t="str">
        <f t="shared" si="24"/>
        <v>#DIV/0!</v>
      </c>
      <c r="W989" s="89" t="str">
        <f t="shared" si="9"/>
        <v>#DIV/0!</v>
      </c>
      <c r="X989" s="89"/>
      <c r="Y989" s="89"/>
      <c r="Z989" s="89"/>
      <c r="AA989" s="89"/>
      <c r="AB989" s="89"/>
      <c r="AC989" s="89"/>
      <c r="AD989" s="89"/>
      <c r="AE989" s="89"/>
      <c r="AF989" s="89"/>
      <c r="AG989" s="89"/>
      <c r="AH989" s="89"/>
    </row>
    <row r="990">
      <c r="A990" s="8" t="s">
        <v>1128</v>
      </c>
      <c r="B990" s="97"/>
      <c r="C990" s="8"/>
      <c r="D990" s="89" t="str">
        <f t="shared" si="1"/>
        <v/>
      </c>
      <c r="E990" s="89" t="str">
        <f t="shared" si="2"/>
        <v>OT Hours</v>
      </c>
      <c r="F990" s="89" t="str">
        <f>IFERROR(VLOOKUP(C990,'Employees List'!$B$1:$G$999,2,0),"")</f>
        <v/>
      </c>
      <c r="G990" s="89" t="str">
        <f t="shared" si="23"/>
        <v>#DIV/0!</v>
      </c>
      <c r="H990" s="98"/>
      <c r="I990" s="89" t="str">
        <f>IFERROR(VLOOKUP(F990,'Employees List'!$C:$F,2,0),"")</f>
        <v/>
      </c>
      <c r="J990" s="93" t="str">
        <f>IFERROR(VLOOKUP(C990,'Employees List'!$B$2:$G$991,5,0),"")</f>
        <v/>
      </c>
      <c r="K990" s="95" t="str">
        <f>IFERROR(VLOOKUP(F990,'Employees List'!$C$1:$AB$991,5,0),"")</f>
        <v/>
      </c>
      <c r="L990" s="91">
        <f t="shared" si="3"/>
        <v>0</v>
      </c>
      <c r="M990" s="91">
        <f t="shared" si="4"/>
        <v>0</v>
      </c>
      <c r="N990" s="89" t="str">
        <f>IFERROR(VLOOKUP(B990,'Employees List'!$A$2:$H$991,8,0),"")</f>
        <v/>
      </c>
      <c r="O990" s="89" t="str">
        <f>IFERROR(VLOOKUP(D990,'Daily Attendance Report 24-25'!A954:BP999,5,0),"")</f>
        <v/>
      </c>
      <c r="P990" s="89" t="str">
        <f>IFERROR(VLOOKUP(E990,'Daily Attendance Report 24-25'!$A$1:$BO$617,5,0),"")</f>
        <v/>
      </c>
      <c r="Q990" s="89"/>
      <c r="R990" s="89"/>
      <c r="S990" s="89" t="str">
        <f t="shared" si="17"/>
        <v>#DIV/0!</v>
      </c>
      <c r="T990" s="89" t="str">
        <f t="shared" si="6"/>
        <v>#DIV/0!</v>
      </c>
      <c r="U990" s="89" t="str">
        <f t="shared" si="25"/>
        <v>#DIV/0!</v>
      </c>
      <c r="V990" s="89" t="str">
        <f t="shared" si="24"/>
        <v>#DIV/0!</v>
      </c>
      <c r="W990" s="89" t="str">
        <f t="shared" si="9"/>
        <v>#DIV/0!</v>
      </c>
      <c r="X990" s="89"/>
      <c r="Y990" s="89"/>
      <c r="Z990" s="89"/>
      <c r="AA990" s="89"/>
      <c r="AB990" s="89"/>
      <c r="AC990" s="89"/>
      <c r="AD990" s="89"/>
      <c r="AE990" s="89"/>
      <c r="AF990" s="89"/>
      <c r="AG990" s="89"/>
      <c r="AH990" s="89"/>
    </row>
    <row r="991">
      <c r="A991" s="8" t="s">
        <v>1129</v>
      </c>
      <c r="B991" s="97"/>
      <c r="C991" s="8"/>
      <c r="D991" s="89" t="str">
        <f t="shared" si="1"/>
        <v/>
      </c>
      <c r="E991" s="89" t="str">
        <f t="shared" si="2"/>
        <v>OT Hours</v>
      </c>
      <c r="F991" s="89" t="str">
        <f>IFERROR(VLOOKUP(C991,'Employees List'!$B$1:$G$999,2,0),"")</f>
        <v/>
      </c>
      <c r="G991" s="89" t="str">
        <f t="shared" si="23"/>
        <v>#DIV/0!</v>
      </c>
      <c r="H991" s="98"/>
      <c r="I991" s="89" t="str">
        <f>IFERROR(VLOOKUP(F991,'Employees List'!$C:$F,2,0),"")</f>
        <v/>
      </c>
      <c r="J991" s="93" t="str">
        <f>IFERROR(VLOOKUP(C991,'Employees List'!$B$2:$G$991,5,0),"")</f>
        <v/>
      </c>
      <c r="K991" s="95" t="str">
        <f>IFERROR(VLOOKUP(F991,'Employees List'!$C$1:$AB$991,5,0),"")</f>
        <v/>
      </c>
      <c r="L991" s="91">
        <f t="shared" si="3"/>
        <v>0</v>
      </c>
      <c r="M991" s="91">
        <f t="shared" si="4"/>
        <v>0</v>
      </c>
      <c r="N991" s="89" t="str">
        <f>IFERROR(VLOOKUP(B991,'Employees List'!$A$2:$H$991,8,0),"")</f>
        <v/>
      </c>
      <c r="O991" s="89" t="str">
        <f>IFERROR(VLOOKUP(D991,'Daily Attendance Report 24-25'!A955:BP999,5,0),"")</f>
        <v/>
      </c>
      <c r="P991" s="89" t="str">
        <f>IFERROR(VLOOKUP(E991,'Daily Attendance Report 24-25'!$A$1:$BO$617,5,0),"")</f>
        <v/>
      </c>
      <c r="Q991" s="89"/>
      <c r="R991" s="89"/>
      <c r="S991" s="89" t="str">
        <f t="shared" si="17"/>
        <v>#DIV/0!</v>
      </c>
      <c r="T991" s="89" t="str">
        <f t="shared" si="6"/>
        <v>#DIV/0!</v>
      </c>
      <c r="U991" s="89" t="str">
        <f t="shared" si="25"/>
        <v>#DIV/0!</v>
      </c>
      <c r="V991" s="89" t="str">
        <f t="shared" si="24"/>
        <v>#DIV/0!</v>
      </c>
      <c r="W991" s="89" t="str">
        <f t="shared" si="9"/>
        <v>#DIV/0!</v>
      </c>
      <c r="X991" s="89"/>
      <c r="Y991" s="89"/>
      <c r="Z991" s="89"/>
      <c r="AA991" s="89"/>
      <c r="AB991" s="89"/>
      <c r="AC991" s="89"/>
      <c r="AD991" s="89"/>
      <c r="AE991" s="89"/>
      <c r="AF991" s="89"/>
      <c r="AG991" s="89"/>
      <c r="AH991" s="89"/>
    </row>
    <row r="992">
      <c r="A992" s="8" t="s">
        <v>1130</v>
      </c>
      <c r="B992" s="97"/>
      <c r="C992" s="8"/>
      <c r="D992" s="89" t="str">
        <f t="shared" si="1"/>
        <v/>
      </c>
      <c r="E992" s="89" t="str">
        <f t="shared" si="2"/>
        <v>OT Hours</v>
      </c>
      <c r="F992" s="89" t="str">
        <f>IFERROR(VLOOKUP(C992,'Employees List'!$B$1:$G$999,2,0),"")</f>
        <v/>
      </c>
      <c r="G992" s="89" t="str">
        <f t="shared" si="23"/>
        <v>#DIV/0!</v>
      </c>
      <c r="H992" s="98"/>
      <c r="I992" s="89" t="str">
        <f>IFERROR(VLOOKUP(F992,'Employees List'!$C:$F,2,0),"")</f>
        <v/>
      </c>
      <c r="J992" s="93" t="str">
        <f>IFERROR(VLOOKUP(C992,'Employees List'!$B$2:$G$991,5,0),"")</f>
        <v/>
      </c>
      <c r="K992" s="95" t="str">
        <f>IFERROR(VLOOKUP(F992,'Employees List'!$C$1:$AB$991,5,0),"")</f>
        <v/>
      </c>
      <c r="L992" s="91">
        <f t="shared" si="3"/>
        <v>0</v>
      </c>
      <c r="M992" s="91">
        <f t="shared" si="4"/>
        <v>0</v>
      </c>
      <c r="N992" s="89" t="str">
        <f>IFERROR(VLOOKUP(B992,'Employees List'!$A$2:$H$991,8,0),"")</f>
        <v/>
      </c>
      <c r="O992" s="89" t="str">
        <f>IFERROR(VLOOKUP(D992,'Daily Attendance Report 24-25'!A956:BP999,5,0),"")</f>
        <v/>
      </c>
      <c r="P992" s="89" t="str">
        <f>IFERROR(VLOOKUP(E992,'Daily Attendance Report 24-25'!$A$1:$BO$617,5,0),"")</f>
        <v/>
      </c>
      <c r="Q992" s="89"/>
      <c r="R992" s="89"/>
      <c r="S992" s="89" t="str">
        <f t="shared" si="17"/>
        <v>#DIV/0!</v>
      </c>
      <c r="T992" s="89" t="str">
        <f t="shared" si="6"/>
        <v>#DIV/0!</v>
      </c>
      <c r="U992" s="89" t="str">
        <f t="shared" si="25"/>
        <v>#DIV/0!</v>
      </c>
      <c r="V992" s="89" t="str">
        <f t="shared" si="24"/>
        <v>#DIV/0!</v>
      </c>
      <c r="W992" s="89" t="str">
        <f t="shared" si="9"/>
        <v>#DIV/0!</v>
      </c>
      <c r="X992" s="89"/>
      <c r="Y992" s="89"/>
      <c r="Z992" s="89"/>
      <c r="AA992" s="89"/>
      <c r="AB992" s="89"/>
      <c r="AC992" s="89"/>
      <c r="AD992" s="89"/>
      <c r="AE992" s="89"/>
      <c r="AF992" s="89"/>
      <c r="AG992" s="89"/>
      <c r="AH992" s="89"/>
    </row>
    <row r="993">
      <c r="A993" s="8" t="s">
        <v>1131</v>
      </c>
      <c r="B993" s="97"/>
      <c r="C993" s="8"/>
      <c r="D993" s="89" t="str">
        <f t="shared" si="1"/>
        <v/>
      </c>
      <c r="E993" s="89" t="str">
        <f t="shared" si="2"/>
        <v>OT Hours</v>
      </c>
      <c r="F993" s="89" t="str">
        <f>IFERROR(VLOOKUP(C993,'Employees List'!$B$1:$G$999,2,0),"")</f>
        <v/>
      </c>
      <c r="G993" s="89" t="str">
        <f t="shared" si="23"/>
        <v>#DIV/0!</v>
      </c>
      <c r="H993" s="98"/>
      <c r="I993" s="89" t="str">
        <f>IFERROR(VLOOKUP(F993,'Employees List'!$C:$F,2,0),"")</f>
        <v/>
      </c>
      <c r="J993" s="93" t="str">
        <f>IFERROR(VLOOKUP(C993,'Employees List'!$B$2:$G$991,5,0),"")</f>
        <v/>
      </c>
      <c r="K993" s="95" t="str">
        <f>IFERROR(VLOOKUP(F993,'Employees List'!$C$1:$AB$991,5,0),"")</f>
        <v/>
      </c>
      <c r="L993" s="91">
        <f t="shared" si="3"/>
        <v>0</v>
      </c>
      <c r="M993" s="91">
        <f t="shared" si="4"/>
        <v>0</v>
      </c>
      <c r="N993" s="89" t="str">
        <f>IFERROR(VLOOKUP(B993,'Employees List'!$A$2:$H$991,8,0),"")</f>
        <v/>
      </c>
      <c r="O993" s="89" t="str">
        <f>IFERROR(VLOOKUP(D993,'Daily Attendance Report 24-25'!A957:BP999,5,0),"")</f>
        <v/>
      </c>
      <c r="P993" s="89" t="str">
        <f>IFERROR(VLOOKUP(E993,'Daily Attendance Report 24-25'!$A$1:$BO$617,5,0),"")</f>
        <v/>
      </c>
      <c r="Q993" s="89"/>
      <c r="R993" s="89"/>
      <c r="S993" s="89" t="str">
        <f t="shared" si="17"/>
        <v>#DIV/0!</v>
      </c>
      <c r="T993" s="89" t="str">
        <f t="shared" si="6"/>
        <v>#DIV/0!</v>
      </c>
      <c r="U993" s="89" t="str">
        <f t="shared" si="25"/>
        <v>#DIV/0!</v>
      </c>
      <c r="V993" s="89" t="str">
        <f t="shared" si="24"/>
        <v>#DIV/0!</v>
      </c>
      <c r="W993" s="89" t="str">
        <f t="shared" si="9"/>
        <v>#DIV/0!</v>
      </c>
      <c r="X993" s="89"/>
      <c r="Y993" s="89"/>
      <c r="Z993" s="89"/>
      <c r="AA993" s="89"/>
      <c r="AB993" s="89"/>
      <c r="AC993" s="89"/>
      <c r="AD993" s="89"/>
      <c r="AE993" s="89"/>
      <c r="AF993" s="89"/>
      <c r="AG993" s="89"/>
      <c r="AH993" s="89"/>
    </row>
    <row r="994">
      <c r="A994" s="8" t="s">
        <v>1132</v>
      </c>
      <c r="B994" s="97"/>
      <c r="C994" s="8"/>
      <c r="D994" s="89" t="str">
        <f t="shared" si="1"/>
        <v/>
      </c>
      <c r="E994" s="89" t="str">
        <f t="shared" si="2"/>
        <v>OT Hours</v>
      </c>
      <c r="F994" s="89" t="str">
        <f>IFERROR(VLOOKUP(C994,'Employees List'!$B$1:$G$999,2,0),"")</f>
        <v/>
      </c>
      <c r="G994" s="89" t="str">
        <f t="shared" si="23"/>
        <v>#DIV/0!</v>
      </c>
      <c r="H994" s="98"/>
      <c r="I994" s="89" t="str">
        <f>IFERROR(VLOOKUP(F994,'Employees List'!$C:$F,2,0),"")</f>
        <v/>
      </c>
      <c r="J994" s="93" t="str">
        <f>IFERROR(VLOOKUP(C994,'Employees List'!$B$2:$G$991,5,0),"")</f>
        <v/>
      </c>
      <c r="K994" s="95" t="str">
        <f>IFERROR(VLOOKUP(F994,'Employees List'!$C$1:$AB$991,5,0),"")</f>
        <v/>
      </c>
      <c r="L994" s="91">
        <f t="shared" si="3"/>
        <v>0</v>
      </c>
      <c r="M994" s="91">
        <f t="shared" si="4"/>
        <v>0</v>
      </c>
      <c r="N994" s="89" t="str">
        <f>IFERROR(VLOOKUP(B994,'Employees List'!$A$2:$H$991,8,0),"")</f>
        <v/>
      </c>
      <c r="O994" s="89" t="str">
        <f>IFERROR(VLOOKUP(D994,'Daily Attendance Report 24-25'!A958:BP999,5,0),"")</f>
        <v/>
      </c>
      <c r="P994" s="89" t="str">
        <f>IFERROR(VLOOKUP(E994,'Daily Attendance Report 24-25'!$A$1:$BO$617,5,0),"")</f>
        <v/>
      </c>
      <c r="Q994" s="89"/>
      <c r="R994" s="89"/>
      <c r="S994" s="89" t="str">
        <f t="shared" si="17"/>
        <v>#DIV/0!</v>
      </c>
      <c r="T994" s="89" t="str">
        <f t="shared" si="6"/>
        <v>#DIV/0!</v>
      </c>
      <c r="U994" s="89" t="str">
        <f t="shared" si="25"/>
        <v>#DIV/0!</v>
      </c>
      <c r="V994" s="89" t="str">
        <f t="shared" si="24"/>
        <v>#DIV/0!</v>
      </c>
      <c r="W994" s="89" t="str">
        <f t="shared" si="9"/>
        <v>#DIV/0!</v>
      </c>
      <c r="X994" s="89"/>
      <c r="Y994" s="89"/>
      <c r="Z994" s="89"/>
      <c r="AA994" s="89"/>
      <c r="AB994" s="89"/>
      <c r="AC994" s="89"/>
      <c r="AD994" s="89"/>
      <c r="AE994" s="89"/>
      <c r="AF994" s="89"/>
      <c r="AG994" s="89"/>
      <c r="AH994" s="89"/>
    </row>
    <row r="995">
      <c r="A995" s="8" t="s">
        <v>1133</v>
      </c>
      <c r="B995" s="97"/>
      <c r="C995" s="8"/>
      <c r="D995" s="89" t="str">
        <f t="shared" si="1"/>
        <v/>
      </c>
      <c r="E995" s="89" t="str">
        <f t="shared" si="2"/>
        <v>OT Hours</v>
      </c>
      <c r="F995" s="89" t="str">
        <f>IFERROR(VLOOKUP(C995,'Employees List'!$B$1:$G$999,2,0),"")</f>
        <v/>
      </c>
      <c r="G995" s="89" t="str">
        <f t="shared" si="23"/>
        <v>#DIV/0!</v>
      </c>
      <c r="H995" s="98"/>
      <c r="I995" s="89" t="str">
        <f>IFERROR(VLOOKUP(F995,'Employees List'!$C:$F,2,0),"")</f>
        <v/>
      </c>
      <c r="J995" s="93" t="str">
        <f>IFERROR(VLOOKUP(C995,'Employees List'!$B$2:$G$991,5,0),"")</f>
        <v/>
      </c>
      <c r="K995" s="95" t="str">
        <f>IFERROR(VLOOKUP(F995,'Employees List'!$C$1:$AB$991,5,0),"")</f>
        <v/>
      </c>
      <c r="L995" s="91">
        <f t="shared" si="3"/>
        <v>0</v>
      </c>
      <c r="M995" s="91">
        <f t="shared" si="4"/>
        <v>0</v>
      </c>
      <c r="N995" s="89" t="str">
        <f>IFERROR(VLOOKUP(B995,'Employees List'!$A$2:$H$991,8,0),"")</f>
        <v/>
      </c>
      <c r="O995" s="89" t="str">
        <f>IFERROR(VLOOKUP(D995,'Daily Attendance Report 24-25'!A959:BP999,5,0),"")</f>
        <v/>
      </c>
      <c r="P995" s="89" t="str">
        <f>IFERROR(VLOOKUP(E995,'Daily Attendance Report 24-25'!$A$1:$BO$617,5,0),"")</f>
        <v/>
      </c>
      <c r="Q995" s="8"/>
      <c r="R995" s="89"/>
      <c r="S995" s="89" t="str">
        <f t="shared" si="17"/>
        <v>#DIV/0!</v>
      </c>
      <c r="T995" s="89" t="str">
        <f t="shared" si="6"/>
        <v>#DIV/0!</v>
      </c>
      <c r="U995" s="89" t="str">
        <f t="shared" si="25"/>
        <v>#DIV/0!</v>
      </c>
      <c r="V995" s="89" t="str">
        <f t="shared" si="24"/>
        <v>#DIV/0!</v>
      </c>
      <c r="W995" s="89" t="str">
        <f t="shared" si="9"/>
        <v>#DIV/0!</v>
      </c>
      <c r="X995" s="89"/>
      <c r="Y995" s="89"/>
      <c r="Z995" s="89"/>
      <c r="AA995" s="89"/>
      <c r="AB995" s="89"/>
      <c r="AC995" s="89"/>
      <c r="AD995" s="89"/>
      <c r="AE995" s="89"/>
      <c r="AF995" s="89"/>
      <c r="AG995" s="89"/>
      <c r="AH995" s="89"/>
    </row>
    <row r="996">
      <c r="A996" s="8" t="s">
        <v>1134</v>
      </c>
      <c r="B996" s="97"/>
      <c r="C996" s="8"/>
      <c r="D996" s="89" t="str">
        <f t="shared" si="1"/>
        <v/>
      </c>
      <c r="E996" s="89" t="str">
        <f t="shared" si="2"/>
        <v>OT Hours</v>
      </c>
      <c r="F996" s="89" t="str">
        <f>IFERROR(VLOOKUP(C996,'Employees List'!$B$1:$G$999,2,0),"")</f>
        <v/>
      </c>
      <c r="G996" s="89" t="str">
        <f t="shared" si="23"/>
        <v>#DIV/0!</v>
      </c>
      <c r="H996" s="98"/>
      <c r="I996" s="89" t="str">
        <f>IFERROR(VLOOKUP(F996,'Employees List'!$C:$F,2,0),"")</f>
        <v/>
      </c>
      <c r="J996" s="93" t="str">
        <f>IFERROR(VLOOKUP(C996,'Employees List'!$B$2:$G$991,5,0),"")</f>
        <v/>
      </c>
      <c r="K996" s="95" t="str">
        <f>IFERROR(VLOOKUP(F996,'Employees List'!$C$1:$AB$991,5,0),"")</f>
        <v/>
      </c>
      <c r="L996" s="91">
        <f t="shared" si="3"/>
        <v>0</v>
      </c>
      <c r="M996" s="91">
        <f t="shared" si="4"/>
        <v>0</v>
      </c>
      <c r="N996" s="89" t="str">
        <f>IFERROR(VLOOKUP(B996,'Employees List'!$A$2:$H$991,8,0),"")</f>
        <v/>
      </c>
      <c r="O996" s="89" t="str">
        <f>IFERROR(VLOOKUP(D996,'Daily Attendance Report 24-25'!A960:BP999,5,0),"")</f>
        <v/>
      </c>
      <c r="P996" s="89" t="str">
        <f>IFERROR(VLOOKUP(E996,'Daily Attendance Report 24-25'!$A$1:$BO$617,5,0),"")</f>
        <v/>
      </c>
      <c r="Q996" s="89"/>
      <c r="R996" s="89"/>
      <c r="S996" s="89" t="str">
        <f t="shared" si="17"/>
        <v>#DIV/0!</v>
      </c>
      <c r="T996" s="89" t="str">
        <f t="shared" si="6"/>
        <v>#DIV/0!</v>
      </c>
      <c r="U996" s="89" t="str">
        <f t="shared" si="25"/>
        <v>#DIV/0!</v>
      </c>
      <c r="V996" s="89" t="str">
        <f t="shared" si="24"/>
        <v>#DIV/0!</v>
      </c>
      <c r="W996" s="89" t="str">
        <f t="shared" si="9"/>
        <v>#DIV/0!</v>
      </c>
      <c r="X996" s="89"/>
      <c r="Y996" s="89"/>
      <c r="Z996" s="89"/>
      <c r="AA996" s="89"/>
      <c r="AB996" s="89"/>
      <c r="AC996" s="89"/>
      <c r="AD996" s="89"/>
      <c r="AE996" s="89"/>
      <c r="AF996" s="89"/>
      <c r="AG996" s="89"/>
      <c r="AH996" s="89"/>
    </row>
    <row r="997">
      <c r="A997" s="8" t="s">
        <v>1135</v>
      </c>
      <c r="B997" s="97"/>
      <c r="C997" s="8"/>
      <c r="D997" s="89" t="str">
        <f t="shared" si="1"/>
        <v/>
      </c>
      <c r="E997" s="89" t="str">
        <f t="shared" si="2"/>
        <v>OT Hours</v>
      </c>
      <c r="F997" s="89" t="str">
        <f>IFERROR(VLOOKUP(C997,'Employees List'!$B$1:$G$999,2,0),"")</f>
        <v/>
      </c>
      <c r="G997" s="89" t="str">
        <f t="shared" si="23"/>
        <v>#DIV/0!</v>
      </c>
      <c r="H997" s="98"/>
      <c r="I997" s="89" t="str">
        <f>IFERROR(VLOOKUP(F997,'Employees List'!$C:$F,2,0),"")</f>
        <v/>
      </c>
      <c r="J997" s="93" t="str">
        <f>IFERROR(VLOOKUP(C997,'Employees List'!$B$2:$G$991,5,0),"")</f>
        <v/>
      </c>
      <c r="K997" s="95" t="str">
        <f>IFERROR(VLOOKUP(F997,'Employees List'!$C$1:$AB$991,5,0),"")</f>
        <v/>
      </c>
      <c r="L997" s="91">
        <f t="shared" si="3"/>
        <v>0</v>
      </c>
      <c r="M997" s="91">
        <f t="shared" si="4"/>
        <v>0</v>
      </c>
      <c r="N997" s="89" t="str">
        <f>IFERROR(VLOOKUP(B997,'Employees List'!$A$2:$H$991,8,0),"")</f>
        <v/>
      </c>
      <c r="O997" s="89" t="str">
        <f>IFERROR(VLOOKUP(D997,'Daily Attendance Report 24-25'!A961:BP999,5,0),"")</f>
        <v/>
      </c>
      <c r="P997" s="89" t="str">
        <f>IFERROR(VLOOKUP(E997,'Daily Attendance Report 24-25'!$A$1:$BO$617,5,0),"")</f>
        <v/>
      </c>
      <c r="Q997" s="89"/>
      <c r="R997" s="89"/>
      <c r="S997" s="89" t="str">
        <f t="shared" si="17"/>
        <v>#DIV/0!</v>
      </c>
      <c r="T997" s="89" t="str">
        <f t="shared" si="6"/>
        <v>#DIV/0!</v>
      </c>
      <c r="U997" s="89" t="str">
        <f t="shared" si="25"/>
        <v>#DIV/0!</v>
      </c>
      <c r="V997" s="89" t="str">
        <f t="shared" si="24"/>
        <v>#DIV/0!</v>
      </c>
      <c r="W997" s="89" t="str">
        <f t="shared" si="9"/>
        <v>#DIV/0!</v>
      </c>
      <c r="X997" s="89"/>
      <c r="Y997" s="89"/>
      <c r="Z997" s="89"/>
      <c r="AA997" s="89"/>
      <c r="AB997" s="89"/>
      <c r="AC997" s="89"/>
      <c r="AD997" s="89"/>
      <c r="AE997" s="89"/>
      <c r="AF997" s="89"/>
      <c r="AG997" s="89"/>
      <c r="AH997" s="89"/>
    </row>
    <row r="998">
      <c r="A998" s="8" t="s">
        <v>1136</v>
      </c>
      <c r="B998" s="97"/>
      <c r="C998" s="8"/>
      <c r="D998" s="89" t="str">
        <f t="shared" si="1"/>
        <v/>
      </c>
      <c r="E998" s="89" t="str">
        <f t="shared" si="2"/>
        <v>OT Hours</v>
      </c>
      <c r="F998" s="89" t="str">
        <f>IFERROR(VLOOKUP(C998,'Employees List'!$B$1:$G$999,2,0),"")</f>
        <v/>
      </c>
      <c r="G998" s="89" t="str">
        <f t="shared" si="23"/>
        <v>#DIV/0!</v>
      </c>
      <c r="H998" s="98"/>
      <c r="I998" s="89" t="str">
        <f>IFERROR(VLOOKUP(F998,'Employees List'!$C:$F,2,0),"")</f>
        <v/>
      </c>
      <c r="J998" s="93" t="str">
        <f>IFERROR(VLOOKUP(C998,'Employees List'!$B$2:$G$991,5,0),"")</f>
        <v/>
      </c>
      <c r="K998" s="95" t="str">
        <f>IFERROR(VLOOKUP(F998,'Employees List'!$C$1:$AB$991,5,0),"")</f>
        <v/>
      </c>
      <c r="L998" s="91">
        <f t="shared" si="3"/>
        <v>0</v>
      </c>
      <c r="M998" s="91">
        <f t="shared" si="4"/>
        <v>0</v>
      </c>
      <c r="N998" s="89" t="str">
        <f>IFERROR(VLOOKUP(B998,'Employees List'!$A$2:$H$991,8,0),"")</f>
        <v/>
      </c>
      <c r="O998" s="89" t="str">
        <f>IFERROR(VLOOKUP(D998,'Daily Attendance Report 24-25'!A962:BP999,5,0),"")</f>
        <v/>
      </c>
      <c r="P998" s="89" t="str">
        <f>IFERROR(VLOOKUP(E998,'Daily Attendance Report 24-25'!$A$1:$BO$617,5,0),"")</f>
        <v/>
      </c>
      <c r="Q998" s="89"/>
      <c r="R998" s="89"/>
      <c r="S998" s="89" t="str">
        <f t="shared" si="17"/>
        <v>#DIV/0!</v>
      </c>
      <c r="T998" s="89" t="str">
        <f t="shared" si="6"/>
        <v>#DIV/0!</v>
      </c>
      <c r="U998" s="89" t="str">
        <f t="shared" si="25"/>
        <v>#DIV/0!</v>
      </c>
      <c r="V998" s="89" t="str">
        <f t="shared" si="24"/>
        <v>#DIV/0!</v>
      </c>
      <c r="W998" s="89" t="str">
        <f t="shared" si="9"/>
        <v>#DIV/0!</v>
      </c>
      <c r="X998" s="89"/>
      <c r="Y998" s="89"/>
      <c r="Z998" s="89"/>
      <c r="AA998" s="89"/>
      <c r="AB998" s="89"/>
      <c r="AC998" s="89"/>
      <c r="AD998" s="89"/>
      <c r="AE998" s="89"/>
      <c r="AF998" s="89"/>
      <c r="AG998" s="89"/>
      <c r="AH998" s="89"/>
    </row>
    <row r="999">
      <c r="A999" s="8" t="s">
        <v>1137</v>
      </c>
      <c r="B999" s="97"/>
      <c r="C999" s="8"/>
      <c r="D999" s="89" t="str">
        <f t="shared" si="1"/>
        <v/>
      </c>
      <c r="E999" s="89" t="str">
        <f t="shared" si="2"/>
        <v>OT Hours</v>
      </c>
      <c r="F999" s="89" t="str">
        <f>IFERROR(VLOOKUP(C999,'Employees List'!$B$1:$G$999,2,0),"")</f>
        <v/>
      </c>
      <c r="G999" s="89" t="str">
        <f t="shared" si="23"/>
        <v>#DIV/0!</v>
      </c>
      <c r="H999" s="98"/>
      <c r="I999" s="89" t="str">
        <f>IFERROR(VLOOKUP(F999,'Employees List'!$C:$F,2,0),"")</f>
        <v/>
      </c>
      <c r="J999" s="93" t="str">
        <f>IFERROR(VLOOKUP(C999,'Employees List'!$B$2:$G$991,5,0),"")</f>
        <v/>
      </c>
      <c r="K999" s="95" t="str">
        <f>IFERROR(VLOOKUP(F999,'Employees List'!$C$1:$AB$991,5,0),"")</f>
        <v/>
      </c>
      <c r="L999" s="91">
        <f t="shared" si="3"/>
        <v>0</v>
      </c>
      <c r="M999" s="91">
        <f t="shared" si="4"/>
        <v>0</v>
      </c>
      <c r="N999" s="89" t="str">
        <f>IFERROR(VLOOKUP(B999,'Employees List'!$A$2:$H$991,8,0),"")</f>
        <v/>
      </c>
      <c r="O999" s="89" t="str">
        <f>IFERROR(VLOOKUP(D999,'Daily Attendance Report 24-25'!A963:BP999,5,0),"")</f>
        <v/>
      </c>
      <c r="P999" s="89" t="str">
        <f>IFERROR(VLOOKUP(E999,'Daily Attendance Report 24-25'!$A$1:$BO$617,5,0),"")</f>
        <v/>
      </c>
      <c r="Q999" s="89"/>
      <c r="R999" s="89"/>
      <c r="S999" s="89" t="str">
        <f t="shared" si="17"/>
        <v>#DIV/0!</v>
      </c>
      <c r="T999" s="89" t="str">
        <f t="shared" si="6"/>
        <v>#DIV/0!</v>
      </c>
      <c r="U999" s="89" t="str">
        <f t="shared" si="25"/>
        <v>#DIV/0!</v>
      </c>
      <c r="V999" s="89" t="str">
        <f t="shared" si="24"/>
        <v>#DIV/0!</v>
      </c>
      <c r="W999" s="89" t="str">
        <f t="shared" si="9"/>
        <v>#DIV/0!</v>
      </c>
      <c r="X999" s="89"/>
      <c r="Y999" s="89"/>
      <c r="Z999" s="89"/>
      <c r="AA999" s="89"/>
      <c r="AB999" s="89"/>
      <c r="AC999" s="89"/>
      <c r="AD999" s="89"/>
      <c r="AE999" s="89"/>
      <c r="AF999" s="89"/>
      <c r="AG999" s="89"/>
      <c r="AH999" s="89"/>
    </row>
  </sheetData>
  <autoFilter ref="$A$1:$V$999"/>
  <conditionalFormatting sqref="Q2:Q51">
    <cfRule type="cellIs" dxfId="0" priority="1" operator="greaterThanOrEqual">
      <formula>450</formula>
    </cfRule>
  </conditionalFormatting>
  <conditionalFormatting sqref="R2:R19">
    <cfRule type="cellIs" dxfId="3" priority="2" operator="greaterThan">
      <formula>0</formula>
    </cfRule>
  </conditionalFormatting>
  <conditionalFormatting sqref="A1:AH999">
    <cfRule type="expression" dxfId="4" priority="3">
      <formula>"#DIV/"</formula>
    </cfRule>
  </conditionalFormatting>
  <dataValidations>
    <dataValidation type="list" allowBlank="1" showErrorMessage="1" sqref="B2:B999">
      <formula1>'Employees List'!$A$2:$A$991</formula1>
    </dataValidation>
    <dataValidation type="custom" allowBlank="1" showDropDown="1" showInputMessage="1" showErrorMessage="1" prompt="Enter a valid date" sqref="H2:H999">
      <formula1>OR(NOT(ISERROR(DATEVALUE(H2))), AND(ISNUMBER(H2), LEFT(CELL("format", H2))="D"))</formula1>
    </dataValidation>
    <dataValidation type="list" allowBlank="1" showErrorMessage="1" sqref="C2:C999">
      <formula1>'Employees List'!$B$2:$B$991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3.0"/>
    <col customWidth="1" min="5" max="5" width="18.88"/>
    <col customWidth="1" min="7" max="7" width="18.5"/>
  </cols>
  <sheetData>
    <row r="1">
      <c r="A1" s="100">
        <v>1.0</v>
      </c>
      <c r="B1" s="100">
        <v>2.0</v>
      </c>
      <c r="C1" s="100">
        <v>3.0</v>
      </c>
      <c r="D1" s="100">
        <v>4.0</v>
      </c>
      <c r="E1" s="100">
        <v>5.0</v>
      </c>
      <c r="F1" s="100">
        <v>6.0</v>
      </c>
      <c r="G1" s="100">
        <v>7.0</v>
      </c>
      <c r="H1" s="100">
        <v>8.0</v>
      </c>
      <c r="I1" s="100">
        <v>9.0</v>
      </c>
      <c r="J1" s="100">
        <v>10.0</v>
      </c>
      <c r="K1" s="100">
        <v>11.0</v>
      </c>
      <c r="L1" s="100">
        <v>12.0</v>
      </c>
      <c r="M1" s="100">
        <v>13.0</v>
      </c>
      <c r="N1" s="100">
        <v>14.0</v>
      </c>
      <c r="O1" s="100">
        <v>15.0</v>
      </c>
      <c r="P1" s="100">
        <v>16.0</v>
      </c>
      <c r="Q1" s="100">
        <v>17.0</v>
      </c>
      <c r="R1" s="100">
        <v>18.0</v>
      </c>
      <c r="S1" s="100">
        <v>19.0</v>
      </c>
      <c r="T1" s="100">
        <v>20.0</v>
      </c>
      <c r="U1" s="100">
        <v>21.0</v>
      </c>
      <c r="V1" s="100">
        <v>22.0</v>
      </c>
      <c r="W1" s="100">
        <v>23.0</v>
      </c>
      <c r="X1" s="100">
        <v>24.0</v>
      </c>
      <c r="Y1" s="100">
        <v>25.0</v>
      </c>
      <c r="Z1" s="100">
        <v>26.0</v>
      </c>
      <c r="AA1" s="101"/>
      <c r="AB1" s="101"/>
    </row>
    <row r="2">
      <c r="A2" s="102" t="s">
        <v>121</v>
      </c>
      <c r="B2" s="102" t="s">
        <v>122</v>
      </c>
      <c r="C2" s="102" t="s">
        <v>1</v>
      </c>
      <c r="D2" s="102" t="s">
        <v>2</v>
      </c>
      <c r="E2" s="102" t="s">
        <v>5</v>
      </c>
      <c r="F2" s="102" t="s">
        <v>4</v>
      </c>
      <c r="G2" s="103" t="s">
        <v>1138</v>
      </c>
      <c r="H2" s="103" t="s">
        <v>1139</v>
      </c>
      <c r="I2" s="101"/>
      <c r="J2" s="101"/>
      <c r="K2" s="101"/>
      <c r="L2" s="101"/>
      <c r="M2" s="101"/>
      <c r="N2" s="101"/>
      <c r="O2" s="101"/>
      <c r="P2" s="101"/>
      <c r="Q2" s="101"/>
      <c r="R2" s="101"/>
      <c r="S2" s="101"/>
      <c r="T2" s="101"/>
      <c r="U2" s="101"/>
      <c r="V2" s="101"/>
      <c r="W2" s="101"/>
      <c r="X2" s="101"/>
      <c r="Y2" s="101"/>
      <c r="Z2" s="101"/>
      <c r="AA2" s="101"/>
      <c r="AB2" s="101"/>
    </row>
    <row r="3">
      <c r="A3" s="104" t="s">
        <v>1140</v>
      </c>
      <c r="B3" s="105" t="str">
        <f>IFERROR(VLOOKUP(A3,'Salary Calculation'!A2:F999,2,0),"")</f>
        <v>April</v>
      </c>
      <c r="C3" s="105" t="str">
        <f>IFERROR(VLOOKUP(A3,'Salary Calculation'!$A$2:$V$999,3,0),"")</f>
        <v>AC 01</v>
      </c>
      <c r="D3" s="105" t="str">
        <f>IFERROR(VLOOKUP(A3,'Salary Calculation'!$A$2:$V$999,6,0),"")</f>
        <v>BHUVANESWARAN</v>
      </c>
      <c r="E3" s="105">
        <f>IFERROR(VLOOKUP(A3,'Salary Calculation'!$A$2:$V$999,10,0),"")</f>
        <v>500101011548924</v>
      </c>
      <c r="F3" s="101"/>
      <c r="G3" s="106">
        <f>IFERROR(VLOOKUP(A3,'Salary Calculation'!$A$2:$V$999,7,0),"")</f>
        <v>57900</v>
      </c>
      <c r="H3" s="101"/>
      <c r="I3" s="101"/>
      <c r="J3" s="101"/>
      <c r="K3" s="101"/>
      <c r="L3" s="101"/>
      <c r="M3" s="101"/>
      <c r="N3" s="101"/>
      <c r="O3" s="101"/>
      <c r="P3" s="101"/>
      <c r="Q3" s="101"/>
      <c r="R3" s="101"/>
      <c r="S3" s="101"/>
      <c r="T3" s="101"/>
      <c r="U3" s="101"/>
      <c r="V3" s="101"/>
      <c r="W3" s="101"/>
      <c r="X3" s="101"/>
      <c r="Y3" s="101"/>
      <c r="Z3" s="101"/>
      <c r="AA3" s="101"/>
      <c r="AB3" s="101"/>
    </row>
    <row r="4">
      <c r="A4" s="104" t="s">
        <v>141</v>
      </c>
      <c r="B4" s="105" t="str">
        <f>IFERROR(VLOOKUP(A4,'Salary Calculation'!A3:F1000,2,0),"")</f>
        <v>April</v>
      </c>
      <c r="C4" s="105" t="str">
        <f>IFERROR(VLOOKUP(A4,'Salary Calculation'!$A$2:$V$999,3,0),"")</f>
        <v>PR 25</v>
      </c>
      <c r="D4" s="105" t="str">
        <f>IFERROR(VLOOKUP(A4,'Salary Calculation'!$A$2:$V$999,6,0),"")</f>
        <v>SAGAR</v>
      </c>
      <c r="E4" s="105" t="str">
        <f>IFERROR(VLOOKUP(A4,'Salary Calculation'!$A$2:$V$999,10,0),"")</f>
        <v/>
      </c>
      <c r="F4" s="101"/>
      <c r="G4" s="106">
        <f>IFERROR(VLOOKUP(A4,'Salary Calculation'!$A$2:$V$999,7,0),"")</f>
        <v>105.4166667</v>
      </c>
      <c r="H4" s="101"/>
      <c r="I4" s="101"/>
      <c r="J4" s="101"/>
      <c r="K4" s="101"/>
      <c r="L4" s="101"/>
      <c r="M4" s="101"/>
      <c r="N4" s="101"/>
      <c r="O4" s="101"/>
      <c r="P4" s="101"/>
      <c r="Q4" s="101"/>
      <c r="R4" s="101"/>
      <c r="S4" s="101"/>
      <c r="T4" s="101"/>
      <c r="U4" s="101"/>
      <c r="V4" s="101"/>
      <c r="W4" s="101"/>
      <c r="X4" s="101"/>
      <c r="Y4" s="101"/>
      <c r="Z4" s="101"/>
      <c r="AA4" s="101"/>
      <c r="AB4" s="101"/>
    </row>
    <row r="5">
      <c r="A5" s="104" t="s">
        <v>142</v>
      </c>
      <c r="B5" s="105" t="str">
        <f>IFERROR(VLOOKUP(A5,'Salary Calculation'!A4:F1001,2,0),"")</f>
        <v>April</v>
      </c>
      <c r="C5" s="105" t="str">
        <f>IFERROR(VLOOKUP(A5,'Salary Calculation'!$A$2:$V$999,3,0),"")</f>
        <v>PR 02</v>
      </c>
      <c r="D5" s="105" t="str">
        <f>IFERROR(VLOOKUP(A5,'Salary Calculation'!$A$2:$V$999,6,0),"")</f>
        <v>GANESH</v>
      </c>
      <c r="E5" s="105" t="str">
        <f>IFERROR(VLOOKUP(A5,'Salary Calculation'!$A$2:$V$999,10,0),"")</f>
        <v>8811010012054879</v>
      </c>
      <c r="F5" s="101"/>
      <c r="G5" s="106">
        <f>IFERROR(VLOOKUP(A5,'Salary Calculation'!$A$2:$V$999,7,0),"")</f>
        <v>16812.13281</v>
      </c>
      <c r="H5" s="101"/>
      <c r="I5" s="101"/>
      <c r="J5" s="101"/>
      <c r="K5" s="101"/>
      <c r="L5" s="101"/>
      <c r="M5" s="101"/>
      <c r="N5" s="101"/>
      <c r="O5" s="101"/>
      <c r="P5" s="101"/>
      <c r="Q5" s="101"/>
      <c r="R5" s="101"/>
      <c r="S5" s="101"/>
      <c r="T5" s="101"/>
      <c r="U5" s="101"/>
      <c r="V5" s="101"/>
      <c r="W5" s="101"/>
      <c r="X5" s="101"/>
      <c r="Y5" s="101"/>
      <c r="Z5" s="101"/>
      <c r="AA5" s="101"/>
      <c r="AB5" s="101"/>
    </row>
    <row r="6">
      <c r="A6" s="104" t="s">
        <v>143</v>
      </c>
      <c r="B6" s="105" t="str">
        <f>IFERROR(VLOOKUP(A6,'Salary Calculation'!A5:F1002,2,0),"")</f>
        <v>April</v>
      </c>
      <c r="C6" s="105" t="str">
        <f>IFERROR(VLOOKUP(A6,'Salary Calculation'!$A$2:$V$999,3,0),"")</f>
        <v>PR 01</v>
      </c>
      <c r="D6" s="105" t="str">
        <f>IFERROR(VLOOKUP(A6,'Salary Calculation'!$A$2:$V$999,6,0),"")</f>
        <v>VASANTHA</v>
      </c>
      <c r="E6" s="105" t="str">
        <f>IFERROR(VLOOKUP(A6,'Salary Calculation'!$A$2:$V$999,10,0),"")</f>
        <v>8131010000016959</v>
      </c>
      <c r="F6" s="101"/>
      <c r="G6" s="106">
        <f>IFERROR(VLOOKUP(A6,'Salary Calculation'!$A$2:$V$999,7,0),"")</f>
        <v>11240.0625</v>
      </c>
      <c r="H6" s="101"/>
      <c r="I6" s="101"/>
      <c r="J6" s="101"/>
      <c r="K6" s="101"/>
      <c r="L6" s="101"/>
      <c r="M6" s="101"/>
      <c r="N6" s="101"/>
      <c r="O6" s="101"/>
      <c r="P6" s="101"/>
      <c r="Q6" s="101"/>
      <c r="R6" s="101"/>
      <c r="S6" s="101"/>
      <c r="T6" s="101"/>
      <c r="U6" s="101"/>
      <c r="V6" s="101"/>
      <c r="W6" s="101"/>
      <c r="X6" s="101"/>
      <c r="Y6" s="101"/>
      <c r="Z6" s="101"/>
      <c r="AA6" s="101"/>
      <c r="AB6" s="101"/>
    </row>
    <row r="7">
      <c r="A7" s="107" t="s">
        <v>144</v>
      </c>
      <c r="B7" s="108" t="str">
        <f>IFERROR(VLOOKUP(A7,'Salary Calculation'!A6:F1003,2,0),"")</f>
        <v>April</v>
      </c>
      <c r="C7" s="108" t="str">
        <f>IFERROR(VLOOKUP(A7,'Salary Calculation'!$A$2:$V$999,3,0),"")</f>
        <v>PR 03</v>
      </c>
      <c r="D7" s="108" t="str">
        <f>IFERROR(VLOOKUP(A7,'Salary Calculation'!$A$2:$V$999,6,0),"")</f>
        <v>ADHIKARI BALIA</v>
      </c>
      <c r="E7" s="108" t="str">
        <f>IFERROR(VLOOKUP(A7,'Salary Calculation'!$A$2:$V$999,10,0),"")</f>
        <v>8131010000018948</v>
      </c>
      <c r="F7" s="109"/>
      <c r="G7" s="110">
        <f>IFERROR(VLOOKUP(A7,'Salary Calculation'!$A$2:$V$999,7,0),"")</f>
        <v>5183.227865</v>
      </c>
      <c r="H7" s="101"/>
      <c r="I7" s="101"/>
      <c r="J7" s="101"/>
      <c r="K7" s="101"/>
      <c r="L7" s="101"/>
      <c r="M7" s="101"/>
      <c r="N7" s="101"/>
      <c r="O7" s="101"/>
      <c r="P7" s="101"/>
      <c r="Q7" s="101"/>
      <c r="R7" s="101"/>
      <c r="S7" s="101"/>
      <c r="T7" s="101"/>
      <c r="U7" s="101"/>
      <c r="V7" s="101"/>
      <c r="W7" s="101"/>
      <c r="X7" s="101"/>
      <c r="Y7" s="101"/>
      <c r="Z7" s="101"/>
      <c r="AA7" s="101"/>
      <c r="AB7" s="101"/>
    </row>
    <row r="8">
      <c r="A8" s="104" t="s">
        <v>145</v>
      </c>
      <c r="B8" s="105" t="str">
        <f>IFERROR(VLOOKUP(A8,'Salary Calculation'!A7:F1004,2,0),"")</f>
        <v>April</v>
      </c>
      <c r="C8" s="105" t="str">
        <f>IFERROR(VLOOKUP(A8,'Salary Calculation'!$A$2:$V$999,3,0),"")</f>
        <v>AC 02</v>
      </c>
      <c r="D8" s="105" t="str">
        <f>IFERROR(VLOOKUP(A8,'Salary Calculation'!$A$2:$V$999,6,0),"")</f>
        <v>SUNDARI</v>
      </c>
      <c r="E8" s="105" t="str">
        <f>IFERROR(VLOOKUP(A8,'Salary Calculation'!$A$2:$V$999,10,0),"")</f>
        <v>8131010000016977</v>
      </c>
      <c r="F8" s="101"/>
      <c r="G8" s="106">
        <f>IFERROR(VLOOKUP(A8,'Salary Calculation'!$A$2:$V$999,7,0),"")</f>
        <v>20172.5625</v>
      </c>
      <c r="H8" s="101"/>
      <c r="I8" s="101"/>
      <c r="J8" s="101"/>
      <c r="K8" s="101"/>
      <c r="L8" s="101"/>
      <c r="M8" s="101"/>
      <c r="N8" s="101"/>
      <c r="O8" s="101"/>
      <c r="P8" s="101"/>
      <c r="Q8" s="101"/>
      <c r="R8" s="101"/>
      <c r="S8" s="101"/>
      <c r="T8" s="101"/>
      <c r="U8" s="101"/>
      <c r="V8" s="101"/>
      <c r="W8" s="101"/>
      <c r="X8" s="101"/>
      <c r="Y8" s="101"/>
      <c r="Z8" s="101"/>
      <c r="AA8" s="101"/>
      <c r="AB8" s="101"/>
    </row>
    <row r="9">
      <c r="A9" s="104" t="s">
        <v>146</v>
      </c>
      <c r="B9" s="105" t="str">
        <f>IFERROR(VLOOKUP(A9,'Salary Calculation'!A8:F1005,2,0),"")</f>
        <v>April</v>
      </c>
      <c r="C9" s="105" t="str">
        <f>IFERROR(VLOOKUP(A9,'Salary Calculation'!$A$2:$V$999,3,0),"")</f>
        <v>DR 01</v>
      </c>
      <c r="D9" s="105" t="str">
        <f>IFERROR(VLOOKUP(A9,'Salary Calculation'!$A$2:$V$999,6,0),"")</f>
        <v>Mathi</v>
      </c>
      <c r="E9" s="105" t="str">
        <f>IFERROR(VLOOKUP(A9,'Salary Calculation'!$A$2:$V$999,10,0),"")</f>
        <v>8131010000016986</v>
      </c>
      <c r="F9" s="101"/>
      <c r="G9" s="106">
        <f>IFERROR(VLOOKUP(A9,'Salary Calculation'!$A$2:$V$999,7,0),"")</f>
        <v>27657.66667</v>
      </c>
      <c r="H9" s="101"/>
      <c r="I9" s="101"/>
      <c r="J9" s="101"/>
      <c r="K9" s="101"/>
      <c r="L9" s="101"/>
      <c r="M9" s="101"/>
      <c r="N9" s="101"/>
      <c r="O9" s="101"/>
      <c r="P9" s="101"/>
      <c r="Q9" s="101"/>
      <c r="R9" s="101"/>
      <c r="S9" s="101"/>
      <c r="T9" s="101"/>
      <c r="U9" s="101"/>
      <c r="V9" s="101"/>
      <c r="W9" s="101"/>
      <c r="X9" s="101"/>
      <c r="Y9" s="101"/>
      <c r="Z9" s="101"/>
      <c r="AA9" s="101"/>
      <c r="AB9" s="101"/>
    </row>
    <row r="10">
      <c r="A10" s="104" t="s">
        <v>147</v>
      </c>
      <c r="B10" s="105" t="str">
        <f>IFERROR(VLOOKUP(A10,'Salary Calculation'!A9:F1006,2,0),"")</f>
        <v>April</v>
      </c>
      <c r="C10" s="105" t="str">
        <f>IFERROR(VLOOKUP(A10,'Salary Calculation'!$A$2:$V$999,3,0),"")</f>
        <v>PR 26</v>
      </c>
      <c r="D10" s="105" t="str">
        <f>IFERROR(VLOOKUP(A10,'Salary Calculation'!$A$2:$V$999,6,0),"")</f>
        <v>CHINMAY PRADHAN</v>
      </c>
      <c r="E10" s="105" t="str">
        <f>IFERROR(VLOOKUP(A10,'Salary Calculation'!$A$2:$V$999,10,0),"")</f>
        <v/>
      </c>
      <c r="F10" s="101"/>
      <c r="G10" s="106">
        <f>IFERROR(VLOOKUP(A10,'Salary Calculation'!$A$2:$V$999,7,0),"")</f>
        <v>3928.645833</v>
      </c>
      <c r="H10" s="101"/>
      <c r="I10" s="101"/>
      <c r="J10" s="101"/>
      <c r="K10" s="101"/>
      <c r="L10" s="101"/>
      <c r="M10" s="101"/>
      <c r="N10" s="101"/>
      <c r="O10" s="101"/>
      <c r="P10" s="101"/>
      <c r="Q10" s="101"/>
      <c r="R10" s="101"/>
      <c r="S10" s="101"/>
      <c r="T10" s="101"/>
      <c r="U10" s="101"/>
      <c r="V10" s="101"/>
      <c r="W10" s="101"/>
      <c r="X10" s="101"/>
      <c r="Y10" s="101"/>
      <c r="Z10" s="101"/>
      <c r="AA10" s="101"/>
      <c r="AB10" s="101"/>
    </row>
    <row r="11">
      <c r="A11" s="104" t="s">
        <v>148</v>
      </c>
      <c r="B11" s="105" t="str">
        <f>IFERROR(VLOOKUP(A11,'Salary Calculation'!A10:F1007,2,0),"")</f>
        <v>April</v>
      </c>
      <c r="C11" s="105" t="str">
        <f>IFERROR(VLOOKUP(A11,'Salary Calculation'!$A$2:$V$999,3,0),"")</f>
        <v>PR 21</v>
      </c>
      <c r="D11" s="105" t="str">
        <f>IFERROR(VLOOKUP(A11,'Salary Calculation'!$A$2:$V$999,6,0),"")</f>
        <v>LIPAN</v>
      </c>
      <c r="E11" s="105" t="str">
        <f>IFERROR(VLOOKUP(A11,'Salary Calculation'!$A$2:$V$999,10,0),"")</f>
        <v>8131010000018957</v>
      </c>
      <c r="F11" s="101"/>
      <c r="G11" s="106">
        <f>IFERROR(VLOOKUP(A11,'Salary Calculation'!$A$2:$V$999,7,0),"")</f>
        <v>6409.895833</v>
      </c>
      <c r="H11" s="101"/>
      <c r="I11" s="101"/>
      <c r="J11" s="101"/>
      <c r="K11" s="101"/>
      <c r="L11" s="101"/>
      <c r="M11" s="101"/>
      <c r="N11" s="101"/>
      <c r="O11" s="101"/>
      <c r="P11" s="101"/>
      <c r="Q11" s="101"/>
      <c r="R11" s="101"/>
      <c r="S11" s="101"/>
      <c r="T11" s="101"/>
      <c r="U11" s="101"/>
      <c r="V11" s="101"/>
      <c r="W11" s="101"/>
      <c r="X11" s="101"/>
      <c r="Y11" s="101"/>
      <c r="Z11" s="101"/>
      <c r="AA11" s="101"/>
      <c r="AB11" s="101"/>
    </row>
    <row r="12">
      <c r="A12" s="107" t="s">
        <v>149</v>
      </c>
      <c r="B12" s="108" t="str">
        <f>IFERROR(VLOOKUP(A12,'Salary Calculation'!A11:F1008,2,0),"")</f>
        <v>April</v>
      </c>
      <c r="C12" s="108" t="str">
        <f>IFERROR(VLOOKUP(A12,'Salary Calculation'!$A$2:$V$999,3,0),"")</f>
        <v>PR 05</v>
      </c>
      <c r="D12" s="108" t="str">
        <f>IFERROR(VLOOKUP(A12,'Salary Calculation'!$A$2:$V$999,6,0),"")</f>
        <v>SANJAI BHAGAT</v>
      </c>
      <c r="E12" s="108" t="str">
        <f>IFERROR(VLOOKUP(A12,'Salary Calculation'!$A$2:$V$999,10,0),"")</f>
        <v>8131010000021225</v>
      </c>
      <c r="F12" s="109"/>
      <c r="G12" s="110">
        <f>IFERROR(VLOOKUP(A12,'Salary Calculation'!$A$2:$V$999,7,0),"")</f>
        <v>6386.634115</v>
      </c>
      <c r="H12" s="101"/>
      <c r="I12" s="101"/>
      <c r="J12" s="101"/>
      <c r="K12" s="101"/>
      <c r="L12" s="101"/>
      <c r="M12" s="101"/>
      <c r="N12" s="101"/>
      <c r="O12" s="101"/>
      <c r="P12" s="101"/>
      <c r="Q12" s="101"/>
      <c r="R12" s="101"/>
      <c r="S12" s="101"/>
      <c r="T12" s="101"/>
      <c r="U12" s="101"/>
      <c r="V12" s="101"/>
      <c r="W12" s="101"/>
      <c r="X12" s="101"/>
      <c r="Y12" s="101"/>
      <c r="Z12" s="101"/>
      <c r="AA12" s="101"/>
      <c r="AB12" s="101"/>
    </row>
    <row r="13">
      <c r="A13" s="104" t="s">
        <v>150</v>
      </c>
      <c r="B13" s="105" t="str">
        <f>IFERROR(VLOOKUP(A13,'Salary Calculation'!A12:F1009,2,0),"")</f>
        <v>May</v>
      </c>
      <c r="C13" s="105" t="str">
        <f>IFERROR(VLOOKUP(A13,'Salary Calculation'!$A$2:$V$999,3,0),"")</f>
        <v>AC 01</v>
      </c>
      <c r="D13" s="105" t="str">
        <f>IFERROR(VLOOKUP(A13,'Salary Calculation'!$A$2:$V$999,6,0),"")</f>
        <v>BHUVANESWARAN</v>
      </c>
      <c r="E13" s="105">
        <f>IFERROR(VLOOKUP(A13,'Salary Calculation'!$A$2:$V$999,10,0),"")</f>
        <v>500101011548924</v>
      </c>
      <c r="F13" s="101"/>
      <c r="G13" s="106">
        <f>IFERROR(VLOOKUP(A13,'Salary Calculation'!$A$2:$V$999,7,0),"")</f>
        <v>60900</v>
      </c>
      <c r="H13" s="101"/>
      <c r="I13" s="101"/>
      <c r="J13" s="101"/>
      <c r="K13" s="101"/>
      <c r="L13" s="101"/>
      <c r="M13" s="101"/>
      <c r="N13" s="101"/>
      <c r="O13" s="101"/>
      <c r="P13" s="101"/>
      <c r="Q13" s="101"/>
      <c r="R13" s="101"/>
      <c r="S13" s="101"/>
      <c r="T13" s="101"/>
      <c r="U13" s="101"/>
      <c r="V13" s="101"/>
      <c r="W13" s="101"/>
      <c r="X13" s="101"/>
      <c r="Y13" s="101"/>
      <c r="Z13" s="101"/>
      <c r="AA13" s="101"/>
      <c r="AB13" s="101"/>
    </row>
    <row r="14">
      <c r="A14" s="104" t="s">
        <v>151</v>
      </c>
      <c r="B14" s="105" t="str">
        <f>IFERROR(VLOOKUP(A14,'Salary Calculation'!A13:F1010,2,0),"")</f>
        <v>May</v>
      </c>
      <c r="C14" s="105" t="str">
        <f>IFERROR(VLOOKUP(A14,'Salary Calculation'!$A$2:$V$999,3,0),"")</f>
        <v>PR 02</v>
      </c>
      <c r="D14" s="105" t="str">
        <f>IFERROR(VLOOKUP(A14,'Salary Calculation'!$A$2:$V$999,6,0),"")</f>
        <v>GANESH</v>
      </c>
      <c r="E14" s="105" t="str">
        <f>IFERROR(VLOOKUP(A14,'Salary Calculation'!$A$2:$V$999,10,0),"")</f>
        <v>8811010012054879</v>
      </c>
      <c r="F14" s="101"/>
      <c r="G14" s="106">
        <f>IFERROR(VLOOKUP(A14,'Salary Calculation'!$A$2:$V$999,7,0),"")</f>
        <v>11864.14012</v>
      </c>
      <c r="H14" s="101"/>
      <c r="I14" s="101"/>
      <c r="J14" s="101"/>
      <c r="K14" s="101"/>
      <c r="L14" s="101"/>
      <c r="M14" s="101"/>
      <c r="N14" s="101"/>
      <c r="O14" s="101"/>
      <c r="P14" s="101"/>
      <c r="Q14" s="101"/>
      <c r="R14" s="101"/>
      <c r="S14" s="101"/>
      <c r="T14" s="101"/>
      <c r="U14" s="101"/>
      <c r="V14" s="101"/>
      <c r="W14" s="101"/>
      <c r="X14" s="101"/>
      <c r="Y14" s="101"/>
      <c r="Z14" s="101"/>
      <c r="AA14" s="101"/>
      <c r="AB14" s="101"/>
    </row>
    <row r="15">
      <c r="A15" s="104" t="s">
        <v>152</v>
      </c>
      <c r="B15" s="105" t="str">
        <f>IFERROR(VLOOKUP(A15,'Salary Calculation'!A14:F1011,2,0),"")</f>
        <v>May</v>
      </c>
      <c r="C15" s="105" t="str">
        <f>IFERROR(VLOOKUP(A15,'Salary Calculation'!$A$2:$V$999,3,0),"")</f>
        <v>PR 01</v>
      </c>
      <c r="D15" s="105" t="str">
        <f>IFERROR(VLOOKUP(A15,'Salary Calculation'!$A$2:$V$999,6,0),"")</f>
        <v>VASANTHA</v>
      </c>
      <c r="E15" s="105" t="str">
        <f>IFERROR(VLOOKUP(A15,'Salary Calculation'!$A$2:$V$999,10,0),"")</f>
        <v>8131010000016959</v>
      </c>
      <c r="F15" s="101"/>
      <c r="G15" s="106">
        <f>IFERROR(VLOOKUP(A15,'Salary Calculation'!$A$2:$V$999,7,0),"")</f>
        <v>12692.79435</v>
      </c>
      <c r="H15" s="101"/>
      <c r="I15" s="101"/>
      <c r="J15" s="101"/>
      <c r="K15" s="101"/>
      <c r="L15" s="101"/>
      <c r="M15" s="101"/>
      <c r="N15" s="101"/>
      <c r="O15" s="101"/>
      <c r="P15" s="101"/>
      <c r="Q15" s="101"/>
      <c r="R15" s="101"/>
      <c r="S15" s="101"/>
      <c r="T15" s="101"/>
      <c r="U15" s="101"/>
      <c r="V15" s="101"/>
      <c r="W15" s="101"/>
      <c r="X15" s="101"/>
      <c r="Y15" s="101"/>
      <c r="Z15" s="101"/>
      <c r="AA15" s="101"/>
      <c r="AB15" s="101"/>
    </row>
    <row r="16">
      <c r="A16" s="104" t="s">
        <v>153</v>
      </c>
      <c r="B16" s="105" t="str">
        <f>IFERROR(VLOOKUP(A16,'Salary Calculation'!A15:F1012,2,0),"")</f>
        <v>May</v>
      </c>
      <c r="C16" s="105" t="str">
        <f>IFERROR(VLOOKUP(A16,'Salary Calculation'!$A$2:$V$999,3,0),"")</f>
        <v>AC 02</v>
      </c>
      <c r="D16" s="105" t="str">
        <f>IFERROR(VLOOKUP(A16,'Salary Calculation'!$A$2:$V$999,6,0),"")</f>
        <v>SUNDARI</v>
      </c>
      <c r="E16" s="105" t="str">
        <f>IFERROR(VLOOKUP(A16,'Salary Calculation'!$A$2:$V$999,10,0),"")</f>
        <v>8131010000016977</v>
      </c>
      <c r="F16" s="101"/>
      <c r="G16" s="106">
        <f>IFERROR(VLOOKUP(A16,'Salary Calculation'!$A$2:$V$999,7,0),"")</f>
        <v>19920.43548</v>
      </c>
      <c r="H16" s="101"/>
      <c r="I16" s="101"/>
      <c r="J16" s="101"/>
      <c r="K16" s="101"/>
      <c r="L16" s="101"/>
      <c r="M16" s="101"/>
      <c r="N16" s="101"/>
      <c r="O16" s="101"/>
      <c r="P16" s="101"/>
      <c r="Q16" s="101"/>
      <c r="R16" s="101"/>
      <c r="S16" s="101"/>
      <c r="T16" s="101"/>
      <c r="U16" s="101"/>
      <c r="V16" s="101"/>
      <c r="W16" s="101"/>
      <c r="X16" s="101"/>
      <c r="Y16" s="101"/>
      <c r="Z16" s="101"/>
      <c r="AA16" s="101"/>
      <c r="AB16" s="101"/>
    </row>
    <row r="17">
      <c r="A17" s="104" t="s">
        <v>154</v>
      </c>
      <c r="B17" s="105" t="str">
        <f>IFERROR(VLOOKUP(A17,'Salary Calculation'!A16:F1013,2,0),"")</f>
        <v>May</v>
      </c>
      <c r="C17" s="105" t="str">
        <f>IFERROR(VLOOKUP(A17,'Salary Calculation'!$A$2:$V$999,3,0),"")</f>
        <v>DR 01</v>
      </c>
      <c r="D17" s="105" t="str">
        <f>IFERROR(VLOOKUP(A17,'Salary Calculation'!$A$2:$V$999,6,0),"")</f>
        <v>Mathi</v>
      </c>
      <c r="E17" s="105" t="str">
        <f>IFERROR(VLOOKUP(A17,'Salary Calculation'!$A$2:$V$999,10,0),"")</f>
        <v>8131010000016986</v>
      </c>
      <c r="F17" s="101"/>
      <c r="G17" s="106">
        <f>IFERROR(VLOOKUP(A17,'Salary Calculation'!$A$2:$V$999,7,0),"")</f>
        <v>24299.64919</v>
      </c>
      <c r="H17" s="101"/>
      <c r="I17" s="101"/>
      <c r="J17" s="101"/>
      <c r="K17" s="101"/>
      <c r="L17" s="101"/>
      <c r="M17" s="101"/>
      <c r="N17" s="101"/>
      <c r="O17" s="101"/>
      <c r="P17" s="101"/>
      <c r="Q17" s="101"/>
      <c r="R17" s="101"/>
      <c r="S17" s="101"/>
      <c r="T17" s="101"/>
      <c r="U17" s="101"/>
      <c r="V17" s="101"/>
      <c r="W17" s="101"/>
      <c r="X17" s="101"/>
      <c r="Y17" s="101"/>
      <c r="Z17" s="101"/>
      <c r="AA17" s="101"/>
      <c r="AB17" s="101"/>
    </row>
    <row r="18">
      <c r="A18" s="104" t="s">
        <v>155</v>
      </c>
      <c r="B18" s="105" t="str">
        <f>IFERROR(VLOOKUP(A18,'Salary Calculation'!A17:F1014,2,0),"")</f>
        <v>May</v>
      </c>
      <c r="C18" s="105" t="str">
        <f>IFERROR(VLOOKUP(A18,'Salary Calculation'!$A$2:$V$999,3,0),"")</f>
        <v>PR 03</v>
      </c>
      <c r="D18" s="105" t="str">
        <f>IFERROR(VLOOKUP(A18,'Salary Calculation'!$A$2:$V$999,6,0),"")</f>
        <v>ADHIKARI BALIA</v>
      </c>
      <c r="E18" s="105" t="str">
        <f>IFERROR(VLOOKUP(A18,'Salary Calculation'!$A$2:$V$999,10,0),"")</f>
        <v>8131010000018948</v>
      </c>
      <c r="F18" s="101"/>
      <c r="G18" s="106">
        <f>IFERROR(VLOOKUP(A18,'Salary Calculation'!$A$2:$V$999,7,0),"")</f>
        <v>12812.85484</v>
      </c>
      <c r="H18" s="101"/>
      <c r="I18" s="101"/>
      <c r="J18" s="101"/>
      <c r="K18" s="101"/>
      <c r="L18" s="101"/>
      <c r="M18" s="101"/>
      <c r="N18" s="101"/>
      <c r="O18" s="101"/>
      <c r="P18" s="101"/>
      <c r="Q18" s="101"/>
      <c r="R18" s="101"/>
      <c r="S18" s="101"/>
      <c r="T18" s="101"/>
      <c r="U18" s="101"/>
      <c r="V18" s="101"/>
      <c r="W18" s="101"/>
      <c r="X18" s="101"/>
      <c r="Y18" s="101"/>
      <c r="Z18" s="101"/>
      <c r="AA18" s="101"/>
      <c r="AB18" s="101"/>
    </row>
    <row r="19">
      <c r="A19" s="104" t="s">
        <v>156</v>
      </c>
      <c r="B19" s="105" t="str">
        <f>IFERROR(VLOOKUP(A19,'Salary Calculation'!A18:F1015,2,0),"")</f>
        <v>May</v>
      </c>
      <c r="C19" s="105" t="str">
        <f>IFERROR(VLOOKUP(A19,'Salary Calculation'!$A$2:$V$999,3,0),"")</f>
        <v>PR 04</v>
      </c>
      <c r="D19" s="105" t="str">
        <f>IFERROR(VLOOKUP(A19,'Salary Calculation'!$A$2:$V$999,6,0),"")</f>
        <v>RUPESH</v>
      </c>
      <c r="E19" s="105" t="str">
        <f>IFERROR(VLOOKUP(A19,'Salary Calculation'!$A$2:$V$999,10,0),"")</f>
        <v>8131010000020156</v>
      </c>
      <c r="F19" s="101"/>
      <c r="G19" s="106">
        <f>IFERROR(VLOOKUP(A19,'Salary Calculation'!$A$2:$V$999,7,0),"")</f>
        <v>10293.09677</v>
      </c>
      <c r="H19" s="101"/>
      <c r="I19" s="101"/>
      <c r="J19" s="101"/>
      <c r="K19" s="101"/>
      <c r="L19" s="101"/>
      <c r="M19" s="101"/>
      <c r="N19" s="101"/>
      <c r="O19" s="101"/>
      <c r="P19" s="101"/>
      <c r="Q19" s="101"/>
      <c r="R19" s="101"/>
      <c r="S19" s="101"/>
      <c r="T19" s="101"/>
      <c r="U19" s="101"/>
      <c r="V19" s="101"/>
      <c r="W19" s="101"/>
      <c r="X19" s="101"/>
      <c r="Y19" s="101"/>
      <c r="Z19" s="101"/>
      <c r="AA19" s="101"/>
      <c r="AB19" s="101"/>
    </row>
    <row r="20">
      <c r="A20" s="104" t="s">
        <v>157</v>
      </c>
      <c r="B20" s="105" t="str">
        <f>IFERROR(VLOOKUP(A20,'Salary Calculation'!A19:F1016,2,0),"")</f>
        <v>May</v>
      </c>
      <c r="C20" s="105" t="str">
        <f>IFERROR(VLOOKUP(A20,'Salary Calculation'!$A$2:$V$999,3,0),"")</f>
        <v>PR 05</v>
      </c>
      <c r="D20" s="105" t="str">
        <f>IFERROR(VLOOKUP(A20,'Salary Calculation'!$A$2:$V$999,6,0),"")</f>
        <v>SANJAI BHAGAT</v>
      </c>
      <c r="E20" s="105" t="str">
        <f>IFERROR(VLOOKUP(A20,'Salary Calculation'!$A$2:$V$999,10,0),"")</f>
        <v>8131010000021225</v>
      </c>
      <c r="F20" s="101"/>
      <c r="G20" s="106">
        <f>IFERROR(VLOOKUP(A20,'Salary Calculation'!$A$2:$V$999,7,0),"")</f>
        <v>13437.16935</v>
      </c>
      <c r="H20" s="101"/>
      <c r="I20" s="101"/>
      <c r="J20" s="101"/>
      <c r="K20" s="101"/>
      <c r="L20" s="101"/>
      <c r="M20" s="101"/>
      <c r="N20" s="101"/>
      <c r="O20" s="101"/>
      <c r="P20" s="101"/>
      <c r="Q20" s="101"/>
      <c r="R20" s="101"/>
      <c r="S20" s="101"/>
      <c r="T20" s="101"/>
      <c r="U20" s="101"/>
      <c r="V20" s="101"/>
      <c r="W20" s="101"/>
      <c r="X20" s="101"/>
      <c r="Y20" s="101"/>
      <c r="Z20" s="101"/>
      <c r="AA20" s="101"/>
      <c r="AB20" s="101"/>
    </row>
    <row r="21">
      <c r="A21" s="104" t="s">
        <v>158</v>
      </c>
      <c r="B21" s="105" t="str">
        <f>IFERROR(VLOOKUP(A21,'Salary Calculation'!A20:F1017,2,0),"")</f>
        <v>June</v>
      </c>
      <c r="C21" s="105" t="str">
        <f>IFERROR(VLOOKUP(A21,'Salary Calculation'!$A$2:$V$999,3,0),"")</f>
        <v>AC 01</v>
      </c>
      <c r="D21" s="105" t="str">
        <f>IFERROR(VLOOKUP(A21,'Salary Calculation'!$A$2:$V$999,6,0),"")</f>
        <v>BHUVANESWARAN</v>
      </c>
      <c r="E21" s="105">
        <f>IFERROR(VLOOKUP(A21,'Salary Calculation'!$A$2:$V$999,10,0),"")</f>
        <v>500101011548924</v>
      </c>
      <c r="F21" s="101"/>
      <c r="G21" s="106">
        <f>IFERROR(VLOOKUP(A21,'Salary Calculation'!$A$2:$V$999,7,0),"")</f>
        <v>60900</v>
      </c>
      <c r="H21" s="101"/>
      <c r="I21" s="101"/>
      <c r="J21" s="101"/>
      <c r="K21" s="101"/>
      <c r="L21" s="101"/>
      <c r="M21" s="101"/>
      <c r="N21" s="101"/>
      <c r="O21" s="101"/>
      <c r="P21" s="101"/>
      <c r="Q21" s="101"/>
      <c r="R21" s="101"/>
      <c r="S21" s="101"/>
      <c r="T21" s="101"/>
      <c r="U21" s="101"/>
      <c r="V21" s="101"/>
      <c r="W21" s="101"/>
      <c r="X21" s="101"/>
      <c r="Y21" s="101"/>
      <c r="Z21" s="101"/>
      <c r="AA21" s="101"/>
      <c r="AB21" s="101"/>
    </row>
    <row r="22">
      <c r="A22" s="104" t="s">
        <v>159</v>
      </c>
      <c r="B22" s="105" t="str">
        <f>IFERROR(VLOOKUP(A22,'Salary Calculation'!A21:F1018,2,0),"")</f>
        <v>June</v>
      </c>
      <c r="C22" s="105" t="str">
        <f>IFERROR(VLOOKUP(A22,'Salary Calculation'!$A$2:$V$999,3,0),"")</f>
        <v>PR 02</v>
      </c>
      <c r="D22" s="105" t="str">
        <f>IFERROR(VLOOKUP(A22,'Salary Calculation'!$A$2:$V$999,6,0),"")</f>
        <v>GANESH</v>
      </c>
      <c r="E22" s="105" t="str">
        <f>IFERROR(VLOOKUP(A22,'Salary Calculation'!$A$2:$V$999,10,0),"")</f>
        <v>8811010012054879</v>
      </c>
      <c r="F22" s="101"/>
      <c r="G22" s="106">
        <f>IFERROR(VLOOKUP(A22,'Salary Calculation'!$A$2:$V$999,7,0),"")</f>
        <v>15712.74219</v>
      </c>
      <c r="H22" s="101"/>
      <c r="I22" s="101"/>
      <c r="J22" s="101"/>
      <c r="K22" s="101"/>
      <c r="L22" s="101"/>
      <c r="M22" s="101"/>
      <c r="N22" s="101"/>
      <c r="O22" s="101"/>
      <c r="P22" s="101"/>
      <c r="Q22" s="101"/>
      <c r="R22" s="101"/>
      <c r="S22" s="101"/>
      <c r="T22" s="101"/>
      <c r="U22" s="101"/>
      <c r="V22" s="101"/>
      <c r="W22" s="101"/>
      <c r="X22" s="101"/>
      <c r="Y22" s="101"/>
      <c r="Z22" s="101"/>
      <c r="AA22" s="101"/>
      <c r="AB22" s="101"/>
    </row>
    <row r="23">
      <c r="A23" s="104" t="s">
        <v>160</v>
      </c>
      <c r="B23" s="105" t="str">
        <f>IFERROR(VLOOKUP(A23,'Salary Calculation'!A22:F1019,2,0),"")</f>
        <v>June</v>
      </c>
      <c r="C23" s="105" t="str">
        <f>IFERROR(VLOOKUP(A23,'Salary Calculation'!$A$2:$V$999,3,0),"")</f>
        <v>PR 01</v>
      </c>
      <c r="D23" s="105" t="str">
        <f>IFERROR(VLOOKUP(A23,'Salary Calculation'!$A$2:$V$999,6,0),"")</f>
        <v>VASANTHA</v>
      </c>
      <c r="E23" s="105" t="str">
        <f>IFERROR(VLOOKUP(A23,'Salary Calculation'!$A$2:$V$999,10,0),"")</f>
        <v>8131010000016959</v>
      </c>
      <c r="F23" s="101"/>
      <c r="G23" s="106">
        <f>IFERROR(VLOOKUP(A23,'Salary Calculation'!$A$2:$V$999,7,0),"")</f>
        <v>14316.8125</v>
      </c>
      <c r="H23" s="101"/>
      <c r="I23" s="101"/>
      <c r="J23" s="101"/>
      <c r="K23" s="101"/>
      <c r="L23" s="101"/>
      <c r="M23" s="101"/>
      <c r="N23" s="101"/>
      <c r="O23" s="101"/>
      <c r="P23" s="101"/>
      <c r="Q23" s="101"/>
      <c r="R23" s="101"/>
      <c r="S23" s="101"/>
      <c r="T23" s="101"/>
      <c r="U23" s="101"/>
      <c r="V23" s="101"/>
      <c r="W23" s="101"/>
      <c r="X23" s="101"/>
      <c r="Y23" s="101"/>
      <c r="Z23" s="101"/>
      <c r="AA23" s="101"/>
      <c r="AB23" s="101"/>
    </row>
    <row r="24">
      <c r="A24" s="107" t="s">
        <v>161</v>
      </c>
      <c r="B24" s="108" t="str">
        <f>IFERROR(VLOOKUP(A24,'Salary Calculation'!A23:F1020,2,0),"")</f>
        <v>June</v>
      </c>
      <c r="C24" s="108" t="str">
        <f>IFERROR(VLOOKUP(A24,'Salary Calculation'!$A$2:$V$999,3,0),"")</f>
        <v>AC 02</v>
      </c>
      <c r="D24" s="108" t="str">
        <f>IFERROR(VLOOKUP(A24,'Salary Calculation'!$A$2:$V$999,6,0),"")</f>
        <v>SUNDARI</v>
      </c>
      <c r="E24" s="108" t="str">
        <f>IFERROR(VLOOKUP(A24,'Salary Calculation'!$A$2:$V$999,10,0),"")</f>
        <v>8131010000016977</v>
      </c>
      <c r="F24" s="109"/>
      <c r="G24" s="110">
        <f>IFERROR(VLOOKUP(A24,'Salary Calculation'!$A$2:$V$999,7,0),"")</f>
        <v>19390.96875</v>
      </c>
      <c r="H24" s="101"/>
      <c r="I24" s="101"/>
      <c r="J24" s="101"/>
      <c r="K24" s="101"/>
      <c r="L24" s="101"/>
      <c r="M24" s="101"/>
      <c r="N24" s="101"/>
      <c r="O24" s="101"/>
      <c r="P24" s="101"/>
      <c r="Q24" s="101"/>
      <c r="R24" s="101"/>
      <c r="S24" s="101"/>
      <c r="T24" s="101"/>
      <c r="U24" s="101"/>
      <c r="V24" s="101"/>
      <c r="W24" s="101"/>
      <c r="X24" s="101"/>
      <c r="Y24" s="101"/>
      <c r="Z24" s="101"/>
      <c r="AA24" s="101"/>
      <c r="AB24" s="101"/>
    </row>
    <row r="25">
      <c r="A25" s="104" t="s">
        <v>162</v>
      </c>
      <c r="B25" s="105" t="str">
        <f>IFERROR(VLOOKUP(A25,'Salary Calculation'!A24:F1021,2,0),"")</f>
        <v>June</v>
      </c>
      <c r="C25" s="105" t="str">
        <f>IFERROR(VLOOKUP(A25,'Salary Calculation'!$A$2:$V$999,3,0),"")</f>
        <v>DR 01</v>
      </c>
      <c r="D25" s="105" t="str">
        <f>IFERROR(VLOOKUP(A25,'Salary Calculation'!$A$2:$V$999,6,0),"")</f>
        <v>Mathi</v>
      </c>
      <c r="E25" s="105" t="str">
        <f>IFERROR(VLOOKUP(A25,'Salary Calculation'!$A$2:$V$999,10,0),"")</f>
        <v>8131010000016986</v>
      </c>
      <c r="F25" s="101"/>
      <c r="G25" s="106">
        <f>IFERROR(VLOOKUP(A25,'Salary Calculation'!$A$2:$V$999,7,0),"")</f>
        <v>23552.35417</v>
      </c>
      <c r="H25" s="101"/>
      <c r="I25" s="101"/>
      <c r="J25" s="101"/>
      <c r="K25" s="101"/>
      <c r="L25" s="101"/>
      <c r="M25" s="101"/>
      <c r="N25" s="101"/>
      <c r="O25" s="101"/>
      <c r="P25" s="101"/>
      <c r="Q25" s="101"/>
      <c r="R25" s="101"/>
      <c r="S25" s="101"/>
      <c r="T25" s="101"/>
      <c r="U25" s="101"/>
      <c r="V25" s="101"/>
      <c r="W25" s="101"/>
      <c r="X25" s="101"/>
      <c r="Y25" s="101"/>
      <c r="Z25" s="101"/>
      <c r="AA25" s="101"/>
      <c r="AB25" s="101"/>
    </row>
    <row r="26">
      <c r="A26" s="104" t="s">
        <v>163</v>
      </c>
      <c r="B26" s="105" t="str">
        <f>IFERROR(VLOOKUP(A26,'Salary Calculation'!A25:F1022,2,0),"")</f>
        <v>June</v>
      </c>
      <c r="C26" s="105" t="str">
        <f>IFERROR(VLOOKUP(A26,'Salary Calculation'!$A$2:$V$999,3,0),"")</f>
        <v>PR 04</v>
      </c>
      <c r="D26" s="105" t="str">
        <f>IFERROR(VLOOKUP(A26,'Salary Calculation'!$A$2:$V$999,6,0),"")</f>
        <v>RUPESH</v>
      </c>
      <c r="E26" s="105" t="str">
        <f>IFERROR(VLOOKUP(A26,'Salary Calculation'!$A$2:$V$999,10,0),"")</f>
        <v>8131010000020156</v>
      </c>
      <c r="F26" s="101"/>
      <c r="G26" s="106">
        <f>IFERROR(VLOOKUP(A26,'Salary Calculation'!$A$2:$V$999,7,0),"")</f>
        <v>21065.8125</v>
      </c>
      <c r="H26" s="101"/>
      <c r="I26" s="101"/>
      <c r="J26" s="101"/>
      <c r="K26" s="101"/>
      <c r="L26" s="101"/>
      <c r="M26" s="101"/>
      <c r="N26" s="101"/>
      <c r="O26" s="101"/>
      <c r="P26" s="101"/>
      <c r="Q26" s="101"/>
      <c r="R26" s="101"/>
      <c r="S26" s="101"/>
      <c r="T26" s="101"/>
      <c r="U26" s="101"/>
      <c r="V26" s="101"/>
      <c r="W26" s="101"/>
      <c r="X26" s="101"/>
      <c r="Y26" s="101"/>
      <c r="Z26" s="101"/>
      <c r="AA26" s="101"/>
      <c r="AB26" s="101"/>
    </row>
    <row r="27">
      <c r="A27" s="104" t="s">
        <v>164</v>
      </c>
      <c r="B27" s="105" t="str">
        <f>IFERROR(VLOOKUP(A27,'Salary Calculation'!A26:F1023,2,0),"")</f>
        <v>June</v>
      </c>
      <c r="C27" s="105" t="str">
        <f>IFERROR(VLOOKUP(A27,'Salary Calculation'!$A$2:$V$999,3,0),"")</f>
        <v>PR 05</v>
      </c>
      <c r="D27" s="105" t="str">
        <f>IFERROR(VLOOKUP(A27,'Salary Calculation'!$A$2:$V$999,6,0),"")</f>
        <v>SANJAI BHAGAT</v>
      </c>
      <c r="E27" s="105" t="str">
        <f>IFERROR(VLOOKUP(A27,'Salary Calculation'!$A$2:$V$999,10,0),"")</f>
        <v>8131010000021225</v>
      </c>
      <c r="F27" s="101"/>
      <c r="G27" s="106">
        <f>IFERROR(VLOOKUP(A27,'Salary Calculation'!$A$2:$V$999,7,0),"")</f>
        <v>22480.125</v>
      </c>
      <c r="H27" s="101"/>
      <c r="I27" s="101"/>
      <c r="J27" s="101"/>
      <c r="K27" s="101"/>
      <c r="L27" s="101"/>
      <c r="M27" s="101"/>
      <c r="N27" s="101"/>
      <c r="O27" s="101"/>
      <c r="P27" s="101"/>
      <c r="Q27" s="101"/>
      <c r="R27" s="101"/>
      <c r="S27" s="101"/>
      <c r="T27" s="101"/>
      <c r="U27" s="101"/>
      <c r="V27" s="101"/>
      <c r="W27" s="101"/>
      <c r="X27" s="101"/>
      <c r="Y27" s="101"/>
      <c r="Z27" s="101"/>
      <c r="AA27" s="101"/>
      <c r="AB27" s="101"/>
    </row>
    <row r="28">
      <c r="A28" s="107" t="s">
        <v>165</v>
      </c>
      <c r="B28" s="108" t="str">
        <f>IFERROR(VLOOKUP(A28,'Salary Calculation'!A27:F1024,2,0),"")</f>
        <v>June</v>
      </c>
      <c r="C28" s="108" t="str">
        <f>IFERROR(VLOOKUP(A28,'Salary Calculation'!$A$2:$V$999,3,0),"")</f>
        <v>PR 21</v>
      </c>
      <c r="D28" s="108" t="str">
        <f>IFERROR(VLOOKUP(A28,'Salary Calculation'!$A$2:$V$999,6,0),"")</f>
        <v>LIPAN</v>
      </c>
      <c r="E28" s="108" t="str">
        <f>IFERROR(VLOOKUP(A28,'Salary Calculation'!$A$2:$V$999,10,0),"")</f>
        <v>8131010000018957</v>
      </c>
      <c r="F28" s="109"/>
      <c r="G28" s="110">
        <f>IFERROR(VLOOKUP(A28,'Salary Calculation'!$A$2:$V$999,7,0),"")</f>
        <v>6476.0625</v>
      </c>
      <c r="H28" s="101"/>
      <c r="I28" s="101"/>
      <c r="J28" s="101"/>
      <c r="K28" s="101"/>
      <c r="L28" s="101"/>
      <c r="M28" s="101"/>
      <c r="N28" s="101"/>
      <c r="O28" s="101"/>
      <c r="P28" s="101"/>
      <c r="Q28" s="101"/>
      <c r="R28" s="101"/>
      <c r="S28" s="101"/>
      <c r="T28" s="101"/>
      <c r="U28" s="101"/>
      <c r="V28" s="101"/>
      <c r="W28" s="101"/>
      <c r="X28" s="101"/>
      <c r="Y28" s="101"/>
      <c r="Z28" s="101"/>
      <c r="AA28" s="101"/>
      <c r="AB28" s="101"/>
    </row>
    <row r="29">
      <c r="A29" s="104" t="s">
        <v>166</v>
      </c>
      <c r="B29" s="105" t="str">
        <f>IFERROR(VLOOKUP(A29,'Salary Calculation'!A28:F1025,2,0),"")</f>
        <v>June</v>
      </c>
      <c r="C29" s="105" t="str">
        <f>IFERROR(VLOOKUP(A29,'Salary Calculation'!$A$2:$V$999,3,0),"")</f>
        <v>PR 03</v>
      </c>
      <c r="D29" s="105" t="str">
        <f>IFERROR(VLOOKUP(A29,'Salary Calculation'!$A$2:$V$999,6,0),"")</f>
        <v>ADHIKARI BALIA</v>
      </c>
      <c r="E29" s="105" t="str">
        <f>IFERROR(VLOOKUP(A29,'Salary Calculation'!$A$2:$V$999,10,0),"")</f>
        <v>8131010000018948</v>
      </c>
      <c r="F29" s="101"/>
      <c r="G29" s="106">
        <f>IFERROR(VLOOKUP(A29,'Salary Calculation'!$A$2:$V$999,7,0),"")</f>
        <v>19949.25</v>
      </c>
      <c r="H29" s="101"/>
      <c r="I29" s="101"/>
      <c r="J29" s="101"/>
      <c r="K29" s="101"/>
      <c r="L29" s="101"/>
      <c r="M29" s="101"/>
      <c r="N29" s="101"/>
      <c r="O29" s="101"/>
      <c r="P29" s="101"/>
      <c r="Q29" s="101"/>
      <c r="R29" s="101"/>
      <c r="S29" s="101"/>
      <c r="T29" s="101"/>
      <c r="U29" s="101"/>
      <c r="V29" s="101"/>
      <c r="W29" s="101"/>
      <c r="X29" s="101"/>
      <c r="Y29" s="101"/>
      <c r="Z29" s="101"/>
      <c r="AA29" s="101"/>
      <c r="AB29" s="101"/>
    </row>
    <row r="30">
      <c r="A30" s="104" t="s">
        <v>167</v>
      </c>
      <c r="B30" s="105" t="str">
        <f>IFERROR(VLOOKUP(A30,'Salary Calculation'!A29:F1026,2,0),"")</f>
        <v>July</v>
      </c>
      <c r="C30" s="105" t="str">
        <f>IFERROR(VLOOKUP(A30,'Salary Calculation'!$A$2:$V$999,3,0),"")</f>
        <v>AC 01</v>
      </c>
      <c r="D30" s="105" t="str">
        <f>IFERROR(VLOOKUP(A30,'Salary Calculation'!$A$2:$V$999,6,0),"")</f>
        <v>BHUVANESWARAN</v>
      </c>
      <c r="E30" s="105">
        <f>IFERROR(VLOOKUP(A30,'Salary Calculation'!$A$2:$V$999,10,0),"")</f>
        <v>500101011548924</v>
      </c>
      <c r="F30" s="101"/>
      <c r="G30" s="106">
        <f>IFERROR(VLOOKUP(A30,'Salary Calculation'!$A$2:$V$999,7,0),"")</f>
        <v>60900</v>
      </c>
      <c r="H30" s="101"/>
      <c r="I30" s="101"/>
      <c r="J30" s="101"/>
      <c r="K30" s="101"/>
      <c r="L30" s="101"/>
      <c r="M30" s="101"/>
      <c r="N30" s="101"/>
      <c r="O30" s="101"/>
      <c r="P30" s="101"/>
      <c r="Q30" s="101"/>
      <c r="R30" s="101"/>
      <c r="S30" s="101"/>
      <c r="T30" s="101"/>
      <c r="U30" s="101"/>
      <c r="V30" s="101"/>
      <c r="W30" s="101"/>
      <c r="X30" s="101"/>
      <c r="Y30" s="101"/>
      <c r="Z30" s="101"/>
      <c r="AA30" s="101"/>
      <c r="AB30" s="101"/>
    </row>
    <row r="31">
      <c r="A31" s="104" t="s">
        <v>168</v>
      </c>
      <c r="B31" s="105" t="str">
        <f>IFERROR(VLOOKUP(A31,'Salary Calculation'!A30:F1027,2,0),"")</f>
        <v>July</v>
      </c>
      <c r="C31" s="105" t="str">
        <f>IFERROR(VLOOKUP(A31,'Salary Calculation'!$A$2:$V$999,3,0),"")</f>
        <v>PR 02</v>
      </c>
      <c r="D31" s="105" t="str">
        <f>IFERROR(VLOOKUP(A31,'Salary Calculation'!$A$2:$V$999,6,0),"")</f>
        <v>GANESH</v>
      </c>
      <c r="E31" s="105" t="str">
        <f>IFERROR(VLOOKUP(A31,'Salary Calculation'!$A$2:$V$999,10,0),"")</f>
        <v>8811010012054879</v>
      </c>
      <c r="F31" s="101"/>
      <c r="G31" s="106">
        <f>IFERROR(VLOOKUP(A31,'Salary Calculation'!$A$2:$V$999,7,0),"")</f>
        <v>12679.29889</v>
      </c>
      <c r="H31" s="101"/>
      <c r="I31" s="101"/>
      <c r="J31" s="101"/>
      <c r="K31" s="101"/>
      <c r="L31" s="101"/>
      <c r="M31" s="101"/>
      <c r="N31" s="101"/>
      <c r="O31" s="101"/>
      <c r="P31" s="101"/>
      <c r="Q31" s="101"/>
      <c r="R31" s="101"/>
      <c r="S31" s="101"/>
      <c r="T31" s="101"/>
      <c r="U31" s="101"/>
      <c r="V31" s="101"/>
      <c r="W31" s="101"/>
      <c r="X31" s="101"/>
      <c r="Y31" s="101"/>
      <c r="Z31" s="101"/>
      <c r="AA31" s="101"/>
      <c r="AB31" s="101"/>
    </row>
    <row r="32">
      <c r="A32" s="104" t="s">
        <v>169</v>
      </c>
      <c r="B32" s="105" t="str">
        <f>IFERROR(VLOOKUP(A32,'Salary Calculation'!A31:F1028,2,0),"")</f>
        <v>July</v>
      </c>
      <c r="C32" s="105" t="str">
        <f>IFERROR(VLOOKUP(A32,'Salary Calculation'!$A$2:$V$999,3,0),"")</f>
        <v>PR 01</v>
      </c>
      <c r="D32" s="105" t="str">
        <f>IFERROR(VLOOKUP(A32,'Salary Calculation'!$A$2:$V$999,6,0),"")</f>
        <v>VASANTHA</v>
      </c>
      <c r="E32" s="105" t="str">
        <f>IFERROR(VLOOKUP(A32,'Salary Calculation'!$A$2:$V$999,10,0),"")</f>
        <v>8131010000016959</v>
      </c>
      <c r="F32" s="101"/>
      <c r="G32" s="106">
        <f>IFERROR(VLOOKUP(A32,'Salary Calculation'!$A$2:$V$999,7,0),"")</f>
        <v>10627.75403</v>
      </c>
      <c r="H32" s="101"/>
      <c r="I32" s="101"/>
      <c r="J32" s="101"/>
      <c r="K32" s="101"/>
      <c r="L32" s="101"/>
      <c r="M32" s="101"/>
      <c r="N32" s="101"/>
      <c r="O32" s="101"/>
      <c r="P32" s="101"/>
      <c r="Q32" s="101"/>
      <c r="R32" s="101"/>
      <c r="S32" s="101"/>
      <c r="T32" s="101"/>
      <c r="U32" s="101"/>
      <c r="V32" s="101"/>
      <c r="W32" s="101"/>
      <c r="X32" s="101"/>
      <c r="Y32" s="101"/>
      <c r="Z32" s="101"/>
      <c r="AA32" s="101"/>
      <c r="AB32" s="101"/>
    </row>
    <row r="33">
      <c r="A33" s="104" t="s">
        <v>170</v>
      </c>
      <c r="B33" s="105" t="str">
        <f>IFERROR(VLOOKUP(A33,'Salary Calculation'!A32:F1029,2,0),"")</f>
        <v>July</v>
      </c>
      <c r="C33" s="105" t="str">
        <f>IFERROR(VLOOKUP(A33,'Salary Calculation'!$A$2:$V$999,3,0),"")</f>
        <v>AC 02</v>
      </c>
      <c r="D33" s="105" t="str">
        <f>IFERROR(VLOOKUP(A33,'Salary Calculation'!$A$2:$V$999,6,0),"")</f>
        <v>SUNDARI</v>
      </c>
      <c r="E33" s="105" t="str">
        <f>IFERROR(VLOOKUP(A33,'Salary Calculation'!$A$2:$V$999,10,0),"")</f>
        <v>8131010000016977</v>
      </c>
      <c r="F33" s="101"/>
      <c r="G33" s="106">
        <f>IFERROR(VLOOKUP(A33,'Salary Calculation'!$A$2:$V$999,7,0),"")</f>
        <v>20136.54435</v>
      </c>
      <c r="H33" s="101"/>
      <c r="I33" s="101"/>
      <c r="J33" s="101"/>
      <c r="K33" s="101"/>
      <c r="L33" s="101"/>
      <c r="M33" s="101"/>
      <c r="N33" s="101"/>
      <c r="O33" s="101"/>
      <c r="P33" s="101"/>
      <c r="Q33" s="101"/>
      <c r="R33" s="101"/>
      <c r="S33" s="101"/>
      <c r="T33" s="101"/>
      <c r="U33" s="101"/>
      <c r="V33" s="101"/>
      <c r="W33" s="101"/>
      <c r="X33" s="101"/>
      <c r="Y33" s="101"/>
      <c r="Z33" s="101"/>
      <c r="AA33" s="101"/>
      <c r="AB33" s="101"/>
    </row>
    <row r="34">
      <c r="A34" s="104" t="s">
        <v>171</v>
      </c>
      <c r="B34" s="105" t="str">
        <f>IFERROR(VLOOKUP(A34,'Salary Calculation'!A33:F1030,2,0),"")</f>
        <v>July</v>
      </c>
      <c r="C34" s="105" t="str">
        <f>IFERROR(VLOOKUP(A34,'Salary Calculation'!$A$2:$V$999,3,0),"")</f>
        <v>PR 03</v>
      </c>
      <c r="D34" s="105" t="str">
        <f>IFERROR(VLOOKUP(A34,'Salary Calculation'!$A$2:$V$999,6,0),"")</f>
        <v>ADHIKARI BALIA</v>
      </c>
      <c r="E34" s="105" t="str">
        <f>IFERROR(VLOOKUP(A34,'Salary Calculation'!$A$2:$V$999,10,0),"")</f>
        <v>8131010000018948</v>
      </c>
      <c r="F34" s="101"/>
      <c r="G34" s="106">
        <f>IFERROR(VLOOKUP(A34,'Salary Calculation'!$A$2:$V$999,7,0),"")</f>
        <v>15214.06452</v>
      </c>
      <c r="H34" s="101"/>
      <c r="I34" s="101"/>
      <c r="J34" s="101"/>
      <c r="K34" s="101"/>
      <c r="L34" s="101"/>
      <c r="M34" s="101"/>
      <c r="N34" s="101"/>
      <c r="O34" s="101"/>
      <c r="P34" s="101"/>
      <c r="Q34" s="101"/>
      <c r="R34" s="101"/>
      <c r="S34" s="101"/>
      <c r="T34" s="101"/>
      <c r="U34" s="101"/>
      <c r="V34" s="101"/>
      <c r="W34" s="101"/>
      <c r="X34" s="101"/>
      <c r="Y34" s="101"/>
      <c r="Z34" s="101"/>
      <c r="AA34" s="101"/>
      <c r="AB34" s="101"/>
    </row>
    <row r="35">
      <c r="A35" s="104" t="s">
        <v>172</v>
      </c>
      <c r="B35" s="105" t="str">
        <f>IFERROR(VLOOKUP(A35,'Salary Calculation'!A34:F1031,2,0),"")</f>
        <v>July</v>
      </c>
      <c r="C35" s="105" t="str">
        <f>IFERROR(VLOOKUP(A35,'Salary Calculation'!$A$2:$V$999,3,0),"")</f>
        <v>DR 01</v>
      </c>
      <c r="D35" s="105" t="str">
        <f>IFERROR(VLOOKUP(A35,'Salary Calculation'!$A$2:$V$999,6,0),"")</f>
        <v>Mathi</v>
      </c>
      <c r="E35" s="105" t="str">
        <f>IFERROR(VLOOKUP(A35,'Salary Calculation'!$A$2:$V$999,10,0),"")</f>
        <v>8131010000016986</v>
      </c>
      <c r="F35" s="101"/>
      <c r="G35" s="106">
        <f>IFERROR(VLOOKUP(A35,'Salary Calculation'!$A$2:$V$999,7,0),"")</f>
        <v>22058.52016</v>
      </c>
      <c r="H35" s="101"/>
      <c r="I35" s="101"/>
      <c r="J35" s="101"/>
      <c r="K35" s="101"/>
      <c r="L35" s="101"/>
      <c r="M35" s="101"/>
      <c r="N35" s="101"/>
      <c r="O35" s="101"/>
      <c r="P35" s="101"/>
      <c r="Q35" s="101"/>
      <c r="R35" s="101"/>
      <c r="S35" s="101"/>
      <c r="T35" s="101"/>
      <c r="U35" s="101"/>
      <c r="V35" s="101"/>
      <c r="W35" s="101"/>
      <c r="X35" s="101"/>
      <c r="Y35" s="101"/>
      <c r="Z35" s="101"/>
      <c r="AA35" s="101"/>
      <c r="AB35" s="101"/>
    </row>
    <row r="36">
      <c r="A36" s="104" t="s">
        <v>173</v>
      </c>
      <c r="B36" s="105" t="str">
        <f>IFERROR(VLOOKUP(A36,'Salary Calculation'!A35:F1032,2,0),"")</f>
        <v>July</v>
      </c>
      <c r="C36" s="105" t="str">
        <f>IFERROR(VLOOKUP(A36,'Salary Calculation'!$A$2:$V$999,3,0),"")</f>
        <v>PR 04</v>
      </c>
      <c r="D36" s="105" t="str">
        <f>IFERROR(VLOOKUP(A36,'Salary Calculation'!$A$2:$V$999,6,0),"")</f>
        <v>RUPESH</v>
      </c>
      <c r="E36" s="105" t="str">
        <f>IFERROR(VLOOKUP(A36,'Salary Calculation'!$A$2:$V$999,10,0),"")</f>
        <v>8131010000020156</v>
      </c>
      <c r="F36" s="101"/>
      <c r="G36" s="106">
        <f>IFERROR(VLOOKUP(A36,'Salary Calculation'!$A$2:$V$999,7,0),"")</f>
        <v>15684.70161</v>
      </c>
      <c r="H36" s="101"/>
      <c r="I36" s="101"/>
      <c r="J36" s="101"/>
      <c r="K36" s="101"/>
      <c r="L36" s="101"/>
      <c r="M36" s="101"/>
      <c r="N36" s="101"/>
      <c r="O36" s="101"/>
      <c r="P36" s="101"/>
      <c r="Q36" s="101"/>
      <c r="R36" s="101"/>
      <c r="S36" s="101"/>
      <c r="T36" s="101"/>
      <c r="U36" s="101"/>
      <c r="V36" s="101"/>
      <c r="W36" s="101"/>
      <c r="X36" s="101"/>
      <c r="Y36" s="101"/>
      <c r="Z36" s="101"/>
      <c r="AA36" s="101"/>
      <c r="AB36" s="101"/>
    </row>
    <row r="37">
      <c r="A37" s="104" t="s">
        <v>174</v>
      </c>
      <c r="B37" s="105" t="str">
        <f>IFERROR(VLOOKUP(A37,'Salary Calculation'!A36:F1033,2,0),"")</f>
        <v>July</v>
      </c>
      <c r="C37" s="105" t="str">
        <f>IFERROR(VLOOKUP(A37,'Salary Calculation'!$A$2:$V$999,3,0),"")</f>
        <v>PR 05</v>
      </c>
      <c r="D37" s="105" t="str">
        <f>IFERROR(VLOOKUP(A37,'Salary Calculation'!$A$2:$V$999,6,0),"")</f>
        <v>SANJAI BHAGAT</v>
      </c>
      <c r="E37" s="105" t="str">
        <f>IFERROR(VLOOKUP(A37,'Salary Calculation'!$A$2:$V$999,10,0),"")</f>
        <v>8131010000021225</v>
      </c>
      <c r="F37" s="101"/>
      <c r="G37" s="106">
        <f>IFERROR(VLOOKUP(A37,'Salary Calculation'!$A$2:$V$999,7,0),"")</f>
        <v>19718.73387</v>
      </c>
      <c r="H37" s="101"/>
      <c r="I37" s="101"/>
      <c r="J37" s="101"/>
      <c r="K37" s="101"/>
      <c r="L37" s="101"/>
      <c r="M37" s="101"/>
      <c r="N37" s="101"/>
      <c r="O37" s="101"/>
      <c r="P37" s="101"/>
      <c r="Q37" s="101"/>
      <c r="R37" s="101"/>
      <c r="S37" s="101"/>
      <c r="T37" s="101"/>
      <c r="U37" s="101"/>
      <c r="V37" s="101"/>
      <c r="W37" s="101"/>
      <c r="X37" s="101"/>
      <c r="Y37" s="101"/>
      <c r="Z37" s="101"/>
      <c r="AA37" s="101"/>
      <c r="AB37" s="101"/>
    </row>
    <row r="38">
      <c r="A38" s="104" t="s">
        <v>175</v>
      </c>
      <c r="B38" s="105" t="str">
        <f>IFERROR(VLOOKUP(A38,'Salary Calculation'!A37:F1034,2,0),"")</f>
        <v>July</v>
      </c>
      <c r="C38" s="105" t="str">
        <f>IFERROR(VLOOKUP(A38,'Salary Calculation'!$A$2:$V$999,3,0),"")</f>
        <v>PR 21</v>
      </c>
      <c r="D38" s="105" t="str">
        <f>IFERROR(VLOOKUP(A38,'Salary Calculation'!$A$2:$V$999,6,0),"")</f>
        <v>LIPAN</v>
      </c>
      <c r="E38" s="105" t="str">
        <f>IFERROR(VLOOKUP(A38,'Salary Calculation'!$A$2:$V$999,10,0),"")</f>
        <v>8131010000018957</v>
      </c>
      <c r="F38" s="101"/>
      <c r="G38" s="106">
        <f>IFERROR(VLOOKUP(A38,'Salary Calculation'!$A$2:$V$999,7,0),"")</f>
        <v>16726.82661</v>
      </c>
      <c r="H38" s="101"/>
      <c r="I38" s="101"/>
      <c r="J38" s="101"/>
      <c r="K38" s="101"/>
      <c r="L38" s="101"/>
      <c r="M38" s="101"/>
      <c r="N38" s="101"/>
      <c r="O38" s="101"/>
      <c r="P38" s="101"/>
      <c r="Q38" s="101"/>
      <c r="R38" s="101"/>
      <c r="S38" s="101"/>
      <c r="T38" s="101"/>
      <c r="U38" s="101"/>
      <c r="V38" s="101"/>
      <c r="W38" s="101"/>
      <c r="X38" s="101"/>
      <c r="Y38" s="101"/>
      <c r="Z38" s="101"/>
      <c r="AA38" s="101"/>
      <c r="AB38" s="101"/>
    </row>
    <row r="39">
      <c r="A39" s="104" t="s">
        <v>176</v>
      </c>
      <c r="B39" s="105" t="str">
        <f>IFERROR(VLOOKUP(A39,'Salary Calculation'!A38:F1035,2,0),"")</f>
        <v>July</v>
      </c>
      <c r="C39" s="105" t="str">
        <f>IFERROR(VLOOKUP(A39,'Salary Calculation'!$A$2:$V$999,3,0),"")</f>
        <v>PR 20</v>
      </c>
      <c r="D39" s="105" t="str">
        <f>IFERROR(VLOOKUP(A39,'Salary Calculation'!$A$2:$V$999,6,0),"")</f>
        <v>JAGABANDH</v>
      </c>
      <c r="E39" s="105" t="str">
        <f>IFERROR(VLOOKUP(A39,'Salary Calculation'!$A$2:$V$999,10,0),"")</f>
        <v>8131010000018920</v>
      </c>
      <c r="F39" s="101"/>
      <c r="G39" s="106">
        <f>IFERROR(VLOOKUP(A39,'Salary Calculation'!$A$2:$V$999,7,0),"")</f>
        <v>13981.35484</v>
      </c>
      <c r="H39" s="101"/>
      <c r="I39" s="101"/>
      <c r="J39" s="101"/>
      <c r="K39" s="101"/>
      <c r="L39" s="101"/>
      <c r="M39" s="101"/>
      <c r="N39" s="101"/>
      <c r="O39" s="101"/>
      <c r="P39" s="101"/>
      <c r="Q39" s="101"/>
      <c r="R39" s="101"/>
      <c r="S39" s="101"/>
      <c r="T39" s="101"/>
      <c r="U39" s="101"/>
      <c r="V39" s="101"/>
      <c r="W39" s="101"/>
      <c r="X39" s="101"/>
      <c r="Y39" s="101"/>
      <c r="Z39" s="101"/>
      <c r="AA39" s="101"/>
      <c r="AB39" s="101"/>
    </row>
    <row r="40">
      <c r="A40" s="104" t="s">
        <v>177</v>
      </c>
      <c r="B40" s="105" t="str">
        <f>IFERROR(VLOOKUP(A40,'Salary Calculation'!A39:F1036,2,0),"")</f>
        <v>August</v>
      </c>
      <c r="C40" s="105" t="str">
        <f>IFERROR(VLOOKUP(A40,'Salary Calculation'!$A$2:$V$999,3,0),"")</f>
        <v>AC 01</v>
      </c>
      <c r="D40" s="105" t="str">
        <f>IFERROR(VLOOKUP(A40,'Salary Calculation'!$A$2:$V$999,6,0),"")</f>
        <v>BHUVANESWARAN</v>
      </c>
      <c r="E40" s="105">
        <f>IFERROR(VLOOKUP(A40,'Salary Calculation'!$A$2:$V$999,10,0),"")</f>
        <v>500101011548924</v>
      </c>
      <c r="F40" s="101"/>
      <c r="G40" s="106">
        <f>IFERROR(VLOOKUP(A40,'Salary Calculation'!$A$2:$V$999,7,0),"")</f>
        <v>60900</v>
      </c>
      <c r="H40" s="101"/>
      <c r="I40" s="101"/>
      <c r="J40" s="101"/>
      <c r="K40" s="101"/>
      <c r="L40" s="101"/>
      <c r="M40" s="101"/>
      <c r="N40" s="101"/>
      <c r="O40" s="101"/>
      <c r="P40" s="101"/>
      <c r="Q40" s="101"/>
      <c r="R40" s="101"/>
      <c r="S40" s="101"/>
      <c r="T40" s="101"/>
      <c r="U40" s="101"/>
      <c r="V40" s="101"/>
      <c r="W40" s="101"/>
      <c r="X40" s="101"/>
      <c r="Y40" s="101"/>
      <c r="Z40" s="101"/>
      <c r="AA40" s="101"/>
      <c r="AB40" s="101"/>
    </row>
    <row r="41">
      <c r="A41" s="104" t="s">
        <v>178</v>
      </c>
      <c r="B41" s="105" t="str">
        <f>IFERROR(VLOOKUP(A41,'Salary Calculation'!A40:F1037,2,0),"")</f>
        <v>August</v>
      </c>
      <c r="C41" s="105" t="str">
        <f>IFERROR(VLOOKUP(A41,'Salary Calculation'!$A$2:$V$999,3,0),"")</f>
        <v>PR 02</v>
      </c>
      <c r="D41" s="105" t="str">
        <f>IFERROR(VLOOKUP(A41,'Salary Calculation'!$A$2:$V$999,6,0),"")</f>
        <v>GANESH</v>
      </c>
      <c r="E41" s="105" t="str">
        <f>IFERROR(VLOOKUP(A41,'Salary Calculation'!$A$2:$V$999,10,0),"")</f>
        <v>8811010012054879</v>
      </c>
      <c r="F41" s="101"/>
      <c r="G41" s="106">
        <f>IFERROR(VLOOKUP(A41,'Salary Calculation'!$A$2:$V$999,7,0),"")</f>
        <v>14780.35736</v>
      </c>
      <c r="H41" s="101"/>
      <c r="I41" s="101"/>
      <c r="J41" s="101"/>
      <c r="K41" s="101"/>
      <c r="L41" s="101"/>
      <c r="M41" s="101"/>
      <c r="N41" s="101"/>
      <c r="O41" s="101"/>
      <c r="P41" s="101"/>
      <c r="Q41" s="101"/>
      <c r="R41" s="101"/>
      <c r="S41" s="101"/>
      <c r="T41" s="101"/>
      <c r="U41" s="101"/>
      <c r="V41" s="101"/>
      <c r="W41" s="101"/>
      <c r="X41" s="101"/>
      <c r="Y41" s="101"/>
      <c r="Z41" s="101"/>
      <c r="AA41" s="101"/>
      <c r="AB41" s="101"/>
    </row>
    <row r="42">
      <c r="A42" s="104" t="s">
        <v>179</v>
      </c>
      <c r="B42" s="105" t="str">
        <f>IFERROR(VLOOKUP(A42,'Salary Calculation'!A41:F1038,2,0),"")</f>
        <v>August</v>
      </c>
      <c r="C42" s="105" t="str">
        <f>IFERROR(VLOOKUP(A42,'Salary Calculation'!$A$2:$V$999,3,0),"")</f>
        <v>PR 01</v>
      </c>
      <c r="D42" s="105" t="str">
        <f>IFERROR(VLOOKUP(A42,'Salary Calculation'!$A$2:$V$999,6,0),"")</f>
        <v>VASANTHA</v>
      </c>
      <c r="E42" s="105" t="str">
        <f>IFERROR(VLOOKUP(A42,'Salary Calculation'!$A$2:$V$999,10,0),"")</f>
        <v>8131010000016959</v>
      </c>
      <c r="F42" s="101"/>
      <c r="G42" s="106">
        <f>IFERROR(VLOOKUP(A42,'Salary Calculation'!$A$2:$V$999,7,0),"")</f>
        <v>11972.43145</v>
      </c>
      <c r="H42" s="101"/>
      <c r="I42" s="101"/>
      <c r="J42" s="101"/>
      <c r="K42" s="101"/>
      <c r="L42" s="101"/>
      <c r="M42" s="101"/>
      <c r="N42" s="101"/>
      <c r="O42" s="101"/>
      <c r="P42" s="101"/>
      <c r="Q42" s="101"/>
      <c r="R42" s="101"/>
      <c r="S42" s="101"/>
      <c r="T42" s="101"/>
      <c r="U42" s="101"/>
      <c r="V42" s="101"/>
      <c r="W42" s="101"/>
      <c r="X42" s="101"/>
      <c r="Y42" s="101"/>
      <c r="Z42" s="101"/>
      <c r="AA42" s="101"/>
      <c r="AB42" s="101"/>
    </row>
    <row r="43">
      <c r="A43" s="104" t="s">
        <v>180</v>
      </c>
      <c r="B43" s="105" t="str">
        <f>IFERROR(VLOOKUP(A43,'Salary Calculation'!A42:F1039,2,0),"")</f>
        <v>August</v>
      </c>
      <c r="C43" s="105" t="str">
        <f>IFERROR(VLOOKUP(A43,'Salary Calculation'!$A$2:$V$999,3,0),"")</f>
        <v>AC 02</v>
      </c>
      <c r="D43" s="105" t="str">
        <f>IFERROR(VLOOKUP(A43,'Salary Calculation'!$A$2:$V$999,6,0),"")</f>
        <v>SUNDARI</v>
      </c>
      <c r="E43" s="105" t="str">
        <f>IFERROR(VLOOKUP(A43,'Salary Calculation'!$A$2:$V$999,10,0),"")</f>
        <v>8131010000016977</v>
      </c>
      <c r="F43" s="101"/>
      <c r="G43" s="106">
        <f>IFERROR(VLOOKUP(A43,'Salary Calculation'!$A$2:$V$999,7,0),"")</f>
        <v>19488.21774</v>
      </c>
      <c r="H43" s="101"/>
      <c r="I43" s="101"/>
      <c r="J43" s="101"/>
      <c r="K43" s="101"/>
      <c r="L43" s="101"/>
      <c r="M43" s="101"/>
      <c r="N43" s="101"/>
      <c r="O43" s="101"/>
      <c r="P43" s="101"/>
      <c r="Q43" s="101"/>
      <c r="R43" s="101"/>
      <c r="S43" s="101"/>
      <c r="T43" s="101"/>
      <c r="U43" s="101"/>
      <c r="V43" s="101"/>
      <c r="W43" s="101"/>
      <c r="X43" s="101"/>
      <c r="Y43" s="101"/>
      <c r="Z43" s="101"/>
      <c r="AA43" s="101"/>
      <c r="AB43" s="101"/>
    </row>
    <row r="44">
      <c r="A44" s="104" t="s">
        <v>181</v>
      </c>
      <c r="B44" s="105" t="str">
        <f>IFERROR(VLOOKUP(A44,'Salary Calculation'!A43:F1040,2,0),"")</f>
        <v>August</v>
      </c>
      <c r="C44" s="105" t="str">
        <f>IFERROR(VLOOKUP(A44,'Salary Calculation'!$A$2:$V$999,3,0),"")</f>
        <v>PR 03</v>
      </c>
      <c r="D44" s="105" t="str">
        <f>IFERROR(VLOOKUP(A44,'Salary Calculation'!$A$2:$V$999,6,0),"")</f>
        <v>ADHIKARI BALIA</v>
      </c>
      <c r="E44" s="105" t="str">
        <f>IFERROR(VLOOKUP(A44,'Salary Calculation'!$A$2:$V$999,10,0),"")</f>
        <v>8131010000018948</v>
      </c>
      <c r="F44" s="101"/>
      <c r="G44" s="106">
        <f>IFERROR(VLOOKUP(A44,'Salary Calculation'!$A$2:$V$999,7,0),"")</f>
        <v>11812.85484</v>
      </c>
      <c r="H44" s="101"/>
      <c r="I44" s="101"/>
      <c r="J44" s="101"/>
      <c r="K44" s="101"/>
      <c r="L44" s="101"/>
      <c r="M44" s="101"/>
      <c r="N44" s="101"/>
      <c r="O44" s="101"/>
      <c r="P44" s="101"/>
      <c r="Q44" s="101"/>
      <c r="R44" s="101"/>
      <c r="S44" s="101"/>
      <c r="T44" s="101"/>
      <c r="U44" s="101"/>
      <c r="V44" s="101"/>
      <c r="W44" s="101"/>
      <c r="X44" s="101"/>
      <c r="Y44" s="101"/>
      <c r="Z44" s="101"/>
      <c r="AA44" s="101"/>
      <c r="AB44" s="101"/>
    </row>
    <row r="45">
      <c r="A45" s="104" t="s">
        <v>182</v>
      </c>
      <c r="B45" s="105" t="str">
        <f>IFERROR(VLOOKUP(A45,'Salary Calculation'!A44:F1041,2,0),"")</f>
        <v>August</v>
      </c>
      <c r="C45" s="105" t="str">
        <f>IFERROR(VLOOKUP(A45,'Salary Calculation'!$A$2:$V$999,3,0),"")</f>
        <v>DR 01</v>
      </c>
      <c r="D45" s="105" t="str">
        <f>IFERROR(VLOOKUP(A45,'Salary Calculation'!$A$2:$V$999,6,0),"")</f>
        <v>Mathi</v>
      </c>
      <c r="E45" s="105" t="str">
        <f>IFERROR(VLOOKUP(A45,'Salary Calculation'!$A$2:$V$999,10,0),"")</f>
        <v>8131010000016986</v>
      </c>
      <c r="F45" s="101"/>
      <c r="G45" s="106">
        <f>IFERROR(VLOOKUP(A45,'Salary Calculation'!$A$2:$V$999,7,0),"")</f>
        <v>8773.33871</v>
      </c>
      <c r="H45" s="101"/>
      <c r="I45" s="101"/>
      <c r="J45" s="101"/>
      <c r="K45" s="101"/>
      <c r="L45" s="101"/>
      <c r="M45" s="101"/>
      <c r="N45" s="101"/>
      <c r="O45" s="101"/>
      <c r="P45" s="101"/>
      <c r="Q45" s="101"/>
      <c r="R45" s="101"/>
      <c r="S45" s="101"/>
      <c r="T45" s="101"/>
      <c r="U45" s="101"/>
      <c r="V45" s="101"/>
      <c r="W45" s="101"/>
      <c r="X45" s="101"/>
      <c r="Y45" s="101"/>
      <c r="Z45" s="101"/>
      <c r="AA45" s="101"/>
      <c r="AB45" s="101"/>
    </row>
    <row r="46">
      <c r="A46" s="104" t="s">
        <v>183</v>
      </c>
      <c r="B46" s="105" t="str">
        <f>IFERROR(VLOOKUP(A46,'Salary Calculation'!A45:F1042,2,0),"")</f>
        <v>August</v>
      </c>
      <c r="C46" s="105" t="str">
        <f>IFERROR(VLOOKUP(A46,'Salary Calculation'!$A$2:$V$999,3,0),"")</f>
        <v>PR 04</v>
      </c>
      <c r="D46" s="105" t="str">
        <f>IFERROR(VLOOKUP(A46,'Salary Calculation'!$A$2:$V$999,6,0),"")</f>
        <v>RUPESH</v>
      </c>
      <c r="E46" s="105" t="str">
        <f>IFERROR(VLOOKUP(A46,'Salary Calculation'!$A$2:$V$999,10,0),"")</f>
        <v>8131010000020156</v>
      </c>
      <c r="F46" s="101"/>
      <c r="G46" s="106">
        <f>IFERROR(VLOOKUP(A46,'Salary Calculation'!$A$2:$V$999,7,0),"")</f>
        <v>11388.04839</v>
      </c>
      <c r="H46" s="101"/>
      <c r="I46" s="101"/>
      <c r="J46" s="101"/>
      <c r="K46" s="101"/>
      <c r="L46" s="101"/>
      <c r="M46" s="101"/>
      <c r="N46" s="101"/>
      <c r="O46" s="101"/>
      <c r="P46" s="101"/>
      <c r="Q46" s="101"/>
      <c r="R46" s="101"/>
      <c r="S46" s="101"/>
      <c r="T46" s="101"/>
      <c r="U46" s="101"/>
      <c r="V46" s="101"/>
      <c r="W46" s="101"/>
      <c r="X46" s="101"/>
      <c r="Y46" s="101"/>
      <c r="Z46" s="101"/>
      <c r="AA46" s="101"/>
      <c r="AB46" s="101"/>
    </row>
    <row r="47">
      <c r="A47" s="104" t="s">
        <v>184</v>
      </c>
      <c r="B47" s="105" t="str">
        <f>IFERROR(VLOOKUP(A47,'Salary Calculation'!A46:F1043,2,0),"")</f>
        <v>August</v>
      </c>
      <c r="C47" s="105" t="str">
        <f>IFERROR(VLOOKUP(A47,'Salary Calculation'!$A$2:$V$999,3,0),"")</f>
        <v>PR 05</v>
      </c>
      <c r="D47" s="105" t="str">
        <f>IFERROR(VLOOKUP(A47,'Salary Calculation'!$A$2:$V$999,6,0),"")</f>
        <v>SANJAI BHAGAT</v>
      </c>
      <c r="E47" s="105" t="str">
        <f>IFERROR(VLOOKUP(A47,'Salary Calculation'!$A$2:$V$999,10,0),"")</f>
        <v>8131010000021225</v>
      </c>
      <c r="F47" s="101"/>
      <c r="G47" s="106">
        <f>IFERROR(VLOOKUP(A47,'Salary Calculation'!$A$2:$V$999,7,0),"")</f>
        <v>14733.82258</v>
      </c>
      <c r="H47" s="101"/>
      <c r="I47" s="101"/>
      <c r="J47" s="101"/>
      <c r="K47" s="101"/>
      <c r="L47" s="101"/>
      <c r="M47" s="101"/>
      <c r="N47" s="101"/>
      <c r="O47" s="101"/>
      <c r="P47" s="101"/>
      <c r="Q47" s="101"/>
      <c r="R47" s="101"/>
      <c r="S47" s="101"/>
      <c r="T47" s="101"/>
      <c r="U47" s="101"/>
      <c r="V47" s="101"/>
      <c r="W47" s="101"/>
      <c r="X47" s="101"/>
      <c r="Y47" s="101"/>
      <c r="Z47" s="101"/>
      <c r="AA47" s="101"/>
      <c r="AB47" s="101"/>
    </row>
    <row r="48">
      <c r="A48" s="104" t="s">
        <v>185</v>
      </c>
      <c r="B48" s="105" t="str">
        <f>IFERROR(VLOOKUP(A48,'Salary Calculation'!A47:F1044,2,0),"")</f>
        <v>August</v>
      </c>
      <c r="C48" s="105" t="str">
        <f>IFERROR(VLOOKUP(A48,'Salary Calculation'!$A$2:$V$999,3,0),"")</f>
        <v>PR 21</v>
      </c>
      <c r="D48" s="105" t="str">
        <f>IFERROR(VLOOKUP(A48,'Salary Calculation'!$A$2:$V$999,6,0),"")</f>
        <v>LIPAN</v>
      </c>
      <c r="E48" s="105" t="str">
        <f>IFERROR(VLOOKUP(A48,'Salary Calculation'!$A$2:$V$999,10,0),"")</f>
        <v>8131010000018957</v>
      </c>
      <c r="F48" s="101"/>
      <c r="G48" s="106">
        <f>IFERROR(VLOOKUP(A48,'Salary Calculation'!$A$2:$V$999,7,0),"")</f>
        <v>15972.84677</v>
      </c>
      <c r="H48" s="101"/>
      <c r="I48" s="101"/>
      <c r="J48" s="101"/>
      <c r="K48" s="101"/>
      <c r="L48" s="101"/>
      <c r="M48" s="101"/>
      <c r="N48" s="101"/>
      <c r="O48" s="101"/>
      <c r="P48" s="101"/>
      <c r="Q48" s="101"/>
      <c r="R48" s="101"/>
      <c r="S48" s="101"/>
      <c r="T48" s="101"/>
      <c r="U48" s="101"/>
      <c r="V48" s="101"/>
      <c r="W48" s="101"/>
      <c r="X48" s="101"/>
      <c r="Y48" s="101"/>
      <c r="Z48" s="101"/>
      <c r="AA48" s="101"/>
      <c r="AB48" s="101"/>
    </row>
    <row r="49">
      <c r="A49" s="104" t="s">
        <v>186</v>
      </c>
      <c r="B49" s="105" t="str">
        <f>IFERROR(VLOOKUP(A49,'Salary Calculation'!A48:F1045,2,0),"")</f>
        <v>August</v>
      </c>
      <c r="C49" s="105" t="str">
        <f>IFERROR(VLOOKUP(A49,'Salary Calculation'!$A$2:$V$999,3,0),"")</f>
        <v>PR 20</v>
      </c>
      <c r="D49" s="105" t="str">
        <f>IFERROR(VLOOKUP(A49,'Salary Calculation'!$A$2:$V$999,6,0),"")</f>
        <v>JAGABANDH</v>
      </c>
      <c r="E49" s="105" t="str">
        <f>IFERROR(VLOOKUP(A49,'Salary Calculation'!$A$2:$V$999,10,0),"")</f>
        <v>8131010000018920</v>
      </c>
      <c r="F49" s="101"/>
      <c r="G49" s="106">
        <f>IFERROR(VLOOKUP(A49,'Salary Calculation'!$A$2:$V$999,7,0),"")</f>
        <v>14676.19355</v>
      </c>
      <c r="H49" s="101"/>
      <c r="I49" s="101"/>
      <c r="J49" s="101"/>
      <c r="K49" s="101"/>
      <c r="L49" s="101"/>
      <c r="M49" s="101"/>
      <c r="N49" s="101"/>
      <c r="O49" s="101"/>
      <c r="P49" s="101"/>
      <c r="Q49" s="101"/>
      <c r="R49" s="101"/>
      <c r="S49" s="101"/>
      <c r="T49" s="101"/>
      <c r="U49" s="101"/>
      <c r="V49" s="101"/>
      <c r="W49" s="101"/>
      <c r="X49" s="101"/>
      <c r="Y49" s="101"/>
      <c r="Z49" s="101"/>
      <c r="AA49" s="101"/>
      <c r="AB49" s="101"/>
    </row>
    <row r="50">
      <c r="A50" s="104" t="s">
        <v>187</v>
      </c>
      <c r="B50" s="105" t="str">
        <f>IFERROR(VLOOKUP(A50,'Salary Calculation'!A49:F1046,2,0),"")</f>
        <v>August</v>
      </c>
      <c r="C50" s="105" t="str">
        <f>IFERROR(VLOOKUP(A50,'Salary Calculation'!$A$2:$V$999,3,0),"")</f>
        <v>AC 03</v>
      </c>
      <c r="D50" s="105" t="str">
        <f>IFERROR(VLOOKUP(A50,'Salary Calculation'!$A$2:$V$999,6,0),"")</f>
        <v>LEELA</v>
      </c>
      <c r="E50" s="105" t="str">
        <f>IFERROR(VLOOKUP(A50,'Salary Calculation'!$A$2:$V$999,10,0),"")</f>
        <v>8387010000017745</v>
      </c>
      <c r="F50" s="101"/>
      <c r="G50" s="106">
        <f>IFERROR(VLOOKUP(A50,'Salary Calculation'!$A$2:$V$999,7,0),"")</f>
        <v>12516.70565</v>
      </c>
      <c r="H50" s="101"/>
      <c r="I50" s="101"/>
      <c r="J50" s="101"/>
      <c r="K50" s="101"/>
      <c r="L50" s="101"/>
      <c r="M50" s="101"/>
      <c r="N50" s="101"/>
      <c r="O50" s="101"/>
      <c r="P50" s="101"/>
      <c r="Q50" s="101"/>
      <c r="R50" s="101"/>
      <c r="S50" s="101"/>
      <c r="T50" s="101"/>
      <c r="U50" s="101"/>
      <c r="V50" s="101"/>
      <c r="W50" s="101"/>
      <c r="X50" s="101"/>
      <c r="Y50" s="101"/>
      <c r="Z50" s="101"/>
      <c r="AA50" s="101"/>
      <c r="AB50" s="101"/>
    </row>
    <row r="51">
      <c r="A51" s="104" t="s">
        <v>188</v>
      </c>
      <c r="B51" s="105" t="str">
        <f>IFERROR(VLOOKUP(A51,'Salary Calculation'!A50:F1047,2,0),"")</f>
        <v>August</v>
      </c>
      <c r="C51" s="105" t="str">
        <f>IFERROR(VLOOKUP(A51,'Salary Calculation'!$A$2:$V$999,3,0),"")</f>
        <v>PR 08</v>
      </c>
      <c r="D51" s="105" t="str">
        <f>IFERROR(VLOOKUP(A51,'Salary Calculation'!$A$2:$V$999,6,0),"")</f>
        <v>REVATHI S</v>
      </c>
      <c r="E51" s="105" t="str">
        <f>IFERROR(VLOOKUP(A51,'Salary Calculation'!$A$2:$V$999,10,0),"")</f>
        <v>8131010000016995</v>
      </c>
      <c r="F51" s="101"/>
      <c r="G51" s="106">
        <f>IFERROR(VLOOKUP(A51,'Salary Calculation'!$A$2:$V$999,7,0),"")</f>
        <v>5681.766129</v>
      </c>
      <c r="H51" s="101"/>
      <c r="I51" s="101"/>
      <c r="J51" s="101"/>
      <c r="K51" s="101"/>
      <c r="L51" s="101"/>
      <c r="M51" s="101"/>
      <c r="N51" s="101"/>
      <c r="O51" s="101"/>
      <c r="P51" s="101"/>
      <c r="Q51" s="101"/>
      <c r="R51" s="101"/>
      <c r="S51" s="101"/>
      <c r="T51" s="101"/>
      <c r="U51" s="101"/>
      <c r="V51" s="101"/>
      <c r="W51" s="101"/>
      <c r="X51" s="101"/>
      <c r="Y51" s="101"/>
      <c r="Z51" s="101"/>
      <c r="AA51" s="101"/>
      <c r="AB51" s="101"/>
    </row>
    <row r="52">
      <c r="A52" s="104" t="s">
        <v>189</v>
      </c>
      <c r="B52" s="105" t="str">
        <f>IFERROR(VLOOKUP(A52,'Salary Calculation'!A51:F1048,2,0),"")</f>
        <v>August</v>
      </c>
      <c r="C52" s="105" t="str">
        <f>IFERROR(VLOOKUP(A52,'Salary Calculation'!$A$2:$V$999,3,0),"")</f>
        <v>PR 19</v>
      </c>
      <c r="D52" s="105" t="str">
        <f>IFERROR(VLOOKUP(A52,'Salary Calculation'!$A$2:$V$999,6,0),"")</f>
        <v>SIDHESHWAR</v>
      </c>
      <c r="E52" s="105" t="str">
        <f>IFERROR(VLOOKUP(A52,'Salary Calculation'!$A$2:$V$999,10,0),"")</f>
        <v>8131010000018939</v>
      </c>
      <c r="F52" s="101"/>
      <c r="G52" s="106">
        <f>IFERROR(VLOOKUP(A52,'Salary Calculation'!$A$2:$V$999,7,0),"")</f>
        <v>11418.55242</v>
      </c>
      <c r="H52" s="101"/>
      <c r="I52" s="101"/>
      <c r="J52" s="101"/>
      <c r="K52" s="101"/>
      <c r="L52" s="101"/>
      <c r="M52" s="101"/>
      <c r="N52" s="101"/>
      <c r="O52" s="101"/>
      <c r="P52" s="101"/>
      <c r="Q52" s="101"/>
      <c r="R52" s="101"/>
      <c r="S52" s="101"/>
      <c r="T52" s="101"/>
      <c r="U52" s="101"/>
      <c r="V52" s="101"/>
      <c r="W52" s="101"/>
      <c r="X52" s="101"/>
      <c r="Y52" s="101"/>
      <c r="Z52" s="101"/>
      <c r="AA52" s="101"/>
      <c r="AB52" s="101"/>
    </row>
    <row r="53">
      <c r="A53" s="104" t="s">
        <v>190</v>
      </c>
      <c r="B53" s="105" t="str">
        <f>IFERROR(VLOOKUP(A53,'Salary Calculation'!A52:F1049,2,0),"")</f>
        <v>August</v>
      </c>
      <c r="C53" s="105" t="str">
        <f>IFERROR(VLOOKUP(A53,'Salary Calculation'!$A$2:$V$999,3,0),"")</f>
        <v>PR 18</v>
      </c>
      <c r="D53" s="105" t="str">
        <f>IFERROR(VLOOKUP(A53,'Salary Calculation'!$A$2:$V$999,6,0),"")</f>
        <v>NAROTTAM</v>
      </c>
      <c r="E53" s="105" t="str">
        <f>IFERROR(VLOOKUP(A53,'Salary Calculation'!$A$2:$V$999,10,0),"")</f>
        <v/>
      </c>
      <c r="F53" s="101"/>
      <c r="G53" s="106">
        <f>IFERROR(VLOOKUP(A53,'Salary Calculation'!$A$2:$V$999,7,0),"")</f>
        <v>10496.19153</v>
      </c>
      <c r="H53" s="101"/>
      <c r="I53" s="101"/>
      <c r="J53" s="101"/>
      <c r="K53" s="101"/>
      <c r="L53" s="101"/>
      <c r="M53" s="101"/>
      <c r="N53" s="101"/>
      <c r="O53" s="101"/>
      <c r="P53" s="101"/>
      <c r="Q53" s="101"/>
      <c r="R53" s="101"/>
      <c r="S53" s="101"/>
      <c r="T53" s="101"/>
      <c r="U53" s="101"/>
      <c r="V53" s="101"/>
      <c r="W53" s="101"/>
      <c r="X53" s="101"/>
      <c r="Y53" s="101"/>
      <c r="Z53" s="101"/>
      <c r="AA53" s="101"/>
      <c r="AB53" s="101"/>
    </row>
    <row r="54">
      <c r="A54" s="104" t="s">
        <v>191</v>
      </c>
      <c r="B54" s="105" t="str">
        <f>IFERROR(VLOOKUP(A54,'Salary Calculation'!A53:F1050,2,0),"")</f>
        <v>August</v>
      </c>
      <c r="C54" s="105" t="str">
        <f>IFERROR(VLOOKUP(A54,'Salary Calculation'!$A$2:$V$999,3,0),"")</f>
        <v>PR 07</v>
      </c>
      <c r="D54" s="105" t="str">
        <f>IFERROR(VLOOKUP(A54,'Salary Calculation'!$A$2:$V$999,6,0),"")</f>
        <v>AMMU</v>
      </c>
      <c r="E54" s="105">
        <f>IFERROR(VLOOKUP(A54,'Salary Calculation'!$A$2:$V$999,10,0),"")</f>
        <v>65801000040238</v>
      </c>
      <c r="F54" s="101"/>
      <c r="G54" s="106">
        <f>IFERROR(VLOOKUP(A54,'Salary Calculation'!$A$2:$V$999,7,0),"")</f>
        <v>9571.221774</v>
      </c>
      <c r="H54" s="101"/>
      <c r="I54" s="101"/>
      <c r="J54" s="101"/>
      <c r="K54" s="101"/>
      <c r="L54" s="101"/>
      <c r="M54" s="101"/>
      <c r="N54" s="101"/>
      <c r="O54" s="101"/>
      <c r="P54" s="101"/>
      <c r="Q54" s="101"/>
      <c r="R54" s="101"/>
      <c r="S54" s="101"/>
      <c r="T54" s="101"/>
      <c r="U54" s="101"/>
      <c r="V54" s="101"/>
      <c r="W54" s="101"/>
      <c r="X54" s="101"/>
      <c r="Y54" s="101"/>
      <c r="Z54" s="101"/>
      <c r="AA54" s="101"/>
      <c r="AB54" s="101"/>
    </row>
    <row r="55">
      <c r="A55" s="104" t="s">
        <v>192</v>
      </c>
      <c r="B55" s="105" t="str">
        <f>IFERROR(VLOOKUP(A55,'Salary Calculation'!A54:F1051,2,0),"")</f>
        <v>September</v>
      </c>
      <c r="C55" s="105" t="str">
        <f>IFERROR(VLOOKUP(A55,'Salary Calculation'!$A$2:$V$999,3,0),"")</f>
        <v>AC 01</v>
      </c>
      <c r="D55" s="105" t="str">
        <f>IFERROR(VLOOKUP(A55,'Salary Calculation'!$A$2:$V$999,6,0),"")</f>
        <v>BHUVANESWARAN</v>
      </c>
      <c r="E55" s="105">
        <f>IFERROR(VLOOKUP(A55,'Salary Calculation'!$A$2:$V$999,10,0),"")</f>
        <v>500101011548924</v>
      </c>
      <c r="F55" s="101"/>
      <c r="G55" s="106">
        <f>IFERROR(VLOOKUP(A55,'Salary Calculation'!$A$2:$V$999,7,0),"")</f>
        <v>60900</v>
      </c>
      <c r="H55" s="101"/>
      <c r="I55" s="101"/>
      <c r="J55" s="101"/>
      <c r="K55" s="101"/>
      <c r="L55" s="101"/>
      <c r="M55" s="101"/>
      <c r="N55" s="101"/>
      <c r="O55" s="101"/>
      <c r="P55" s="101"/>
      <c r="Q55" s="101"/>
      <c r="R55" s="101"/>
      <c r="S55" s="101"/>
      <c r="T55" s="101"/>
      <c r="U55" s="101"/>
      <c r="V55" s="101"/>
      <c r="W55" s="101"/>
      <c r="X55" s="101"/>
      <c r="Y55" s="101"/>
      <c r="Z55" s="101"/>
      <c r="AA55" s="101"/>
      <c r="AB55" s="101"/>
    </row>
    <row r="56">
      <c r="A56" s="104" t="s">
        <v>193</v>
      </c>
      <c r="B56" s="105" t="str">
        <f>IFERROR(VLOOKUP(A56,'Salary Calculation'!A55:F1052,2,0),"")</f>
        <v>September</v>
      </c>
      <c r="C56" s="105" t="str">
        <f>IFERROR(VLOOKUP(A56,'Salary Calculation'!$A$2:$V$999,3,0),"")</f>
        <v>PR 01</v>
      </c>
      <c r="D56" s="105" t="str">
        <f>IFERROR(VLOOKUP(A56,'Salary Calculation'!$A$2:$V$999,6,0),"")</f>
        <v>VASANTHA</v>
      </c>
      <c r="E56" s="105" t="str">
        <f>IFERROR(VLOOKUP(A56,'Salary Calculation'!$A$2:$V$999,10,0),"")</f>
        <v>8131010000016959</v>
      </c>
      <c r="F56" s="101"/>
      <c r="G56" s="106">
        <f>IFERROR(VLOOKUP(A56,'Salary Calculation'!$A$2:$V$999,7,0),"")</f>
        <v>12356.625</v>
      </c>
      <c r="H56" s="101"/>
      <c r="I56" s="101"/>
      <c r="J56" s="101"/>
      <c r="K56" s="101"/>
      <c r="L56" s="101"/>
      <c r="M56" s="101"/>
      <c r="N56" s="101"/>
      <c r="O56" s="101"/>
      <c r="P56" s="101"/>
      <c r="Q56" s="101"/>
      <c r="R56" s="101"/>
      <c r="S56" s="101"/>
      <c r="T56" s="101"/>
      <c r="U56" s="101"/>
      <c r="V56" s="101"/>
      <c r="W56" s="101"/>
      <c r="X56" s="101"/>
      <c r="Y56" s="101"/>
      <c r="Z56" s="101"/>
      <c r="AA56" s="101"/>
      <c r="AB56" s="101"/>
    </row>
    <row r="57">
      <c r="A57" s="104" t="s">
        <v>194</v>
      </c>
      <c r="B57" s="105" t="str">
        <f>IFERROR(VLOOKUP(A57,'Salary Calculation'!A56:F1053,2,0),"")</f>
        <v>September</v>
      </c>
      <c r="C57" s="105" t="str">
        <f>IFERROR(VLOOKUP(A57,'Salary Calculation'!$A$2:$V$999,3,0),"")</f>
        <v>PR 02</v>
      </c>
      <c r="D57" s="105" t="str">
        <f>IFERROR(VLOOKUP(A57,'Salary Calculation'!$A$2:$V$999,6,0),"")</f>
        <v>GANESH</v>
      </c>
      <c r="E57" s="105" t="str">
        <f>IFERROR(VLOOKUP(A57,'Salary Calculation'!$A$2:$V$999,10,0),"")</f>
        <v>8811010012054879</v>
      </c>
      <c r="F57" s="101"/>
      <c r="G57" s="106">
        <f>IFERROR(VLOOKUP(A57,'Salary Calculation'!$A$2:$V$999,7,0),"")</f>
        <v>13407.51042</v>
      </c>
      <c r="H57" s="101"/>
      <c r="I57" s="101"/>
      <c r="J57" s="101"/>
      <c r="K57" s="101"/>
      <c r="L57" s="101"/>
      <c r="M57" s="101"/>
      <c r="N57" s="101"/>
      <c r="O57" s="101"/>
      <c r="P57" s="101"/>
      <c r="Q57" s="101"/>
      <c r="R57" s="101"/>
      <c r="S57" s="101"/>
      <c r="T57" s="101"/>
      <c r="U57" s="101"/>
      <c r="V57" s="101"/>
      <c r="W57" s="101"/>
      <c r="X57" s="101"/>
      <c r="Y57" s="101"/>
      <c r="Z57" s="101"/>
      <c r="AA57" s="101"/>
      <c r="AB57" s="101"/>
    </row>
    <row r="58">
      <c r="A58" s="104" t="s">
        <v>195</v>
      </c>
      <c r="B58" s="105" t="str">
        <f>IFERROR(VLOOKUP(A58,'Salary Calculation'!A57:F1054,2,0),"")</f>
        <v>September</v>
      </c>
      <c r="C58" s="105" t="str">
        <f>IFERROR(VLOOKUP(A58,'Salary Calculation'!$A$2:$V$999,3,0),"")</f>
        <v>AC 02</v>
      </c>
      <c r="D58" s="105" t="str">
        <f>IFERROR(VLOOKUP(A58,'Salary Calculation'!$A$2:$V$999,6,0),"")</f>
        <v>SUNDARI</v>
      </c>
      <c r="E58" s="105" t="str">
        <f>IFERROR(VLOOKUP(A58,'Salary Calculation'!$A$2:$V$999,10,0),"")</f>
        <v>8131010000016977</v>
      </c>
      <c r="F58" s="101"/>
      <c r="G58" s="106">
        <f>IFERROR(VLOOKUP(A58,'Salary Calculation'!$A$2:$V$999,7,0),"")</f>
        <v>19279.3125</v>
      </c>
      <c r="H58" s="101"/>
      <c r="I58" s="101"/>
      <c r="J58" s="101"/>
      <c r="K58" s="101"/>
      <c r="L58" s="101"/>
      <c r="M58" s="101"/>
      <c r="N58" s="101"/>
      <c r="O58" s="101"/>
      <c r="P58" s="101"/>
      <c r="Q58" s="101"/>
      <c r="R58" s="101"/>
      <c r="S58" s="101"/>
      <c r="T58" s="101"/>
      <c r="U58" s="101"/>
      <c r="V58" s="101"/>
      <c r="W58" s="101"/>
      <c r="X58" s="101"/>
      <c r="Y58" s="101"/>
      <c r="Z58" s="101"/>
      <c r="AA58" s="101"/>
      <c r="AB58" s="101"/>
    </row>
    <row r="59">
      <c r="A59" s="104" t="s">
        <v>196</v>
      </c>
      <c r="B59" s="105" t="str">
        <f>IFERROR(VLOOKUP(A59,'Salary Calculation'!A58:F1055,2,0),"")</f>
        <v>September</v>
      </c>
      <c r="C59" s="105" t="str">
        <f>IFERROR(VLOOKUP(A59,'Salary Calculation'!$A$2:$V$999,3,0),"")</f>
        <v>PR 03</v>
      </c>
      <c r="D59" s="105" t="str">
        <f>IFERROR(VLOOKUP(A59,'Salary Calculation'!$A$2:$V$999,6,0),"")</f>
        <v>ADHIKARI BALIA</v>
      </c>
      <c r="E59" s="105" t="str">
        <f>IFERROR(VLOOKUP(A59,'Salary Calculation'!$A$2:$V$999,10,0),"")</f>
        <v>8131010000018948</v>
      </c>
      <c r="F59" s="101"/>
      <c r="G59" s="106">
        <f>IFERROR(VLOOKUP(A59,'Salary Calculation'!$A$2:$V$999,7,0),"")</f>
        <v>17046.1875</v>
      </c>
      <c r="H59" s="101"/>
      <c r="I59" s="101"/>
      <c r="J59" s="101"/>
      <c r="K59" s="101"/>
      <c r="L59" s="101"/>
      <c r="M59" s="101"/>
      <c r="N59" s="101"/>
      <c r="O59" s="101"/>
      <c r="P59" s="101"/>
      <c r="Q59" s="101"/>
      <c r="R59" s="101"/>
      <c r="S59" s="101"/>
      <c r="T59" s="101"/>
      <c r="U59" s="101"/>
      <c r="V59" s="101"/>
      <c r="W59" s="101"/>
      <c r="X59" s="101"/>
      <c r="Y59" s="101"/>
      <c r="Z59" s="101"/>
      <c r="AA59" s="101"/>
      <c r="AB59" s="101"/>
    </row>
    <row r="60">
      <c r="A60" s="104" t="s">
        <v>197</v>
      </c>
      <c r="B60" s="105" t="str">
        <f>IFERROR(VLOOKUP(A60,'Salary Calculation'!A59:F1056,2,0),"")</f>
        <v>September</v>
      </c>
      <c r="C60" s="105" t="str">
        <f>IFERROR(VLOOKUP(A60,'Salary Calculation'!$A$2:$V$999,3,0),"")</f>
        <v>DR 01</v>
      </c>
      <c r="D60" s="105" t="str">
        <f>IFERROR(VLOOKUP(A60,'Salary Calculation'!$A$2:$V$999,6,0),"")</f>
        <v>Mathi</v>
      </c>
      <c r="E60" s="105" t="str">
        <f>IFERROR(VLOOKUP(A60,'Salary Calculation'!$A$2:$V$999,10,0),"")</f>
        <v>8131010000016986</v>
      </c>
      <c r="F60" s="101"/>
      <c r="G60" s="106">
        <f>IFERROR(VLOOKUP(A60,'Salary Calculation'!$A$2:$V$999,7,0),"")</f>
        <v>24702.77083</v>
      </c>
      <c r="H60" s="101"/>
      <c r="I60" s="101"/>
      <c r="J60" s="101"/>
      <c r="K60" s="101"/>
      <c r="L60" s="101"/>
      <c r="M60" s="101"/>
      <c r="N60" s="101"/>
      <c r="O60" s="101"/>
      <c r="P60" s="101"/>
      <c r="Q60" s="101"/>
      <c r="R60" s="101"/>
      <c r="S60" s="101"/>
      <c r="T60" s="101"/>
      <c r="U60" s="101"/>
      <c r="V60" s="101"/>
      <c r="W60" s="101"/>
      <c r="X60" s="101"/>
      <c r="Y60" s="101"/>
      <c r="Z60" s="101"/>
      <c r="AA60" s="101"/>
      <c r="AB60" s="101"/>
    </row>
    <row r="61">
      <c r="A61" s="104" t="s">
        <v>198</v>
      </c>
      <c r="B61" s="105" t="str">
        <f>IFERROR(VLOOKUP(A61,'Salary Calculation'!A60:F1057,2,0),"")</f>
        <v>September</v>
      </c>
      <c r="C61" s="105" t="str">
        <f>IFERROR(VLOOKUP(A61,'Salary Calculation'!$A$2:$V$999,3,0),"")</f>
        <v>PR 04</v>
      </c>
      <c r="D61" s="105" t="str">
        <f>IFERROR(VLOOKUP(A61,'Salary Calculation'!$A$2:$V$999,6,0),"")</f>
        <v>RUPESH</v>
      </c>
      <c r="E61" s="105" t="str">
        <f>IFERROR(VLOOKUP(A61,'Salary Calculation'!$A$2:$V$999,10,0),"")</f>
        <v>8131010000020156</v>
      </c>
      <c r="F61" s="101"/>
      <c r="G61" s="106">
        <f>IFERROR(VLOOKUP(A61,'Salary Calculation'!$A$2:$V$999,7,0),"")</f>
        <v>15904.8125</v>
      </c>
      <c r="H61" s="101"/>
      <c r="I61" s="101"/>
      <c r="J61" s="101"/>
      <c r="K61" s="101"/>
      <c r="L61" s="101"/>
      <c r="M61" s="101"/>
      <c r="N61" s="101"/>
      <c r="O61" s="101"/>
      <c r="P61" s="101"/>
      <c r="Q61" s="101"/>
      <c r="R61" s="101"/>
      <c r="S61" s="101"/>
      <c r="T61" s="101"/>
      <c r="U61" s="101"/>
      <c r="V61" s="101"/>
      <c r="W61" s="101"/>
      <c r="X61" s="101"/>
      <c r="Y61" s="101"/>
      <c r="Z61" s="101"/>
      <c r="AA61" s="101"/>
      <c r="AB61" s="101"/>
    </row>
    <row r="62">
      <c r="A62" s="104" t="s">
        <v>199</v>
      </c>
      <c r="B62" s="105" t="str">
        <f>IFERROR(VLOOKUP(A62,'Salary Calculation'!A61:F1058,2,0),"")</f>
        <v>September</v>
      </c>
      <c r="C62" s="105" t="str">
        <f>IFERROR(VLOOKUP(A62,'Salary Calculation'!$A$2:$V$999,3,0),"")</f>
        <v>PR 05</v>
      </c>
      <c r="D62" s="105" t="str">
        <f>IFERROR(VLOOKUP(A62,'Salary Calculation'!$A$2:$V$999,6,0),"")</f>
        <v>SANJAI BHAGAT</v>
      </c>
      <c r="E62" s="105" t="str">
        <f>IFERROR(VLOOKUP(A62,'Salary Calculation'!$A$2:$V$999,10,0),"")</f>
        <v>8131010000021225</v>
      </c>
      <c r="F62" s="101"/>
      <c r="G62" s="106">
        <f>IFERROR(VLOOKUP(A62,'Salary Calculation'!$A$2:$V$999,7,0),"")</f>
        <v>20321.4375</v>
      </c>
      <c r="H62" s="101"/>
      <c r="I62" s="101"/>
      <c r="J62" s="101"/>
      <c r="K62" s="101"/>
      <c r="L62" s="101"/>
      <c r="M62" s="101"/>
      <c r="N62" s="101"/>
      <c r="O62" s="101"/>
      <c r="P62" s="101"/>
      <c r="Q62" s="101"/>
      <c r="R62" s="101"/>
      <c r="S62" s="101"/>
      <c r="T62" s="101"/>
      <c r="U62" s="101"/>
      <c r="V62" s="101"/>
      <c r="W62" s="101"/>
      <c r="X62" s="101"/>
      <c r="Y62" s="101"/>
      <c r="Z62" s="101"/>
      <c r="AA62" s="101"/>
      <c r="AB62" s="101"/>
    </row>
    <row r="63">
      <c r="A63" s="104" t="s">
        <v>200</v>
      </c>
      <c r="B63" s="105" t="str">
        <f>IFERROR(VLOOKUP(A63,'Salary Calculation'!A62:F1059,2,0),"")</f>
        <v>September</v>
      </c>
      <c r="C63" s="105" t="str">
        <f>IFERROR(VLOOKUP(A63,'Salary Calculation'!$A$2:$V$999,3,0),"")</f>
        <v>PR 21</v>
      </c>
      <c r="D63" s="105" t="str">
        <f>IFERROR(VLOOKUP(A63,'Salary Calculation'!$A$2:$V$999,6,0),"")</f>
        <v>LIPAN</v>
      </c>
      <c r="E63" s="105" t="str">
        <f>IFERROR(VLOOKUP(A63,'Salary Calculation'!$A$2:$V$999,10,0),"")</f>
        <v>8131010000018957</v>
      </c>
      <c r="F63" s="101"/>
      <c r="G63" s="106">
        <f>IFERROR(VLOOKUP(A63,'Salary Calculation'!$A$2:$V$999,7,0),"")</f>
        <v>15880</v>
      </c>
      <c r="H63" s="101"/>
      <c r="I63" s="101"/>
      <c r="J63" s="101"/>
      <c r="K63" s="101"/>
      <c r="L63" s="101"/>
      <c r="M63" s="101"/>
      <c r="N63" s="101"/>
      <c r="O63" s="101"/>
      <c r="P63" s="101"/>
      <c r="Q63" s="101"/>
      <c r="R63" s="101"/>
      <c r="S63" s="101"/>
      <c r="T63" s="101"/>
      <c r="U63" s="101"/>
      <c r="V63" s="101"/>
      <c r="W63" s="101"/>
      <c r="X63" s="101"/>
      <c r="Y63" s="101"/>
      <c r="Z63" s="101"/>
      <c r="AA63" s="101"/>
      <c r="AB63" s="101"/>
    </row>
    <row r="64">
      <c r="A64" s="104" t="s">
        <v>201</v>
      </c>
      <c r="B64" s="105" t="str">
        <f>IFERROR(VLOOKUP(A64,'Salary Calculation'!A63:F1060,2,0),"")</f>
        <v>September</v>
      </c>
      <c r="C64" s="105" t="str">
        <f>IFERROR(VLOOKUP(A64,'Salary Calculation'!$A$2:$V$999,3,0),"")</f>
        <v>PR 20</v>
      </c>
      <c r="D64" s="105" t="str">
        <f>IFERROR(VLOOKUP(A64,'Salary Calculation'!$A$2:$V$999,6,0),"")</f>
        <v>JAGABANDH</v>
      </c>
      <c r="E64" s="105" t="str">
        <f>IFERROR(VLOOKUP(A64,'Salary Calculation'!$A$2:$V$999,10,0),"")</f>
        <v>8131010000018920</v>
      </c>
      <c r="F64" s="101"/>
      <c r="G64" s="106">
        <f>IFERROR(VLOOKUP(A64,'Salary Calculation'!$A$2:$V$999,7,0),"")</f>
        <v>15830.375</v>
      </c>
      <c r="H64" s="101"/>
      <c r="I64" s="101"/>
      <c r="J64" s="101"/>
      <c r="K64" s="101"/>
      <c r="L64" s="101"/>
      <c r="M64" s="101"/>
      <c r="N64" s="101"/>
      <c r="O64" s="101"/>
      <c r="P64" s="101"/>
      <c r="Q64" s="101"/>
      <c r="R64" s="101"/>
      <c r="S64" s="101"/>
      <c r="T64" s="101"/>
      <c r="U64" s="101"/>
      <c r="V64" s="101"/>
      <c r="W64" s="101"/>
      <c r="X64" s="101"/>
      <c r="Y64" s="101"/>
      <c r="Z64" s="101"/>
      <c r="AA64" s="101"/>
      <c r="AB64" s="101"/>
    </row>
    <row r="65">
      <c r="A65" s="104" t="s">
        <v>202</v>
      </c>
      <c r="B65" s="105" t="str">
        <f>IFERROR(VLOOKUP(A65,'Salary Calculation'!A64:F1061,2,0),"")</f>
        <v>September</v>
      </c>
      <c r="C65" s="105" t="str">
        <f>IFERROR(VLOOKUP(A65,'Salary Calculation'!$A$2:$V$999,3,0),"")</f>
        <v>AC 03</v>
      </c>
      <c r="D65" s="105" t="str">
        <f>IFERROR(VLOOKUP(A65,'Salary Calculation'!$A$2:$V$999,6,0),"")</f>
        <v>LEELA</v>
      </c>
      <c r="E65" s="105" t="str">
        <f>IFERROR(VLOOKUP(A65,'Salary Calculation'!$A$2:$V$999,10,0),"")</f>
        <v>8387010000017745</v>
      </c>
      <c r="F65" s="101"/>
      <c r="G65" s="106">
        <f>IFERROR(VLOOKUP(A65,'Salary Calculation'!$A$2:$V$999,7,0),"")</f>
        <v>13957.03125</v>
      </c>
      <c r="H65" s="101"/>
      <c r="I65" s="101"/>
      <c r="J65" s="101"/>
      <c r="K65" s="101"/>
      <c r="L65" s="101"/>
      <c r="M65" s="101"/>
      <c r="N65" s="101"/>
      <c r="O65" s="101"/>
      <c r="P65" s="101"/>
      <c r="Q65" s="101"/>
      <c r="R65" s="101"/>
      <c r="S65" s="101"/>
      <c r="T65" s="101"/>
      <c r="U65" s="101"/>
      <c r="V65" s="101"/>
      <c r="W65" s="101"/>
      <c r="X65" s="101"/>
      <c r="Y65" s="101"/>
      <c r="Z65" s="101"/>
      <c r="AA65" s="101"/>
      <c r="AB65" s="101"/>
    </row>
    <row r="66">
      <c r="A66" s="104" t="s">
        <v>203</v>
      </c>
      <c r="B66" s="105" t="str">
        <f>IFERROR(VLOOKUP(A66,'Salary Calculation'!A65:F1062,2,0),"")</f>
        <v>September</v>
      </c>
      <c r="C66" s="105" t="str">
        <f>IFERROR(VLOOKUP(A66,'Salary Calculation'!$A$2:$V$999,3,0),"")</f>
        <v>PR 08</v>
      </c>
      <c r="D66" s="105" t="str">
        <f>IFERROR(VLOOKUP(A66,'Salary Calculation'!$A$2:$V$999,6,0),"")</f>
        <v>REVATHI S</v>
      </c>
      <c r="E66" s="105" t="str">
        <f>IFERROR(VLOOKUP(A66,'Salary Calculation'!$A$2:$V$999,10,0),"")</f>
        <v>8131010000016995</v>
      </c>
      <c r="F66" s="101"/>
      <c r="G66" s="106">
        <f>IFERROR(VLOOKUP(A66,'Salary Calculation'!$A$2:$V$999,7,0),"")</f>
        <v>7796.802083</v>
      </c>
      <c r="H66" s="101"/>
      <c r="I66" s="101"/>
      <c r="J66" s="101"/>
      <c r="K66" s="101"/>
      <c r="L66" s="101"/>
      <c r="M66" s="101"/>
      <c r="N66" s="101"/>
      <c r="O66" s="101"/>
      <c r="P66" s="101"/>
      <c r="Q66" s="101"/>
      <c r="R66" s="101"/>
      <c r="S66" s="101"/>
      <c r="T66" s="101"/>
      <c r="U66" s="101"/>
      <c r="V66" s="101"/>
      <c r="W66" s="101"/>
      <c r="X66" s="101"/>
      <c r="Y66" s="101"/>
      <c r="Z66" s="101"/>
      <c r="AA66" s="101"/>
      <c r="AB66" s="101"/>
    </row>
    <row r="67">
      <c r="A67" s="104" t="s">
        <v>204</v>
      </c>
      <c r="B67" s="105" t="str">
        <f>IFERROR(VLOOKUP(A67,'Salary Calculation'!A66:F1063,2,0),"")</f>
        <v>September</v>
      </c>
      <c r="C67" s="105" t="str">
        <f>IFERROR(VLOOKUP(A67,'Salary Calculation'!$A$2:$V$999,3,0),"")</f>
        <v>PR 19</v>
      </c>
      <c r="D67" s="105" t="str">
        <f>IFERROR(VLOOKUP(A67,'Salary Calculation'!$A$2:$V$999,6,0),"")</f>
        <v>SIDHESHWAR</v>
      </c>
      <c r="E67" s="105" t="str">
        <f>IFERROR(VLOOKUP(A67,'Salary Calculation'!$A$2:$V$999,10,0),"")</f>
        <v>8131010000018939</v>
      </c>
      <c r="F67" s="101"/>
      <c r="G67" s="106">
        <f>IFERROR(VLOOKUP(A67,'Salary Calculation'!$A$2:$V$999,7,0),"")</f>
        <v>11736.3125</v>
      </c>
      <c r="H67" s="101"/>
      <c r="I67" s="101"/>
      <c r="J67" s="101"/>
      <c r="K67" s="101"/>
      <c r="L67" s="101"/>
      <c r="M67" s="101"/>
      <c r="N67" s="101"/>
      <c r="O67" s="101"/>
      <c r="P67" s="101"/>
      <c r="Q67" s="101"/>
      <c r="R67" s="101"/>
      <c r="S67" s="101"/>
      <c r="T67" s="101"/>
      <c r="U67" s="101"/>
      <c r="V67" s="101"/>
      <c r="W67" s="101"/>
      <c r="X67" s="101"/>
      <c r="Y67" s="101"/>
      <c r="Z67" s="101"/>
      <c r="AA67" s="101"/>
      <c r="AB67" s="101"/>
    </row>
    <row r="68">
      <c r="A68" s="104" t="s">
        <v>205</v>
      </c>
      <c r="B68" s="105" t="str">
        <f>IFERROR(VLOOKUP(A68,'Salary Calculation'!A67:F1064,2,0),"")</f>
        <v>September</v>
      </c>
      <c r="C68" s="105" t="str">
        <f>IFERROR(VLOOKUP(A68,'Salary Calculation'!$A$2:$V$999,3,0),"")</f>
        <v>PR 07</v>
      </c>
      <c r="D68" s="105" t="str">
        <f>IFERROR(VLOOKUP(A68,'Salary Calculation'!$A$2:$V$999,6,0),"")</f>
        <v>AMMU</v>
      </c>
      <c r="E68" s="105">
        <f>IFERROR(VLOOKUP(A68,'Salary Calculation'!$A$2:$V$999,10,0),"")</f>
        <v>65801000040238</v>
      </c>
      <c r="F68" s="101"/>
      <c r="G68" s="106">
        <f>IFERROR(VLOOKUP(A68,'Salary Calculation'!$A$2:$V$999,7,0),"")</f>
        <v>11618.45313</v>
      </c>
      <c r="H68" s="101"/>
      <c r="I68" s="101"/>
      <c r="J68" s="101"/>
      <c r="K68" s="101"/>
      <c r="L68" s="101"/>
      <c r="M68" s="101"/>
      <c r="N68" s="101"/>
      <c r="O68" s="101"/>
      <c r="P68" s="101"/>
      <c r="Q68" s="101"/>
      <c r="R68" s="101"/>
      <c r="S68" s="101"/>
      <c r="T68" s="101"/>
      <c r="U68" s="101"/>
      <c r="V68" s="101"/>
      <c r="W68" s="101"/>
      <c r="X68" s="101"/>
      <c r="Y68" s="101"/>
      <c r="Z68" s="101"/>
      <c r="AA68" s="101"/>
      <c r="AB68" s="101"/>
    </row>
    <row r="69">
      <c r="A69" s="104" t="s">
        <v>206</v>
      </c>
      <c r="B69" s="105" t="str">
        <f>IFERROR(VLOOKUP(A69,'Salary Calculation'!A68:F1065,2,0),"")</f>
        <v>September</v>
      </c>
      <c r="C69" s="105" t="str">
        <f>IFERROR(VLOOKUP(A69,'Salary Calculation'!$A$2:$V$999,3,0),"")</f>
        <v>PR 18</v>
      </c>
      <c r="D69" s="105" t="str">
        <f>IFERROR(VLOOKUP(A69,'Salary Calculation'!$A$2:$V$999,6,0),"")</f>
        <v>NAROTTAM</v>
      </c>
      <c r="E69" s="105" t="str">
        <f>IFERROR(VLOOKUP(A69,'Salary Calculation'!$A$2:$V$999,10,0),"")</f>
        <v/>
      </c>
      <c r="F69" s="101"/>
      <c r="G69" s="106">
        <f>IFERROR(VLOOKUP(A69,'Salary Calculation'!$A$2:$V$999,7,0),"")</f>
        <v>7338.296875</v>
      </c>
      <c r="H69" s="101"/>
      <c r="I69" s="101"/>
      <c r="J69" s="101"/>
      <c r="K69" s="101"/>
      <c r="L69" s="101"/>
      <c r="M69" s="101"/>
      <c r="N69" s="101"/>
      <c r="O69" s="101"/>
      <c r="P69" s="101"/>
      <c r="Q69" s="101"/>
      <c r="R69" s="101"/>
      <c r="S69" s="101"/>
      <c r="T69" s="101"/>
      <c r="U69" s="101"/>
      <c r="V69" s="101"/>
      <c r="W69" s="101"/>
      <c r="X69" s="101"/>
      <c r="Y69" s="101"/>
      <c r="Z69" s="101"/>
      <c r="AA69" s="101"/>
      <c r="AB69" s="101"/>
    </row>
    <row r="70">
      <c r="A70" s="104" t="s">
        <v>207</v>
      </c>
      <c r="B70" s="105" t="str">
        <f>IFERROR(VLOOKUP(A70,'Salary Calculation'!A69:F1066,2,0),"")</f>
        <v>October</v>
      </c>
      <c r="C70" s="105" t="str">
        <f>IFERROR(VLOOKUP(A70,'Salary Calculation'!$A$2:$V$999,3,0),"")</f>
        <v>AC 01</v>
      </c>
      <c r="D70" s="105" t="str">
        <f>IFERROR(VLOOKUP(A70,'Salary Calculation'!$A$2:$V$999,6,0),"")</f>
        <v>BHUVANESWARAN</v>
      </c>
      <c r="E70" s="105">
        <f>IFERROR(VLOOKUP(A70,'Salary Calculation'!$A$2:$V$999,10,0),"")</f>
        <v>500101011548924</v>
      </c>
      <c r="F70" s="101"/>
      <c r="G70" s="106">
        <f>IFERROR(VLOOKUP(A70,'Salary Calculation'!$A$2:$V$999,7,0),"")</f>
        <v>60900</v>
      </c>
      <c r="H70" s="101"/>
      <c r="I70" s="101"/>
      <c r="J70" s="101"/>
      <c r="K70" s="101"/>
      <c r="L70" s="101"/>
      <c r="M70" s="101"/>
      <c r="N70" s="101"/>
      <c r="O70" s="101"/>
      <c r="P70" s="101"/>
      <c r="Q70" s="101"/>
      <c r="R70" s="101"/>
      <c r="S70" s="101"/>
      <c r="T70" s="101"/>
      <c r="U70" s="101"/>
      <c r="V70" s="101"/>
      <c r="W70" s="101"/>
      <c r="X70" s="101"/>
      <c r="Y70" s="101"/>
      <c r="Z70" s="101"/>
      <c r="AA70" s="101"/>
      <c r="AB70" s="101"/>
    </row>
    <row r="71">
      <c r="A71" s="107" t="s">
        <v>208</v>
      </c>
      <c r="B71" s="108" t="str">
        <f>IFERROR(VLOOKUP(A71,'Salary Calculation'!A70:F1067,2,0),"")</f>
        <v>October</v>
      </c>
      <c r="C71" s="108" t="str">
        <f>IFERROR(VLOOKUP(A71,'Salary Calculation'!$A$2:$V$999,3,0),"")</f>
        <v>PR 02</v>
      </c>
      <c r="D71" s="108" t="str">
        <f>IFERROR(VLOOKUP(A71,'Salary Calculation'!$A$2:$V$999,6,0),"")</f>
        <v>GANESH</v>
      </c>
      <c r="E71" s="108" t="str">
        <f>IFERROR(VLOOKUP(A71,'Salary Calculation'!$A$2:$V$999,10,0),"")</f>
        <v>8811010012054879</v>
      </c>
      <c r="F71" s="109"/>
      <c r="G71" s="110">
        <f>IFERROR(VLOOKUP(A71,'Salary Calculation'!$A$2:$V$999,7,0),"")</f>
        <v>12103.50504</v>
      </c>
      <c r="H71" s="101"/>
      <c r="I71" s="101"/>
      <c r="J71" s="101"/>
      <c r="K71" s="101"/>
      <c r="L71" s="101"/>
      <c r="M71" s="101"/>
      <c r="N71" s="101"/>
      <c r="O71" s="101"/>
      <c r="P71" s="101"/>
      <c r="Q71" s="101"/>
      <c r="R71" s="101"/>
      <c r="S71" s="101"/>
      <c r="T71" s="101"/>
      <c r="U71" s="101"/>
      <c r="V71" s="101"/>
      <c r="W71" s="101"/>
      <c r="X71" s="101"/>
      <c r="Y71" s="101"/>
      <c r="Z71" s="101"/>
      <c r="AA71" s="101"/>
      <c r="AB71" s="101"/>
    </row>
    <row r="72">
      <c r="A72" s="104" t="s">
        <v>209</v>
      </c>
      <c r="B72" s="105" t="str">
        <f>IFERROR(VLOOKUP(A72,'Salary Calculation'!A71:F1068,2,0),"")</f>
        <v>October</v>
      </c>
      <c r="C72" s="105" t="str">
        <f>IFERROR(VLOOKUP(A72,'Salary Calculation'!$A$2:$V$999,3,0),"")</f>
        <v>PR 01</v>
      </c>
      <c r="D72" s="105" t="str">
        <f>IFERROR(VLOOKUP(A72,'Salary Calculation'!$A$2:$V$999,6,0),"")</f>
        <v>VASANTHA</v>
      </c>
      <c r="E72" s="105" t="str">
        <f>IFERROR(VLOOKUP(A72,'Salary Calculation'!$A$2:$V$999,10,0),"")</f>
        <v>8131010000016959</v>
      </c>
      <c r="F72" s="101"/>
      <c r="G72" s="106">
        <f>IFERROR(VLOOKUP(A72,'Salary Calculation'!$A$2:$V$999,7,0),"")</f>
        <v>10291.58468</v>
      </c>
      <c r="H72" s="101"/>
      <c r="I72" s="101"/>
      <c r="J72" s="101"/>
      <c r="K72" s="101"/>
      <c r="L72" s="101"/>
      <c r="M72" s="101"/>
      <c r="N72" s="101"/>
      <c r="O72" s="101"/>
      <c r="P72" s="101"/>
      <c r="Q72" s="101"/>
      <c r="R72" s="101"/>
      <c r="S72" s="101"/>
      <c r="T72" s="101"/>
      <c r="U72" s="101"/>
      <c r="V72" s="101"/>
      <c r="W72" s="101"/>
      <c r="X72" s="101"/>
      <c r="Y72" s="101"/>
      <c r="Z72" s="101"/>
      <c r="AA72" s="101"/>
      <c r="AB72" s="101"/>
    </row>
    <row r="73">
      <c r="A73" s="107" t="s">
        <v>210</v>
      </c>
      <c r="B73" s="108" t="str">
        <f>IFERROR(VLOOKUP(A73,'Salary Calculation'!A72:F1069,2,0),"")</f>
        <v>October</v>
      </c>
      <c r="C73" s="108" t="str">
        <f>IFERROR(VLOOKUP(A73,'Salary Calculation'!$A$2:$V$999,3,0),"")</f>
        <v>AC 02</v>
      </c>
      <c r="D73" s="108" t="str">
        <f>IFERROR(VLOOKUP(A73,'Salary Calculation'!$A$2:$V$999,6,0),"")</f>
        <v>SUNDARI</v>
      </c>
      <c r="E73" s="108" t="str">
        <f>IFERROR(VLOOKUP(A73,'Salary Calculation'!$A$2:$V$999,10,0),"")</f>
        <v>8131010000016977</v>
      </c>
      <c r="F73" s="109"/>
      <c r="G73" s="110">
        <f>IFERROR(VLOOKUP(A73,'Salary Calculation'!$A$2:$V$999,7,0),"")</f>
        <v>19812.38105</v>
      </c>
      <c r="H73" s="101"/>
      <c r="I73" s="101"/>
      <c r="J73" s="101"/>
      <c r="K73" s="101"/>
      <c r="L73" s="101"/>
      <c r="M73" s="101"/>
      <c r="N73" s="101"/>
      <c r="O73" s="101"/>
      <c r="P73" s="101"/>
      <c r="Q73" s="101"/>
      <c r="R73" s="101"/>
      <c r="S73" s="101"/>
      <c r="T73" s="101"/>
      <c r="U73" s="101"/>
      <c r="V73" s="101"/>
      <c r="W73" s="101"/>
      <c r="X73" s="101"/>
      <c r="Y73" s="101"/>
      <c r="Z73" s="101"/>
      <c r="AA73" s="101"/>
      <c r="AB73" s="101"/>
    </row>
    <row r="74">
      <c r="A74" s="107" t="s">
        <v>211</v>
      </c>
      <c r="B74" s="108" t="str">
        <f>IFERROR(VLOOKUP(A74,'Salary Calculation'!A73:F1070,2,0),"")</f>
        <v>October</v>
      </c>
      <c r="C74" s="108" t="str">
        <f>IFERROR(VLOOKUP(A74,'Salary Calculation'!$A$2:$V$999,3,0),"")</f>
        <v>PR 03</v>
      </c>
      <c r="D74" s="108" t="str">
        <f>IFERROR(VLOOKUP(A74,'Salary Calculation'!$A$2:$V$999,6,0),"")</f>
        <v>ADHIKARI BALIA</v>
      </c>
      <c r="E74" s="108" t="str">
        <f>IFERROR(VLOOKUP(A74,'Salary Calculation'!$A$2:$V$999,10,0),"")</f>
        <v>8131010000018948</v>
      </c>
      <c r="F74" s="109"/>
      <c r="G74" s="110">
        <f>IFERROR(VLOOKUP(A74,'Salary Calculation'!$A$2:$V$999,7,0),"")</f>
        <v>16390.65726</v>
      </c>
      <c r="H74" s="101"/>
      <c r="I74" s="101"/>
      <c r="J74" s="101"/>
      <c r="K74" s="100"/>
      <c r="L74" s="100"/>
      <c r="M74" s="101"/>
      <c r="N74" s="101"/>
      <c r="O74" s="101"/>
      <c r="P74" s="101"/>
      <c r="Q74" s="101"/>
      <c r="R74" s="101"/>
      <c r="S74" s="101"/>
      <c r="T74" s="101"/>
      <c r="U74" s="101"/>
      <c r="V74" s="101"/>
      <c r="W74" s="101"/>
      <c r="X74" s="101"/>
      <c r="Y74" s="101"/>
      <c r="Z74" s="101"/>
      <c r="AA74" s="101"/>
      <c r="AB74" s="101"/>
    </row>
    <row r="75">
      <c r="A75" s="107" t="s">
        <v>212</v>
      </c>
      <c r="B75" s="108" t="str">
        <f>IFERROR(VLOOKUP(A75,'Salary Calculation'!A74:F1071,2,0),"")</f>
        <v>October</v>
      </c>
      <c r="C75" s="108" t="str">
        <f>IFERROR(VLOOKUP(A75,'Salary Calculation'!$A$2:$V$999,3,0),"")</f>
        <v>DR 01</v>
      </c>
      <c r="D75" s="108" t="str">
        <f>IFERROR(VLOOKUP(A75,'Salary Calculation'!$A$2:$V$999,6,0),"")</f>
        <v>Mathi</v>
      </c>
      <c r="E75" s="108" t="str">
        <f>IFERROR(VLOOKUP(A75,'Salary Calculation'!$A$2:$V$999,10,0),"")</f>
        <v>8131010000016986</v>
      </c>
      <c r="F75" s="109"/>
      <c r="G75" s="110">
        <f>IFERROR(VLOOKUP(A75,'Salary Calculation'!$A$2:$V$999,7,0),"")</f>
        <v>23839.66935</v>
      </c>
      <c r="H75" s="101"/>
      <c r="I75" s="101"/>
      <c r="J75" s="101"/>
      <c r="K75" s="101"/>
      <c r="L75" s="101"/>
      <c r="M75" s="101"/>
      <c r="N75" s="101"/>
      <c r="O75" s="101"/>
      <c r="P75" s="101"/>
      <c r="Q75" s="101"/>
      <c r="R75" s="101"/>
      <c r="S75" s="101"/>
      <c r="T75" s="101"/>
      <c r="U75" s="101"/>
      <c r="V75" s="101"/>
      <c r="W75" s="101"/>
      <c r="X75" s="101"/>
      <c r="Y75" s="101"/>
      <c r="Z75" s="101"/>
      <c r="AA75" s="101"/>
      <c r="AB75" s="101"/>
    </row>
    <row r="76">
      <c r="A76" s="107" t="s">
        <v>213</v>
      </c>
      <c r="B76" s="108" t="str">
        <f>IFERROR(VLOOKUP(A76,'Salary Calculation'!A75:F1072,2,0),"")</f>
        <v>October</v>
      </c>
      <c r="C76" s="108" t="str">
        <f>IFERROR(VLOOKUP(A76,'Salary Calculation'!$A$2:$V$999,3,0),"")</f>
        <v>PR 04</v>
      </c>
      <c r="D76" s="108" t="str">
        <f>IFERROR(VLOOKUP(A76,'Salary Calculation'!$A$2:$V$999,6,0),"")</f>
        <v>RUPESH</v>
      </c>
      <c r="E76" s="108" t="str">
        <f>IFERROR(VLOOKUP(A76,'Salary Calculation'!$A$2:$V$999,10,0),"")</f>
        <v>8131010000020156</v>
      </c>
      <c r="F76" s="109"/>
      <c r="G76" s="110">
        <f>IFERROR(VLOOKUP(A76,'Salary Calculation'!$A$2:$V$999,7,0),"")</f>
        <v>16765.24597</v>
      </c>
      <c r="H76" s="101"/>
      <c r="I76" s="101"/>
      <c r="J76" s="101"/>
      <c r="K76" s="101"/>
      <c r="L76" s="101"/>
      <c r="M76" s="101"/>
      <c r="N76" s="101"/>
      <c r="O76" s="101"/>
      <c r="P76" s="101"/>
      <c r="Q76" s="101"/>
      <c r="R76" s="101"/>
      <c r="S76" s="101"/>
      <c r="T76" s="101"/>
      <c r="U76" s="101"/>
      <c r="V76" s="101"/>
      <c r="W76" s="101"/>
      <c r="X76" s="101"/>
      <c r="Y76" s="101"/>
      <c r="Z76" s="101"/>
      <c r="AA76" s="101"/>
      <c r="AB76" s="101"/>
    </row>
    <row r="77">
      <c r="A77" s="107" t="s">
        <v>214</v>
      </c>
      <c r="B77" s="108" t="str">
        <f>IFERROR(VLOOKUP(A77,'Salary Calculation'!A76:F1073,2,0),"")</f>
        <v>October</v>
      </c>
      <c r="C77" s="108" t="str">
        <f>IFERROR(VLOOKUP(A77,'Salary Calculation'!$A$2:$V$999,3,0),"")</f>
        <v>PR 05</v>
      </c>
      <c r="D77" s="108" t="str">
        <f>IFERROR(VLOOKUP(A77,'Salary Calculation'!$A$2:$V$999,6,0),"")</f>
        <v>SANJAI BHAGAT</v>
      </c>
      <c r="E77" s="108" t="str">
        <f>IFERROR(VLOOKUP(A77,'Salary Calculation'!$A$2:$V$999,10,0),"")</f>
        <v>8131010000021225</v>
      </c>
      <c r="F77" s="109"/>
      <c r="G77" s="110">
        <f>IFERROR(VLOOKUP(A77,'Salary Calculation'!$A$2:$V$999,7,0),"")</f>
        <v>18455.69758</v>
      </c>
      <c r="H77" s="101"/>
      <c r="I77" s="101"/>
      <c r="J77" s="101"/>
      <c r="K77" s="101"/>
      <c r="L77" s="101"/>
      <c r="M77" s="101"/>
      <c r="N77" s="101"/>
      <c r="O77" s="101"/>
      <c r="P77" s="101"/>
      <c r="Q77" s="101"/>
      <c r="R77" s="101"/>
      <c r="S77" s="101"/>
      <c r="T77" s="101"/>
      <c r="U77" s="101"/>
      <c r="V77" s="101"/>
      <c r="W77" s="101"/>
      <c r="X77" s="101"/>
      <c r="Y77" s="101"/>
      <c r="Z77" s="101"/>
      <c r="AA77" s="101"/>
      <c r="AB77" s="101"/>
    </row>
    <row r="78">
      <c r="A78" s="107" t="s">
        <v>215</v>
      </c>
      <c r="B78" s="108" t="str">
        <f>IFERROR(VLOOKUP(A78,'Salary Calculation'!A77:F1074,2,0),"")</f>
        <v>October</v>
      </c>
      <c r="C78" s="108" t="str">
        <f>IFERROR(VLOOKUP(A78,'Salary Calculation'!$A$2:$V$999,3,0),"")</f>
        <v>PR 21</v>
      </c>
      <c r="D78" s="108" t="str">
        <f>IFERROR(VLOOKUP(A78,'Salary Calculation'!$A$2:$V$999,6,0),"")</f>
        <v>LIPAN</v>
      </c>
      <c r="E78" s="108" t="str">
        <f>IFERROR(VLOOKUP(A78,'Salary Calculation'!$A$2:$V$999,10,0),"")</f>
        <v>8131010000018957</v>
      </c>
      <c r="F78" s="109"/>
      <c r="G78" s="110">
        <f>IFERROR(VLOOKUP(A78,'Salary Calculation'!$A$2:$V$999,7,0),"")</f>
        <v>18854.29839</v>
      </c>
      <c r="H78" s="101"/>
      <c r="I78" s="101"/>
      <c r="J78" s="101"/>
      <c r="K78" s="101"/>
      <c r="L78" s="101"/>
      <c r="M78" s="101"/>
      <c r="N78" s="101"/>
      <c r="O78" s="101"/>
      <c r="P78" s="101"/>
      <c r="Q78" s="101"/>
      <c r="R78" s="101"/>
      <c r="S78" s="101"/>
      <c r="T78" s="101"/>
      <c r="U78" s="101"/>
      <c r="V78" s="101"/>
      <c r="W78" s="101"/>
      <c r="X78" s="101"/>
      <c r="Y78" s="101"/>
      <c r="Z78" s="101"/>
      <c r="AA78" s="101"/>
      <c r="AB78" s="101"/>
    </row>
    <row r="79">
      <c r="A79" s="107" t="s">
        <v>216</v>
      </c>
      <c r="B79" s="108" t="str">
        <f>IFERROR(VLOOKUP(A79,'Salary Calculation'!A78:F1075,2,0),"")</f>
        <v>October</v>
      </c>
      <c r="C79" s="108" t="str">
        <f>IFERROR(VLOOKUP(A79,'Salary Calculation'!$A$2:$V$999,3,0),"")</f>
        <v>PR 20</v>
      </c>
      <c r="D79" s="108" t="str">
        <f>IFERROR(VLOOKUP(A79,'Salary Calculation'!$A$2:$V$999,6,0),"")</f>
        <v>JAGABANDH</v>
      </c>
      <c r="E79" s="108" t="str">
        <f>IFERROR(VLOOKUP(A79,'Salary Calculation'!$A$2:$V$999,10,0),"")</f>
        <v>8131010000018920</v>
      </c>
      <c r="F79" s="109"/>
      <c r="G79" s="110">
        <f>IFERROR(VLOOKUP(A79,'Salary Calculation'!$A$2:$V$999,7,0),"")</f>
        <v>17062.99597</v>
      </c>
      <c r="H79" s="101"/>
      <c r="I79" s="101"/>
      <c r="J79" s="101"/>
      <c r="K79" s="101"/>
      <c r="L79" s="101"/>
      <c r="M79" s="101"/>
      <c r="N79" s="101"/>
      <c r="O79" s="101"/>
      <c r="P79" s="101"/>
      <c r="Q79" s="101"/>
      <c r="R79" s="101"/>
      <c r="S79" s="101"/>
      <c r="T79" s="101"/>
      <c r="U79" s="101"/>
      <c r="V79" s="101"/>
      <c r="W79" s="101"/>
      <c r="X79" s="101"/>
      <c r="Y79" s="101"/>
      <c r="Z79" s="101"/>
      <c r="AA79" s="101"/>
      <c r="AB79" s="101"/>
    </row>
    <row r="80">
      <c r="A80" s="107" t="s">
        <v>217</v>
      </c>
      <c r="B80" s="108" t="str">
        <f>IFERROR(VLOOKUP(A80,'Salary Calculation'!A79:F1076,2,0),"")</f>
        <v>October</v>
      </c>
      <c r="C80" s="108" t="str">
        <f>IFERROR(VLOOKUP(A80,'Salary Calculation'!$A$2:$V$999,3,0),"")</f>
        <v>AC 03</v>
      </c>
      <c r="D80" s="108" t="str">
        <f>IFERROR(VLOOKUP(A80,'Salary Calculation'!$A$2:$V$999,6,0),"")</f>
        <v>LEELA</v>
      </c>
      <c r="E80" s="108" t="str">
        <f>IFERROR(VLOOKUP(A80,'Salary Calculation'!$A$2:$V$999,10,0),"")</f>
        <v>8387010000017745</v>
      </c>
      <c r="F80" s="109"/>
      <c r="G80" s="110">
        <f>IFERROR(VLOOKUP(A80,'Salary Calculation'!$A$2:$V$999,7,0),"")</f>
        <v>12932.91532</v>
      </c>
      <c r="H80" s="101"/>
      <c r="I80" s="101"/>
      <c r="J80" s="101"/>
      <c r="K80" s="101"/>
      <c r="L80" s="101"/>
      <c r="M80" s="101"/>
      <c r="N80" s="101"/>
      <c r="O80" s="101"/>
      <c r="P80" s="101"/>
      <c r="Q80" s="101"/>
      <c r="R80" s="101"/>
      <c r="S80" s="101"/>
      <c r="T80" s="101"/>
      <c r="U80" s="101"/>
      <c r="V80" s="101"/>
      <c r="W80" s="101"/>
      <c r="X80" s="101"/>
      <c r="Y80" s="101"/>
      <c r="Z80" s="101"/>
      <c r="AA80" s="101"/>
      <c r="AB80" s="101"/>
    </row>
    <row r="81">
      <c r="A81" s="107" t="s">
        <v>218</v>
      </c>
      <c r="B81" s="108" t="str">
        <f>IFERROR(VLOOKUP(A81,'Salary Calculation'!A80:F1077,2,0),"")</f>
        <v>October</v>
      </c>
      <c r="C81" s="108" t="str">
        <f>IFERROR(VLOOKUP(A81,'Salary Calculation'!$A$2:$V$999,3,0),"")</f>
        <v>PR 08</v>
      </c>
      <c r="D81" s="108" t="str">
        <f>IFERROR(VLOOKUP(A81,'Salary Calculation'!$A$2:$V$999,6,0),"")</f>
        <v>REVATHI S</v>
      </c>
      <c r="E81" s="108" t="str">
        <f>IFERROR(VLOOKUP(A81,'Salary Calculation'!$A$2:$V$999,10,0),"")</f>
        <v>8131010000016995</v>
      </c>
      <c r="F81" s="109"/>
      <c r="G81" s="110">
        <f>IFERROR(VLOOKUP(A81,'Salary Calculation'!$A$2:$V$999,7,0),"")</f>
        <v>9350.614415</v>
      </c>
      <c r="H81" s="101"/>
      <c r="I81" s="101"/>
      <c r="J81" s="101"/>
      <c r="K81" s="101"/>
      <c r="L81" s="101"/>
      <c r="M81" s="101"/>
      <c r="N81" s="101"/>
      <c r="O81" s="101"/>
      <c r="P81" s="101"/>
      <c r="Q81" s="101"/>
      <c r="R81" s="101"/>
      <c r="S81" s="101"/>
      <c r="T81" s="101"/>
      <c r="U81" s="101"/>
      <c r="V81" s="101"/>
      <c r="W81" s="101"/>
      <c r="X81" s="101"/>
      <c r="Y81" s="101"/>
      <c r="Z81" s="101"/>
      <c r="AA81" s="101"/>
      <c r="AB81" s="101"/>
    </row>
    <row r="82">
      <c r="A82" s="107" t="s">
        <v>219</v>
      </c>
      <c r="B82" s="108" t="str">
        <f>IFERROR(VLOOKUP(A82,'Salary Calculation'!A81:F1078,2,0),"")</f>
        <v>October</v>
      </c>
      <c r="C82" s="108" t="str">
        <f>IFERROR(VLOOKUP(A82,'Salary Calculation'!$A$2:$V$999,3,0),"")</f>
        <v>PR 19</v>
      </c>
      <c r="D82" s="108" t="str">
        <f>IFERROR(VLOOKUP(A82,'Salary Calculation'!$A$2:$V$999,6,0),"")</f>
        <v>SIDHESHWAR</v>
      </c>
      <c r="E82" s="108" t="str">
        <f>IFERROR(VLOOKUP(A82,'Salary Calculation'!$A$2:$V$999,10,0),"")</f>
        <v>8131010000018939</v>
      </c>
      <c r="F82" s="109"/>
      <c r="G82" s="110">
        <f>IFERROR(VLOOKUP(A82,'Salary Calculation'!$A$2:$V$999,7,0),"")</f>
        <v>15159.437</v>
      </c>
      <c r="H82" s="101"/>
      <c r="I82" s="101"/>
      <c r="J82" s="101"/>
      <c r="K82" s="101"/>
      <c r="L82" s="101"/>
      <c r="M82" s="101"/>
      <c r="N82" s="101"/>
      <c r="O82" s="101"/>
      <c r="P82" s="101"/>
      <c r="Q82" s="101"/>
      <c r="R82" s="101"/>
      <c r="S82" s="101"/>
      <c r="T82" s="101"/>
      <c r="U82" s="101"/>
      <c r="V82" s="101"/>
      <c r="W82" s="101"/>
      <c r="X82" s="101"/>
      <c r="Y82" s="101"/>
      <c r="Z82" s="101"/>
      <c r="AA82" s="101"/>
      <c r="AB82" s="101"/>
    </row>
    <row r="83">
      <c r="A83" s="107" t="s">
        <v>220</v>
      </c>
      <c r="B83" s="108" t="str">
        <f>IFERROR(VLOOKUP(A83,'Salary Calculation'!A82:F1079,2,0),"")</f>
        <v>October</v>
      </c>
      <c r="C83" s="108" t="str">
        <f>IFERROR(VLOOKUP(A83,'Salary Calculation'!$A$2:$V$999,3,0),"")</f>
        <v>PR 07</v>
      </c>
      <c r="D83" s="108" t="str">
        <f>IFERROR(VLOOKUP(A83,'Salary Calculation'!$A$2:$V$999,6,0),"")</f>
        <v>AMMU</v>
      </c>
      <c r="E83" s="108">
        <f>IFERROR(VLOOKUP(A83,'Salary Calculation'!$A$2:$V$999,10,0),"")</f>
        <v>65801000040238</v>
      </c>
      <c r="F83" s="109"/>
      <c r="G83" s="110">
        <f>IFERROR(VLOOKUP(A83,'Salary Calculation'!$A$2:$V$999,7,0),"")</f>
        <v>11519.60333</v>
      </c>
      <c r="H83" s="101"/>
      <c r="I83" s="101"/>
      <c r="J83" s="101"/>
      <c r="K83" s="101"/>
      <c r="L83" s="101"/>
      <c r="M83" s="101"/>
      <c r="N83" s="101"/>
      <c r="O83" s="101"/>
      <c r="P83" s="101"/>
      <c r="Q83" s="101"/>
      <c r="R83" s="101"/>
      <c r="S83" s="101"/>
      <c r="T83" s="101"/>
      <c r="U83" s="101"/>
      <c r="V83" s="101"/>
      <c r="W83" s="101"/>
      <c r="X83" s="101"/>
      <c r="Y83" s="101"/>
      <c r="Z83" s="101"/>
      <c r="AA83" s="101"/>
      <c r="AB83" s="101"/>
    </row>
    <row r="84">
      <c r="A84" s="107" t="s">
        <v>221</v>
      </c>
      <c r="B84" s="108" t="str">
        <f>IFERROR(VLOOKUP(A84,'Salary Calculation'!A83:F1080,2,0),"")</f>
        <v>October</v>
      </c>
      <c r="C84" s="108" t="str">
        <f>IFERROR(VLOOKUP(A84,'Salary Calculation'!$A$2:$V$999,3,0),"")</f>
        <v>PR 12</v>
      </c>
      <c r="D84" s="108" t="str">
        <f>IFERROR(VLOOKUP(A84,'Salary Calculation'!$A$2:$V$999,6,0),"")</f>
        <v>PINU BAGH</v>
      </c>
      <c r="E84" s="108" t="str">
        <f>IFERROR(VLOOKUP(A84,'Salary Calculation'!$A$2:$V$999,10,0),"")</f>
        <v>8131010000018814</v>
      </c>
      <c r="F84" s="109"/>
      <c r="G84" s="110">
        <f>IFERROR(VLOOKUP(A84,'Salary Calculation'!$A$2:$V$999,7,0),"")</f>
        <v>15499.1119</v>
      </c>
      <c r="H84" s="101"/>
      <c r="I84" s="101"/>
      <c r="J84" s="101"/>
      <c r="K84" s="101"/>
      <c r="L84" s="101"/>
      <c r="M84" s="101"/>
      <c r="N84" s="101"/>
      <c r="O84" s="101"/>
      <c r="P84" s="101"/>
      <c r="Q84" s="101"/>
      <c r="R84" s="101"/>
      <c r="S84" s="101"/>
      <c r="T84" s="101"/>
      <c r="U84" s="101"/>
      <c r="V84" s="101"/>
      <c r="W84" s="101"/>
      <c r="X84" s="101"/>
      <c r="Y84" s="101"/>
      <c r="Z84" s="101"/>
      <c r="AA84" s="101"/>
      <c r="AB84" s="101"/>
    </row>
    <row r="85">
      <c r="A85" s="104" t="s">
        <v>222</v>
      </c>
      <c r="B85" s="105" t="str">
        <f>IFERROR(VLOOKUP(A85,'Salary Calculation'!A84:F1081,2,0),"")</f>
        <v>November</v>
      </c>
      <c r="C85" s="105" t="str">
        <f>IFERROR(VLOOKUP(A85,'Salary Calculation'!$A$2:$V$999,3,0),"")</f>
        <v>AC 01</v>
      </c>
      <c r="D85" s="105" t="str">
        <f>IFERROR(VLOOKUP(A85,'Salary Calculation'!$A$2:$V$999,6,0),"")</f>
        <v>BHUVANESWARAN</v>
      </c>
      <c r="E85" s="105">
        <f>IFERROR(VLOOKUP(A85,'Salary Calculation'!$A$2:$V$999,10,0),"")</f>
        <v>500101011548924</v>
      </c>
      <c r="F85" s="101"/>
      <c r="G85" s="106">
        <f>IFERROR(VLOOKUP(A85,'Salary Calculation'!$A$2:$V$999,7,0),"")</f>
        <v>60900</v>
      </c>
      <c r="H85" s="101"/>
      <c r="I85" s="101"/>
      <c r="J85" s="101"/>
      <c r="K85" s="101"/>
      <c r="L85" s="101"/>
      <c r="M85" s="101"/>
      <c r="N85" s="101"/>
      <c r="O85" s="101"/>
      <c r="P85" s="101"/>
      <c r="Q85" s="101"/>
      <c r="R85" s="101"/>
      <c r="S85" s="101"/>
      <c r="T85" s="101"/>
      <c r="U85" s="101"/>
      <c r="V85" s="101"/>
      <c r="W85" s="101"/>
      <c r="X85" s="101"/>
      <c r="Y85" s="101"/>
      <c r="Z85" s="101"/>
      <c r="AA85" s="101"/>
      <c r="AB85" s="101"/>
    </row>
    <row r="86">
      <c r="A86" s="104" t="s">
        <v>223</v>
      </c>
      <c r="B86" s="105" t="str">
        <f>IFERROR(VLOOKUP(A86,'Salary Calculation'!A85:F1082,2,0),"")</f>
        <v>November</v>
      </c>
      <c r="C86" s="105" t="str">
        <f>IFERROR(VLOOKUP(A86,'Salary Calculation'!$A$2:$V$999,3,0),"")</f>
        <v>AC 02</v>
      </c>
      <c r="D86" s="105" t="str">
        <f>IFERROR(VLOOKUP(A86,'Salary Calculation'!$A$2:$V$999,6,0),"")</f>
        <v>SUNDARI</v>
      </c>
      <c r="E86" s="105" t="str">
        <f>IFERROR(VLOOKUP(A86,'Salary Calculation'!$A$2:$V$999,10,0),"")</f>
        <v>8131010000016977</v>
      </c>
      <c r="F86" s="101"/>
      <c r="G86" s="106">
        <f>IFERROR(VLOOKUP(A86,'Salary Calculation'!$A$2:$V$999,7,0),"")</f>
        <v>19167.65625</v>
      </c>
      <c r="H86" s="101"/>
      <c r="I86" s="101"/>
      <c r="J86" s="101"/>
      <c r="K86" s="101"/>
      <c r="L86" s="101"/>
      <c r="M86" s="101"/>
      <c r="N86" s="101"/>
      <c r="O86" s="101"/>
      <c r="P86" s="101"/>
      <c r="Q86" s="101"/>
      <c r="R86" s="101"/>
      <c r="S86" s="101"/>
      <c r="T86" s="101"/>
      <c r="U86" s="101"/>
      <c r="V86" s="101"/>
      <c r="W86" s="101"/>
      <c r="X86" s="101"/>
      <c r="Y86" s="101"/>
      <c r="Z86" s="101"/>
      <c r="AA86" s="101"/>
      <c r="AB86" s="101"/>
    </row>
    <row r="87">
      <c r="A87" s="104" t="s">
        <v>224</v>
      </c>
      <c r="B87" s="105" t="str">
        <f>IFERROR(VLOOKUP(A87,'Salary Calculation'!A86:F1083,2,0),"")</f>
        <v>November</v>
      </c>
      <c r="C87" s="105" t="str">
        <f>IFERROR(VLOOKUP(A87,'Salary Calculation'!$A$2:$V$999,3,0),"")</f>
        <v>PR 01</v>
      </c>
      <c r="D87" s="105" t="str">
        <f>IFERROR(VLOOKUP(A87,'Salary Calculation'!$A$2:$V$999,6,0),"")</f>
        <v>VASANTHA</v>
      </c>
      <c r="E87" s="105" t="str">
        <f>IFERROR(VLOOKUP(A87,'Salary Calculation'!$A$2:$V$999,10,0),"")</f>
        <v>8131010000016959</v>
      </c>
      <c r="F87" s="101"/>
      <c r="G87" s="106">
        <f>IFERROR(VLOOKUP(A87,'Salary Calculation'!$A$2:$V$999,7,0),"")</f>
        <v>6277.5625</v>
      </c>
      <c r="H87" s="101"/>
      <c r="I87" s="101"/>
      <c r="J87" s="101"/>
      <c r="K87" s="101"/>
      <c r="L87" s="101"/>
      <c r="M87" s="101"/>
      <c r="N87" s="101"/>
      <c r="O87" s="101"/>
      <c r="P87" s="101"/>
      <c r="Q87" s="101"/>
      <c r="R87" s="101"/>
      <c r="S87" s="101"/>
      <c r="T87" s="101"/>
      <c r="U87" s="101"/>
      <c r="V87" s="101"/>
      <c r="W87" s="101"/>
      <c r="X87" s="101"/>
      <c r="Y87" s="101"/>
      <c r="Z87" s="101"/>
      <c r="AA87" s="101"/>
      <c r="AB87" s="101"/>
    </row>
    <row r="88">
      <c r="A88" s="104" t="s">
        <v>225</v>
      </c>
      <c r="B88" s="105" t="str">
        <f>IFERROR(VLOOKUP(A88,'Salary Calculation'!A87:F1084,2,0),"")</f>
        <v>November</v>
      </c>
      <c r="C88" s="105" t="str">
        <f>IFERROR(VLOOKUP(A88,'Salary Calculation'!$A$2:$V$999,3,0),"")</f>
        <v>PR 02</v>
      </c>
      <c r="D88" s="105" t="str">
        <f>IFERROR(VLOOKUP(A88,'Salary Calculation'!$A$2:$V$999,6,0),"")</f>
        <v>GANESH</v>
      </c>
      <c r="E88" s="105" t="str">
        <f>IFERROR(VLOOKUP(A88,'Salary Calculation'!$A$2:$V$999,10,0),"")</f>
        <v>8811010012054879</v>
      </c>
      <c r="F88" s="101"/>
      <c r="G88" s="106">
        <f>IFERROR(VLOOKUP(A88,'Salary Calculation'!$A$2:$V$999,7,0),"")</f>
        <v>11671.22135</v>
      </c>
      <c r="H88" s="101"/>
      <c r="I88" s="101"/>
      <c r="J88" s="101"/>
      <c r="K88" s="101"/>
      <c r="L88" s="101"/>
      <c r="M88" s="101"/>
      <c r="N88" s="101"/>
      <c r="O88" s="101"/>
      <c r="P88" s="101"/>
      <c r="Q88" s="101"/>
      <c r="R88" s="101"/>
      <c r="S88" s="101"/>
      <c r="T88" s="101"/>
      <c r="U88" s="101"/>
      <c r="V88" s="101"/>
      <c r="W88" s="101"/>
      <c r="X88" s="101"/>
      <c r="Y88" s="101"/>
      <c r="Z88" s="101"/>
      <c r="AA88" s="101"/>
      <c r="AB88" s="101"/>
    </row>
    <row r="89">
      <c r="A89" s="104" t="s">
        <v>226</v>
      </c>
      <c r="B89" s="105" t="str">
        <f>IFERROR(VLOOKUP(A89,'Salary Calculation'!A88:F1085,2,0),"")</f>
        <v>November</v>
      </c>
      <c r="C89" s="105" t="str">
        <f>IFERROR(VLOOKUP(A89,'Salary Calculation'!$A$2:$V$999,3,0),"")</f>
        <v>PR 03</v>
      </c>
      <c r="D89" s="105" t="str">
        <f>IFERROR(VLOOKUP(A89,'Salary Calculation'!$A$2:$V$999,6,0),"")</f>
        <v>ADHIKARI BALIA</v>
      </c>
      <c r="E89" s="105" t="str">
        <f>IFERROR(VLOOKUP(A89,'Salary Calculation'!$A$2:$V$999,10,0),"")</f>
        <v>8131010000018948</v>
      </c>
      <c r="F89" s="101"/>
      <c r="G89" s="106">
        <f>IFERROR(VLOOKUP(A89,'Salary Calculation'!$A$2:$V$999,7,0),"")</f>
        <v>14391.25</v>
      </c>
      <c r="H89" s="101"/>
      <c r="I89" s="101"/>
      <c r="J89" s="101"/>
      <c r="K89" s="101"/>
      <c r="L89" s="101"/>
      <c r="M89" s="101"/>
      <c r="N89" s="101"/>
      <c r="O89" s="101"/>
      <c r="P89" s="101"/>
      <c r="Q89" s="101"/>
      <c r="R89" s="101"/>
      <c r="S89" s="101"/>
      <c r="T89" s="101"/>
      <c r="U89" s="101"/>
      <c r="V89" s="101"/>
      <c r="W89" s="101"/>
      <c r="X89" s="101"/>
      <c r="Y89" s="101"/>
      <c r="Z89" s="101"/>
      <c r="AA89" s="101"/>
      <c r="AB89" s="101"/>
    </row>
    <row r="90">
      <c r="A90" s="104" t="s">
        <v>227</v>
      </c>
      <c r="B90" s="105" t="str">
        <f>IFERROR(VLOOKUP(A90,'Salary Calculation'!A89:F1086,2,0),"")</f>
        <v>November</v>
      </c>
      <c r="C90" s="105" t="str">
        <f>IFERROR(VLOOKUP(A90,'Salary Calculation'!$A$2:$V$999,3,0),"")</f>
        <v>PR 04</v>
      </c>
      <c r="D90" s="105" t="str">
        <f>IFERROR(VLOOKUP(A90,'Salary Calculation'!$A$2:$V$999,6,0),"")</f>
        <v>RUPESH</v>
      </c>
      <c r="E90" s="105" t="str">
        <f>IFERROR(VLOOKUP(A90,'Salary Calculation'!$A$2:$V$999,10,0),"")</f>
        <v>8131010000020156</v>
      </c>
      <c r="F90" s="101"/>
      <c r="G90" s="106">
        <f>IFERROR(VLOOKUP(A90,'Salary Calculation'!$A$2:$V$999,7,0),"")</f>
        <v>14242.375</v>
      </c>
      <c r="H90" s="101"/>
      <c r="I90" s="101"/>
      <c r="J90" s="101"/>
      <c r="K90" s="101"/>
      <c r="L90" s="101"/>
      <c r="M90" s="101"/>
      <c r="N90" s="101"/>
      <c r="O90" s="101"/>
      <c r="P90" s="101"/>
      <c r="Q90" s="101"/>
      <c r="R90" s="101"/>
      <c r="S90" s="101"/>
      <c r="T90" s="101"/>
      <c r="U90" s="101"/>
      <c r="V90" s="101"/>
      <c r="W90" s="101"/>
      <c r="X90" s="101"/>
      <c r="Y90" s="101"/>
      <c r="Z90" s="101"/>
      <c r="AA90" s="101"/>
      <c r="AB90" s="101"/>
    </row>
    <row r="91">
      <c r="A91" s="104" t="s">
        <v>228</v>
      </c>
      <c r="B91" s="105" t="str">
        <f>IFERROR(VLOOKUP(A91,'Salary Calculation'!A90:F1087,2,0),"")</f>
        <v>November</v>
      </c>
      <c r="C91" s="105" t="str">
        <f>IFERROR(VLOOKUP(A91,'Salary Calculation'!$A$2:$V$999,3,0),"")</f>
        <v>PR 05</v>
      </c>
      <c r="D91" s="105" t="str">
        <f>IFERROR(VLOOKUP(A91,'Salary Calculation'!$A$2:$V$999,6,0),"")</f>
        <v>SANJAI BHAGAT</v>
      </c>
      <c r="E91" s="105" t="str">
        <f>IFERROR(VLOOKUP(A91,'Salary Calculation'!$A$2:$V$999,10,0),"")</f>
        <v>8131010000021225</v>
      </c>
      <c r="F91" s="101"/>
      <c r="G91" s="106">
        <f>IFERROR(VLOOKUP(A91,'Salary Calculation'!$A$2:$V$999,7,0),"")</f>
        <v>15607.0625</v>
      </c>
      <c r="H91" s="101"/>
      <c r="I91" s="101"/>
      <c r="J91" s="101"/>
      <c r="K91" s="101"/>
      <c r="L91" s="101"/>
      <c r="M91" s="101"/>
      <c r="N91" s="101"/>
      <c r="O91" s="101"/>
      <c r="P91" s="101"/>
      <c r="Q91" s="101"/>
      <c r="R91" s="101"/>
      <c r="S91" s="101"/>
      <c r="T91" s="101"/>
      <c r="U91" s="101"/>
      <c r="V91" s="101"/>
      <c r="W91" s="101"/>
      <c r="X91" s="101"/>
      <c r="Y91" s="101"/>
      <c r="Z91" s="101"/>
      <c r="AA91" s="101"/>
      <c r="AB91" s="101"/>
    </row>
    <row r="92">
      <c r="A92" s="104" t="s">
        <v>229</v>
      </c>
      <c r="B92" s="105" t="str">
        <f>IFERROR(VLOOKUP(A92,'Salary Calculation'!A91:F1088,2,0),"")</f>
        <v>November</v>
      </c>
      <c r="C92" s="105" t="str">
        <f>IFERROR(VLOOKUP(A92,'Salary Calculation'!$A$2:$V$999,3,0),"")</f>
        <v>PR 21</v>
      </c>
      <c r="D92" s="105" t="str">
        <f>IFERROR(VLOOKUP(A92,'Salary Calculation'!$A$2:$V$999,6,0),"")</f>
        <v>LIPAN</v>
      </c>
      <c r="E92" s="105" t="str">
        <f>IFERROR(VLOOKUP(A92,'Salary Calculation'!$A$2:$V$999,10,0),"")</f>
        <v>8131010000018957</v>
      </c>
      <c r="F92" s="101"/>
      <c r="G92" s="106">
        <f>IFERROR(VLOOKUP(A92,'Salary Calculation'!$A$2:$V$999,7,0),"")</f>
        <v>11152.9375</v>
      </c>
      <c r="H92" s="101"/>
      <c r="I92" s="101"/>
      <c r="J92" s="101"/>
      <c r="K92" s="101"/>
      <c r="L92" s="101"/>
      <c r="M92" s="101"/>
      <c r="N92" s="101"/>
      <c r="O92" s="101"/>
      <c r="P92" s="101"/>
      <c r="Q92" s="101"/>
      <c r="R92" s="101"/>
      <c r="S92" s="101"/>
      <c r="T92" s="101"/>
      <c r="U92" s="101"/>
      <c r="V92" s="101"/>
      <c r="W92" s="101"/>
      <c r="X92" s="101"/>
      <c r="Y92" s="101"/>
      <c r="Z92" s="101"/>
      <c r="AA92" s="101"/>
      <c r="AB92" s="101"/>
    </row>
    <row r="93">
      <c r="A93" s="104" t="s">
        <v>230</v>
      </c>
      <c r="B93" s="105" t="str">
        <f>IFERROR(VLOOKUP(A93,'Salary Calculation'!A92:F1089,2,0),"")</f>
        <v>November</v>
      </c>
      <c r="C93" s="105" t="str">
        <f>IFERROR(VLOOKUP(A93,'Salary Calculation'!$A$2:$V$999,3,0),"")</f>
        <v>DR 01</v>
      </c>
      <c r="D93" s="105" t="str">
        <f>IFERROR(VLOOKUP(A93,'Salary Calculation'!$A$2:$V$999,6,0),"")</f>
        <v>Mathi</v>
      </c>
      <c r="E93" s="105" t="str">
        <f>IFERROR(VLOOKUP(A93,'Salary Calculation'!$A$2:$V$999,10,0),"")</f>
        <v>8131010000016986</v>
      </c>
      <c r="F93" s="101"/>
      <c r="G93" s="106">
        <f>IFERROR(VLOOKUP(A93,'Salary Calculation'!$A$2:$V$999,7,0),"")</f>
        <v>20198.91667</v>
      </c>
      <c r="H93" s="101"/>
      <c r="I93" s="101"/>
      <c r="J93" s="101"/>
      <c r="K93" s="101"/>
      <c r="L93" s="101"/>
      <c r="M93" s="101"/>
      <c r="N93" s="101"/>
      <c r="O93" s="101"/>
      <c r="P93" s="101"/>
      <c r="Q93" s="101"/>
      <c r="R93" s="101"/>
      <c r="S93" s="101"/>
      <c r="T93" s="101"/>
      <c r="U93" s="101"/>
      <c r="V93" s="101"/>
      <c r="W93" s="101"/>
      <c r="X93" s="101"/>
      <c r="Y93" s="101"/>
      <c r="Z93" s="101"/>
      <c r="AA93" s="101"/>
      <c r="AB93" s="101"/>
    </row>
    <row r="94">
      <c r="A94" s="104" t="s">
        <v>231</v>
      </c>
      <c r="B94" s="105" t="str">
        <f>IFERROR(VLOOKUP(A94,'Salary Calculation'!A93:F1090,2,0),"")</f>
        <v>November</v>
      </c>
      <c r="C94" s="105" t="str">
        <f>IFERROR(VLOOKUP(A94,'Salary Calculation'!$A$2:$V$999,3,0),"")</f>
        <v>PR 19</v>
      </c>
      <c r="D94" s="105" t="str">
        <f>IFERROR(VLOOKUP(A94,'Salary Calculation'!$A$2:$V$999,6,0),"")</f>
        <v>SIDHESHWAR</v>
      </c>
      <c r="E94" s="105" t="str">
        <f>IFERROR(VLOOKUP(A94,'Salary Calculation'!$A$2:$V$999,10,0),"")</f>
        <v>8131010000018939</v>
      </c>
      <c r="F94" s="101"/>
      <c r="G94" s="106">
        <f>IFERROR(VLOOKUP(A94,'Salary Calculation'!$A$2:$V$999,7,0),"")</f>
        <v>12865.28125</v>
      </c>
      <c r="H94" s="101"/>
      <c r="I94" s="101"/>
      <c r="J94" s="101"/>
      <c r="K94" s="101"/>
      <c r="L94" s="101"/>
      <c r="M94" s="101"/>
      <c r="N94" s="101"/>
      <c r="O94" s="101"/>
      <c r="P94" s="101"/>
      <c r="Q94" s="101"/>
      <c r="R94" s="101"/>
      <c r="S94" s="101"/>
      <c r="T94" s="101"/>
      <c r="U94" s="101"/>
      <c r="V94" s="101"/>
      <c r="W94" s="101"/>
      <c r="X94" s="101"/>
      <c r="Y94" s="101"/>
      <c r="Z94" s="101"/>
      <c r="AA94" s="101"/>
      <c r="AB94" s="101"/>
    </row>
    <row r="95">
      <c r="A95" s="104" t="s">
        <v>232</v>
      </c>
      <c r="B95" s="105" t="str">
        <f>IFERROR(VLOOKUP(A95,'Salary Calculation'!A94:F1091,2,0),"")</f>
        <v>November</v>
      </c>
      <c r="C95" s="105" t="str">
        <f>IFERROR(VLOOKUP(A95,'Salary Calculation'!$A$2:$V$999,3,0),"")</f>
        <v>PR 07</v>
      </c>
      <c r="D95" s="105" t="str">
        <f>IFERROR(VLOOKUP(A95,'Salary Calculation'!$A$2:$V$999,6,0),"")</f>
        <v>AMMU</v>
      </c>
      <c r="E95" s="105">
        <f>IFERROR(VLOOKUP(A95,'Salary Calculation'!$A$2:$V$999,10,0),"")</f>
        <v>65801000040238</v>
      </c>
      <c r="F95" s="101"/>
      <c r="G95" s="106">
        <f>IFERROR(VLOOKUP(A95,'Salary Calculation'!$A$2:$V$999,7,0),"")</f>
        <v>8421.776042</v>
      </c>
      <c r="H95" s="101"/>
      <c r="I95" s="101"/>
      <c r="J95" s="101"/>
      <c r="K95" s="101"/>
      <c r="L95" s="101"/>
      <c r="M95" s="101"/>
      <c r="N95" s="101"/>
      <c r="O95" s="101"/>
      <c r="P95" s="101"/>
      <c r="Q95" s="101"/>
      <c r="R95" s="101"/>
      <c r="S95" s="101"/>
      <c r="T95" s="101"/>
      <c r="U95" s="101"/>
      <c r="V95" s="101"/>
      <c r="W95" s="101"/>
      <c r="X95" s="101"/>
      <c r="Y95" s="101"/>
      <c r="Z95" s="101"/>
      <c r="AA95" s="101"/>
      <c r="AB95" s="101"/>
    </row>
    <row r="96">
      <c r="A96" s="104" t="s">
        <v>233</v>
      </c>
      <c r="B96" s="105" t="str">
        <f>IFERROR(VLOOKUP(A96,'Salary Calculation'!A95:F1092,2,0),"")</f>
        <v>November</v>
      </c>
      <c r="C96" s="105" t="str">
        <f>IFERROR(VLOOKUP(A96,'Salary Calculation'!$A$2:$V$999,3,0),"")</f>
        <v>PR 08</v>
      </c>
      <c r="D96" s="105" t="str">
        <f>IFERROR(VLOOKUP(A96,'Salary Calculation'!$A$2:$V$999,6,0),"")</f>
        <v>REVATHI S</v>
      </c>
      <c r="E96" s="105" t="str">
        <f>IFERROR(VLOOKUP(A96,'Salary Calculation'!$A$2:$V$999,10,0),"")</f>
        <v>8131010000016995</v>
      </c>
      <c r="F96" s="101"/>
      <c r="G96" s="106">
        <f>IFERROR(VLOOKUP(A96,'Salary Calculation'!$A$2:$V$999,7,0),"")</f>
        <v>9209.309896</v>
      </c>
      <c r="H96" s="101"/>
      <c r="I96" s="101"/>
      <c r="J96" s="101"/>
      <c r="K96" s="101"/>
      <c r="L96" s="101"/>
      <c r="M96" s="101"/>
      <c r="N96" s="101"/>
      <c r="O96" s="101"/>
      <c r="P96" s="101"/>
      <c r="Q96" s="101"/>
      <c r="R96" s="101"/>
      <c r="S96" s="101"/>
      <c r="T96" s="101"/>
      <c r="U96" s="101"/>
      <c r="V96" s="101"/>
      <c r="W96" s="101"/>
      <c r="X96" s="101"/>
      <c r="Y96" s="101"/>
      <c r="Z96" s="101"/>
      <c r="AA96" s="101"/>
      <c r="AB96" s="101"/>
    </row>
    <row r="97">
      <c r="A97" s="104" t="s">
        <v>234</v>
      </c>
      <c r="B97" s="105" t="str">
        <f>IFERROR(VLOOKUP(A97,'Salary Calculation'!A96:F1093,2,0),"")</f>
        <v>November</v>
      </c>
      <c r="C97" s="105" t="str">
        <f>IFERROR(VLOOKUP(A97,'Salary Calculation'!$A$2:$V$999,3,0),"")</f>
        <v>PR 12</v>
      </c>
      <c r="D97" s="105" t="str">
        <f>IFERROR(VLOOKUP(A97,'Salary Calculation'!$A$2:$V$999,6,0),"")</f>
        <v>PINU BAGH</v>
      </c>
      <c r="E97" s="105" t="str">
        <f>IFERROR(VLOOKUP(A97,'Salary Calculation'!$A$2:$V$999,10,0),"")</f>
        <v>8131010000018814</v>
      </c>
      <c r="F97" s="101"/>
      <c r="G97" s="106">
        <f>IFERROR(VLOOKUP(A97,'Salary Calculation'!$A$2:$V$999,7,0),"")</f>
        <v>12547.23958</v>
      </c>
      <c r="H97" s="101"/>
      <c r="I97" s="101"/>
      <c r="J97" s="101"/>
      <c r="K97" s="101"/>
      <c r="L97" s="101"/>
      <c r="M97" s="101"/>
      <c r="N97" s="101"/>
      <c r="O97" s="101"/>
      <c r="P97" s="101"/>
      <c r="Q97" s="101"/>
      <c r="R97" s="101"/>
      <c r="S97" s="101"/>
      <c r="T97" s="101"/>
      <c r="U97" s="101"/>
      <c r="V97" s="101"/>
      <c r="W97" s="101"/>
      <c r="X97" s="101"/>
      <c r="Y97" s="101"/>
      <c r="Z97" s="101"/>
      <c r="AA97" s="101"/>
      <c r="AB97" s="101"/>
    </row>
    <row r="98">
      <c r="A98" s="104" t="s">
        <v>235</v>
      </c>
      <c r="B98" s="105" t="str">
        <f>IFERROR(VLOOKUP(A98,'Salary Calculation'!A97:F1094,2,0),"")</f>
        <v>November</v>
      </c>
      <c r="C98" s="105" t="str">
        <f>IFERROR(VLOOKUP(A98,'Salary Calculation'!$A$2:$V$999,3,0),"")</f>
        <v>AC 03</v>
      </c>
      <c r="D98" s="105" t="str">
        <f>IFERROR(VLOOKUP(A98,'Salary Calculation'!$A$2:$V$999,6,0),"")</f>
        <v>LEELA</v>
      </c>
      <c r="E98" s="105" t="str">
        <f>IFERROR(VLOOKUP(A98,'Salary Calculation'!$A$2:$V$999,10,0),"")</f>
        <v>8387010000017745</v>
      </c>
      <c r="F98" s="101"/>
      <c r="G98" s="106">
        <f>IFERROR(VLOOKUP(A98,'Salary Calculation'!$A$2:$V$999,7,0),"")</f>
        <v>12488.95833</v>
      </c>
      <c r="H98" s="101"/>
      <c r="I98" s="101"/>
      <c r="J98" s="101"/>
      <c r="K98" s="101"/>
      <c r="L98" s="101"/>
      <c r="M98" s="101"/>
      <c r="N98" s="101"/>
      <c r="O98" s="101"/>
      <c r="P98" s="101"/>
      <c r="Q98" s="101"/>
      <c r="R98" s="101"/>
      <c r="S98" s="101"/>
      <c r="T98" s="101"/>
      <c r="U98" s="101"/>
      <c r="V98" s="101"/>
      <c r="W98" s="101"/>
      <c r="X98" s="101"/>
      <c r="Y98" s="101"/>
      <c r="Z98" s="101"/>
      <c r="AA98" s="101"/>
      <c r="AB98" s="101"/>
    </row>
    <row r="99">
      <c r="A99" s="104" t="s">
        <v>236</v>
      </c>
      <c r="B99" s="105" t="str">
        <f>IFERROR(VLOOKUP(A99,'Salary Calculation'!A98:F1095,2,0),"")</f>
        <v>November</v>
      </c>
      <c r="C99" s="105" t="str">
        <f>IFERROR(VLOOKUP(A99,'Salary Calculation'!$A$2:$V$999,3,0),"")</f>
        <v>PR 27</v>
      </c>
      <c r="D99" s="105" t="str">
        <f>IFERROR(VLOOKUP(A99,'Salary Calculation'!$A$2:$V$999,6,0),"")</f>
        <v>PARSHU BAGH</v>
      </c>
      <c r="E99" s="105">
        <f>IFERROR(VLOOKUP(A99,'Salary Calculation'!$A$2:$V$999,10,0),"")</f>
        <v>40653547928</v>
      </c>
      <c r="F99" s="101"/>
      <c r="G99" s="106">
        <f>IFERROR(VLOOKUP(A99,'Salary Calculation'!$A$2:$V$999,7,0),"")</f>
        <v>10887.5</v>
      </c>
      <c r="H99" s="101"/>
      <c r="I99" s="101"/>
      <c r="J99" s="101"/>
      <c r="K99" s="101"/>
      <c r="L99" s="101"/>
      <c r="M99" s="101"/>
      <c r="N99" s="101"/>
      <c r="O99" s="101"/>
      <c r="P99" s="101"/>
      <c r="Q99" s="101"/>
      <c r="R99" s="101"/>
      <c r="S99" s="101"/>
      <c r="T99" s="101"/>
      <c r="U99" s="101"/>
      <c r="V99" s="101"/>
      <c r="W99" s="101"/>
      <c r="X99" s="101"/>
      <c r="Y99" s="101"/>
      <c r="Z99" s="101"/>
      <c r="AA99" s="101"/>
      <c r="AB99" s="101"/>
    </row>
    <row r="100">
      <c r="A100" s="104" t="s">
        <v>237</v>
      </c>
      <c r="B100" s="105" t="str">
        <f>IFERROR(VLOOKUP(A100,'Salary Calculation'!A99:F1096,2,0),"")</f>
        <v>December</v>
      </c>
      <c r="C100" s="105" t="str">
        <f>IFERROR(VLOOKUP(A100,'Salary Calculation'!$A$2:$V$999,3,0),"")</f>
        <v>AC 01</v>
      </c>
      <c r="D100" s="105" t="str">
        <f>IFERROR(VLOOKUP(A100,'Salary Calculation'!$A$2:$V$999,6,0),"")</f>
        <v>BHUVANESWARAN</v>
      </c>
      <c r="E100" s="105">
        <f>IFERROR(VLOOKUP(A100,'Salary Calculation'!$A$2:$V$999,10,0),"")</f>
        <v>500101011548924</v>
      </c>
      <c r="F100" s="100" t="s">
        <v>11</v>
      </c>
      <c r="G100" s="106">
        <f>IFERROR(VLOOKUP(A100,'Salary Calculation'!$A$2:$V$999,7,0),"")</f>
        <v>60900</v>
      </c>
      <c r="H100" s="100" t="s">
        <v>1141</v>
      </c>
      <c r="I100" s="101"/>
      <c r="J100" s="101"/>
      <c r="K100" s="101"/>
      <c r="L100" s="101"/>
      <c r="M100" s="101"/>
      <c r="N100" s="101"/>
      <c r="O100" s="101"/>
      <c r="P100" s="101"/>
      <c r="Q100" s="101"/>
      <c r="R100" s="101"/>
      <c r="S100" s="101"/>
      <c r="T100" s="101"/>
      <c r="U100" s="101"/>
      <c r="V100" s="101"/>
      <c r="W100" s="101"/>
      <c r="X100" s="101"/>
      <c r="Y100" s="101"/>
      <c r="Z100" s="101"/>
      <c r="AA100" s="101"/>
      <c r="AB100" s="101"/>
    </row>
    <row r="101">
      <c r="A101" s="104" t="s">
        <v>238</v>
      </c>
      <c r="B101" s="105" t="str">
        <f>IFERROR(VLOOKUP(A101,'Salary Calculation'!A100:F1097,2,0),"")</f>
        <v>December</v>
      </c>
      <c r="C101" s="105" t="str">
        <f>IFERROR(VLOOKUP(A101,'Salary Calculation'!$A$2:$V$999,3,0),"")</f>
        <v>AC 02</v>
      </c>
      <c r="D101" s="105" t="str">
        <f>IFERROR(VLOOKUP(A101,'Salary Calculation'!$A$2:$V$999,6,0),"")</f>
        <v>SUNDARI</v>
      </c>
      <c r="E101" s="105" t="str">
        <f>IFERROR(VLOOKUP(A101,'Salary Calculation'!$A$2:$V$999,10,0),"")</f>
        <v>8131010000016977</v>
      </c>
      <c r="F101" s="100" t="s">
        <v>15</v>
      </c>
      <c r="G101" s="106">
        <f>IFERROR(VLOOKUP(A101,'Salary Calculation'!$A$2:$V$999,7,0),"")</f>
        <v>19380.16331</v>
      </c>
      <c r="H101" s="100" t="s">
        <v>1141</v>
      </c>
      <c r="I101" s="101"/>
      <c r="J101" s="101"/>
      <c r="K101" s="101"/>
      <c r="L101" s="101"/>
      <c r="M101" s="101"/>
      <c r="N101" s="101"/>
      <c r="O101" s="101"/>
      <c r="P101" s="101"/>
      <c r="Q101" s="101"/>
      <c r="R101" s="101"/>
      <c r="S101" s="101"/>
      <c r="T101" s="101"/>
      <c r="U101" s="101"/>
      <c r="V101" s="101"/>
      <c r="W101" s="101"/>
      <c r="X101" s="101"/>
      <c r="Y101" s="101"/>
      <c r="Z101" s="101"/>
      <c r="AA101" s="101"/>
      <c r="AB101" s="101"/>
    </row>
    <row r="102">
      <c r="A102" s="104" t="s">
        <v>239</v>
      </c>
      <c r="B102" s="105" t="str">
        <f>IFERROR(VLOOKUP(A102,'Salary Calculation'!A101:F1098,2,0),"")</f>
        <v>December</v>
      </c>
      <c r="C102" s="105" t="str">
        <f>IFERROR(VLOOKUP(A102,'Salary Calculation'!$A$2:$V$999,3,0),"")</f>
        <v>PR 02</v>
      </c>
      <c r="D102" s="105" t="str">
        <f>IFERROR(VLOOKUP(A102,'Salary Calculation'!$A$2:$V$999,6,0),"")</f>
        <v>GANESH</v>
      </c>
      <c r="E102" s="105" t="str">
        <f>IFERROR(VLOOKUP(A102,'Salary Calculation'!$A$2:$V$999,10,0),"")</f>
        <v>8811010012054879</v>
      </c>
      <c r="F102" s="100" t="s">
        <v>15</v>
      </c>
      <c r="G102" s="106">
        <f>IFERROR(VLOOKUP(A102,'Salary Calculation'!$A$2:$V$999,7,0),"")</f>
        <v>15786.11593</v>
      </c>
      <c r="H102" s="100" t="s">
        <v>1141</v>
      </c>
      <c r="I102" s="101"/>
      <c r="J102" s="101"/>
      <c r="K102" s="101"/>
      <c r="L102" s="101"/>
      <c r="M102" s="101"/>
      <c r="N102" s="101"/>
      <c r="O102" s="101"/>
      <c r="P102" s="101"/>
      <c r="Q102" s="101"/>
      <c r="R102" s="101"/>
      <c r="S102" s="101"/>
      <c r="T102" s="101"/>
      <c r="U102" s="101"/>
      <c r="V102" s="101"/>
      <c r="W102" s="101"/>
      <c r="X102" s="101"/>
      <c r="Y102" s="101"/>
      <c r="Z102" s="101"/>
      <c r="AA102" s="101"/>
      <c r="AB102" s="101"/>
    </row>
    <row r="103">
      <c r="A103" s="104" t="s">
        <v>240</v>
      </c>
      <c r="B103" s="105" t="str">
        <f>IFERROR(VLOOKUP(A103,'Salary Calculation'!A102:F1099,2,0),"")</f>
        <v>December</v>
      </c>
      <c r="C103" s="105" t="str">
        <f>IFERROR(VLOOKUP(A103,'Salary Calculation'!$A$2:$V$999,3,0),"")</f>
        <v>PR 03</v>
      </c>
      <c r="D103" s="105" t="str">
        <f>IFERROR(VLOOKUP(A103,'Salary Calculation'!$A$2:$V$999,6,0),"")</f>
        <v>ADHIKARI BALIA</v>
      </c>
      <c r="E103" s="105" t="str">
        <f>IFERROR(VLOOKUP(A103,'Salary Calculation'!$A$2:$V$999,10,0),"")</f>
        <v>8131010000018948</v>
      </c>
      <c r="F103" s="100" t="s">
        <v>15</v>
      </c>
      <c r="G103" s="106">
        <f>IFERROR(VLOOKUP(A103,'Salary Calculation'!$A$2:$V$999,7,0),"")</f>
        <v>5300.092742</v>
      </c>
      <c r="H103" s="100" t="s">
        <v>1141</v>
      </c>
      <c r="I103" s="101"/>
      <c r="J103" s="101"/>
      <c r="K103" s="101"/>
      <c r="L103" s="101"/>
      <c r="M103" s="101"/>
      <c r="N103" s="101"/>
      <c r="O103" s="101"/>
      <c r="P103" s="101"/>
      <c r="Q103" s="101"/>
      <c r="R103" s="101"/>
      <c r="S103" s="101"/>
      <c r="T103" s="101"/>
      <c r="U103" s="101"/>
      <c r="V103" s="101"/>
      <c r="W103" s="101"/>
      <c r="X103" s="101"/>
      <c r="Y103" s="101"/>
      <c r="Z103" s="101"/>
      <c r="AA103" s="101"/>
      <c r="AB103" s="101"/>
    </row>
    <row r="104">
      <c r="A104" s="104" t="s">
        <v>241</v>
      </c>
      <c r="B104" s="105" t="str">
        <f>IFERROR(VLOOKUP(A104,'Salary Calculation'!A103:F1100,2,0),"")</f>
        <v>December</v>
      </c>
      <c r="C104" s="105" t="str">
        <f>IFERROR(VLOOKUP(A104,'Salary Calculation'!$A$2:$V$999,3,0),"")</f>
        <v>PR 04</v>
      </c>
      <c r="D104" s="105" t="str">
        <f>IFERROR(VLOOKUP(A104,'Salary Calculation'!$A$2:$V$999,6,0),"")</f>
        <v>RUPESH</v>
      </c>
      <c r="E104" s="105" t="str">
        <f>IFERROR(VLOOKUP(A104,'Salary Calculation'!$A$2:$V$999,10,0),"")</f>
        <v>8131010000020156</v>
      </c>
      <c r="F104" s="100" t="s">
        <v>15</v>
      </c>
      <c r="G104" s="106">
        <f>IFERROR(VLOOKUP(A104,'Salary Calculation'!$A$2:$V$999,7,0),"")</f>
        <v>12380.6371</v>
      </c>
      <c r="H104" s="100" t="s">
        <v>1142</v>
      </c>
      <c r="I104" s="101"/>
      <c r="J104" s="101"/>
      <c r="K104" s="101"/>
      <c r="L104" s="101"/>
      <c r="M104" s="101"/>
      <c r="N104" s="101"/>
      <c r="O104" s="101"/>
      <c r="P104" s="101"/>
      <c r="Q104" s="101"/>
      <c r="R104" s="101"/>
      <c r="S104" s="101"/>
      <c r="T104" s="101"/>
      <c r="U104" s="101"/>
      <c r="V104" s="101"/>
      <c r="W104" s="101"/>
      <c r="X104" s="101"/>
      <c r="Y104" s="101"/>
      <c r="Z104" s="101"/>
      <c r="AA104" s="101"/>
      <c r="AB104" s="101"/>
    </row>
    <row r="105">
      <c r="A105" s="104" t="s">
        <v>242</v>
      </c>
      <c r="B105" s="105" t="str">
        <f>IFERROR(VLOOKUP(A105,'Salary Calculation'!A104:F1101,2,0),"")</f>
        <v>December</v>
      </c>
      <c r="C105" s="105" t="str">
        <f>IFERROR(VLOOKUP(A105,'Salary Calculation'!$A$2:$V$999,3,0),"")</f>
        <v>PR 05</v>
      </c>
      <c r="D105" s="105" t="str">
        <f>IFERROR(VLOOKUP(A105,'Salary Calculation'!$A$2:$V$999,6,0),"")</f>
        <v>SANJAI BHAGAT</v>
      </c>
      <c r="E105" s="105" t="str">
        <f>IFERROR(VLOOKUP(A105,'Salary Calculation'!$A$2:$V$999,10,0),"")</f>
        <v>8131010000021225</v>
      </c>
      <c r="F105" s="100" t="s">
        <v>15</v>
      </c>
      <c r="G105" s="106">
        <f>IFERROR(VLOOKUP(A105,'Salary Calculation'!$A$2:$V$999,7,0),"")</f>
        <v>6452.673387</v>
      </c>
      <c r="H105" s="100" t="s">
        <v>1141</v>
      </c>
      <c r="I105" s="101"/>
      <c r="J105" s="101"/>
      <c r="K105" s="101"/>
      <c r="L105" s="101"/>
      <c r="M105" s="101"/>
      <c r="N105" s="101"/>
      <c r="O105" s="101"/>
      <c r="P105" s="101"/>
      <c r="Q105" s="101"/>
      <c r="R105" s="101"/>
      <c r="S105" s="101"/>
      <c r="T105" s="101"/>
      <c r="U105" s="101"/>
      <c r="V105" s="101"/>
      <c r="W105" s="101"/>
      <c r="X105" s="101"/>
      <c r="Y105" s="101"/>
      <c r="Z105" s="101"/>
      <c r="AA105" s="101"/>
      <c r="AB105" s="101"/>
    </row>
    <row r="106">
      <c r="A106" s="104" t="s">
        <v>243</v>
      </c>
      <c r="B106" s="105" t="str">
        <f>IFERROR(VLOOKUP(A106,'Salary Calculation'!A105:F1102,2,0),"")</f>
        <v>December</v>
      </c>
      <c r="C106" s="105" t="str">
        <f>IFERROR(VLOOKUP(A106,'Salary Calculation'!$A$2:$V$999,3,0),"")</f>
        <v>DR 01</v>
      </c>
      <c r="D106" s="105" t="str">
        <f>IFERROR(VLOOKUP(A106,'Salary Calculation'!$A$2:$V$999,6,0),"")</f>
        <v>Mathi</v>
      </c>
      <c r="E106" s="105" t="str">
        <f>IFERROR(VLOOKUP(A106,'Salary Calculation'!$A$2:$V$999,10,0),"")</f>
        <v>8131010000016986</v>
      </c>
      <c r="F106" s="100" t="s">
        <v>15</v>
      </c>
      <c r="G106" s="106">
        <f>IFERROR(VLOOKUP(A106,'Salary Calculation'!$A$2:$V$999,7,0),"")</f>
        <v>17518.5</v>
      </c>
      <c r="H106" s="100" t="s">
        <v>1141</v>
      </c>
      <c r="I106" s="101"/>
      <c r="J106" s="101"/>
      <c r="K106" s="101"/>
      <c r="L106" s="101"/>
      <c r="M106" s="101"/>
      <c r="N106" s="101"/>
      <c r="O106" s="101"/>
      <c r="P106" s="101"/>
      <c r="Q106" s="101"/>
      <c r="R106" s="101"/>
      <c r="S106" s="101"/>
      <c r="T106" s="101"/>
      <c r="U106" s="101"/>
      <c r="V106" s="101"/>
      <c r="W106" s="101"/>
      <c r="X106" s="101"/>
      <c r="Y106" s="101"/>
      <c r="Z106" s="101"/>
      <c r="AA106" s="101"/>
      <c r="AB106" s="101"/>
    </row>
    <row r="107">
      <c r="A107" s="104" t="s">
        <v>244</v>
      </c>
      <c r="B107" s="105" t="str">
        <f>IFERROR(VLOOKUP(A107,'Salary Calculation'!A106:F1103,2,0),"")</f>
        <v>December</v>
      </c>
      <c r="C107" s="105" t="str">
        <f>IFERROR(VLOOKUP(A107,'Salary Calculation'!$A$2:$V$999,3,0),"")</f>
        <v>PR 07</v>
      </c>
      <c r="D107" s="105" t="str">
        <f>IFERROR(VLOOKUP(A107,'Salary Calculation'!$A$2:$V$999,6,0),"")</f>
        <v>AMMU</v>
      </c>
      <c r="E107" s="105">
        <f>IFERROR(VLOOKUP(A107,'Salary Calculation'!$A$2:$V$999,10,0),"")</f>
        <v>65801000040238</v>
      </c>
      <c r="F107" s="100" t="s">
        <v>1143</v>
      </c>
      <c r="G107" s="106">
        <f>IFERROR(VLOOKUP(A107,'Salary Calculation'!$A$2:$V$999,7,0),"")</f>
        <v>10892.2873</v>
      </c>
      <c r="H107" s="100" t="s">
        <v>1141</v>
      </c>
      <c r="I107" s="101"/>
      <c r="J107" s="101"/>
      <c r="K107" s="101"/>
      <c r="L107" s="101"/>
      <c r="M107" s="101"/>
      <c r="N107" s="101"/>
      <c r="O107" s="101"/>
      <c r="P107" s="101"/>
      <c r="Q107" s="101"/>
      <c r="R107" s="101"/>
      <c r="S107" s="101"/>
      <c r="T107" s="101"/>
      <c r="U107" s="101"/>
      <c r="V107" s="101"/>
      <c r="W107" s="101"/>
      <c r="X107" s="101"/>
      <c r="Y107" s="101"/>
      <c r="Z107" s="101"/>
      <c r="AA107" s="101"/>
      <c r="AB107" s="101"/>
    </row>
    <row r="108">
      <c r="A108" s="104" t="s">
        <v>245</v>
      </c>
      <c r="B108" s="105" t="str">
        <f>IFERROR(VLOOKUP(A108,'Salary Calculation'!A107:F1104,2,0),"")</f>
        <v>December</v>
      </c>
      <c r="C108" s="105" t="str">
        <f>IFERROR(VLOOKUP(A108,'Salary Calculation'!$A$2:$V$999,3,0),"")</f>
        <v>PR 08</v>
      </c>
      <c r="D108" s="105" t="str">
        <f>IFERROR(VLOOKUP(A108,'Salary Calculation'!$A$2:$V$999,6,0),"")</f>
        <v>REVATHI S</v>
      </c>
      <c r="E108" s="105" t="str">
        <f>IFERROR(VLOOKUP(A108,'Salary Calculation'!$A$2:$V$999,10,0),"")</f>
        <v>8131010000016995</v>
      </c>
      <c r="F108" s="100" t="s">
        <v>15</v>
      </c>
      <c r="G108" s="106">
        <f>IFERROR(VLOOKUP(A108,'Salary Calculation'!$A$2:$V$999,7,0),"")</f>
        <v>8653.011089</v>
      </c>
      <c r="H108" s="100" t="s">
        <v>1141</v>
      </c>
      <c r="I108" s="101"/>
      <c r="J108" s="101"/>
      <c r="K108" s="101"/>
      <c r="L108" s="101"/>
      <c r="M108" s="101"/>
      <c r="N108" s="101"/>
      <c r="O108" s="101"/>
      <c r="P108" s="101"/>
      <c r="Q108" s="101"/>
      <c r="R108" s="101"/>
      <c r="S108" s="101"/>
      <c r="T108" s="101"/>
      <c r="U108" s="101"/>
      <c r="V108" s="101"/>
      <c r="W108" s="101"/>
      <c r="X108" s="101"/>
      <c r="Y108" s="101"/>
      <c r="Z108" s="101"/>
      <c r="AA108" s="101"/>
      <c r="AB108" s="101"/>
    </row>
    <row r="109">
      <c r="A109" s="104" t="s">
        <v>246</v>
      </c>
      <c r="B109" s="105" t="str">
        <f>IFERROR(VLOOKUP(A109,'Salary Calculation'!A108:F1105,2,0),"")</f>
        <v>December</v>
      </c>
      <c r="C109" s="105" t="str">
        <f>IFERROR(VLOOKUP(A109,'Salary Calculation'!$A$2:$V$999,3,0),"")</f>
        <v>AC 03</v>
      </c>
      <c r="D109" s="105" t="str">
        <f>IFERROR(VLOOKUP(A109,'Salary Calculation'!$A$2:$V$999,6,0),"")</f>
        <v>LEELA</v>
      </c>
      <c r="E109" s="105" t="str">
        <f>IFERROR(VLOOKUP(A109,'Salary Calculation'!$A$2:$V$999,10,0),"")</f>
        <v>8387010000017745</v>
      </c>
      <c r="F109" s="100" t="s">
        <v>15</v>
      </c>
      <c r="G109" s="106">
        <f>IFERROR(VLOOKUP(A109,'Salary Calculation'!$A$2:$V$999,7,0),"")</f>
        <v>11932.91532</v>
      </c>
      <c r="H109" s="100" t="s">
        <v>1141</v>
      </c>
      <c r="I109" s="101"/>
      <c r="J109" s="101"/>
      <c r="K109" s="101"/>
      <c r="L109" s="101"/>
      <c r="M109" s="101"/>
      <c r="N109" s="101"/>
      <c r="O109" s="101"/>
      <c r="P109" s="101"/>
      <c r="Q109" s="101"/>
      <c r="R109" s="101"/>
      <c r="S109" s="101"/>
      <c r="T109" s="101"/>
      <c r="U109" s="101"/>
      <c r="V109" s="101"/>
      <c r="W109" s="101"/>
      <c r="X109" s="101"/>
      <c r="Y109" s="101"/>
      <c r="Z109" s="101"/>
      <c r="AA109" s="101"/>
      <c r="AB109" s="101"/>
    </row>
    <row r="110">
      <c r="A110" s="104" t="s">
        <v>247</v>
      </c>
      <c r="B110" s="105" t="str">
        <f>IFERROR(VLOOKUP(A110,'Salary Calculation'!A109:F1106,2,0),"")</f>
        <v>December</v>
      </c>
      <c r="C110" s="105" t="str">
        <f>IFERROR(VLOOKUP(A110,'Salary Calculation'!$A$2:$V$999,3,0),"")</f>
        <v>PR 12</v>
      </c>
      <c r="D110" s="105" t="str">
        <f>IFERROR(VLOOKUP(A110,'Salary Calculation'!$A$2:$V$999,6,0),"")</f>
        <v>PINU BAGH</v>
      </c>
      <c r="E110" s="105" t="str">
        <f>IFERROR(VLOOKUP(A110,'Salary Calculation'!$A$2:$V$999,10,0),"")</f>
        <v>8131010000018814</v>
      </c>
      <c r="F110" s="100" t="s">
        <v>15</v>
      </c>
      <c r="G110" s="106">
        <f>IFERROR(VLOOKUP(A110,'Salary Calculation'!$A$2:$V$999,7,0),"")</f>
        <v>3857.86996</v>
      </c>
      <c r="H110" s="100" t="s">
        <v>1141</v>
      </c>
      <c r="I110" s="101"/>
      <c r="J110" s="101"/>
      <c r="K110" s="101"/>
      <c r="L110" s="101"/>
      <c r="M110" s="101"/>
      <c r="N110" s="101"/>
      <c r="O110" s="101"/>
      <c r="P110" s="101"/>
      <c r="Q110" s="101"/>
      <c r="R110" s="101"/>
      <c r="S110" s="101"/>
      <c r="T110" s="101"/>
      <c r="U110" s="101"/>
      <c r="V110" s="101"/>
      <c r="W110" s="101"/>
      <c r="X110" s="101"/>
      <c r="Y110" s="101"/>
      <c r="Z110" s="101"/>
      <c r="AA110" s="101"/>
      <c r="AB110" s="101"/>
    </row>
    <row r="111">
      <c r="A111" s="104" t="s">
        <v>248</v>
      </c>
      <c r="B111" s="105" t="str">
        <f>IFERROR(VLOOKUP(A111,'Salary Calculation'!A110:F1107,2,0),"")</f>
        <v>December</v>
      </c>
      <c r="C111" s="105" t="str">
        <f>IFERROR(VLOOKUP(A111,'Salary Calculation'!$A$2:$V$999,3,0),"")</f>
        <v>PR 19</v>
      </c>
      <c r="D111" s="105" t="str">
        <f>IFERROR(VLOOKUP(A111,'Salary Calculation'!$A$2:$V$999,6,0),"")</f>
        <v>SIDHESHWAR</v>
      </c>
      <c r="E111" s="105" t="str">
        <f>IFERROR(VLOOKUP(A111,'Salary Calculation'!$A$2:$V$999,10,0),"")</f>
        <v>8131010000018939</v>
      </c>
      <c r="F111" s="100" t="s">
        <v>1143</v>
      </c>
      <c r="G111" s="106">
        <f>IFERROR(VLOOKUP(A111,'Salary Calculation'!$A$2:$V$999,7,0),"")</f>
        <v>2539.694556</v>
      </c>
      <c r="H111" s="100" t="s">
        <v>1141</v>
      </c>
      <c r="I111" s="101"/>
      <c r="J111" s="101"/>
      <c r="K111" s="101"/>
      <c r="L111" s="101"/>
      <c r="M111" s="101"/>
      <c r="N111" s="101"/>
      <c r="O111" s="101"/>
      <c r="P111" s="101"/>
      <c r="Q111" s="101"/>
      <c r="R111" s="101"/>
      <c r="S111" s="101"/>
      <c r="T111" s="101"/>
      <c r="U111" s="101"/>
      <c r="V111" s="101"/>
      <c r="W111" s="101"/>
      <c r="X111" s="101"/>
      <c r="Y111" s="101"/>
      <c r="Z111" s="101"/>
      <c r="AA111" s="101"/>
      <c r="AB111" s="101"/>
    </row>
    <row r="112">
      <c r="A112" s="104" t="s">
        <v>249</v>
      </c>
      <c r="B112" s="105" t="str">
        <f>IFERROR(VLOOKUP(A112,'Salary Calculation'!A111:F1108,2,0),"")</f>
        <v>December</v>
      </c>
      <c r="C112" s="105" t="str">
        <f>IFERROR(VLOOKUP(A112,'Salary Calculation'!$A$2:$V$999,3,0),"")</f>
        <v>PR 27</v>
      </c>
      <c r="D112" s="105" t="str">
        <f>IFERROR(VLOOKUP(A112,'Salary Calculation'!$A$2:$V$999,6,0),"")</f>
        <v>PARSHU BAGH</v>
      </c>
      <c r="E112" s="105">
        <f>IFERROR(VLOOKUP(A112,'Salary Calculation'!$A$2:$V$999,10,0),"")</f>
        <v>40653547928</v>
      </c>
      <c r="F112" s="100" t="s">
        <v>1143</v>
      </c>
      <c r="G112" s="106">
        <f>IFERROR(VLOOKUP(A112,'Salary Calculation'!$A$2:$V$999,7,0),"")</f>
        <v>13608.41129</v>
      </c>
      <c r="H112" s="100" t="s">
        <v>1141</v>
      </c>
      <c r="I112" s="101"/>
      <c r="J112" s="101"/>
      <c r="K112" s="101"/>
      <c r="L112" s="101"/>
      <c r="M112" s="101"/>
      <c r="N112" s="101"/>
      <c r="O112" s="101"/>
      <c r="P112" s="101"/>
      <c r="Q112" s="101"/>
      <c r="R112" s="101"/>
      <c r="S112" s="101"/>
      <c r="T112" s="101"/>
      <c r="U112" s="101"/>
      <c r="V112" s="101"/>
      <c r="W112" s="101"/>
      <c r="X112" s="101"/>
      <c r="Y112" s="101"/>
      <c r="Z112" s="101"/>
      <c r="AA112" s="101"/>
      <c r="AB112" s="101"/>
    </row>
    <row r="113">
      <c r="A113" s="104" t="s">
        <v>250</v>
      </c>
      <c r="B113" s="105" t="str">
        <f>IFERROR(VLOOKUP(A113,'Salary Calculation'!A112:F1109,2,0),"")</f>
        <v>January</v>
      </c>
      <c r="C113" s="105" t="str">
        <f>IFERROR(VLOOKUP(A113,'Salary Calculation'!$A$2:$V$999,3,0),"")</f>
        <v>AC 01</v>
      </c>
      <c r="D113" s="105" t="str">
        <f>IFERROR(VLOOKUP(A113,'Salary Calculation'!$A$2:$V$999,6,0),"")</f>
        <v>BHUVANESWARAN</v>
      </c>
      <c r="E113" s="105">
        <f>IFERROR(VLOOKUP(A113,'Salary Calculation'!$A$2:$V$999,10,0),"")</f>
        <v>500101011548924</v>
      </c>
      <c r="F113" s="100" t="s">
        <v>11</v>
      </c>
      <c r="G113" s="106">
        <f>IFERROR(VLOOKUP(A113,'Salary Calculation'!$A$2:$V$999,7,0),"")</f>
        <v>60900</v>
      </c>
      <c r="H113" s="111" t="s">
        <v>1141</v>
      </c>
      <c r="I113" s="101"/>
      <c r="J113" s="101"/>
      <c r="K113" s="101"/>
      <c r="L113" s="101"/>
      <c r="M113" s="101"/>
      <c r="N113" s="101"/>
      <c r="O113" s="101"/>
      <c r="P113" s="101"/>
      <c r="Q113" s="101"/>
      <c r="R113" s="101"/>
      <c r="S113" s="101"/>
      <c r="T113" s="101"/>
      <c r="U113" s="101"/>
      <c r="V113" s="101"/>
      <c r="W113" s="101"/>
      <c r="X113" s="101"/>
      <c r="Y113" s="101"/>
      <c r="Z113" s="101"/>
      <c r="AA113" s="101"/>
      <c r="AB113" s="101"/>
    </row>
    <row r="114">
      <c r="A114" s="104" t="s">
        <v>251</v>
      </c>
      <c r="B114" s="105" t="str">
        <f>IFERROR(VLOOKUP(A114,'Salary Calculation'!A113:F1110,2,0),"")</f>
        <v>January</v>
      </c>
      <c r="C114" s="105" t="str">
        <f>IFERROR(VLOOKUP(A114,'Salary Calculation'!$A$2:$V$999,3,0),"")</f>
        <v>AC 02</v>
      </c>
      <c r="D114" s="105" t="str">
        <f>IFERROR(VLOOKUP(A114,'Salary Calculation'!$A$2:$V$999,6,0),"")</f>
        <v>SUNDARI</v>
      </c>
      <c r="E114" s="105" t="str">
        <f>IFERROR(VLOOKUP(A114,'Salary Calculation'!$A$2:$V$999,10,0),"")</f>
        <v>8131010000016977</v>
      </c>
      <c r="F114" s="100" t="s">
        <v>15</v>
      </c>
      <c r="G114" s="106">
        <f>IFERROR(VLOOKUP(A114,'Salary Calculation'!$A$2:$V$999,7,0),"")</f>
        <v>19380.16331</v>
      </c>
      <c r="H114" s="111" t="s">
        <v>1141</v>
      </c>
      <c r="I114" s="101"/>
      <c r="J114" s="101"/>
      <c r="K114" s="101"/>
      <c r="L114" s="101"/>
      <c r="M114" s="101"/>
      <c r="N114" s="101"/>
      <c r="O114" s="101"/>
      <c r="P114" s="101"/>
      <c r="Q114" s="101"/>
      <c r="R114" s="101"/>
      <c r="S114" s="101"/>
      <c r="T114" s="101"/>
      <c r="U114" s="101"/>
      <c r="V114" s="101"/>
      <c r="W114" s="101"/>
      <c r="X114" s="101"/>
      <c r="Y114" s="101"/>
      <c r="Z114" s="101"/>
      <c r="AA114" s="101"/>
      <c r="AB114" s="101"/>
    </row>
    <row r="115">
      <c r="A115" s="104" t="s">
        <v>252</v>
      </c>
      <c r="B115" s="105" t="str">
        <f>IFERROR(VLOOKUP(A115,'Salary Calculation'!A114:F1111,2,0),"")</f>
        <v>January</v>
      </c>
      <c r="C115" s="105" t="str">
        <f>IFERROR(VLOOKUP(A115,'Salary Calculation'!$A$2:$V$999,3,0),"")</f>
        <v>PR 02</v>
      </c>
      <c r="D115" s="105" t="str">
        <f>IFERROR(VLOOKUP(A115,'Salary Calculation'!$A$2:$V$999,6,0),"")</f>
        <v>GANESH</v>
      </c>
      <c r="E115" s="105" t="str">
        <f>IFERROR(VLOOKUP(A115,'Salary Calculation'!$A$2:$V$999,10,0),"")</f>
        <v>8811010012054879</v>
      </c>
      <c r="F115" s="100" t="s">
        <v>15</v>
      </c>
      <c r="G115" s="106">
        <f>IFERROR(VLOOKUP(A115,'Salary Calculation'!$A$2:$V$999,7,0),"")</f>
        <v>18782.12147</v>
      </c>
      <c r="H115" s="111" t="s">
        <v>1141</v>
      </c>
      <c r="I115" s="101"/>
      <c r="J115" s="101"/>
      <c r="K115" s="101"/>
      <c r="L115" s="101"/>
      <c r="M115" s="101"/>
      <c r="N115" s="101"/>
      <c r="O115" s="101"/>
      <c r="P115" s="101"/>
      <c r="Q115" s="101"/>
      <c r="R115" s="101"/>
      <c r="S115" s="101"/>
      <c r="T115" s="101"/>
      <c r="U115" s="101"/>
      <c r="V115" s="101"/>
      <c r="W115" s="101"/>
      <c r="X115" s="101"/>
      <c r="Y115" s="101"/>
      <c r="Z115" s="101"/>
      <c r="AA115" s="101"/>
      <c r="AB115" s="101"/>
    </row>
    <row r="116">
      <c r="A116" s="107" t="s">
        <v>253</v>
      </c>
      <c r="B116" s="108" t="str">
        <f>IFERROR(VLOOKUP(A116,'Salary Calculation'!A115:F1112,2,0),"")</f>
        <v>January</v>
      </c>
      <c r="C116" s="108" t="str">
        <f>IFERROR(VLOOKUP(A116,'Salary Calculation'!$A$2:$V$999,3,0),"")</f>
        <v>DR 01</v>
      </c>
      <c r="D116" s="108" t="str">
        <f>IFERROR(VLOOKUP(A116,'Salary Calculation'!$A$2:$V$999,6,0),"")</f>
        <v>Mathi</v>
      </c>
      <c r="E116" s="108" t="str">
        <f>IFERROR(VLOOKUP(A116,'Salary Calculation'!$A$2:$V$999,10,0),"")</f>
        <v>8131010000016986</v>
      </c>
      <c r="F116" s="111" t="s">
        <v>15</v>
      </c>
      <c r="G116" s="110">
        <f>IFERROR(VLOOKUP(A116,'Salary Calculation'!$A$2:$V$999,7,0),"")</f>
        <v>10934.42742</v>
      </c>
      <c r="H116" s="111" t="s">
        <v>1141</v>
      </c>
      <c r="I116" s="109"/>
      <c r="J116" s="101"/>
      <c r="K116" s="101"/>
      <c r="L116" s="101"/>
      <c r="M116" s="101"/>
      <c r="N116" s="101"/>
      <c r="O116" s="101"/>
      <c r="P116" s="101"/>
      <c r="Q116" s="101"/>
      <c r="R116" s="101"/>
      <c r="S116" s="101"/>
      <c r="T116" s="101"/>
      <c r="U116" s="101"/>
      <c r="V116" s="101"/>
      <c r="W116" s="101"/>
      <c r="X116" s="101"/>
      <c r="Y116" s="101"/>
      <c r="Z116" s="101"/>
      <c r="AA116" s="101"/>
      <c r="AB116" s="101"/>
    </row>
    <row r="117">
      <c r="A117" s="107" t="s">
        <v>254</v>
      </c>
      <c r="B117" s="108" t="str">
        <f>IFERROR(VLOOKUP(A117,'Salary Calculation'!A116:F1113,2,0),"")</f>
        <v>January</v>
      </c>
      <c r="C117" s="108" t="str">
        <f>IFERROR(VLOOKUP(A117,'Salary Calculation'!$A$2:$V$999,3,0),"")</f>
        <v>PR 07</v>
      </c>
      <c r="D117" s="108" t="str">
        <f>IFERROR(VLOOKUP(A117,'Salary Calculation'!$A$2:$V$999,6,0),"")</f>
        <v>AMMU</v>
      </c>
      <c r="E117" s="108">
        <f>IFERROR(VLOOKUP(A117,'Salary Calculation'!$A$2:$V$999,10,0),"")</f>
        <v>65801000040238</v>
      </c>
      <c r="F117" s="111" t="s">
        <v>39</v>
      </c>
      <c r="G117" s="110">
        <f>IFERROR(VLOOKUP(A117,'Salary Calculation'!$A$2:$V$999,7,0),"")</f>
        <v>10749.81552</v>
      </c>
      <c r="H117" s="111" t="s">
        <v>1141</v>
      </c>
      <c r="I117" s="101"/>
      <c r="J117" s="101"/>
      <c r="K117" s="101"/>
      <c r="L117" s="101"/>
      <c r="M117" s="101"/>
      <c r="N117" s="101"/>
      <c r="O117" s="101"/>
      <c r="P117" s="101"/>
      <c r="Q117" s="101"/>
      <c r="R117" s="101"/>
      <c r="S117" s="101"/>
      <c r="T117" s="101"/>
      <c r="U117" s="101"/>
      <c r="V117" s="101"/>
      <c r="W117" s="101"/>
      <c r="X117" s="101"/>
      <c r="Y117" s="101"/>
      <c r="Z117" s="101"/>
      <c r="AA117" s="101"/>
      <c r="AB117" s="101"/>
    </row>
    <row r="118">
      <c r="A118" s="107" t="s">
        <v>255</v>
      </c>
      <c r="B118" s="108" t="str">
        <f>IFERROR(VLOOKUP(A118,'Salary Calculation'!A117:F1114,2,0),"")</f>
        <v>January</v>
      </c>
      <c r="C118" s="108" t="str">
        <f>IFERROR(VLOOKUP(A118,'Salary Calculation'!$A$2:$V$999,3,0),"")</f>
        <v>PR 08</v>
      </c>
      <c r="D118" s="108" t="str">
        <f>IFERROR(VLOOKUP(A118,'Salary Calculation'!$A$2:$V$999,6,0),"")</f>
        <v>REVATHI S</v>
      </c>
      <c r="E118" s="108" t="str">
        <f>IFERROR(VLOOKUP(A118,'Salary Calculation'!$A$2:$V$999,10,0),"")</f>
        <v>8131010000016995</v>
      </c>
      <c r="F118" s="111" t="s">
        <v>15</v>
      </c>
      <c r="G118" s="110">
        <f>IFERROR(VLOOKUP(A118,'Salary Calculation'!$A$2:$V$999,7,0),"")</f>
        <v>7559.719758</v>
      </c>
      <c r="H118" s="111" t="s">
        <v>1141</v>
      </c>
      <c r="I118" s="101"/>
      <c r="J118" s="101"/>
      <c r="K118" s="101"/>
      <c r="L118" s="101"/>
      <c r="M118" s="101"/>
      <c r="N118" s="101"/>
      <c r="O118" s="101"/>
      <c r="P118" s="101"/>
      <c r="Q118" s="101"/>
      <c r="R118" s="101"/>
      <c r="S118" s="101"/>
      <c r="T118" s="101"/>
      <c r="U118" s="101"/>
      <c r="V118" s="101"/>
      <c r="W118" s="101"/>
      <c r="X118" s="101"/>
      <c r="Y118" s="101"/>
      <c r="Z118" s="101"/>
      <c r="AA118" s="101"/>
      <c r="AB118" s="101"/>
    </row>
    <row r="119">
      <c r="A119" s="104" t="s">
        <v>256</v>
      </c>
      <c r="B119" s="105" t="str">
        <f>IFERROR(VLOOKUP(A119,'Salary Calculation'!A118:F1115,2,0),"")</f>
        <v>January</v>
      </c>
      <c r="C119" s="105" t="str">
        <f>IFERROR(VLOOKUP(A119,'Salary Calculation'!$A$2:$V$999,3,0),"")</f>
        <v>AC 03</v>
      </c>
      <c r="D119" s="105" t="str">
        <f>IFERROR(VLOOKUP(A119,'Salary Calculation'!$A$2:$V$999,6,0),"")</f>
        <v>LEELA</v>
      </c>
      <c r="E119" s="105" t="str">
        <f>IFERROR(VLOOKUP(A119,'Salary Calculation'!$A$2:$V$999,10,0),"")</f>
        <v>8387010000017745</v>
      </c>
      <c r="F119" s="100" t="s">
        <v>15</v>
      </c>
      <c r="G119" s="106">
        <f>IFERROR(VLOOKUP(A119,'Salary Calculation'!$A$2:$V$999,7,0),"")</f>
        <v>13951.82863</v>
      </c>
      <c r="H119" s="111" t="s">
        <v>1141</v>
      </c>
      <c r="I119" s="101"/>
      <c r="J119" s="101"/>
      <c r="K119" s="101"/>
      <c r="L119" s="101"/>
      <c r="M119" s="101"/>
      <c r="N119" s="101"/>
      <c r="O119" s="101"/>
      <c r="P119" s="101"/>
      <c r="Q119" s="101"/>
      <c r="R119" s="101"/>
      <c r="S119" s="101"/>
      <c r="T119" s="101"/>
      <c r="U119" s="101"/>
      <c r="V119" s="101"/>
      <c r="W119" s="101"/>
      <c r="X119" s="101"/>
      <c r="Y119" s="101"/>
      <c r="Z119" s="101"/>
      <c r="AA119" s="101"/>
      <c r="AB119" s="101"/>
    </row>
    <row r="120">
      <c r="A120" s="104" t="s">
        <v>257</v>
      </c>
      <c r="B120" s="105" t="str">
        <f>IFERROR(VLOOKUP(A120,'Salary Calculation'!A119:F1116,2,0),"")</f>
        <v>January</v>
      </c>
      <c r="C120" s="105" t="str">
        <f>IFERROR(VLOOKUP(A120,'Salary Calculation'!$A$2:$V$999,3,0),"")</f>
        <v>PR 27</v>
      </c>
      <c r="D120" s="105" t="str">
        <f>IFERROR(VLOOKUP(A120,'Salary Calculation'!$A$2:$V$999,6,0),"")</f>
        <v>PARSHU BAGH</v>
      </c>
      <c r="E120" s="105">
        <f>IFERROR(VLOOKUP(A120,'Salary Calculation'!$A$2:$V$999,10,0),"")</f>
        <v>40653547928</v>
      </c>
      <c r="F120" s="100" t="s">
        <v>1143</v>
      </c>
      <c r="G120" s="106">
        <f>IFERROR(VLOOKUP(A120,'Salary Calculation'!$A$2:$V$999,7,0),"")</f>
        <v>19862.80645</v>
      </c>
      <c r="H120" s="111" t="s">
        <v>1141</v>
      </c>
      <c r="I120" s="101"/>
      <c r="J120" s="101"/>
      <c r="K120" s="101"/>
      <c r="L120" s="101"/>
      <c r="M120" s="101"/>
      <c r="N120" s="101"/>
      <c r="O120" s="101"/>
      <c r="P120" s="101"/>
      <c r="Q120" s="101"/>
      <c r="R120" s="101"/>
      <c r="S120" s="101"/>
      <c r="T120" s="101"/>
      <c r="U120" s="101"/>
      <c r="V120" s="101"/>
      <c r="W120" s="101"/>
      <c r="X120" s="101"/>
      <c r="Y120" s="101"/>
      <c r="Z120" s="101"/>
      <c r="AA120" s="101"/>
      <c r="AB120" s="101"/>
    </row>
    <row r="121">
      <c r="A121" s="107" t="s">
        <v>258</v>
      </c>
      <c r="B121" s="108" t="str">
        <f>IFERROR(VLOOKUP(A121,'Salary Calculation'!A120:F1117,2,0),"")</f>
        <v>January</v>
      </c>
      <c r="C121" s="108" t="str">
        <f>IFERROR(VLOOKUP(A121,'Salary Calculation'!$A$2:$V$999,3,0),"")</f>
        <v>PR 12</v>
      </c>
      <c r="D121" s="108" t="str">
        <f>IFERROR(VLOOKUP(A121,'Salary Calculation'!$A$2:$V$999,6,0),"")</f>
        <v>PINU BAGH</v>
      </c>
      <c r="E121" s="108" t="str">
        <f>IFERROR(VLOOKUP(A121,'Salary Calculation'!$A$2:$V$999,10,0),"")</f>
        <v>8131010000018814</v>
      </c>
      <c r="F121" s="111" t="s">
        <v>15</v>
      </c>
      <c r="G121" s="110">
        <f>IFERROR(VLOOKUP(A121,'Salary Calculation'!$A$2:$V$999,7,0),"")</f>
        <v>7496.191532</v>
      </c>
      <c r="H121" s="111" t="s">
        <v>1141</v>
      </c>
      <c r="I121" s="101"/>
      <c r="J121" s="101"/>
      <c r="K121" s="101"/>
      <c r="L121" s="101"/>
      <c r="M121" s="101"/>
      <c r="N121" s="101"/>
      <c r="O121" s="101"/>
      <c r="P121" s="101"/>
      <c r="Q121" s="101"/>
      <c r="R121" s="101"/>
      <c r="S121" s="101"/>
      <c r="T121" s="101"/>
      <c r="U121" s="101"/>
      <c r="V121" s="101"/>
      <c r="W121" s="101"/>
      <c r="X121" s="101"/>
      <c r="Y121" s="101"/>
      <c r="Z121" s="101"/>
      <c r="AA121" s="101"/>
      <c r="AB121" s="101"/>
    </row>
    <row r="122">
      <c r="A122" s="104" t="s">
        <v>259</v>
      </c>
      <c r="B122" s="105" t="str">
        <f>IFERROR(VLOOKUP(A122,'Salary Calculation'!A121:F1118,2,0),"")</f>
        <v>February</v>
      </c>
      <c r="C122" s="105" t="str">
        <f>IFERROR(VLOOKUP(A122,'Salary Calculation'!$A$2:$V$999,3,0),"")</f>
        <v>AC 01</v>
      </c>
      <c r="D122" s="105" t="str">
        <f>IFERROR(VLOOKUP(A122,'Salary Calculation'!$A$2:$V$999,6,0),"")</f>
        <v>BHUVANESWARAN</v>
      </c>
      <c r="E122" s="105">
        <f>IFERROR(VLOOKUP(A122,'Salary Calculation'!$A$2:$V$999,10,0),"")</f>
        <v>500101011548924</v>
      </c>
      <c r="F122" s="100" t="s">
        <v>11</v>
      </c>
      <c r="G122" s="106">
        <f>IFERROR(VLOOKUP(A122,'Salary Calculation'!$A$2:$V$999,7,0),"")</f>
        <v>60900</v>
      </c>
      <c r="H122" s="100" t="s">
        <v>1141</v>
      </c>
      <c r="I122" s="101"/>
      <c r="J122" s="101"/>
      <c r="K122" s="101"/>
      <c r="L122" s="101"/>
      <c r="M122" s="101"/>
      <c r="N122" s="101"/>
      <c r="O122" s="101"/>
      <c r="P122" s="101"/>
      <c r="Q122" s="101"/>
      <c r="R122" s="101"/>
      <c r="S122" s="101"/>
      <c r="T122" s="101"/>
      <c r="U122" s="101"/>
      <c r="V122" s="101"/>
      <c r="W122" s="101"/>
      <c r="X122" s="101"/>
      <c r="Y122" s="101"/>
      <c r="Z122" s="101"/>
      <c r="AA122" s="101"/>
      <c r="AB122" s="101"/>
    </row>
    <row r="123">
      <c r="A123" s="104" t="s">
        <v>260</v>
      </c>
      <c r="B123" s="105" t="str">
        <f>IFERROR(VLOOKUP(A123,'Salary Calculation'!A122:F1119,2,0),"")</f>
        <v>February</v>
      </c>
      <c r="C123" s="105" t="str">
        <f>IFERROR(VLOOKUP(A123,'Salary Calculation'!$A$2:$V$999,3,0),"")</f>
        <v>AC 02</v>
      </c>
      <c r="D123" s="105" t="str">
        <f>IFERROR(VLOOKUP(A123,'Salary Calculation'!$A$2:$V$999,6,0),"")</f>
        <v>SUNDARI</v>
      </c>
      <c r="E123" s="105" t="str">
        <f>IFERROR(VLOOKUP(A123,'Salary Calculation'!$A$2:$V$999,10,0),"")</f>
        <v>8131010000016977</v>
      </c>
      <c r="F123" s="100" t="s">
        <v>15</v>
      </c>
      <c r="G123" s="106">
        <f>IFERROR(VLOOKUP(A123,'Salary Calculation'!$A$2:$V$999,7,0),"")</f>
        <v>19414.89509</v>
      </c>
      <c r="H123" s="100" t="s">
        <v>1141</v>
      </c>
      <c r="I123" s="101"/>
      <c r="J123" s="101"/>
      <c r="K123" s="101"/>
      <c r="L123" s="101"/>
      <c r="M123" s="101"/>
      <c r="N123" s="101"/>
      <c r="O123" s="101"/>
      <c r="P123" s="101"/>
      <c r="Q123" s="101"/>
      <c r="R123" s="101"/>
      <c r="S123" s="101"/>
      <c r="T123" s="101"/>
      <c r="U123" s="101"/>
      <c r="V123" s="101"/>
      <c r="W123" s="101"/>
      <c r="X123" s="101"/>
      <c r="Y123" s="101"/>
      <c r="Z123" s="101"/>
      <c r="AA123" s="101"/>
      <c r="AB123" s="101"/>
    </row>
    <row r="124">
      <c r="A124" s="104" t="s">
        <v>261</v>
      </c>
      <c r="B124" s="105" t="str">
        <f>IFERROR(VLOOKUP(A124,'Salary Calculation'!A123:F1120,2,0),"")</f>
        <v>February</v>
      </c>
      <c r="C124" s="105" t="str">
        <f>IFERROR(VLOOKUP(A124,'Salary Calculation'!$A$2:$V$999,3,0),"")</f>
        <v>PR 02</v>
      </c>
      <c r="D124" s="105" t="str">
        <f>IFERROR(VLOOKUP(A124,'Salary Calculation'!$A$2:$V$999,6,0),"")</f>
        <v>GANESH</v>
      </c>
      <c r="E124" s="105" t="str">
        <f>IFERROR(VLOOKUP(A124,'Salary Calculation'!$A$2:$V$999,10,0),"")</f>
        <v>8811010012054879</v>
      </c>
      <c r="F124" s="100" t="s">
        <v>15</v>
      </c>
      <c r="G124" s="106">
        <f>IFERROR(VLOOKUP(A124,'Salary Calculation'!$A$2:$V$999,7,0),"")</f>
        <v>16084.61328</v>
      </c>
      <c r="H124" s="100" t="s">
        <v>1141</v>
      </c>
      <c r="I124" s="101"/>
      <c r="J124" s="101"/>
      <c r="K124" s="101"/>
      <c r="L124" s="101"/>
      <c r="M124" s="101"/>
      <c r="N124" s="101"/>
      <c r="O124" s="101"/>
      <c r="P124" s="101"/>
      <c r="Q124" s="101"/>
      <c r="R124" s="101"/>
      <c r="S124" s="101"/>
      <c r="T124" s="101"/>
      <c r="U124" s="101"/>
      <c r="V124" s="101"/>
      <c r="W124" s="101"/>
      <c r="X124" s="101"/>
      <c r="Y124" s="101"/>
      <c r="Z124" s="101"/>
      <c r="AA124" s="101"/>
      <c r="AB124" s="101"/>
    </row>
    <row r="125">
      <c r="A125" s="104" t="s">
        <v>262</v>
      </c>
      <c r="B125" s="105" t="str">
        <f>IFERROR(VLOOKUP(A125,'Salary Calculation'!A124:F1121,2,0),"")</f>
        <v>February</v>
      </c>
      <c r="C125" s="105" t="str">
        <f>IFERROR(VLOOKUP(A125,'Salary Calculation'!$A$2:$V$999,3,0),"")</f>
        <v>DR 01</v>
      </c>
      <c r="D125" s="105" t="str">
        <f>IFERROR(VLOOKUP(A125,'Salary Calculation'!$A$2:$V$999,6,0),"")</f>
        <v>Mathi</v>
      </c>
      <c r="E125" s="105" t="str">
        <f>IFERROR(VLOOKUP(A125,'Salary Calculation'!$A$2:$V$999,10,0),"")</f>
        <v>8131010000016986</v>
      </c>
      <c r="F125" s="100" t="s">
        <v>15</v>
      </c>
      <c r="G125" s="106">
        <f>IFERROR(VLOOKUP(A125,'Salary Calculation'!$A$2:$V$999,7,0),"")</f>
        <v>20948.96875</v>
      </c>
      <c r="H125" s="100" t="s">
        <v>1141</v>
      </c>
      <c r="I125" s="101"/>
      <c r="J125" s="101"/>
      <c r="K125" s="101"/>
      <c r="L125" s="101"/>
      <c r="M125" s="101"/>
      <c r="N125" s="101"/>
      <c r="O125" s="101"/>
      <c r="P125" s="101"/>
      <c r="Q125" s="101"/>
      <c r="R125" s="101"/>
      <c r="S125" s="101"/>
      <c r="T125" s="101"/>
      <c r="U125" s="101"/>
      <c r="V125" s="101"/>
      <c r="W125" s="101"/>
      <c r="X125" s="101"/>
      <c r="Y125" s="101"/>
      <c r="Z125" s="101"/>
      <c r="AA125" s="101"/>
      <c r="AB125" s="101"/>
    </row>
    <row r="126">
      <c r="A126" s="104" t="s">
        <v>263</v>
      </c>
      <c r="B126" s="105" t="str">
        <f>IFERROR(VLOOKUP(A126,'Salary Calculation'!A125:F1122,2,0),"")</f>
        <v>February</v>
      </c>
      <c r="C126" s="105" t="str">
        <f>IFERROR(VLOOKUP(A126,'Salary Calculation'!$A$2:$V$999,3,0),"")</f>
        <v>PR 07</v>
      </c>
      <c r="D126" s="105" t="str">
        <f>IFERROR(VLOOKUP(A126,'Salary Calculation'!$A$2:$V$999,6,0),"")</f>
        <v>AMMU</v>
      </c>
      <c r="E126" s="105">
        <f>IFERROR(VLOOKUP(A126,'Salary Calculation'!$A$2:$V$999,10,0),"")</f>
        <v>65801000040238</v>
      </c>
      <c r="F126" s="100" t="s">
        <v>39</v>
      </c>
      <c r="G126" s="106">
        <f>IFERROR(VLOOKUP(A126,'Salary Calculation'!$A$2:$V$999,7,0),"")</f>
        <v>11306.52455</v>
      </c>
      <c r="H126" s="100" t="s">
        <v>1141</v>
      </c>
      <c r="I126" s="101"/>
      <c r="J126" s="101"/>
      <c r="K126" s="101"/>
      <c r="L126" s="101"/>
      <c r="M126" s="101"/>
      <c r="N126" s="101"/>
      <c r="O126" s="101"/>
      <c r="P126" s="101"/>
      <c r="Q126" s="101"/>
      <c r="R126" s="101"/>
      <c r="S126" s="101"/>
      <c r="T126" s="101"/>
      <c r="U126" s="101"/>
      <c r="V126" s="101"/>
      <c r="W126" s="101"/>
      <c r="X126" s="101"/>
      <c r="Y126" s="101"/>
      <c r="Z126" s="101"/>
      <c r="AA126" s="101"/>
      <c r="AB126" s="101"/>
    </row>
    <row r="127">
      <c r="A127" s="104" t="s">
        <v>264</v>
      </c>
      <c r="B127" s="105" t="str">
        <f>IFERROR(VLOOKUP(A127,'Salary Calculation'!A126:F1123,2,0),"")</f>
        <v>February</v>
      </c>
      <c r="C127" s="105" t="str">
        <f>IFERROR(VLOOKUP(A127,'Salary Calculation'!$A$2:$V$999,3,0),"")</f>
        <v>PR 08</v>
      </c>
      <c r="D127" s="105" t="str">
        <f>IFERROR(VLOOKUP(A127,'Salary Calculation'!$A$2:$V$999,6,0),"")</f>
        <v>REVATHI S</v>
      </c>
      <c r="E127" s="105" t="str">
        <f>IFERROR(VLOOKUP(A127,'Salary Calculation'!$A$2:$V$999,10,0),"")</f>
        <v>8131010000016995</v>
      </c>
      <c r="F127" s="100" t="s">
        <v>15</v>
      </c>
      <c r="G127" s="106">
        <f>IFERROR(VLOOKUP(A127,'Salary Calculation'!$A$2:$V$999,7,0),"")</f>
        <v>9048.857143</v>
      </c>
      <c r="H127" s="100" t="s">
        <v>1141</v>
      </c>
      <c r="I127" s="101"/>
      <c r="J127" s="101"/>
      <c r="K127" s="101"/>
      <c r="L127" s="101"/>
      <c r="M127" s="101"/>
      <c r="N127" s="101"/>
      <c r="O127" s="101"/>
      <c r="P127" s="101"/>
      <c r="Q127" s="101"/>
      <c r="R127" s="101"/>
      <c r="S127" s="101"/>
      <c r="T127" s="101"/>
      <c r="U127" s="101"/>
      <c r="V127" s="101"/>
      <c r="W127" s="101"/>
      <c r="X127" s="101"/>
      <c r="Y127" s="101"/>
      <c r="Z127" s="101"/>
      <c r="AA127" s="101"/>
      <c r="AB127" s="101"/>
    </row>
    <row r="128">
      <c r="A128" s="104" t="s">
        <v>265</v>
      </c>
      <c r="B128" s="105" t="str">
        <f>IFERROR(VLOOKUP(A128,'Salary Calculation'!A127:F1124,2,0),"")</f>
        <v>February</v>
      </c>
      <c r="C128" s="105" t="str">
        <f>IFERROR(VLOOKUP(A128,'Salary Calculation'!$A$2:$V$999,3,0),"")</f>
        <v>AC 03</v>
      </c>
      <c r="D128" s="105" t="str">
        <f>IFERROR(VLOOKUP(A128,'Salary Calculation'!$A$2:$V$999,6,0),"")</f>
        <v>LEELA</v>
      </c>
      <c r="E128" s="105" t="str">
        <f>IFERROR(VLOOKUP(A128,'Salary Calculation'!$A$2:$V$999,10,0),"")</f>
        <v>8387010000017745</v>
      </c>
      <c r="F128" s="100" t="s">
        <v>15</v>
      </c>
      <c r="G128" s="106">
        <f>IFERROR(VLOOKUP(A128,'Salary Calculation'!$A$2:$V$999,7,0),"")</f>
        <v>13795.75</v>
      </c>
      <c r="H128" s="100" t="s">
        <v>1141</v>
      </c>
      <c r="I128" s="101"/>
      <c r="J128" s="101"/>
      <c r="K128" s="101"/>
      <c r="L128" s="101"/>
      <c r="M128" s="101"/>
      <c r="N128" s="101"/>
      <c r="O128" s="101"/>
      <c r="P128" s="101"/>
      <c r="Q128" s="101"/>
      <c r="R128" s="101"/>
      <c r="S128" s="101"/>
      <c r="T128" s="101"/>
      <c r="U128" s="101"/>
      <c r="V128" s="101"/>
      <c r="W128" s="101"/>
      <c r="X128" s="101"/>
      <c r="Y128" s="101"/>
      <c r="Z128" s="101"/>
      <c r="AA128" s="101"/>
      <c r="AB128" s="101"/>
    </row>
    <row r="129">
      <c r="A129" s="104" t="s">
        <v>266</v>
      </c>
      <c r="B129" s="105" t="str">
        <f>IFERROR(VLOOKUP(A129,'Salary Calculation'!A128:F1125,2,0),"")</f>
        <v>February</v>
      </c>
      <c r="C129" s="105" t="str">
        <f>IFERROR(VLOOKUP(A129,'Salary Calculation'!$A$2:$V$999,3,0),"")</f>
        <v>PR 12</v>
      </c>
      <c r="D129" s="105" t="str">
        <f>IFERROR(VLOOKUP(A129,'Salary Calculation'!$A$2:$V$999,6,0),"")</f>
        <v>PINU BAGH</v>
      </c>
      <c r="E129" s="105" t="str">
        <f>IFERROR(VLOOKUP(A129,'Salary Calculation'!$A$2:$V$999,10,0),"")</f>
        <v>8131010000018814</v>
      </c>
      <c r="F129" s="100" t="s">
        <v>15</v>
      </c>
      <c r="G129" s="106">
        <f>IFERROR(VLOOKUP(A129,'Salary Calculation'!$A$2:$V$999,7,0),"")</f>
        <v>13244.27679</v>
      </c>
      <c r="H129" s="100" t="s">
        <v>1141</v>
      </c>
      <c r="I129" s="101"/>
      <c r="J129" s="101"/>
      <c r="K129" s="101"/>
      <c r="L129" s="101"/>
      <c r="M129" s="101"/>
      <c r="N129" s="101"/>
      <c r="O129" s="101"/>
      <c r="P129" s="101"/>
      <c r="Q129" s="101"/>
      <c r="R129" s="101"/>
      <c r="S129" s="101"/>
      <c r="T129" s="101"/>
      <c r="U129" s="101"/>
      <c r="V129" s="101"/>
      <c r="W129" s="101"/>
      <c r="X129" s="101"/>
      <c r="Y129" s="101"/>
      <c r="Z129" s="101"/>
      <c r="AA129" s="101"/>
      <c r="AB129" s="101"/>
    </row>
    <row r="130">
      <c r="A130" s="104" t="s">
        <v>267</v>
      </c>
      <c r="B130" s="105" t="str">
        <f>IFERROR(VLOOKUP(A130,'Salary Calculation'!A129:F1126,2,0),"")</f>
        <v>February</v>
      </c>
      <c r="C130" s="105" t="str">
        <f>IFERROR(VLOOKUP(A130,'Salary Calculation'!$A$2:$V$999,3,0),"")</f>
        <v>PR 27</v>
      </c>
      <c r="D130" s="105" t="str">
        <f>IFERROR(VLOOKUP(A130,'Salary Calculation'!$A$2:$V$999,6,0),"")</f>
        <v>PARSHU BAGH</v>
      </c>
      <c r="E130" s="105">
        <f>IFERROR(VLOOKUP(A130,'Salary Calculation'!$A$2:$V$999,10,0),"")</f>
        <v>40653547928</v>
      </c>
      <c r="F130" s="100" t="s">
        <v>1143</v>
      </c>
      <c r="G130" s="106">
        <f>IFERROR(VLOOKUP(A130,'Salary Calculation'!$A$2:$V$999,7,0),"")</f>
        <v>18364.58929</v>
      </c>
      <c r="H130" s="100" t="s">
        <v>1141</v>
      </c>
      <c r="I130" s="101"/>
      <c r="J130" s="101"/>
      <c r="K130" s="101"/>
      <c r="L130" s="101"/>
      <c r="M130" s="101"/>
      <c r="N130" s="101"/>
      <c r="O130" s="101"/>
      <c r="P130" s="101"/>
      <c r="Q130" s="101"/>
      <c r="R130" s="101"/>
      <c r="S130" s="101"/>
      <c r="T130" s="101"/>
      <c r="U130" s="101"/>
      <c r="V130" s="101"/>
      <c r="W130" s="101"/>
      <c r="X130" s="101"/>
      <c r="Y130" s="101"/>
      <c r="Z130" s="101"/>
      <c r="AA130" s="101"/>
      <c r="AB130" s="101"/>
    </row>
    <row r="131">
      <c r="A131" s="104" t="s">
        <v>268</v>
      </c>
      <c r="B131" s="105" t="str">
        <f>IFERROR(VLOOKUP(A131,'Salary Calculation'!A130:F1127,2,0),"")</f>
        <v>March</v>
      </c>
      <c r="C131" s="105" t="str">
        <f>IFERROR(VLOOKUP(A131,'Salary Calculation'!$A$2:$V$999,3,0),"")</f>
        <v>AC 01</v>
      </c>
      <c r="D131" s="105" t="str">
        <f>IFERROR(VLOOKUP(A131,'Salary Calculation'!$A$2:$V$999,6,0),"")</f>
        <v>BHUVANESWARAN</v>
      </c>
      <c r="E131" s="105">
        <f>IFERROR(VLOOKUP(A131,'Salary Calculation'!$A$2:$V$999,10,0),"")</f>
        <v>500101011548924</v>
      </c>
      <c r="F131" s="100" t="s">
        <v>11</v>
      </c>
      <c r="G131" s="106">
        <f>IFERROR(VLOOKUP(A131,'Salary Calculation'!$A$2:$V$999,7,0),"")</f>
        <v>60900</v>
      </c>
      <c r="H131" s="100" t="s">
        <v>1141</v>
      </c>
      <c r="I131" s="101"/>
      <c r="J131" s="101"/>
      <c r="K131" s="101"/>
      <c r="L131" s="101"/>
      <c r="M131" s="101"/>
      <c r="N131" s="101"/>
      <c r="O131" s="101"/>
      <c r="P131" s="101"/>
      <c r="Q131" s="101"/>
      <c r="R131" s="101"/>
      <c r="S131" s="101"/>
      <c r="T131" s="101"/>
      <c r="U131" s="101"/>
      <c r="V131" s="101"/>
      <c r="W131" s="101"/>
      <c r="X131" s="101"/>
      <c r="Y131" s="101"/>
      <c r="Z131" s="101"/>
      <c r="AA131" s="101"/>
      <c r="AB131" s="101"/>
    </row>
    <row r="132">
      <c r="A132" s="104" t="s">
        <v>269</v>
      </c>
      <c r="B132" s="105" t="str">
        <f>IFERROR(VLOOKUP(A132,'Salary Calculation'!A131:F1128,2,0),"")</f>
        <v>March</v>
      </c>
      <c r="C132" s="105" t="str">
        <f>IFERROR(VLOOKUP(A132,'Salary Calculation'!$A$2:$V$999,3,0),"")</f>
        <v>AC 02</v>
      </c>
      <c r="D132" s="105" t="str">
        <f>IFERROR(VLOOKUP(A132,'Salary Calculation'!$A$2:$V$999,6,0),"")</f>
        <v>SUNDARI</v>
      </c>
      <c r="E132" s="105" t="str">
        <f>IFERROR(VLOOKUP(A132,'Salary Calculation'!$A$2:$V$999,10,0),"")</f>
        <v>8131010000016977</v>
      </c>
      <c r="F132" s="100" t="s">
        <v>15</v>
      </c>
      <c r="G132" s="106">
        <f>IFERROR(VLOOKUP(A132,'Salary Calculation'!$A$2:$V$999,7,0),"")</f>
        <v>20136.54435</v>
      </c>
      <c r="H132" s="100" t="s">
        <v>1141</v>
      </c>
      <c r="I132" s="101"/>
      <c r="J132" s="101"/>
      <c r="K132" s="101"/>
      <c r="L132" s="101"/>
      <c r="M132" s="101"/>
      <c r="N132" s="101"/>
      <c r="O132" s="101"/>
      <c r="P132" s="101"/>
      <c r="Q132" s="101"/>
      <c r="R132" s="101"/>
      <c r="S132" s="101"/>
      <c r="T132" s="101"/>
      <c r="U132" s="101"/>
      <c r="V132" s="101"/>
      <c r="W132" s="101"/>
      <c r="X132" s="101"/>
      <c r="Y132" s="101"/>
      <c r="Z132" s="101"/>
      <c r="AA132" s="101"/>
      <c r="AB132" s="101"/>
    </row>
    <row r="133">
      <c r="A133" s="104" t="s">
        <v>270</v>
      </c>
      <c r="B133" s="105" t="str">
        <f>IFERROR(VLOOKUP(A133,'Salary Calculation'!A132:F1129,2,0),"")</f>
        <v>March</v>
      </c>
      <c r="C133" s="105" t="str">
        <f>IFERROR(VLOOKUP(A133,'Salary Calculation'!$A$2:$V$999,3,0),"")</f>
        <v>PR 02</v>
      </c>
      <c r="D133" s="105" t="str">
        <f>IFERROR(VLOOKUP(A133,'Salary Calculation'!$A$2:$V$999,6,0),"")</f>
        <v>GANESH</v>
      </c>
      <c r="E133" s="105" t="str">
        <f>IFERROR(VLOOKUP(A133,'Salary Calculation'!$A$2:$V$999,10,0),"")</f>
        <v>8811010012054879</v>
      </c>
      <c r="F133" s="100" t="s">
        <v>15</v>
      </c>
      <c r="G133" s="106">
        <f>IFERROR(VLOOKUP(A133,'Salary Calculation'!$A$2:$V$999,7,0),"")</f>
        <v>16597.28024</v>
      </c>
      <c r="H133" s="100" t="s">
        <v>1141</v>
      </c>
      <c r="I133" s="101"/>
      <c r="J133" s="101"/>
      <c r="K133" s="101"/>
      <c r="L133" s="101"/>
      <c r="M133" s="101"/>
      <c r="N133" s="101"/>
      <c r="O133" s="101"/>
      <c r="P133" s="101"/>
      <c r="Q133" s="101"/>
      <c r="R133" s="101"/>
      <c r="S133" s="101"/>
      <c r="T133" s="101"/>
      <c r="U133" s="101"/>
      <c r="V133" s="101"/>
      <c r="W133" s="101"/>
      <c r="X133" s="101"/>
      <c r="Y133" s="101"/>
      <c r="Z133" s="101"/>
      <c r="AA133" s="101"/>
      <c r="AB133" s="101"/>
    </row>
    <row r="134">
      <c r="A134" s="104" t="s">
        <v>271</v>
      </c>
      <c r="B134" s="105" t="str">
        <f>IFERROR(VLOOKUP(A134,'Salary Calculation'!A133:F1130,2,0),"")</f>
        <v>March</v>
      </c>
      <c r="C134" s="105" t="str">
        <f>IFERROR(VLOOKUP(A134,'Salary Calculation'!$A$2:$V$999,3,0),"")</f>
        <v>DR 01</v>
      </c>
      <c r="D134" s="105" t="str">
        <f>IFERROR(VLOOKUP(A134,'Salary Calculation'!$A$2:$V$999,6,0),"")</f>
        <v>Mathi</v>
      </c>
      <c r="E134" s="105" t="str">
        <f>IFERROR(VLOOKUP(A134,'Salary Calculation'!$A$2:$V$999,10,0),"")</f>
        <v>8131010000016986</v>
      </c>
      <c r="F134" s="100" t="s">
        <v>15</v>
      </c>
      <c r="G134" s="106">
        <f>IFERROR(VLOOKUP(A134,'Salary Calculation'!$A$2:$V$999,7,0),"")</f>
        <v>13615.77823</v>
      </c>
      <c r="H134" s="100" t="s">
        <v>1141</v>
      </c>
      <c r="I134" s="101"/>
      <c r="J134" s="101"/>
      <c r="K134" s="101"/>
      <c r="L134" s="101"/>
      <c r="M134" s="101"/>
      <c r="N134" s="101"/>
      <c r="O134" s="101"/>
      <c r="P134" s="101"/>
      <c r="Q134" s="101"/>
      <c r="R134" s="101"/>
      <c r="S134" s="101"/>
      <c r="T134" s="101"/>
      <c r="U134" s="101"/>
      <c r="V134" s="101"/>
      <c r="W134" s="101"/>
      <c r="X134" s="101"/>
      <c r="Y134" s="101"/>
      <c r="Z134" s="101"/>
      <c r="AA134" s="101"/>
      <c r="AB134" s="101"/>
    </row>
    <row r="135">
      <c r="A135" s="104" t="s">
        <v>272</v>
      </c>
      <c r="B135" s="105" t="str">
        <f>IFERROR(VLOOKUP(A135,'Salary Calculation'!A134:F1131,2,0),"")</f>
        <v>March</v>
      </c>
      <c r="C135" s="105" t="str">
        <f>IFERROR(VLOOKUP(A135,'Salary Calculation'!$A$2:$V$999,3,0),"")</f>
        <v>PR 07</v>
      </c>
      <c r="D135" s="105" t="str">
        <f>IFERROR(VLOOKUP(A135,'Salary Calculation'!$A$2:$V$999,6,0),"")</f>
        <v>AMMU</v>
      </c>
      <c r="E135" s="105">
        <f>IFERROR(VLOOKUP(A135,'Salary Calculation'!$A$2:$V$999,10,0),"")</f>
        <v>65801000040238</v>
      </c>
      <c r="F135" s="100" t="s">
        <v>39</v>
      </c>
      <c r="G135" s="106">
        <f>IFERROR(VLOOKUP(A135,'Salary Calculation'!$A$2:$V$999,7,0),"")</f>
        <v>10559.71976</v>
      </c>
      <c r="H135" s="100" t="s">
        <v>1141</v>
      </c>
      <c r="I135" s="101"/>
      <c r="J135" s="101"/>
      <c r="K135" s="101"/>
      <c r="L135" s="101"/>
      <c r="M135" s="101"/>
      <c r="N135" s="101"/>
      <c r="O135" s="101"/>
      <c r="P135" s="101"/>
      <c r="Q135" s="101"/>
      <c r="R135" s="101"/>
      <c r="S135" s="101"/>
      <c r="T135" s="101"/>
      <c r="U135" s="101"/>
      <c r="V135" s="101"/>
      <c r="W135" s="101"/>
      <c r="X135" s="101"/>
      <c r="Y135" s="101"/>
      <c r="Z135" s="101"/>
      <c r="AA135" s="101"/>
      <c r="AB135" s="101"/>
    </row>
    <row r="136">
      <c r="A136" s="104" t="s">
        <v>273</v>
      </c>
      <c r="B136" s="105" t="str">
        <f>IFERROR(VLOOKUP(A136,'Salary Calculation'!A135:F1132,2,0),"")</f>
        <v>March</v>
      </c>
      <c r="C136" s="105" t="str">
        <f>IFERROR(VLOOKUP(A136,'Salary Calculation'!$A$2:$V$999,3,0),"")</f>
        <v>PR 08</v>
      </c>
      <c r="D136" s="105" t="str">
        <f>IFERROR(VLOOKUP(A136,'Salary Calculation'!$A$2:$V$999,6,0),"")</f>
        <v>REVATHI S</v>
      </c>
      <c r="E136" s="105" t="str">
        <f>IFERROR(VLOOKUP(A136,'Salary Calculation'!$A$2:$V$999,10,0),"")</f>
        <v>8131010000016995</v>
      </c>
      <c r="F136" s="100" t="s">
        <v>15</v>
      </c>
      <c r="G136" s="106">
        <f>IFERROR(VLOOKUP(A136,'Salary Calculation'!$A$2:$V$999,7,0),"")</f>
        <v>8679.528226</v>
      </c>
      <c r="H136" s="100" t="s">
        <v>1141</v>
      </c>
      <c r="I136" s="101"/>
      <c r="J136" s="101"/>
      <c r="K136" s="101"/>
      <c r="L136" s="101"/>
      <c r="M136" s="101"/>
      <c r="N136" s="101"/>
      <c r="O136" s="101"/>
      <c r="P136" s="101"/>
      <c r="Q136" s="101"/>
      <c r="R136" s="101"/>
      <c r="S136" s="101"/>
      <c r="T136" s="101"/>
      <c r="U136" s="101"/>
      <c r="V136" s="101"/>
      <c r="W136" s="101"/>
      <c r="X136" s="101"/>
      <c r="Y136" s="101"/>
      <c r="Z136" s="101"/>
      <c r="AA136" s="101"/>
      <c r="AB136" s="101"/>
    </row>
    <row r="137">
      <c r="A137" s="104" t="s">
        <v>274</v>
      </c>
      <c r="B137" s="105" t="str">
        <f>IFERROR(VLOOKUP(A137,'Salary Calculation'!A136:F1133,2,0),"")</f>
        <v>March</v>
      </c>
      <c r="C137" s="105" t="str">
        <f>IFERROR(VLOOKUP(A137,'Salary Calculation'!$A$2:$V$999,3,0),"")</f>
        <v>AC 03</v>
      </c>
      <c r="D137" s="105" t="str">
        <f>IFERROR(VLOOKUP(A137,'Salary Calculation'!$A$2:$V$999,6,0),"")</f>
        <v>LEELA</v>
      </c>
      <c r="E137" s="105" t="str">
        <f>IFERROR(VLOOKUP(A137,'Salary Calculation'!$A$2:$V$999,10,0),"")</f>
        <v>8387010000017745</v>
      </c>
      <c r="F137" s="100" t="s">
        <v>15</v>
      </c>
      <c r="G137" s="106">
        <f>IFERROR(VLOOKUP(A137,'Salary Calculation'!$A$2:$V$999,7,0),"")</f>
        <v>13295.75</v>
      </c>
      <c r="H137" s="100" t="s">
        <v>1141</v>
      </c>
      <c r="I137" s="101"/>
      <c r="J137" s="101"/>
      <c r="K137" s="101"/>
      <c r="L137" s="101"/>
      <c r="M137" s="101"/>
      <c r="N137" s="101"/>
      <c r="O137" s="101"/>
      <c r="P137" s="101"/>
      <c r="Q137" s="101"/>
      <c r="R137" s="101"/>
      <c r="S137" s="101"/>
      <c r="T137" s="101"/>
      <c r="U137" s="101"/>
      <c r="V137" s="101"/>
      <c r="W137" s="101"/>
      <c r="X137" s="101"/>
      <c r="Y137" s="101"/>
      <c r="Z137" s="101"/>
      <c r="AA137" s="101"/>
      <c r="AB137" s="101"/>
    </row>
    <row r="138">
      <c r="A138" s="104" t="s">
        <v>275</v>
      </c>
      <c r="B138" s="105" t="str">
        <f>IFERROR(VLOOKUP(A138,'Salary Calculation'!A137:F1134,2,0),"")</f>
        <v>March</v>
      </c>
      <c r="C138" s="105" t="str">
        <f>IFERROR(VLOOKUP(A138,'Salary Calculation'!$A$2:$V$999,3,0),"")</f>
        <v>PR 27</v>
      </c>
      <c r="D138" s="105" t="str">
        <f>IFERROR(VLOOKUP(A138,'Salary Calculation'!$A$2:$V$999,6,0),"")</f>
        <v>PARSHU BAGH</v>
      </c>
      <c r="E138" s="105">
        <f>IFERROR(VLOOKUP(A138,'Salary Calculation'!$A$2:$V$999,10,0),"")</f>
        <v>40653547928</v>
      </c>
      <c r="F138" s="100" t="s">
        <v>1143</v>
      </c>
      <c r="G138" s="106">
        <f>IFERROR(VLOOKUP(A138,'Salary Calculation'!$A$2:$V$999,7,0),"")</f>
        <v>18061.89919</v>
      </c>
      <c r="H138" s="100" t="s">
        <v>1141</v>
      </c>
      <c r="I138" s="101"/>
      <c r="J138" s="101"/>
      <c r="K138" s="101"/>
      <c r="L138" s="101"/>
      <c r="M138" s="101"/>
      <c r="N138" s="101"/>
      <c r="O138" s="101"/>
      <c r="P138" s="101"/>
      <c r="Q138" s="101"/>
      <c r="R138" s="101"/>
      <c r="S138" s="101"/>
      <c r="T138" s="101"/>
      <c r="U138" s="101"/>
      <c r="V138" s="101"/>
      <c r="W138" s="101"/>
      <c r="X138" s="101"/>
      <c r="Y138" s="101"/>
      <c r="Z138" s="101"/>
      <c r="AA138" s="101"/>
      <c r="AB138" s="101"/>
    </row>
    <row r="139">
      <c r="A139" s="104" t="s">
        <v>276</v>
      </c>
      <c r="B139" s="105" t="str">
        <f>IFERROR(VLOOKUP(A139,'Salary Calculation'!A138:F1135,2,0),"")</f>
        <v>March</v>
      </c>
      <c r="C139" s="105" t="str">
        <f>IFERROR(VLOOKUP(A139,'Salary Calculation'!$A$2:$V$999,3,0),"")</f>
        <v>PR 12</v>
      </c>
      <c r="D139" s="105" t="str">
        <f>IFERROR(VLOOKUP(A139,'Salary Calculation'!$A$2:$V$999,6,0),"")</f>
        <v>PINU BAGH</v>
      </c>
      <c r="E139" s="105" t="str">
        <f>IFERROR(VLOOKUP(A139,'Salary Calculation'!$A$2:$V$999,10,0),"")</f>
        <v>8131010000018814</v>
      </c>
      <c r="F139" s="100" t="s">
        <v>15</v>
      </c>
      <c r="G139" s="106">
        <f>IFERROR(VLOOKUP(A139,'Salary Calculation'!$A$2:$V$999,7,0),"")</f>
        <v>10885.89919</v>
      </c>
      <c r="H139" s="100" t="s">
        <v>1141</v>
      </c>
      <c r="I139" s="101"/>
      <c r="J139" s="101"/>
      <c r="K139" s="101"/>
      <c r="L139" s="101"/>
      <c r="M139" s="101"/>
      <c r="N139" s="101"/>
      <c r="O139" s="101"/>
      <c r="P139" s="101"/>
      <c r="Q139" s="101"/>
      <c r="R139" s="101"/>
      <c r="S139" s="101"/>
      <c r="T139" s="101"/>
      <c r="U139" s="101"/>
      <c r="V139" s="101"/>
      <c r="W139" s="101"/>
      <c r="X139" s="101"/>
      <c r="Y139" s="101"/>
      <c r="Z139" s="101"/>
      <c r="AA139" s="101"/>
      <c r="AB139" s="101"/>
    </row>
    <row r="140">
      <c r="A140" s="104" t="s">
        <v>277</v>
      </c>
      <c r="B140" s="105" t="str">
        <f>IFERROR(VLOOKUP(A140,'Salary Calculation'!A139:F1136,2,0),"")</f>
        <v>March</v>
      </c>
      <c r="C140" s="105" t="str">
        <f>IFERROR(VLOOKUP(A140,'Salary Calculation'!$A$2:$V$999,3,0),"")</f>
        <v>PR 05</v>
      </c>
      <c r="D140" s="105" t="str">
        <f>IFERROR(VLOOKUP(A140,'Salary Calculation'!$A$2:$V$999,6,0),"")</f>
        <v>SANJAI BHAGAT</v>
      </c>
      <c r="E140" s="105" t="str">
        <f>IFERROR(VLOOKUP(A140,'Salary Calculation'!$A$2:$V$999,10,0),"")</f>
        <v>8131010000021225</v>
      </c>
      <c r="F140" s="100" t="s">
        <v>15</v>
      </c>
      <c r="G140" s="106">
        <f>IFERROR(VLOOKUP(A140,'Salary Calculation'!$A$2:$V$999,7,0),"")</f>
        <v>4562.298387</v>
      </c>
      <c r="H140" s="100" t="s">
        <v>1141</v>
      </c>
      <c r="I140" s="101"/>
      <c r="J140" s="101"/>
      <c r="K140" s="101"/>
      <c r="L140" s="101"/>
      <c r="M140" s="101"/>
      <c r="N140" s="101"/>
      <c r="O140" s="101"/>
      <c r="P140" s="101"/>
      <c r="Q140" s="101"/>
      <c r="R140" s="101"/>
      <c r="S140" s="101"/>
      <c r="T140" s="101"/>
      <c r="U140" s="101"/>
      <c r="V140" s="101"/>
      <c r="W140" s="101"/>
      <c r="X140" s="101"/>
      <c r="Y140" s="101"/>
      <c r="Z140" s="101"/>
      <c r="AA140" s="101"/>
      <c r="AB140" s="101"/>
    </row>
    <row r="141">
      <c r="A141" s="104" t="s">
        <v>278</v>
      </c>
      <c r="B141" s="105" t="str">
        <f>IFERROR(VLOOKUP(A141,'Salary Calculation'!A140:F1137,2,0),"")</f>
        <v/>
      </c>
      <c r="C141" s="105" t="str">
        <f>IFERROR(VLOOKUP(A141,'Salary Calculation'!$A$2:$V$999,3,0),"")</f>
        <v/>
      </c>
      <c r="D141" s="105" t="str">
        <f>IFERROR(VLOOKUP(A141,'Salary Calculation'!$A$2:$V$999,6,0),"")</f>
        <v/>
      </c>
      <c r="E141" s="105" t="str">
        <f>IFERROR(VLOOKUP(A141,'Salary Calculation'!$A$2:$V$999,10,0),"")</f>
        <v/>
      </c>
      <c r="F141" s="101"/>
      <c r="G141" s="106" t="str">
        <f>IFERROR(VLOOKUP(A141,'Salary Calculation'!$A$2:$V$999,7,0),"")</f>
        <v/>
      </c>
      <c r="H141" s="100"/>
      <c r="I141" s="101"/>
      <c r="J141" s="101"/>
      <c r="K141" s="101"/>
      <c r="L141" s="101"/>
      <c r="M141" s="101"/>
      <c r="N141" s="101"/>
      <c r="O141" s="101"/>
      <c r="P141" s="101"/>
      <c r="Q141" s="101"/>
      <c r="R141" s="101"/>
      <c r="S141" s="101"/>
      <c r="T141" s="101"/>
      <c r="U141" s="101"/>
      <c r="V141" s="101"/>
      <c r="W141" s="101"/>
      <c r="X141" s="101"/>
      <c r="Y141" s="101"/>
      <c r="Z141" s="101"/>
      <c r="AA141" s="101"/>
      <c r="AB141" s="101"/>
    </row>
    <row r="142">
      <c r="A142" s="104" t="s">
        <v>279</v>
      </c>
      <c r="B142" s="105" t="str">
        <f>IFERROR(VLOOKUP(A142,'Salary Calculation'!A141:F1138,2,0),"")</f>
        <v/>
      </c>
      <c r="C142" s="105" t="str">
        <f>IFERROR(VLOOKUP(A142,'Salary Calculation'!$A$2:$V$999,3,0),"")</f>
        <v/>
      </c>
      <c r="D142" s="105" t="str">
        <f>IFERROR(VLOOKUP(A142,'Salary Calculation'!$A$2:$V$999,6,0),"")</f>
        <v/>
      </c>
      <c r="E142" s="105" t="str">
        <f>IFERROR(VLOOKUP(A142,'Salary Calculation'!$A$2:$V$999,10,0),"")</f>
        <v/>
      </c>
      <c r="F142" s="101"/>
      <c r="G142" s="106" t="str">
        <f>IFERROR(VLOOKUP(A142,'Salary Calculation'!$A$2:$V$999,7,0),"")</f>
        <v/>
      </c>
      <c r="H142" s="100"/>
      <c r="I142" s="101"/>
      <c r="J142" s="101"/>
      <c r="K142" s="101"/>
      <c r="L142" s="101"/>
      <c r="M142" s="101"/>
      <c r="N142" s="101"/>
      <c r="O142" s="101"/>
      <c r="P142" s="101"/>
      <c r="Q142" s="101"/>
      <c r="R142" s="101"/>
      <c r="S142" s="101"/>
      <c r="T142" s="101"/>
      <c r="U142" s="101"/>
      <c r="V142" s="101"/>
      <c r="W142" s="101"/>
      <c r="X142" s="101"/>
      <c r="Y142" s="101"/>
      <c r="Z142" s="101"/>
      <c r="AA142" s="101"/>
      <c r="AB142" s="101"/>
    </row>
    <row r="143">
      <c r="A143" s="104" t="s">
        <v>280</v>
      </c>
      <c r="B143" s="105" t="str">
        <f>IFERROR(VLOOKUP(A143,'Salary Calculation'!A142:F1139,2,0),"")</f>
        <v/>
      </c>
      <c r="C143" s="105" t="str">
        <f>IFERROR(VLOOKUP(A143,'Salary Calculation'!$A$2:$V$999,3,0),"")</f>
        <v/>
      </c>
      <c r="D143" s="105" t="str">
        <f>IFERROR(VLOOKUP(A143,'Salary Calculation'!$A$2:$V$999,6,0),"")</f>
        <v/>
      </c>
      <c r="E143" s="105" t="str">
        <f>IFERROR(VLOOKUP(A143,'Salary Calculation'!$A$2:$V$999,10,0),"")</f>
        <v/>
      </c>
      <c r="F143" s="101"/>
      <c r="G143" s="106" t="str">
        <f>IFERROR(VLOOKUP(A143,'Salary Calculation'!$A$2:$V$999,7,0),"")</f>
        <v/>
      </c>
      <c r="H143" s="100"/>
      <c r="I143" s="101"/>
      <c r="J143" s="101"/>
      <c r="K143" s="101"/>
      <c r="L143" s="101"/>
      <c r="M143" s="101"/>
      <c r="N143" s="101"/>
      <c r="O143" s="101"/>
      <c r="P143" s="101"/>
      <c r="Q143" s="101"/>
      <c r="R143" s="101"/>
      <c r="S143" s="101"/>
      <c r="T143" s="101"/>
      <c r="U143" s="101"/>
      <c r="V143" s="101"/>
      <c r="W143" s="101"/>
      <c r="X143" s="101"/>
      <c r="Y143" s="101"/>
      <c r="Z143" s="101"/>
      <c r="AA143" s="101"/>
      <c r="AB143" s="101"/>
    </row>
    <row r="144">
      <c r="A144" s="104" t="s">
        <v>281</v>
      </c>
      <c r="B144" s="105" t="str">
        <f>IFERROR(VLOOKUP(A144,'Salary Calculation'!A143:F1140,2,0),"")</f>
        <v/>
      </c>
      <c r="C144" s="105" t="str">
        <f>IFERROR(VLOOKUP(A144,'Salary Calculation'!$A$2:$V$999,3,0),"")</f>
        <v/>
      </c>
      <c r="D144" s="105" t="str">
        <f>IFERROR(VLOOKUP(A144,'Salary Calculation'!$A$2:$V$999,6,0),"")</f>
        <v/>
      </c>
      <c r="E144" s="105" t="str">
        <f>IFERROR(VLOOKUP(A144,'Salary Calculation'!$A$2:$V$999,10,0),"")</f>
        <v/>
      </c>
      <c r="F144" s="101"/>
      <c r="G144" s="106" t="str">
        <f>IFERROR(VLOOKUP(A144,'Salary Calculation'!$A$2:$V$999,7,0),"")</f>
        <v/>
      </c>
      <c r="H144" s="100"/>
      <c r="I144" s="101"/>
      <c r="J144" s="101"/>
      <c r="K144" s="101"/>
      <c r="L144" s="101"/>
      <c r="M144" s="101"/>
      <c r="N144" s="101"/>
      <c r="O144" s="101"/>
      <c r="P144" s="101"/>
      <c r="Q144" s="101"/>
      <c r="R144" s="101"/>
      <c r="S144" s="101"/>
      <c r="T144" s="101"/>
      <c r="U144" s="101"/>
      <c r="V144" s="101"/>
      <c r="W144" s="101"/>
      <c r="X144" s="101"/>
      <c r="Y144" s="101"/>
      <c r="Z144" s="101"/>
      <c r="AA144" s="101"/>
      <c r="AB144" s="101"/>
    </row>
    <row r="145">
      <c r="A145" s="104" t="s">
        <v>282</v>
      </c>
      <c r="B145" s="105" t="str">
        <f>IFERROR(VLOOKUP(A145,'Salary Calculation'!A144:F1141,2,0),"")</f>
        <v/>
      </c>
      <c r="C145" s="105" t="str">
        <f>IFERROR(VLOOKUP(A145,'Salary Calculation'!$A$2:$V$999,3,0),"")</f>
        <v/>
      </c>
      <c r="D145" s="105" t="str">
        <f>IFERROR(VLOOKUP(A145,'Salary Calculation'!$A$2:$V$999,6,0),"")</f>
        <v/>
      </c>
      <c r="E145" s="105" t="str">
        <f>IFERROR(VLOOKUP(A145,'Salary Calculation'!$A$2:$V$999,10,0),"")</f>
        <v/>
      </c>
      <c r="F145" s="101"/>
      <c r="G145" s="106" t="str">
        <f>IFERROR(VLOOKUP(A145,'Salary Calculation'!$A$2:$V$999,7,0),"")</f>
        <v/>
      </c>
      <c r="H145" s="100"/>
      <c r="I145" s="101"/>
      <c r="J145" s="101"/>
      <c r="K145" s="101"/>
      <c r="L145" s="101"/>
      <c r="M145" s="101"/>
      <c r="N145" s="101"/>
      <c r="O145" s="101"/>
      <c r="P145" s="101"/>
      <c r="Q145" s="101"/>
      <c r="R145" s="101"/>
      <c r="S145" s="101"/>
      <c r="T145" s="101"/>
      <c r="U145" s="101"/>
      <c r="V145" s="101"/>
      <c r="W145" s="101"/>
      <c r="X145" s="101"/>
      <c r="Y145" s="101"/>
      <c r="Z145" s="101"/>
      <c r="AA145" s="101"/>
      <c r="AB145" s="101"/>
    </row>
    <row r="146">
      <c r="A146" s="104" t="s">
        <v>283</v>
      </c>
      <c r="B146" s="105" t="str">
        <f>IFERROR(VLOOKUP(A146,'Salary Calculation'!A145:F1142,2,0),"")</f>
        <v/>
      </c>
      <c r="C146" s="105" t="str">
        <f>IFERROR(VLOOKUP(A146,'Salary Calculation'!$A$2:$V$999,3,0),"")</f>
        <v/>
      </c>
      <c r="D146" s="105" t="str">
        <f>IFERROR(VLOOKUP(A146,'Salary Calculation'!$A$2:$V$999,6,0),"")</f>
        <v/>
      </c>
      <c r="E146" s="105" t="str">
        <f>IFERROR(VLOOKUP(A146,'Salary Calculation'!$A$2:$V$999,10,0),"")</f>
        <v/>
      </c>
      <c r="F146" s="101"/>
      <c r="G146" s="106" t="str">
        <f>IFERROR(VLOOKUP(A146,'Salary Calculation'!$A$2:$V$999,7,0),"")</f>
        <v/>
      </c>
      <c r="H146" s="100"/>
      <c r="I146" s="101"/>
      <c r="J146" s="101"/>
      <c r="K146" s="101"/>
      <c r="L146" s="101"/>
      <c r="M146" s="101"/>
      <c r="N146" s="101"/>
      <c r="O146" s="101"/>
      <c r="P146" s="101"/>
      <c r="Q146" s="101"/>
      <c r="R146" s="101"/>
      <c r="S146" s="101"/>
      <c r="T146" s="101"/>
      <c r="U146" s="101"/>
      <c r="V146" s="101"/>
      <c r="W146" s="101"/>
      <c r="X146" s="101"/>
      <c r="Y146" s="101"/>
      <c r="Z146" s="101"/>
      <c r="AA146" s="101"/>
      <c r="AB146" s="101"/>
    </row>
    <row r="147">
      <c r="A147" s="104" t="s">
        <v>284</v>
      </c>
      <c r="B147" s="105" t="str">
        <f>IFERROR(VLOOKUP(A147,'Salary Calculation'!A146:F1143,2,0),"")</f>
        <v/>
      </c>
      <c r="C147" s="105" t="str">
        <f>IFERROR(VLOOKUP(A147,'Salary Calculation'!$A$2:$V$999,3,0),"")</f>
        <v/>
      </c>
      <c r="D147" s="105" t="str">
        <f>IFERROR(VLOOKUP(A147,'Salary Calculation'!$A$2:$V$999,6,0),"")</f>
        <v/>
      </c>
      <c r="E147" s="105" t="str">
        <f>IFERROR(VLOOKUP(A147,'Salary Calculation'!$A$2:$V$999,10,0),"")</f>
        <v/>
      </c>
      <c r="F147" s="101"/>
      <c r="G147" s="106" t="str">
        <f>IFERROR(VLOOKUP(A147,'Salary Calculation'!$A$2:$V$999,7,0),"")</f>
        <v/>
      </c>
      <c r="H147" s="100"/>
      <c r="I147" s="101"/>
      <c r="J147" s="101"/>
      <c r="K147" s="101"/>
      <c r="L147" s="101"/>
      <c r="M147" s="101"/>
      <c r="N147" s="101"/>
      <c r="O147" s="101"/>
      <c r="P147" s="101"/>
      <c r="Q147" s="101"/>
      <c r="R147" s="101"/>
      <c r="S147" s="101"/>
      <c r="T147" s="101"/>
      <c r="U147" s="101"/>
      <c r="V147" s="101"/>
      <c r="W147" s="101"/>
      <c r="X147" s="101"/>
      <c r="Y147" s="101"/>
      <c r="Z147" s="101"/>
      <c r="AA147" s="101"/>
      <c r="AB147" s="101"/>
    </row>
    <row r="148">
      <c r="A148" s="104" t="s">
        <v>285</v>
      </c>
      <c r="B148" s="105" t="str">
        <f>IFERROR(VLOOKUP(A148,'Salary Calculation'!A147:F1144,2,0),"")</f>
        <v/>
      </c>
      <c r="C148" s="105" t="str">
        <f>IFERROR(VLOOKUP(A148,'Salary Calculation'!$A$2:$V$999,3,0),"")</f>
        <v/>
      </c>
      <c r="D148" s="105" t="str">
        <f>IFERROR(VLOOKUP(A148,'Salary Calculation'!$A$2:$V$999,6,0),"")</f>
        <v/>
      </c>
      <c r="E148" s="105" t="str">
        <f>IFERROR(VLOOKUP(A148,'Salary Calculation'!$A$2:$V$999,10,0),"")</f>
        <v/>
      </c>
      <c r="F148" s="101"/>
      <c r="G148" s="106" t="str">
        <f>IFERROR(VLOOKUP(A148,'Salary Calculation'!$A$2:$V$999,7,0),"")</f>
        <v/>
      </c>
      <c r="H148" s="100"/>
      <c r="I148" s="101"/>
      <c r="J148" s="101"/>
      <c r="K148" s="101"/>
      <c r="L148" s="101"/>
      <c r="M148" s="101"/>
      <c r="N148" s="101"/>
      <c r="O148" s="101"/>
      <c r="P148" s="101"/>
      <c r="Q148" s="101"/>
      <c r="R148" s="101"/>
      <c r="S148" s="101"/>
      <c r="T148" s="101"/>
      <c r="U148" s="101"/>
      <c r="V148" s="101"/>
      <c r="W148" s="101"/>
      <c r="X148" s="101"/>
      <c r="Y148" s="101"/>
      <c r="Z148" s="101"/>
      <c r="AA148" s="101"/>
      <c r="AB148" s="101"/>
    </row>
    <row r="149">
      <c r="A149" s="104" t="s">
        <v>286</v>
      </c>
      <c r="B149" s="105" t="str">
        <f>IFERROR(VLOOKUP(A149,'Salary Calculation'!A148:F1145,2,0),"")</f>
        <v/>
      </c>
      <c r="C149" s="105" t="str">
        <f>IFERROR(VLOOKUP(A149,'Salary Calculation'!$A$2:$V$999,3,0),"")</f>
        <v/>
      </c>
      <c r="D149" s="105" t="str">
        <f>IFERROR(VLOOKUP(A149,'Salary Calculation'!$A$2:$V$999,6,0),"")</f>
        <v/>
      </c>
      <c r="E149" s="105" t="str">
        <f>IFERROR(VLOOKUP(A149,'Salary Calculation'!$A$2:$V$999,10,0),"")</f>
        <v/>
      </c>
      <c r="F149" s="101"/>
      <c r="G149" s="106" t="str">
        <f>IFERROR(VLOOKUP(A149,'Salary Calculation'!$A$2:$V$999,7,0),"")</f>
        <v/>
      </c>
      <c r="H149" s="100"/>
      <c r="I149" s="101"/>
      <c r="J149" s="101"/>
      <c r="K149" s="101"/>
      <c r="L149" s="101"/>
      <c r="M149" s="101"/>
      <c r="N149" s="101"/>
      <c r="O149" s="101"/>
      <c r="P149" s="101"/>
      <c r="Q149" s="101"/>
      <c r="R149" s="101"/>
      <c r="S149" s="101"/>
      <c r="T149" s="101"/>
      <c r="U149" s="101"/>
      <c r="V149" s="101"/>
      <c r="W149" s="101"/>
      <c r="X149" s="101"/>
      <c r="Y149" s="101"/>
      <c r="Z149" s="101"/>
      <c r="AA149" s="101"/>
      <c r="AB149" s="101"/>
    </row>
    <row r="150">
      <c r="A150" s="104" t="s">
        <v>287</v>
      </c>
      <c r="B150" s="105" t="str">
        <f>IFERROR(VLOOKUP(A150,'Salary Calculation'!A149:F1146,2,0),"")</f>
        <v/>
      </c>
      <c r="C150" s="105" t="str">
        <f>IFERROR(VLOOKUP(A150,'Salary Calculation'!$A$2:$V$999,3,0),"")</f>
        <v/>
      </c>
      <c r="D150" s="105" t="str">
        <f>IFERROR(VLOOKUP(A150,'Salary Calculation'!$A$2:$V$999,6,0),"")</f>
        <v/>
      </c>
      <c r="E150" s="105" t="str">
        <f>IFERROR(VLOOKUP(A150,'Salary Calculation'!$A$2:$V$999,10,0),"")</f>
        <v/>
      </c>
      <c r="F150" s="101"/>
      <c r="G150" s="106" t="str">
        <f>IFERROR(VLOOKUP(A150,'Salary Calculation'!$A$2:$V$999,7,0),"")</f>
        <v/>
      </c>
      <c r="H150" s="100"/>
      <c r="I150" s="101"/>
      <c r="J150" s="101"/>
      <c r="K150" s="101"/>
      <c r="L150" s="101"/>
      <c r="M150" s="101"/>
      <c r="N150" s="101"/>
      <c r="O150" s="101"/>
      <c r="P150" s="101"/>
      <c r="Q150" s="101"/>
      <c r="R150" s="101"/>
      <c r="S150" s="101"/>
      <c r="T150" s="101"/>
      <c r="U150" s="101"/>
      <c r="V150" s="101"/>
      <c r="W150" s="101"/>
      <c r="X150" s="101"/>
      <c r="Y150" s="101"/>
      <c r="Z150" s="101"/>
      <c r="AA150" s="101"/>
      <c r="AB150" s="101"/>
    </row>
    <row r="151">
      <c r="A151" s="104" t="s">
        <v>288</v>
      </c>
      <c r="B151" s="105" t="str">
        <f>IFERROR(VLOOKUP(A151,'Salary Calculation'!A150:F1147,2,0),"")</f>
        <v/>
      </c>
      <c r="C151" s="105" t="str">
        <f>IFERROR(VLOOKUP(A151,'Salary Calculation'!$A$2:$V$999,3,0),"")</f>
        <v/>
      </c>
      <c r="D151" s="105" t="str">
        <f>IFERROR(VLOOKUP(A151,'Salary Calculation'!$A$2:$V$999,6,0),"")</f>
        <v/>
      </c>
      <c r="E151" s="105" t="str">
        <f>IFERROR(VLOOKUP(A151,'Salary Calculation'!$A$2:$V$999,10,0),"")</f>
        <v/>
      </c>
      <c r="F151" s="101"/>
      <c r="G151" s="106" t="str">
        <f>IFERROR(VLOOKUP(A151,'Salary Calculation'!$A$2:$V$999,7,0),"")</f>
        <v/>
      </c>
      <c r="H151" s="100"/>
      <c r="I151" s="101"/>
      <c r="J151" s="101"/>
      <c r="K151" s="101"/>
      <c r="L151" s="101"/>
      <c r="M151" s="101"/>
      <c r="N151" s="101"/>
      <c r="O151" s="101"/>
      <c r="P151" s="101"/>
      <c r="Q151" s="101"/>
      <c r="R151" s="101"/>
      <c r="S151" s="101"/>
      <c r="T151" s="101"/>
      <c r="U151" s="101"/>
      <c r="V151" s="101"/>
      <c r="W151" s="101"/>
      <c r="X151" s="101"/>
      <c r="Y151" s="101"/>
      <c r="Z151" s="101"/>
      <c r="AA151" s="101"/>
      <c r="AB151" s="101"/>
    </row>
    <row r="152">
      <c r="A152" s="104" t="s">
        <v>289</v>
      </c>
      <c r="B152" s="105" t="str">
        <f>IFERROR(VLOOKUP(A152,'Salary Calculation'!A151:F1148,2,0),"")</f>
        <v/>
      </c>
      <c r="C152" s="105" t="str">
        <f>IFERROR(VLOOKUP(A152,'Salary Calculation'!$A$2:$V$999,3,0),"")</f>
        <v/>
      </c>
      <c r="D152" s="105" t="str">
        <f>IFERROR(VLOOKUP(A152,'Salary Calculation'!$A$2:$V$999,6,0),"")</f>
        <v/>
      </c>
      <c r="E152" s="105" t="str">
        <f>IFERROR(VLOOKUP(A152,'Salary Calculation'!$A$2:$V$999,10,0),"")</f>
        <v/>
      </c>
      <c r="F152" s="101"/>
      <c r="G152" s="106" t="str">
        <f>IFERROR(VLOOKUP(A152,'Salary Calculation'!$A$2:$V$999,7,0),"")</f>
        <v/>
      </c>
      <c r="H152" s="100"/>
      <c r="I152" s="101"/>
      <c r="J152" s="101"/>
      <c r="K152" s="101"/>
      <c r="L152" s="101"/>
      <c r="M152" s="101"/>
      <c r="N152" s="101"/>
      <c r="O152" s="101"/>
      <c r="P152" s="101"/>
      <c r="Q152" s="101"/>
      <c r="R152" s="101"/>
      <c r="S152" s="101"/>
      <c r="T152" s="101"/>
      <c r="U152" s="101"/>
      <c r="V152" s="101"/>
      <c r="W152" s="101"/>
      <c r="X152" s="101"/>
      <c r="Y152" s="101"/>
      <c r="Z152" s="101"/>
      <c r="AA152" s="101"/>
      <c r="AB152" s="101"/>
    </row>
    <row r="153">
      <c r="A153" s="104" t="s">
        <v>290</v>
      </c>
      <c r="B153" s="105" t="str">
        <f>IFERROR(VLOOKUP(A153,'Salary Calculation'!A152:F1149,2,0),"")</f>
        <v/>
      </c>
      <c r="C153" s="105" t="str">
        <f>IFERROR(VLOOKUP(A153,'Salary Calculation'!$A$2:$V$999,3,0),"")</f>
        <v/>
      </c>
      <c r="D153" s="105" t="str">
        <f>IFERROR(VLOOKUP(A153,'Salary Calculation'!$A$2:$V$999,6,0),"")</f>
        <v/>
      </c>
      <c r="E153" s="105" t="str">
        <f>IFERROR(VLOOKUP(A153,'Salary Calculation'!$A$2:$V$999,10,0),"")</f>
        <v/>
      </c>
      <c r="F153" s="101"/>
      <c r="G153" s="106" t="str">
        <f>IFERROR(VLOOKUP(A153,'Salary Calculation'!$A$2:$V$999,7,0),"")</f>
        <v/>
      </c>
      <c r="H153" s="100"/>
      <c r="I153" s="101"/>
      <c r="J153" s="101"/>
      <c r="K153" s="101"/>
      <c r="L153" s="101"/>
      <c r="M153" s="101"/>
      <c r="N153" s="101"/>
      <c r="O153" s="101"/>
      <c r="P153" s="101"/>
      <c r="Q153" s="101"/>
      <c r="R153" s="101"/>
      <c r="S153" s="101"/>
      <c r="T153" s="101"/>
      <c r="U153" s="101"/>
      <c r="V153" s="101"/>
      <c r="W153" s="101"/>
      <c r="X153" s="101"/>
      <c r="Y153" s="101"/>
      <c r="Z153" s="101"/>
      <c r="AA153" s="101"/>
      <c r="AB153" s="101"/>
    </row>
    <row r="154">
      <c r="A154" s="104" t="s">
        <v>291</v>
      </c>
      <c r="B154" s="105" t="str">
        <f>IFERROR(VLOOKUP(A154,'Salary Calculation'!A153:F1150,2,0),"")</f>
        <v/>
      </c>
      <c r="C154" s="105" t="str">
        <f>IFERROR(VLOOKUP(A154,'Salary Calculation'!$A$2:$V$999,3,0),"")</f>
        <v/>
      </c>
      <c r="D154" s="105" t="str">
        <f>IFERROR(VLOOKUP(A154,'Salary Calculation'!$A$2:$V$999,6,0),"")</f>
        <v/>
      </c>
      <c r="E154" s="105" t="str">
        <f>IFERROR(VLOOKUP(A154,'Salary Calculation'!$A$2:$V$999,10,0),"")</f>
        <v/>
      </c>
      <c r="F154" s="101"/>
      <c r="G154" s="106" t="str">
        <f>IFERROR(VLOOKUP(A154,'Salary Calculation'!$A$2:$V$999,7,0),"")</f>
        <v/>
      </c>
      <c r="H154" s="100"/>
      <c r="I154" s="101"/>
      <c r="J154" s="101"/>
      <c r="K154" s="101"/>
      <c r="L154" s="101"/>
      <c r="M154" s="101"/>
      <c r="N154" s="101"/>
      <c r="O154" s="101"/>
      <c r="P154" s="101"/>
      <c r="Q154" s="101"/>
      <c r="R154" s="101"/>
      <c r="S154" s="101"/>
      <c r="T154" s="101"/>
      <c r="U154" s="101"/>
      <c r="V154" s="101"/>
      <c r="W154" s="101"/>
      <c r="X154" s="101"/>
      <c r="Y154" s="101"/>
      <c r="Z154" s="101"/>
      <c r="AA154" s="101"/>
      <c r="AB154" s="101"/>
    </row>
    <row r="155">
      <c r="A155" s="104" t="s">
        <v>292</v>
      </c>
      <c r="B155" s="105" t="str">
        <f>IFERROR(VLOOKUP(A155,'Salary Calculation'!A154:F1151,2,0),"")</f>
        <v/>
      </c>
      <c r="C155" s="105" t="str">
        <f>IFERROR(VLOOKUP(A155,'Salary Calculation'!$A$2:$V$999,3,0),"")</f>
        <v/>
      </c>
      <c r="D155" s="105" t="str">
        <f>IFERROR(VLOOKUP(A155,'Salary Calculation'!$A$2:$V$999,6,0),"")</f>
        <v/>
      </c>
      <c r="E155" s="105" t="str">
        <f>IFERROR(VLOOKUP(A155,'Salary Calculation'!$A$2:$V$999,10,0),"")</f>
        <v/>
      </c>
      <c r="F155" s="101"/>
      <c r="G155" s="106" t="str">
        <f>IFERROR(VLOOKUP(A155,'Salary Calculation'!$A$2:$V$999,7,0),"")</f>
        <v/>
      </c>
      <c r="H155" s="100"/>
      <c r="I155" s="101"/>
      <c r="J155" s="101"/>
      <c r="K155" s="101"/>
      <c r="L155" s="101"/>
      <c r="M155" s="101"/>
      <c r="N155" s="101"/>
      <c r="O155" s="101"/>
      <c r="P155" s="101"/>
      <c r="Q155" s="101"/>
      <c r="R155" s="101"/>
      <c r="S155" s="101"/>
      <c r="T155" s="101"/>
      <c r="U155" s="101"/>
      <c r="V155" s="101"/>
      <c r="W155" s="101"/>
      <c r="X155" s="101"/>
      <c r="Y155" s="101"/>
      <c r="Z155" s="101"/>
      <c r="AA155" s="101"/>
      <c r="AB155" s="101"/>
    </row>
    <row r="156">
      <c r="A156" s="104" t="s">
        <v>293</v>
      </c>
      <c r="B156" s="105" t="str">
        <f>IFERROR(VLOOKUP(A156,'Salary Calculation'!A155:F1152,2,0),"")</f>
        <v/>
      </c>
      <c r="C156" s="105" t="str">
        <f>IFERROR(VLOOKUP(A156,'Salary Calculation'!$A$2:$V$999,3,0),"")</f>
        <v/>
      </c>
      <c r="D156" s="105" t="str">
        <f>IFERROR(VLOOKUP(A156,'Salary Calculation'!$A$2:$V$999,6,0),"")</f>
        <v/>
      </c>
      <c r="E156" s="105" t="str">
        <f>IFERROR(VLOOKUP(A156,'Salary Calculation'!$A$2:$V$999,10,0),"")</f>
        <v/>
      </c>
      <c r="F156" s="101"/>
      <c r="G156" s="106" t="str">
        <f>IFERROR(VLOOKUP(A156,'Salary Calculation'!$A$2:$V$999,7,0),"")</f>
        <v/>
      </c>
      <c r="H156" s="100"/>
      <c r="I156" s="101"/>
      <c r="J156" s="101"/>
      <c r="K156" s="101"/>
      <c r="L156" s="101"/>
      <c r="M156" s="101"/>
      <c r="N156" s="101"/>
      <c r="O156" s="101"/>
      <c r="P156" s="101"/>
      <c r="Q156" s="101"/>
      <c r="R156" s="101"/>
      <c r="S156" s="101"/>
      <c r="T156" s="101"/>
      <c r="U156" s="101"/>
      <c r="V156" s="101"/>
      <c r="W156" s="101"/>
      <c r="X156" s="101"/>
      <c r="Y156" s="101"/>
      <c r="Z156" s="101"/>
      <c r="AA156" s="101"/>
      <c r="AB156" s="101"/>
    </row>
    <row r="157">
      <c r="A157" s="104" t="s">
        <v>294</v>
      </c>
      <c r="B157" s="105" t="str">
        <f>IFERROR(VLOOKUP(A157,'Salary Calculation'!A156:F1153,2,0),"")</f>
        <v/>
      </c>
      <c r="C157" s="105" t="str">
        <f>IFERROR(VLOOKUP(A157,'Salary Calculation'!$A$2:$V$999,3,0),"")</f>
        <v/>
      </c>
      <c r="D157" s="105" t="str">
        <f>IFERROR(VLOOKUP(A157,'Salary Calculation'!$A$2:$V$999,6,0),"")</f>
        <v/>
      </c>
      <c r="E157" s="105" t="str">
        <f>IFERROR(VLOOKUP(A157,'Salary Calculation'!$A$2:$V$999,10,0),"")</f>
        <v/>
      </c>
      <c r="F157" s="101"/>
      <c r="G157" s="106" t="str">
        <f>IFERROR(VLOOKUP(A157,'Salary Calculation'!$A$2:$V$999,7,0),"")</f>
        <v/>
      </c>
      <c r="H157" s="100"/>
      <c r="I157" s="101"/>
      <c r="J157" s="101"/>
      <c r="K157" s="101"/>
      <c r="L157" s="101"/>
      <c r="M157" s="101"/>
      <c r="N157" s="101"/>
      <c r="O157" s="101"/>
      <c r="P157" s="101"/>
      <c r="Q157" s="101"/>
      <c r="R157" s="101"/>
      <c r="S157" s="101"/>
      <c r="T157" s="101"/>
      <c r="U157" s="101"/>
      <c r="V157" s="101"/>
      <c r="W157" s="101"/>
      <c r="X157" s="101"/>
      <c r="Y157" s="101"/>
      <c r="Z157" s="101"/>
      <c r="AA157" s="101"/>
      <c r="AB157" s="101"/>
    </row>
    <row r="158">
      <c r="A158" s="104" t="s">
        <v>295</v>
      </c>
      <c r="B158" s="105" t="str">
        <f>IFERROR(VLOOKUP(A158,'Salary Calculation'!A157:F1154,2,0),"")</f>
        <v/>
      </c>
      <c r="C158" s="105" t="str">
        <f>IFERROR(VLOOKUP(A158,'Salary Calculation'!$A$2:$V$999,3,0),"")</f>
        <v/>
      </c>
      <c r="D158" s="105" t="str">
        <f>IFERROR(VLOOKUP(A158,'Salary Calculation'!$A$2:$V$999,6,0),"")</f>
        <v/>
      </c>
      <c r="E158" s="105" t="str">
        <f>IFERROR(VLOOKUP(A158,'Salary Calculation'!$A$2:$V$999,10,0),"")</f>
        <v/>
      </c>
      <c r="F158" s="101"/>
      <c r="G158" s="106" t="str">
        <f>IFERROR(VLOOKUP(A158,'Salary Calculation'!$A$2:$V$999,7,0),"")</f>
        <v/>
      </c>
      <c r="H158" s="100"/>
      <c r="I158" s="101"/>
      <c r="J158" s="101"/>
      <c r="K158" s="101"/>
      <c r="L158" s="101"/>
      <c r="M158" s="101"/>
      <c r="N158" s="101"/>
      <c r="O158" s="101"/>
      <c r="P158" s="101"/>
      <c r="Q158" s="101"/>
      <c r="R158" s="101"/>
      <c r="S158" s="101"/>
      <c r="T158" s="101"/>
      <c r="U158" s="101"/>
      <c r="V158" s="101"/>
      <c r="W158" s="101"/>
      <c r="X158" s="101"/>
      <c r="Y158" s="101"/>
      <c r="Z158" s="101"/>
      <c r="AA158" s="101"/>
      <c r="AB158" s="101"/>
    </row>
    <row r="159">
      <c r="A159" s="104" t="s">
        <v>296</v>
      </c>
      <c r="B159" s="105" t="str">
        <f>IFERROR(VLOOKUP(A159,'Salary Calculation'!A158:F1155,2,0),"")</f>
        <v/>
      </c>
      <c r="C159" s="105" t="str">
        <f>IFERROR(VLOOKUP(A159,'Salary Calculation'!$A$2:$V$999,3,0),"")</f>
        <v/>
      </c>
      <c r="D159" s="105" t="str">
        <f>IFERROR(VLOOKUP(A159,'Salary Calculation'!$A$2:$V$999,6,0),"")</f>
        <v/>
      </c>
      <c r="E159" s="105" t="str">
        <f>IFERROR(VLOOKUP(A159,'Salary Calculation'!$A$2:$V$999,10,0),"")</f>
        <v/>
      </c>
      <c r="F159" s="101"/>
      <c r="G159" s="106" t="str">
        <f>IFERROR(VLOOKUP(A159,'Salary Calculation'!$A$2:$V$999,7,0),"")</f>
        <v/>
      </c>
      <c r="H159" s="100"/>
      <c r="I159" s="101"/>
      <c r="J159" s="101"/>
      <c r="K159" s="101"/>
      <c r="L159" s="101"/>
      <c r="M159" s="101"/>
      <c r="N159" s="101"/>
      <c r="O159" s="101"/>
      <c r="P159" s="101"/>
      <c r="Q159" s="101"/>
      <c r="R159" s="101"/>
      <c r="S159" s="101"/>
      <c r="T159" s="101"/>
      <c r="U159" s="101"/>
      <c r="V159" s="101"/>
      <c r="W159" s="101"/>
      <c r="X159" s="101"/>
      <c r="Y159" s="101"/>
      <c r="Z159" s="101"/>
      <c r="AA159" s="101"/>
      <c r="AB159" s="101"/>
    </row>
    <row r="160">
      <c r="A160" s="104" t="s">
        <v>297</v>
      </c>
      <c r="B160" s="105" t="str">
        <f>IFERROR(VLOOKUP(A160,'Salary Calculation'!A159:F1156,2,0),"")</f>
        <v/>
      </c>
      <c r="C160" s="105" t="str">
        <f>IFERROR(VLOOKUP(A160,'Salary Calculation'!$A$2:$V$999,3,0),"")</f>
        <v/>
      </c>
      <c r="D160" s="105" t="str">
        <f>IFERROR(VLOOKUP(A160,'Salary Calculation'!$A$2:$V$999,6,0),"")</f>
        <v/>
      </c>
      <c r="E160" s="105" t="str">
        <f>IFERROR(VLOOKUP(A160,'Salary Calculation'!$A$2:$V$999,10,0),"")</f>
        <v/>
      </c>
      <c r="F160" s="101"/>
      <c r="G160" s="106" t="str">
        <f>IFERROR(VLOOKUP(A160,'Salary Calculation'!$A$2:$V$999,7,0),"")</f>
        <v/>
      </c>
      <c r="H160" s="100"/>
      <c r="I160" s="101"/>
      <c r="J160" s="101"/>
      <c r="K160" s="101"/>
      <c r="L160" s="101"/>
      <c r="M160" s="101"/>
      <c r="N160" s="101"/>
      <c r="O160" s="101"/>
      <c r="P160" s="101"/>
      <c r="Q160" s="101"/>
      <c r="R160" s="101"/>
      <c r="S160" s="101"/>
      <c r="T160" s="101"/>
      <c r="U160" s="101"/>
      <c r="V160" s="101"/>
      <c r="W160" s="101"/>
      <c r="X160" s="101"/>
      <c r="Y160" s="101"/>
      <c r="Z160" s="101"/>
      <c r="AA160" s="101"/>
      <c r="AB160" s="101"/>
    </row>
    <row r="161">
      <c r="A161" s="104" t="s">
        <v>298</v>
      </c>
      <c r="B161" s="105" t="str">
        <f>IFERROR(VLOOKUP(A161,'Salary Calculation'!A160:F1157,2,0),"")</f>
        <v/>
      </c>
      <c r="C161" s="105" t="str">
        <f>IFERROR(VLOOKUP(A161,'Salary Calculation'!$A$2:$V$999,3,0),"")</f>
        <v/>
      </c>
      <c r="D161" s="105" t="str">
        <f>IFERROR(VLOOKUP(A161,'Salary Calculation'!$A$2:$V$999,6,0),"")</f>
        <v/>
      </c>
      <c r="E161" s="105" t="str">
        <f>IFERROR(VLOOKUP(A161,'Salary Calculation'!$A$2:$V$999,10,0),"")</f>
        <v/>
      </c>
      <c r="F161" s="101"/>
      <c r="G161" s="106" t="str">
        <f>IFERROR(VLOOKUP(A161,'Salary Calculation'!$A$2:$V$999,7,0),"")</f>
        <v/>
      </c>
      <c r="H161" s="100"/>
      <c r="I161" s="101"/>
      <c r="J161" s="101"/>
      <c r="K161" s="101"/>
      <c r="L161" s="101"/>
      <c r="M161" s="101"/>
      <c r="N161" s="101"/>
      <c r="O161" s="101"/>
      <c r="P161" s="101"/>
      <c r="Q161" s="101"/>
      <c r="R161" s="101"/>
      <c r="S161" s="101"/>
      <c r="T161" s="101"/>
      <c r="U161" s="101"/>
      <c r="V161" s="101"/>
      <c r="W161" s="101"/>
      <c r="X161" s="101"/>
      <c r="Y161" s="101"/>
      <c r="Z161" s="101"/>
      <c r="AA161" s="101"/>
      <c r="AB161" s="101"/>
    </row>
    <row r="162">
      <c r="A162" s="104" t="s">
        <v>299</v>
      </c>
      <c r="B162" s="105" t="str">
        <f>IFERROR(VLOOKUP(A162,'Salary Calculation'!A161:F1158,2,0),"")</f>
        <v/>
      </c>
      <c r="C162" s="105" t="str">
        <f>IFERROR(VLOOKUP(A162,'Salary Calculation'!$A$2:$V$999,3,0),"")</f>
        <v/>
      </c>
      <c r="D162" s="105" t="str">
        <f>IFERROR(VLOOKUP(A162,'Salary Calculation'!$A$2:$V$999,6,0),"")</f>
        <v/>
      </c>
      <c r="E162" s="105" t="str">
        <f>IFERROR(VLOOKUP(A162,'Salary Calculation'!$A$2:$V$999,10,0),"")</f>
        <v/>
      </c>
      <c r="F162" s="101"/>
      <c r="G162" s="106" t="str">
        <f>IFERROR(VLOOKUP(A162,'Salary Calculation'!$A$2:$V$999,7,0),"")</f>
        <v/>
      </c>
      <c r="H162" s="100"/>
      <c r="I162" s="101"/>
      <c r="J162" s="101"/>
      <c r="K162" s="101"/>
      <c r="L162" s="101"/>
      <c r="M162" s="101"/>
      <c r="N162" s="101"/>
      <c r="O162" s="101"/>
      <c r="P162" s="101"/>
      <c r="Q162" s="101"/>
      <c r="R162" s="101"/>
      <c r="S162" s="101"/>
      <c r="T162" s="101"/>
      <c r="U162" s="101"/>
      <c r="V162" s="101"/>
      <c r="W162" s="101"/>
      <c r="X162" s="101"/>
      <c r="Y162" s="101"/>
      <c r="Z162" s="101"/>
      <c r="AA162" s="101"/>
      <c r="AB162" s="101"/>
    </row>
    <row r="163">
      <c r="A163" s="104" t="s">
        <v>300</v>
      </c>
      <c r="B163" s="105" t="str">
        <f>IFERROR(VLOOKUP(A163,'Salary Calculation'!A162:F1159,2,0),"")</f>
        <v/>
      </c>
      <c r="C163" s="105" t="str">
        <f>IFERROR(VLOOKUP(A163,'Salary Calculation'!$A$2:$V$999,3,0),"")</f>
        <v/>
      </c>
      <c r="D163" s="105" t="str">
        <f>IFERROR(VLOOKUP(A163,'Salary Calculation'!$A$2:$V$999,6,0),"")</f>
        <v/>
      </c>
      <c r="E163" s="105" t="str">
        <f>IFERROR(VLOOKUP(A163,'Salary Calculation'!$A$2:$V$999,10,0),"")</f>
        <v/>
      </c>
      <c r="F163" s="101"/>
      <c r="G163" s="106" t="str">
        <f>IFERROR(VLOOKUP(A163,'Salary Calculation'!$A$2:$V$999,7,0),"")</f>
        <v/>
      </c>
      <c r="H163" s="100"/>
      <c r="I163" s="101"/>
      <c r="J163" s="101"/>
      <c r="K163" s="101"/>
      <c r="L163" s="101"/>
      <c r="M163" s="101"/>
      <c r="N163" s="101"/>
      <c r="O163" s="101"/>
      <c r="P163" s="101"/>
      <c r="Q163" s="101"/>
      <c r="R163" s="101"/>
      <c r="S163" s="101"/>
      <c r="T163" s="101"/>
      <c r="U163" s="101"/>
      <c r="V163" s="101"/>
      <c r="W163" s="101"/>
      <c r="X163" s="101"/>
      <c r="Y163" s="101"/>
      <c r="Z163" s="101"/>
      <c r="AA163" s="101"/>
      <c r="AB163" s="101"/>
    </row>
    <row r="164">
      <c r="A164" s="104" t="s">
        <v>301</v>
      </c>
      <c r="B164" s="105" t="str">
        <f>IFERROR(VLOOKUP(A164,'Salary Calculation'!A163:F1160,2,0),"")</f>
        <v/>
      </c>
      <c r="C164" s="105" t="str">
        <f>IFERROR(VLOOKUP(A164,'Salary Calculation'!$A$2:$V$999,3,0),"")</f>
        <v/>
      </c>
      <c r="D164" s="105" t="str">
        <f>IFERROR(VLOOKUP(A164,'Salary Calculation'!$A$2:$V$999,6,0),"")</f>
        <v/>
      </c>
      <c r="E164" s="105" t="str">
        <f>IFERROR(VLOOKUP(A164,'Salary Calculation'!$A$2:$V$999,10,0),"")</f>
        <v/>
      </c>
      <c r="F164" s="101"/>
      <c r="G164" s="106" t="str">
        <f>IFERROR(VLOOKUP(A164,'Salary Calculation'!$A$2:$V$999,7,0),"")</f>
        <v/>
      </c>
      <c r="H164" s="100"/>
      <c r="I164" s="101"/>
      <c r="J164" s="101"/>
      <c r="K164" s="101"/>
      <c r="L164" s="101"/>
      <c r="M164" s="101"/>
      <c r="N164" s="101"/>
      <c r="O164" s="101"/>
      <c r="P164" s="101"/>
      <c r="Q164" s="101"/>
      <c r="R164" s="101"/>
      <c r="S164" s="101"/>
      <c r="T164" s="101"/>
      <c r="U164" s="101"/>
      <c r="V164" s="101"/>
      <c r="W164" s="101"/>
      <c r="X164" s="101"/>
      <c r="Y164" s="101"/>
      <c r="Z164" s="101"/>
      <c r="AA164" s="101"/>
      <c r="AB164" s="101"/>
    </row>
    <row r="165">
      <c r="A165" s="104" t="s">
        <v>302</v>
      </c>
      <c r="B165" s="105" t="str">
        <f>IFERROR(VLOOKUP(A165,'Salary Calculation'!A164:F1161,2,0),"")</f>
        <v/>
      </c>
      <c r="C165" s="105" t="str">
        <f>IFERROR(VLOOKUP(A165,'Salary Calculation'!$A$2:$V$999,3,0),"")</f>
        <v/>
      </c>
      <c r="D165" s="105" t="str">
        <f>IFERROR(VLOOKUP(A165,'Salary Calculation'!$A$2:$V$999,6,0),"")</f>
        <v/>
      </c>
      <c r="E165" s="105" t="str">
        <f>IFERROR(VLOOKUP(A165,'Salary Calculation'!$A$2:$V$999,10,0),"")</f>
        <v/>
      </c>
      <c r="F165" s="101"/>
      <c r="G165" s="106" t="str">
        <f>IFERROR(VLOOKUP(A165,'Salary Calculation'!$A$2:$V$999,7,0),"")</f>
        <v/>
      </c>
      <c r="H165" s="100"/>
      <c r="I165" s="101"/>
      <c r="J165" s="101"/>
      <c r="K165" s="101"/>
      <c r="L165" s="101"/>
      <c r="M165" s="101"/>
      <c r="N165" s="101"/>
      <c r="O165" s="101"/>
      <c r="P165" s="101"/>
      <c r="Q165" s="101"/>
      <c r="R165" s="101"/>
      <c r="S165" s="101"/>
      <c r="T165" s="101"/>
      <c r="U165" s="101"/>
      <c r="V165" s="101"/>
      <c r="W165" s="101"/>
      <c r="X165" s="101"/>
      <c r="Y165" s="101"/>
      <c r="Z165" s="101"/>
      <c r="AA165" s="101"/>
      <c r="AB165" s="101"/>
    </row>
    <row r="166">
      <c r="A166" s="104" t="s">
        <v>303</v>
      </c>
      <c r="B166" s="105" t="str">
        <f>IFERROR(VLOOKUP(A166,'Salary Calculation'!A165:F1162,2,0),"")</f>
        <v/>
      </c>
      <c r="C166" s="105" t="str">
        <f>IFERROR(VLOOKUP(A166,'Salary Calculation'!$A$2:$V$999,3,0),"")</f>
        <v/>
      </c>
      <c r="D166" s="105" t="str">
        <f>IFERROR(VLOOKUP(A166,'Salary Calculation'!$A$2:$V$999,6,0),"")</f>
        <v/>
      </c>
      <c r="E166" s="105" t="str">
        <f>IFERROR(VLOOKUP(A166,'Salary Calculation'!$A$2:$V$999,10,0),"")</f>
        <v/>
      </c>
      <c r="F166" s="101"/>
      <c r="G166" s="106" t="str">
        <f>IFERROR(VLOOKUP(A166,'Salary Calculation'!$A$2:$V$999,7,0),"")</f>
        <v/>
      </c>
      <c r="H166" s="100"/>
      <c r="I166" s="101"/>
      <c r="J166" s="101"/>
      <c r="K166" s="101"/>
      <c r="L166" s="101"/>
      <c r="M166" s="101"/>
      <c r="N166" s="101"/>
      <c r="O166" s="101"/>
      <c r="P166" s="101"/>
      <c r="Q166" s="101"/>
      <c r="R166" s="101"/>
      <c r="S166" s="101"/>
      <c r="T166" s="101"/>
      <c r="U166" s="101"/>
      <c r="V166" s="101"/>
      <c r="W166" s="101"/>
      <c r="X166" s="101"/>
      <c r="Y166" s="101"/>
      <c r="Z166" s="101"/>
      <c r="AA166" s="101"/>
      <c r="AB166" s="101"/>
    </row>
    <row r="167">
      <c r="A167" s="104" t="s">
        <v>304</v>
      </c>
      <c r="B167" s="105" t="str">
        <f>IFERROR(VLOOKUP(A167,'Salary Calculation'!A166:F1163,2,0),"")</f>
        <v/>
      </c>
      <c r="C167" s="105" t="str">
        <f>IFERROR(VLOOKUP(A167,'Salary Calculation'!$A$2:$V$999,3,0),"")</f>
        <v/>
      </c>
      <c r="D167" s="105" t="str">
        <f>IFERROR(VLOOKUP(A167,'Salary Calculation'!$A$2:$V$999,6,0),"")</f>
        <v/>
      </c>
      <c r="E167" s="105" t="str">
        <f>IFERROR(VLOOKUP(A167,'Salary Calculation'!$A$2:$V$999,10,0),"")</f>
        <v/>
      </c>
      <c r="F167" s="101"/>
      <c r="G167" s="106" t="str">
        <f>IFERROR(VLOOKUP(A167,'Salary Calculation'!$A$2:$V$999,7,0),"")</f>
        <v/>
      </c>
      <c r="H167" s="100"/>
      <c r="I167" s="101"/>
      <c r="J167" s="101"/>
      <c r="K167" s="101"/>
      <c r="L167" s="101"/>
      <c r="M167" s="101"/>
      <c r="N167" s="101"/>
      <c r="O167" s="101"/>
      <c r="P167" s="101"/>
      <c r="Q167" s="101"/>
      <c r="R167" s="101"/>
      <c r="S167" s="101"/>
      <c r="T167" s="101"/>
      <c r="U167" s="101"/>
      <c r="V167" s="101"/>
      <c r="W167" s="101"/>
      <c r="X167" s="101"/>
      <c r="Y167" s="101"/>
      <c r="Z167" s="101"/>
      <c r="AA167" s="101"/>
      <c r="AB167" s="101"/>
    </row>
    <row r="168">
      <c r="A168" s="104" t="s">
        <v>305</v>
      </c>
      <c r="B168" s="105" t="str">
        <f>IFERROR(VLOOKUP(A168,'Salary Calculation'!A167:F1164,2,0),"")</f>
        <v/>
      </c>
      <c r="C168" s="105" t="str">
        <f>IFERROR(VLOOKUP(A168,'Salary Calculation'!$A$2:$V$999,3,0),"")</f>
        <v/>
      </c>
      <c r="D168" s="105" t="str">
        <f>IFERROR(VLOOKUP(A168,'Salary Calculation'!$A$2:$V$999,6,0),"")</f>
        <v/>
      </c>
      <c r="E168" s="105" t="str">
        <f>IFERROR(VLOOKUP(A168,'Salary Calculation'!$A$2:$V$999,10,0),"")</f>
        <v/>
      </c>
      <c r="F168" s="101"/>
      <c r="G168" s="106" t="str">
        <f>IFERROR(VLOOKUP(A168,'Salary Calculation'!$A$2:$V$999,7,0),"")</f>
        <v/>
      </c>
      <c r="H168" s="100"/>
      <c r="I168" s="101"/>
      <c r="J168" s="101"/>
      <c r="K168" s="101"/>
      <c r="L168" s="101"/>
      <c r="M168" s="101"/>
      <c r="N168" s="101"/>
      <c r="O168" s="101"/>
      <c r="P168" s="101"/>
      <c r="Q168" s="101"/>
      <c r="R168" s="101"/>
      <c r="S168" s="101"/>
      <c r="T168" s="101"/>
      <c r="U168" s="101"/>
      <c r="V168" s="101"/>
      <c r="W168" s="101"/>
      <c r="X168" s="101"/>
      <c r="Y168" s="101"/>
      <c r="Z168" s="101"/>
      <c r="AA168" s="101"/>
      <c r="AB168" s="101"/>
    </row>
    <row r="169">
      <c r="A169" s="104" t="s">
        <v>306</v>
      </c>
      <c r="B169" s="105" t="str">
        <f>IFERROR(VLOOKUP(A169,'Salary Calculation'!A168:F1165,2,0),"")</f>
        <v/>
      </c>
      <c r="C169" s="105" t="str">
        <f>IFERROR(VLOOKUP(A169,'Salary Calculation'!$A$2:$V$999,3,0),"")</f>
        <v/>
      </c>
      <c r="D169" s="105" t="str">
        <f>IFERROR(VLOOKUP(A169,'Salary Calculation'!$A$2:$V$999,6,0),"")</f>
        <v/>
      </c>
      <c r="E169" s="105" t="str">
        <f>IFERROR(VLOOKUP(A169,'Salary Calculation'!$A$2:$V$999,10,0),"")</f>
        <v/>
      </c>
      <c r="F169" s="101"/>
      <c r="G169" s="106" t="str">
        <f>IFERROR(VLOOKUP(A169,'Salary Calculation'!$A$2:$V$999,7,0),"")</f>
        <v/>
      </c>
      <c r="H169" s="100"/>
      <c r="I169" s="101"/>
      <c r="J169" s="101"/>
      <c r="K169" s="101"/>
      <c r="L169" s="101"/>
      <c r="M169" s="101"/>
      <c r="N169" s="101"/>
      <c r="O169" s="101"/>
      <c r="P169" s="101"/>
      <c r="Q169" s="101"/>
      <c r="R169" s="101"/>
      <c r="S169" s="101"/>
      <c r="T169" s="101"/>
      <c r="U169" s="101"/>
      <c r="V169" s="101"/>
      <c r="W169" s="101"/>
      <c r="X169" s="101"/>
      <c r="Y169" s="101"/>
      <c r="Z169" s="101"/>
      <c r="AA169" s="101"/>
      <c r="AB169" s="101"/>
    </row>
    <row r="170">
      <c r="A170" s="104" t="s">
        <v>307</v>
      </c>
      <c r="B170" s="105" t="str">
        <f>IFERROR(VLOOKUP(A170,'Salary Calculation'!A169:F1166,2,0),"")</f>
        <v/>
      </c>
      <c r="C170" s="105" t="str">
        <f>IFERROR(VLOOKUP(A170,'Salary Calculation'!$A$2:$V$999,3,0),"")</f>
        <v/>
      </c>
      <c r="D170" s="105" t="str">
        <f>IFERROR(VLOOKUP(A170,'Salary Calculation'!$A$2:$V$999,6,0),"")</f>
        <v/>
      </c>
      <c r="E170" s="105" t="str">
        <f>IFERROR(VLOOKUP(A170,'Salary Calculation'!$A$2:$V$999,10,0),"")</f>
        <v/>
      </c>
      <c r="F170" s="101"/>
      <c r="G170" s="106" t="str">
        <f>IFERROR(VLOOKUP(A170,'Salary Calculation'!$A$2:$V$999,7,0),"")</f>
        <v/>
      </c>
      <c r="H170" s="100"/>
      <c r="I170" s="101"/>
      <c r="J170" s="101"/>
      <c r="K170" s="101"/>
      <c r="L170" s="101"/>
      <c r="M170" s="101"/>
      <c r="N170" s="101"/>
      <c r="O170" s="101"/>
      <c r="P170" s="101"/>
      <c r="Q170" s="101"/>
      <c r="R170" s="101"/>
      <c r="S170" s="101"/>
      <c r="T170" s="101"/>
      <c r="U170" s="101"/>
      <c r="V170" s="101"/>
      <c r="W170" s="101"/>
      <c r="X170" s="101"/>
      <c r="Y170" s="101"/>
      <c r="Z170" s="101"/>
      <c r="AA170" s="101"/>
      <c r="AB170" s="101"/>
    </row>
    <row r="171">
      <c r="A171" s="104" t="s">
        <v>308</v>
      </c>
      <c r="B171" s="105" t="str">
        <f>IFERROR(VLOOKUP(A171,'Salary Calculation'!A170:F1167,2,0),"")</f>
        <v/>
      </c>
      <c r="C171" s="105" t="str">
        <f>IFERROR(VLOOKUP(A171,'Salary Calculation'!$A$2:$V$999,3,0),"")</f>
        <v/>
      </c>
      <c r="D171" s="105" t="str">
        <f>IFERROR(VLOOKUP(A171,'Salary Calculation'!$A$2:$V$999,6,0),"")</f>
        <v/>
      </c>
      <c r="E171" s="105" t="str">
        <f>IFERROR(VLOOKUP(A171,'Salary Calculation'!$A$2:$V$999,10,0),"")</f>
        <v/>
      </c>
      <c r="F171" s="101"/>
      <c r="G171" s="106" t="str">
        <f>IFERROR(VLOOKUP(A171,'Salary Calculation'!$A$2:$V$999,7,0),"")</f>
        <v/>
      </c>
      <c r="H171" s="100"/>
      <c r="I171" s="101"/>
      <c r="J171" s="101"/>
      <c r="K171" s="101"/>
      <c r="L171" s="101"/>
      <c r="M171" s="101"/>
      <c r="N171" s="101"/>
      <c r="O171" s="101"/>
      <c r="P171" s="101"/>
      <c r="Q171" s="101"/>
      <c r="R171" s="101"/>
      <c r="S171" s="101"/>
      <c r="T171" s="101"/>
      <c r="U171" s="101"/>
      <c r="V171" s="101"/>
      <c r="W171" s="101"/>
      <c r="X171" s="101"/>
      <c r="Y171" s="101"/>
      <c r="Z171" s="101"/>
      <c r="AA171" s="101"/>
      <c r="AB171" s="101"/>
    </row>
    <row r="172">
      <c r="A172" s="104" t="s">
        <v>309</v>
      </c>
      <c r="B172" s="105" t="str">
        <f>IFERROR(VLOOKUP(A172,'Salary Calculation'!A171:F1168,2,0),"")</f>
        <v/>
      </c>
      <c r="C172" s="105" t="str">
        <f>IFERROR(VLOOKUP(A172,'Salary Calculation'!$A$2:$V$999,3,0),"")</f>
        <v/>
      </c>
      <c r="D172" s="105" t="str">
        <f>IFERROR(VLOOKUP(A172,'Salary Calculation'!$A$2:$V$999,6,0),"")</f>
        <v/>
      </c>
      <c r="E172" s="105" t="str">
        <f>IFERROR(VLOOKUP(A172,'Salary Calculation'!$A$2:$V$999,10,0),"")</f>
        <v/>
      </c>
      <c r="F172" s="101"/>
      <c r="G172" s="106" t="str">
        <f>IFERROR(VLOOKUP(A172,'Salary Calculation'!$A$2:$V$999,7,0),"")</f>
        <v/>
      </c>
      <c r="H172" s="100"/>
      <c r="I172" s="101"/>
      <c r="J172" s="101"/>
      <c r="K172" s="101"/>
      <c r="L172" s="101"/>
      <c r="M172" s="101"/>
      <c r="N172" s="101"/>
      <c r="O172" s="101"/>
      <c r="P172" s="101"/>
      <c r="Q172" s="101"/>
      <c r="R172" s="101"/>
      <c r="S172" s="101"/>
      <c r="T172" s="101"/>
      <c r="U172" s="101"/>
      <c r="V172" s="101"/>
      <c r="W172" s="101"/>
      <c r="X172" s="101"/>
      <c r="Y172" s="101"/>
      <c r="Z172" s="101"/>
      <c r="AA172" s="101"/>
      <c r="AB172" s="101"/>
    </row>
    <row r="173">
      <c r="A173" s="104" t="s">
        <v>310</v>
      </c>
      <c r="B173" s="105" t="str">
        <f>IFERROR(VLOOKUP(A173,'Salary Calculation'!A172:F1169,2,0),"")</f>
        <v/>
      </c>
      <c r="C173" s="105" t="str">
        <f>IFERROR(VLOOKUP(A173,'Salary Calculation'!$A$2:$V$999,3,0),"")</f>
        <v/>
      </c>
      <c r="D173" s="105" t="str">
        <f>IFERROR(VLOOKUP(A173,'Salary Calculation'!$A$2:$V$999,6,0),"")</f>
        <v/>
      </c>
      <c r="E173" s="105" t="str">
        <f>IFERROR(VLOOKUP(A173,'Salary Calculation'!$A$2:$V$999,10,0),"")</f>
        <v/>
      </c>
      <c r="F173" s="101"/>
      <c r="G173" s="106" t="str">
        <f>IFERROR(VLOOKUP(A173,'Salary Calculation'!$A$2:$V$999,7,0),"")</f>
        <v/>
      </c>
      <c r="H173" s="100"/>
      <c r="I173" s="101"/>
      <c r="J173" s="101"/>
      <c r="K173" s="101"/>
      <c r="L173" s="101"/>
      <c r="M173" s="101"/>
      <c r="N173" s="101"/>
      <c r="O173" s="101"/>
      <c r="P173" s="101"/>
      <c r="Q173" s="101"/>
      <c r="R173" s="101"/>
      <c r="S173" s="101"/>
      <c r="T173" s="101"/>
      <c r="U173" s="101"/>
      <c r="V173" s="101"/>
      <c r="W173" s="101"/>
      <c r="X173" s="101"/>
      <c r="Y173" s="101"/>
      <c r="Z173" s="101"/>
      <c r="AA173" s="101"/>
      <c r="AB173" s="101"/>
    </row>
    <row r="174">
      <c r="A174" s="104" t="s">
        <v>311</v>
      </c>
      <c r="B174" s="105" t="str">
        <f>IFERROR(VLOOKUP(A174,'Salary Calculation'!A173:F1170,2,0),"")</f>
        <v/>
      </c>
      <c r="C174" s="105" t="str">
        <f>IFERROR(VLOOKUP(A174,'Salary Calculation'!$A$2:$V$999,3,0),"")</f>
        <v/>
      </c>
      <c r="D174" s="105" t="str">
        <f>IFERROR(VLOOKUP(A174,'Salary Calculation'!$A$2:$V$999,6,0),"")</f>
        <v/>
      </c>
      <c r="E174" s="105" t="str">
        <f>IFERROR(VLOOKUP(A174,'Salary Calculation'!$A$2:$V$999,10,0),"")</f>
        <v/>
      </c>
      <c r="F174" s="101"/>
      <c r="G174" s="106" t="str">
        <f>IFERROR(VLOOKUP(A174,'Salary Calculation'!$A$2:$V$999,7,0),"")</f>
        <v/>
      </c>
      <c r="H174" s="100"/>
      <c r="I174" s="101"/>
      <c r="J174" s="101"/>
      <c r="K174" s="101"/>
      <c r="L174" s="101"/>
      <c r="M174" s="101"/>
      <c r="N174" s="101"/>
      <c r="O174" s="101"/>
      <c r="P174" s="101"/>
      <c r="Q174" s="101"/>
      <c r="R174" s="101"/>
      <c r="S174" s="101"/>
      <c r="T174" s="101"/>
      <c r="U174" s="101"/>
      <c r="V174" s="101"/>
      <c r="W174" s="101"/>
      <c r="X174" s="101"/>
      <c r="Y174" s="101"/>
      <c r="Z174" s="101"/>
      <c r="AA174" s="101"/>
      <c r="AB174" s="101"/>
    </row>
    <row r="175">
      <c r="A175" s="104" t="s">
        <v>312</v>
      </c>
      <c r="B175" s="105" t="str">
        <f>IFERROR(VLOOKUP(A175,'Salary Calculation'!A174:F1171,2,0),"")</f>
        <v/>
      </c>
      <c r="C175" s="105" t="str">
        <f>IFERROR(VLOOKUP(A175,'Salary Calculation'!$A$2:$V$999,3,0),"")</f>
        <v/>
      </c>
      <c r="D175" s="105" t="str">
        <f>IFERROR(VLOOKUP(A175,'Salary Calculation'!$A$2:$V$999,6,0),"")</f>
        <v/>
      </c>
      <c r="E175" s="105" t="str">
        <f>IFERROR(VLOOKUP(A175,'Salary Calculation'!$A$2:$V$999,10,0),"")</f>
        <v/>
      </c>
      <c r="F175" s="101"/>
      <c r="G175" s="106" t="str">
        <f>IFERROR(VLOOKUP(A175,'Salary Calculation'!$A$2:$V$999,7,0),"")</f>
        <v/>
      </c>
      <c r="H175" s="100"/>
      <c r="I175" s="101"/>
      <c r="J175" s="101"/>
      <c r="K175" s="101"/>
      <c r="L175" s="101"/>
      <c r="M175" s="101"/>
      <c r="N175" s="101"/>
      <c r="O175" s="101"/>
      <c r="P175" s="101"/>
      <c r="Q175" s="101"/>
      <c r="R175" s="101"/>
      <c r="S175" s="101"/>
      <c r="T175" s="101"/>
      <c r="U175" s="101"/>
      <c r="V175" s="101"/>
      <c r="W175" s="101"/>
      <c r="X175" s="101"/>
      <c r="Y175" s="101"/>
      <c r="Z175" s="101"/>
      <c r="AA175" s="101"/>
      <c r="AB175" s="101"/>
    </row>
    <row r="176">
      <c r="A176" s="104" t="s">
        <v>313</v>
      </c>
      <c r="B176" s="105" t="str">
        <f>IFERROR(VLOOKUP(A176,'Salary Calculation'!A175:F1172,2,0),"")</f>
        <v/>
      </c>
      <c r="C176" s="105" t="str">
        <f>IFERROR(VLOOKUP(A176,'Salary Calculation'!$A$2:$V$999,3,0),"")</f>
        <v/>
      </c>
      <c r="D176" s="105" t="str">
        <f>IFERROR(VLOOKUP(A176,'Salary Calculation'!$A$2:$V$999,6,0),"")</f>
        <v/>
      </c>
      <c r="E176" s="105" t="str">
        <f>IFERROR(VLOOKUP(A176,'Salary Calculation'!$A$2:$V$999,10,0),"")</f>
        <v/>
      </c>
      <c r="F176" s="101"/>
      <c r="G176" s="106" t="str">
        <f>IFERROR(VLOOKUP(A176,'Salary Calculation'!$A$2:$V$999,7,0),"")</f>
        <v/>
      </c>
      <c r="H176" s="100"/>
      <c r="I176" s="101"/>
      <c r="J176" s="101"/>
      <c r="K176" s="101"/>
      <c r="L176" s="101"/>
      <c r="M176" s="101"/>
      <c r="N176" s="101"/>
      <c r="O176" s="101"/>
      <c r="P176" s="101"/>
      <c r="Q176" s="101"/>
      <c r="R176" s="101"/>
      <c r="S176" s="101"/>
      <c r="T176" s="101"/>
      <c r="U176" s="101"/>
      <c r="V176" s="101"/>
      <c r="W176" s="101"/>
      <c r="X176" s="101"/>
      <c r="Y176" s="101"/>
      <c r="Z176" s="101"/>
      <c r="AA176" s="101"/>
      <c r="AB176" s="101"/>
    </row>
    <row r="177">
      <c r="A177" s="104" t="s">
        <v>314</v>
      </c>
      <c r="B177" s="105" t="str">
        <f>IFERROR(VLOOKUP(A177,'Salary Calculation'!A176:F1173,2,0),"")</f>
        <v/>
      </c>
      <c r="C177" s="105" t="str">
        <f>IFERROR(VLOOKUP(A177,'Salary Calculation'!$A$2:$V$999,3,0),"")</f>
        <v/>
      </c>
      <c r="D177" s="105" t="str">
        <f>IFERROR(VLOOKUP(A177,'Salary Calculation'!$A$2:$V$999,6,0),"")</f>
        <v/>
      </c>
      <c r="E177" s="105" t="str">
        <f>IFERROR(VLOOKUP(A177,'Salary Calculation'!$A$2:$V$999,10,0),"")</f>
        <v/>
      </c>
      <c r="F177" s="101"/>
      <c r="G177" s="106" t="str">
        <f>IFERROR(VLOOKUP(A177,'Salary Calculation'!$A$2:$V$999,7,0),"")</f>
        <v/>
      </c>
      <c r="H177" s="100"/>
      <c r="I177" s="101"/>
      <c r="J177" s="101"/>
      <c r="K177" s="101"/>
      <c r="L177" s="101"/>
      <c r="M177" s="101"/>
      <c r="N177" s="101"/>
      <c r="O177" s="101"/>
      <c r="P177" s="101"/>
      <c r="Q177" s="101"/>
      <c r="R177" s="101"/>
      <c r="S177" s="101"/>
      <c r="T177" s="101"/>
      <c r="U177" s="101"/>
      <c r="V177" s="101"/>
      <c r="W177" s="101"/>
      <c r="X177" s="101"/>
      <c r="Y177" s="101"/>
      <c r="Z177" s="101"/>
      <c r="AA177" s="101"/>
      <c r="AB177" s="101"/>
    </row>
    <row r="178">
      <c r="A178" s="104" t="s">
        <v>315</v>
      </c>
      <c r="B178" s="105" t="str">
        <f>IFERROR(VLOOKUP(A178,'Salary Calculation'!A177:F1174,2,0),"")</f>
        <v/>
      </c>
      <c r="C178" s="105" t="str">
        <f>IFERROR(VLOOKUP(A178,'Salary Calculation'!$A$2:$V$999,3,0),"")</f>
        <v/>
      </c>
      <c r="D178" s="105" t="str">
        <f>IFERROR(VLOOKUP(A178,'Salary Calculation'!$A$2:$V$999,6,0),"")</f>
        <v/>
      </c>
      <c r="E178" s="105" t="str">
        <f>IFERROR(VLOOKUP(A178,'Salary Calculation'!$A$2:$V$999,10,0),"")</f>
        <v/>
      </c>
      <c r="F178" s="101"/>
      <c r="G178" s="106" t="str">
        <f>IFERROR(VLOOKUP(A178,'Salary Calculation'!$A$2:$V$999,7,0),"")</f>
        <v/>
      </c>
      <c r="H178" s="100"/>
      <c r="I178" s="101"/>
      <c r="J178" s="101"/>
      <c r="K178" s="101"/>
      <c r="L178" s="101"/>
      <c r="M178" s="101"/>
      <c r="N178" s="101"/>
      <c r="O178" s="101"/>
      <c r="P178" s="101"/>
      <c r="Q178" s="101"/>
      <c r="R178" s="101"/>
      <c r="S178" s="101"/>
      <c r="T178" s="101"/>
      <c r="U178" s="101"/>
      <c r="V178" s="101"/>
      <c r="W178" s="101"/>
      <c r="X178" s="101"/>
      <c r="Y178" s="101"/>
      <c r="Z178" s="101"/>
      <c r="AA178" s="101"/>
      <c r="AB178" s="101"/>
    </row>
    <row r="179">
      <c r="A179" s="104" t="s">
        <v>316</v>
      </c>
      <c r="B179" s="105" t="str">
        <f>IFERROR(VLOOKUP(A179,'Salary Calculation'!A178:F1175,2,0),"")</f>
        <v/>
      </c>
      <c r="C179" s="105" t="str">
        <f>IFERROR(VLOOKUP(A179,'Salary Calculation'!$A$2:$V$999,3,0),"")</f>
        <v/>
      </c>
      <c r="D179" s="105" t="str">
        <f>IFERROR(VLOOKUP(A179,'Salary Calculation'!$A$2:$V$999,6,0),"")</f>
        <v/>
      </c>
      <c r="E179" s="105" t="str">
        <f>IFERROR(VLOOKUP(A179,'Salary Calculation'!$A$2:$V$999,10,0),"")</f>
        <v/>
      </c>
      <c r="F179" s="101"/>
      <c r="G179" s="106" t="str">
        <f>IFERROR(VLOOKUP(A179,'Salary Calculation'!$A$2:$V$999,7,0),"")</f>
        <v/>
      </c>
      <c r="H179" s="100"/>
      <c r="I179" s="101"/>
      <c r="J179" s="101"/>
      <c r="K179" s="101"/>
      <c r="L179" s="101"/>
      <c r="M179" s="101"/>
      <c r="N179" s="101"/>
      <c r="O179" s="101"/>
      <c r="P179" s="101"/>
      <c r="Q179" s="101"/>
      <c r="R179" s="101"/>
      <c r="S179" s="101"/>
      <c r="T179" s="101"/>
      <c r="U179" s="101"/>
      <c r="V179" s="101"/>
      <c r="W179" s="101"/>
      <c r="X179" s="101"/>
      <c r="Y179" s="101"/>
      <c r="Z179" s="101"/>
      <c r="AA179" s="101"/>
      <c r="AB179" s="101"/>
    </row>
    <row r="180">
      <c r="A180" s="104" t="s">
        <v>317</v>
      </c>
      <c r="B180" s="105" t="str">
        <f>IFERROR(VLOOKUP(A180,'Salary Calculation'!A179:F1176,2,0),"")</f>
        <v/>
      </c>
      <c r="C180" s="105" t="str">
        <f>IFERROR(VLOOKUP(A180,'Salary Calculation'!$A$2:$V$999,3,0),"")</f>
        <v/>
      </c>
      <c r="D180" s="105" t="str">
        <f>IFERROR(VLOOKUP(A180,'Salary Calculation'!$A$2:$V$999,6,0),"")</f>
        <v/>
      </c>
      <c r="E180" s="105" t="str">
        <f>IFERROR(VLOOKUP(A180,'Salary Calculation'!$A$2:$V$999,10,0),"")</f>
        <v/>
      </c>
      <c r="F180" s="101"/>
      <c r="G180" s="106" t="str">
        <f>IFERROR(VLOOKUP(A180,'Salary Calculation'!$A$2:$V$999,7,0),"")</f>
        <v/>
      </c>
      <c r="H180" s="100"/>
      <c r="I180" s="101"/>
      <c r="J180" s="101"/>
      <c r="K180" s="101"/>
      <c r="L180" s="101"/>
      <c r="M180" s="101"/>
      <c r="N180" s="101"/>
      <c r="O180" s="101"/>
      <c r="P180" s="101"/>
      <c r="Q180" s="101"/>
      <c r="R180" s="101"/>
      <c r="S180" s="101"/>
      <c r="T180" s="101"/>
      <c r="U180" s="101"/>
      <c r="V180" s="101"/>
      <c r="W180" s="101"/>
      <c r="X180" s="101"/>
      <c r="Y180" s="101"/>
      <c r="Z180" s="101"/>
      <c r="AA180" s="101"/>
      <c r="AB180" s="101"/>
    </row>
    <row r="181">
      <c r="A181" s="104" t="s">
        <v>318</v>
      </c>
      <c r="B181" s="105" t="str">
        <f>IFERROR(VLOOKUP(A181,'Salary Calculation'!A180:F1177,2,0),"")</f>
        <v/>
      </c>
      <c r="C181" s="105" t="str">
        <f>IFERROR(VLOOKUP(A181,'Salary Calculation'!$A$2:$V$999,3,0),"")</f>
        <v/>
      </c>
      <c r="D181" s="105" t="str">
        <f>IFERROR(VLOOKUP(A181,'Salary Calculation'!$A$2:$V$999,6,0),"")</f>
        <v/>
      </c>
      <c r="E181" s="105" t="str">
        <f>IFERROR(VLOOKUP(A181,'Salary Calculation'!$A$2:$V$999,10,0),"")</f>
        <v/>
      </c>
      <c r="F181" s="101"/>
      <c r="G181" s="106" t="str">
        <f>IFERROR(VLOOKUP(A181,'Salary Calculation'!$A$2:$V$999,7,0),"")</f>
        <v/>
      </c>
      <c r="H181" s="100"/>
      <c r="I181" s="101"/>
      <c r="J181" s="101"/>
      <c r="K181" s="101"/>
      <c r="L181" s="101"/>
      <c r="M181" s="101"/>
      <c r="N181" s="101"/>
      <c r="O181" s="101"/>
      <c r="P181" s="101"/>
      <c r="Q181" s="101"/>
      <c r="R181" s="101"/>
      <c r="S181" s="101"/>
      <c r="T181" s="101"/>
      <c r="U181" s="101"/>
      <c r="V181" s="101"/>
      <c r="W181" s="101"/>
      <c r="X181" s="101"/>
      <c r="Y181" s="101"/>
      <c r="Z181" s="101"/>
      <c r="AA181" s="101"/>
      <c r="AB181" s="101"/>
    </row>
    <row r="182">
      <c r="A182" s="104" t="s">
        <v>319</v>
      </c>
      <c r="B182" s="105" t="str">
        <f>IFERROR(VLOOKUP(A182,'Salary Calculation'!A181:F1178,2,0),"")</f>
        <v/>
      </c>
      <c r="C182" s="105" t="str">
        <f>IFERROR(VLOOKUP(A182,'Salary Calculation'!$A$2:$V$999,3,0),"")</f>
        <v/>
      </c>
      <c r="D182" s="105" t="str">
        <f>IFERROR(VLOOKUP(A182,'Salary Calculation'!$A$2:$V$999,6,0),"")</f>
        <v/>
      </c>
      <c r="E182" s="105" t="str">
        <f>IFERROR(VLOOKUP(A182,'Salary Calculation'!$A$2:$V$999,10,0),"")</f>
        <v/>
      </c>
      <c r="F182" s="101"/>
      <c r="G182" s="106" t="str">
        <f>IFERROR(VLOOKUP(A182,'Salary Calculation'!$A$2:$V$999,7,0),"")</f>
        <v/>
      </c>
      <c r="H182" s="100"/>
      <c r="I182" s="101"/>
      <c r="J182" s="101"/>
      <c r="K182" s="101"/>
      <c r="L182" s="101"/>
      <c r="M182" s="101"/>
      <c r="N182" s="101"/>
      <c r="O182" s="101"/>
      <c r="P182" s="101"/>
      <c r="Q182" s="101"/>
      <c r="R182" s="101"/>
      <c r="S182" s="101"/>
      <c r="T182" s="101"/>
      <c r="U182" s="101"/>
      <c r="V182" s="101"/>
      <c r="W182" s="101"/>
      <c r="X182" s="101"/>
      <c r="Y182" s="101"/>
      <c r="Z182" s="101"/>
      <c r="AA182" s="101"/>
      <c r="AB182" s="101"/>
    </row>
    <row r="183">
      <c r="A183" s="104" t="s">
        <v>320</v>
      </c>
      <c r="B183" s="105" t="str">
        <f>IFERROR(VLOOKUP(A183,'Salary Calculation'!A182:F1179,2,0),"")</f>
        <v/>
      </c>
      <c r="C183" s="105" t="str">
        <f>IFERROR(VLOOKUP(A183,'Salary Calculation'!$A$2:$V$999,3,0),"")</f>
        <v/>
      </c>
      <c r="D183" s="105" t="str">
        <f>IFERROR(VLOOKUP(A183,'Salary Calculation'!$A$2:$V$999,6,0),"")</f>
        <v/>
      </c>
      <c r="E183" s="105" t="str">
        <f>IFERROR(VLOOKUP(A183,'Salary Calculation'!$A$2:$V$999,10,0),"")</f>
        <v/>
      </c>
      <c r="F183" s="101"/>
      <c r="G183" s="106" t="str">
        <f>IFERROR(VLOOKUP(A183,'Salary Calculation'!$A$2:$V$999,7,0),"")</f>
        <v/>
      </c>
      <c r="H183" s="100"/>
      <c r="I183" s="101"/>
      <c r="J183" s="101"/>
      <c r="K183" s="101"/>
      <c r="L183" s="101"/>
      <c r="M183" s="101"/>
      <c r="N183" s="101"/>
      <c r="O183" s="101"/>
      <c r="P183" s="101"/>
      <c r="Q183" s="101"/>
      <c r="R183" s="101"/>
      <c r="S183" s="101"/>
      <c r="T183" s="101"/>
      <c r="U183" s="101"/>
      <c r="V183" s="101"/>
      <c r="W183" s="101"/>
      <c r="X183" s="101"/>
      <c r="Y183" s="101"/>
      <c r="Z183" s="101"/>
      <c r="AA183" s="101"/>
      <c r="AB183" s="101"/>
    </row>
    <row r="184">
      <c r="A184" s="104" t="s">
        <v>321</v>
      </c>
      <c r="B184" s="105" t="str">
        <f>IFERROR(VLOOKUP(A184,'Salary Calculation'!A183:F1180,2,0),"")</f>
        <v/>
      </c>
      <c r="C184" s="105" t="str">
        <f>IFERROR(VLOOKUP(A184,'Salary Calculation'!$A$2:$V$999,3,0),"")</f>
        <v/>
      </c>
      <c r="D184" s="105" t="str">
        <f>IFERROR(VLOOKUP(A184,'Salary Calculation'!$A$2:$V$999,6,0),"")</f>
        <v/>
      </c>
      <c r="E184" s="105" t="str">
        <f>IFERROR(VLOOKUP(A184,'Salary Calculation'!$A$2:$V$999,10,0),"")</f>
        <v/>
      </c>
      <c r="F184" s="101"/>
      <c r="G184" s="106" t="str">
        <f>IFERROR(VLOOKUP(A184,'Salary Calculation'!$A$2:$V$999,7,0),"")</f>
        <v/>
      </c>
      <c r="H184" s="100"/>
      <c r="I184" s="101"/>
      <c r="J184" s="101"/>
      <c r="K184" s="101"/>
      <c r="L184" s="101"/>
      <c r="M184" s="101"/>
      <c r="N184" s="101"/>
      <c r="O184" s="101"/>
      <c r="P184" s="101"/>
      <c r="Q184" s="101"/>
      <c r="R184" s="101"/>
      <c r="S184" s="101"/>
      <c r="T184" s="101"/>
      <c r="U184" s="101"/>
      <c r="V184" s="101"/>
      <c r="W184" s="101"/>
      <c r="X184" s="101"/>
      <c r="Y184" s="101"/>
      <c r="Z184" s="101"/>
      <c r="AA184" s="101"/>
      <c r="AB184" s="101"/>
    </row>
    <row r="185">
      <c r="A185" s="104" t="s">
        <v>322</v>
      </c>
      <c r="B185" s="105" t="str">
        <f>IFERROR(VLOOKUP(A185,'Salary Calculation'!A184:F1181,2,0),"")</f>
        <v/>
      </c>
      <c r="C185" s="105" t="str">
        <f>IFERROR(VLOOKUP(A185,'Salary Calculation'!$A$2:$V$999,3,0),"")</f>
        <v/>
      </c>
      <c r="D185" s="105" t="str">
        <f>IFERROR(VLOOKUP(A185,'Salary Calculation'!$A$2:$V$999,6,0),"")</f>
        <v/>
      </c>
      <c r="E185" s="105" t="str">
        <f>IFERROR(VLOOKUP(A185,'Salary Calculation'!$A$2:$V$999,10,0),"")</f>
        <v/>
      </c>
      <c r="F185" s="101"/>
      <c r="G185" s="106" t="str">
        <f>IFERROR(VLOOKUP(A185,'Salary Calculation'!$A$2:$V$999,7,0),"")</f>
        <v/>
      </c>
      <c r="H185" s="100"/>
      <c r="I185" s="101"/>
      <c r="J185" s="101"/>
      <c r="K185" s="101"/>
      <c r="L185" s="101"/>
      <c r="M185" s="101"/>
      <c r="N185" s="101"/>
      <c r="O185" s="101"/>
      <c r="P185" s="101"/>
      <c r="Q185" s="101"/>
      <c r="R185" s="101"/>
      <c r="S185" s="101"/>
      <c r="T185" s="101"/>
      <c r="U185" s="101"/>
      <c r="V185" s="101"/>
      <c r="W185" s="101"/>
      <c r="X185" s="101"/>
      <c r="Y185" s="101"/>
      <c r="Z185" s="101"/>
      <c r="AA185" s="101"/>
      <c r="AB185" s="101"/>
    </row>
    <row r="186">
      <c r="A186" s="104" t="s">
        <v>323</v>
      </c>
      <c r="B186" s="105" t="str">
        <f>IFERROR(VLOOKUP(A186,'Salary Calculation'!A185:F1182,2,0),"")</f>
        <v/>
      </c>
      <c r="C186" s="105" t="str">
        <f>IFERROR(VLOOKUP(A186,'Salary Calculation'!$A$2:$V$999,3,0),"")</f>
        <v/>
      </c>
      <c r="D186" s="105" t="str">
        <f>IFERROR(VLOOKUP(A186,'Salary Calculation'!$A$2:$V$999,6,0),"")</f>
        <v/>
      </c>
      <c r="E186" s="105" t="str">
        <f>IFERROR(VLOOKUP(A186,'Salary Calculation'!$A$2:$V$999,10,0),"")</f>
        <v/>
      </c>
      <c r="F186" s="101"/>
      <c r="G186" s="106" t="str">
        <f>IFERROR(VLOOKUP(A186,'Salary Calculation'!$A$2:$V$999,7,0),"")</f>
        <v/>
      </c>
      <c r="H186" s="100"/>
      <c r="I186" s="101"/>
      <c r="J186" s="101"/>
      <c r="K186" s="101"/>
      <c r="L186" s="101"/>
      <c r="M186" s="101"/>
      <c r="N186" s="101"/>
      <c r="O186" s="101"/>
      <c r="P186" s="101"/>
      <c r="Q186" s="101"/>
      <c r="R186" s="101"/>
      <c r="S186" s="101"/>
      <c r="T186" s="101"/>
      <c r="U186" s="101"/>
      <c r="V186" s="101"/>
      <c r="W186" s="101"/>
      <c r="X186" s="101"/>
      <c r="Y186" s="101"/>
      <c r="Z186" s="101"/>
      <c r="AA186" s="101"/>
      <c r="AB186" s="101"/>
    </row>
    <row r="187">
      <c r="A187" s="104" t="s">
        <v>324</v>
      </c>
      <c r="B187" s="105" t="str">
        <f>IFERROR(VLOOKUP(A187,'Salary Calculation'!A186:F1183,2,0),"")</f>
        <v/>
      </c>
      <c r="C187" s="105" t="str">
        <f>IFERROR(VLOOKUP(A187,'Salary Calculation'!$A$2:$V$999,3,0),"")</f>
        <v/>
      </c>
      <c r="D187" s="105" t="str">
        <f>IFERROR(VLOOKUP(A187,'Salary Calculation'!$A$2:$V$999,6,0),"")</f>
        <v/>
      </c>
      <c r="E187" s="105" t="str">
        <f>IFERROR(VLOOKUP(A187,'Salary Calculation'!$A$2:$V$999,10,0),"")</f>
        <v/>
      </c>
      <c r="F187" s="101"/>
      <c r="G187" s="106" t="str">
        <f>IFERROR(VLOOKUP(A187,'Salary Calculation'!$A$2:$V$999,7,0),"")</f>
        <v/>
      </c>
      <c r="H187" s="100"/>
      <c r="I187" s="101"/>
      <c r="J187" s="101"/>
      <c r="K187" s="101"/>
      <c r="L187" s="101"/>
      <c r="M187" s="101"/>
      <c r="N187" s="101"/>
      <c r="O187" s="101"/>
      <c r="P187" s="101"/>
      <c r="Q187" s="101"/>
      <c r="R187" s="101"/>
      <c r="S187" s="101"/>
      <c r="T187" s="101"/>
      <c r="U187" s="101"/>
      <c r="V187" s="101"/>
      <c r="W187" s="101"/>
      <c r="X187" s="101"/>
      <c r="Y187" s="101"/>
      <c r="Z187" s="101"/>
      <c r="AA187" s="101"/>
      <c r="AB187" s="101"/>
    </row>
    <row r="188">
      <c r="A188" s="104" t="s">
        <v>325</v>
      </c>
      <c r="B188" s="105" t="str">
        <f>IFERROR(VLOOKUP(A188,'Salary Calculation'!A187:F1184,2,0),"")</f>
        <v/>
      </c>
      <c r="C188" s="105" t="str">
        <f>IFERROR(VLOOKUP(A188,'Salary Calculation'!$A$2:$V$999,3,0),"")</f>
        <v/>
      </c>
      <c r="D188" s="105" t="str">
        <f>IFERROR(VLOOKUP(A188,'Salary Calculation'!$A$2:$V$999,6,0),"")</f>
        <v/>
      </c>
      <c r="E188" s="105" t="str">
        <f>IFERROR(VLOOKUP(A188,'Salary Calculation'!$A$2:$V$999,10,0),"")</f>
        <v/>
      </c>
      <c r="F188" s="101"/>
      <c r="G188" s="106" t="str">
        <f>IFERROR(VLOOKUP(A188,'Salary Calculation'!$A$2:$V$999,7,0),"")</f>
        <v/>
      </c>
      <c r="H188" s="100"/>
      <c r="I188" s="101"/>
      <c r="J188" s="101"/>
      <c r="K188" s="101"/>
      <c r="L188" s="101"/>
      <c r="M188" s="101"/>
      <c r="N188" s="101"/>
      <c r="O188" s="101"/>
      <c r="P188" s="101"/>
      <c r="Q188" s="101"/>
      <c r="R188" s="101"/>
      <c r="S188" s="101"/>
      <c r="T188" s="101"/>
      <c r="U188" s="101"/>
      <c r="V188" s="101"/>
      <c r="W188" s="101"/>
      <c r="X188" s="101"/>
      <c r="Y188" s="101"/>
      <c r="Z188" s="101"/>
      <c r="AA188" s="101"/>
      <c r="AB188" s="101"/>
    </row>
    <row r="189">
      <c r="A189" s="104" t="s">
        <v>326</v>
      </c>
      <c r="B189" s="105" t="str">
        <f>IFERROR(VLOOKUP(A189,'Salary Calculation'!A188:F1185,2,0),"")</f>
        <v/>
      </c>
      <c r="C189" s="105" t="str">
        <f>IFERROR(VLOOKUP(A189,'Salary Calculation'!$A$2:$V$999,3,0),"")</f>
        <v/>
      </c>
      <c r="D189" s="105" t="str">
        <f>IFERROR(VLOOKUP(A189,'Salary Calculation'!$A$2:$V$999,6,0),"")</f>
        <v/>
      </c>
      <c r="E189" s="105" t="str">
        <f>IFERROR(VLOOKUP(A189,'Salary Calculation'!$A$2:$V$999,10,0),"")</f>
        <v/>
      </c>
      <c r="F189" s="101"/>
      <c r="G189" s="106" t="str">
        <f>IFERROR(VLOOKUP(A189,'Salary Calculation'!$A$2:$V$999,7,0),"")</f>
        <v/>
      </c>
      <c r="H189" s="100"/>
      <c r="I189" s="101"/>
      <c r="J189" s="101"/>
      <c r="K189" s="101"/>
      <c r="L189" s="101"/>
      <c r="M189" s="101"/>
      <c r="N189" s="101"/>
      <c r="O189" s="101"/>
      <c r="P189" s="101"/>
      <c r="Q189" s="101"/>
      <c r="R189" s="101"/>
      <c r="S189" s="101"/>
      <c r="T189" s="101"/>
      <c r="U189" s="101"/>
      <c r="V189" s="101"/>
      <c r="W189" s="101"/>
      <c r="X189" s="101"/>
      <c r="Y189" s="101"/>
      <c r="Z189" s="101"/>
      <c r="AA189" s="101"/>
      <c r="AB189" s="101"/>
    </row>
    <row r="190">
      <c r="A190" s="104" t="s">
        <v>327</v>
      </c>
      <c r="B190" s="105" t="str">
        <f>IFERROR(VLOOKUP(A190,'Salary Calculation'!A189:F1186,2,0),"")</f>
        <v/>
      </c>
      <c r="C190" s="105" t="str">
        <f>IFERROR(VLOOKUP(A190,'Salary Calculation'!$A$2:$V$999,3,0),"")</f>
        <v/>
      </c>
      <c r="D190" s="105" t="str">
        <f>IFERROR(VLOOKUP(A190,'Salary Calculation'!$A$2:$V$999,6,0),"")</f>
        <v/>
      </c>
      <c r="E190" s="105" t="str">
        <f>IFERROR(VLOOKUP(A190,'Salary Calculation'!$A$2:$V$999,10,0),"")</f>
        <v/>
      </c>
      <c r="F190" s="101"/>
      <c r="G190" s="106" t="str">
        <f>IFERROR(VLOOKUP(A190,'Salary Calculation'!$A$2:$V$999,7,0),"")</f>
        <v/>
      </c>
      <c r="H190" s="100"/>
      <c r="I190" s="101"/>
      <c r="J190" s="101"/>
      <c r="K190" s="101"/>
      <c r="L190" s="101"/>
      <c r="M190" s="101"/>
      <c r="N190" s="101"/>
      <c r="O190" s="101"/>
      <c r="P190" s="101"/>
      <c r="Q190" s="101"/>
      <c r="R190" s="101"/>
      <c r="S190" s="101"/>
      <c r="T190" s="101"/>
      <c r="U190" s="101"/>
      <c r="V190" s="101"/>
      <c r="W190" s="101"/>
      <c r="X190" s="101"/>
      <c r="Y190" s="101"/>
      <c r="Z190" s="101"/>
      <c r="AA190" s="101"/>
      <c r="AB190" s="101"/>
    </row>
    <row r="191">
      <c r="A191" s="104" t="s">
        <v>328</v>
      </c>
      <c r="B191" s="105" t="str">
        <f>IFERROR(VLOOKUP(A191,'Salary Calculation'!A190:F1187,2,0),"")</f>
        <v/>
      </c>
      <c r="C191" s="105" t="str">
        <f>IFERROR(VLOOKUP(A191,'Salary Calculation'!$A$2:$V$999,3,0),"")</f>
        <v/>
      </c>
      <c r="D191" s="105" t="str">
        <f>IFERROR(VLOOKUP(A191,'Salary Calculation'!$A$2:$V$999,6,0),"")</f>
        <v/>
      </c>
      <c r="E191" s="105" t="str">
        <f>IFERROR(VLOOKUP(A191,'Salary Calculation'!$A$2:$V$999,10,0),"")</f>
        <v/>
      </c>
      <c r="F191" s="101"/>
      <c r="G191" s="106" t="str">
        <f>IFERROR(VLOOKUP(A191,'Salary Calculation'!$A$2:$V$999,7,0),"")</f>
        <v/>
      </c>
      <c r="H191" s="100"/>
      <c r="I191" s="101"/>
      <c r="J191" s="101"/>
      <c r="K191" s="101"/>
      <c r="L191" s="101"/>
      <c r="M191" s="101"/>
      <c r="N191" s="101"/>
      <c r="O191" s="101"/>
      <c r="P191" s="101"/>
      <c r="Q191" s="101"/>
      <c r="R191" s="101"/>
      <c r="S191" s="101"/>
      <c r="T191" s="101"/>
      <c r="U191" s="101"/>
      <c r="V191" s="101"/>
      <c r="W191" s="101"/>
      <c r="X191" s="101"/>
      <c r="Y191" s="101"/>
      <c r="Z191" s="101"/>
      <c r="AA191" s="101"/>
      <c r="AB191" s="101"/>
    </row>
    <row r="192">
      <c r="A192" s="104" t="s">
        <v>329</v>
      </c>
      <c r="B192" s="105" t="str">
        <f>IFERROR(VLOOKUP(A192,'Salary Calculation'!A191:F1188,2,0),"")</f>
        <v/>
      </c>
      <c r="C192" s="105" t="str">
        <f>IFERROR(VLOOKUP(A192,'Salary Calculation'!$A$2:$V$999,3,0),"")</f>
        <v/>
      </c>
      <c r="D192" s="105" t="str">
        <f>IFERROR(VLOOKUP(A192,'Salary Calculation'!$A$2:$V$999,6,0),"")</f>
        <v/>
      </c>
      <c r="E192" s="105" t="str">
        <f>IFERROR(VLOOKUP(A192,'Salary Calculation'!$A$2:$V$999,10,0),"")</f>
        <v/>
      </c>
      <c r="F192" s="101"/>
      <c r="G192" s="106" t="str">
        <f>IFERROR(VLOOKUP(A192,'Salary Calculation'!$A$2:$V$999,7,0),"")</f>
        <v/>
      </c>
      <c r="H192" s="100"/>
      <c r="I192" s="101"/>
      <c r="J192" s="101"/>
      <c r="K192" s="101"/>
      <c r="L192" s="101"/>
      <c r="M192" s="101"/>
      <c r="N192" s="101"/>
      <c r="O192" s="101"/>
      <c r="P192" s="101"/>
      <c r="Q192" s="101"/>
      <c r="R192" s="101"/>
      <c r="S192" s="101"/>
      <c r="T192" s="101"/>
      <c r="U192" s="101"/>
      <c r="V192" s="101"/>
      <c r="W192" s="101"/>
      <c r="X192" s="101"/>
      <c r="Y192" s="101"/>
      <c r="Z192" s="101"/>
      <c r="AA192" s="101"/>
      <c r="AB192" s="101"/>
    </row>
    <row r="193">
      <c r="A193" s="104" t="s">
        <v>330</v>
      </c>
      <c r="B193" s="105" t="str">
        <f>IFERROR(VLOOKUP(A193,'Salary Calculation'!A192:F1189,2,0),"")</f>
        <v/>
      </c>
      <c r="C193" s="105" t="str">
        <f>IFERROR(VLOOKUP(A193,'Salary Calculation'!$A$2:$V$999,3,0),"")</f>
        <v/>
      </c>
      <c r="D193" s="105" t="str">
        <f>IFERROR(VLOOKUP(A193,'Salary Calculation'!$A$2:$V$999,6,0),"")</f>
        <v/>
      </c>
      <c r="E193" s="105" t="str">
        <f>IFERROR(VLOOKUP(A193,'Salary Calculation'!$A$2:$V$999,10,0),"")</f>
        <v/>
      </c>
      <c r="F193" s="101"/>
      <c r="G193" s="106" t="str">
        <f>IFERROR(VLOOKUP(A193,'Salary Calculation'!$A$2:$V$999,7,0),"")</f>
        <v/>
      </c>
      <c r="H193" s="100"/>
      <c r="I193" s="101"/>
      <c r="J193" s="101"/>
      <c r="K193" s="101"/>
      <c r="L193" s="101"/>
      <c r="M193" s="101"/>
      <c r="N193" s="101"/>
      <c r="O193" s="101"/>
      <c r="P193" s="101"/>
      <c r="Q193" s="101"/>
      <c r="R193" s="101"/>
      <c r="S193" s="101"/>
      <c r="T193" s="101"/>
      <c r="U193" s="101"/>
      <c r="V193" s="101"/>
      <c r="W193" s="101"/>
      <c r="X193" s="101"/>
      <c r="Y193" s="101"/>
      <c r="Z193" s="101"/>
      <c r="AA193" s="101"/>
      <c r="AB193" s="101"/>
    </row>
    <row r="194">
      <c r="A194" s="104" t="s">
        <v>331</v>
      </c>
      <c r="B194" s="105" t="str">
        <f>IFERROR(VLOOKUP(A194,'Salary Calculation'!A193:F1190,2,0),"")</f>
        <v/>
      </c>
      <c r="C194" s="105" t="str">
        <f>IFERROR(VLOOKUP(A194,'Salary Calculation'!$A$2:$V$999,3,0),"")</f>
        <v/>
      </c>
      <c r="D194" s="105" t="str">
        <f>IFERROR(VLOOKUP(A194,'Salary Calculation'!$A$2:$V$999,6,0),"")</f>
        <v/>
      </c>
      <c r="E194" s="105" t="str">
        <f>IFERROR(VLOOKUP(A194,'Salary Calculation'!$A$2:$V$999,10,0),"")</f>
        <v/>
      </c>
      <c r="F194" s="101"/>
      <c r="G194" s="106" t="str">
        <f>IFERROR(VLOOKUP(A194,'Salary Calculation'!$A$2:$V$999,7,0),"")</f>
        <v/>
      </c>
      <c r="H194" s="100"/>
      <c r="I194" s="101"/>
      <c r="J194" s="101"/>
      <c r="K194" s="101"/>
      <c r="L194" s="101"/>
      <c r="M194" s="101"/>
      <c r="N194" s="101"/>
      <c r="O194" s="101"/>
      <c r="P194" s="101"/>
      <c r="Q194" s="101"/>
      <c r="R194" s="101"/>
      <c r="S194" s="101"/>
      <c r="T194" s="101"/>
      <c r="U194" s="101"/>
      <c r="V194" s="101"/>
      <c r="W194" s="101"/>
      <c r="X194" s="101"/>
      <c r="Y194" s="101"/>
      <c r="Z194" s="101"/>
      <c r="AA194" s="101"/>
      <c r="AB194" s="101"/>
    </row>
    <row r="195">
      <c r="A195" s="104" t="s">
        <v>332</v>
      </c>
      <c r="B195" s="105" t="str">
        <f>IFERROR(VLOOKUP(A195,'Salary Calculation'!A194:F1191,2,0),"")</f>
        <v/>
      </c>
      <c r="C195" s="105" t="str">
        <f>IFERROR(VLOOKUP(A195,'Salary Calculation'!$A$2:$V$999,3,0),"")</f>
        <v/>
      </c>
      <c r="D195" s="105" t="str">
        <f>IFERROR(VLOOKUP(A195,'Salary Calculation'!$A$2:$V$999,6,0),"")</f>
        <v/>
      </c>
      <c r="E195" s="105" t="str">
        <f>IFERROR(VLOOKUP(A195,'Salary Calculation'!$A$2:$V$999,10,0),"")</f>
        <v/>
      </c>
      <c r="F195" s="101"/>
      <c r="G195" s="106" t="str">
        <f>IFERROR(VLOOKUP(A195,'Salary Calculation'!$A$2:$V$999,7,0),"")</f>
        <v/>
      </c>
      <c r="H195" s="100"/>
      <c r="I195" s="101"/>
      <c r="J195" s="101"/>
      <c r="K195" s="101"/>
      <c r="L195" s="101"/>
      <c r="M195" s="101"/>
      <c r="N195" s="101"/>
      <c r="O195" s="101"/>
      <c r="P195" s="101"/>
      <c r="Q195" s="101"/>
      <c r="R195" s="101"/>
      <c r="S195" s="101"/>
      <c r="T195" s="101"/>
      <c r="U195" s="101"/>
      <c r="V195" s="101"/>
      <c r="W195" s="101"/>
      <c r="X195" s="101"/>
      <c r="Y195" s="101"/>
      <c r="Z195" s="101"/>
      <c r="AA195" s="101"/>
      <c r="AB195" s="101"/>
    </row>
    <row r="196">
      <c r="A196" s="104" t="s">
        <v>333</v>
      </c>
      <c r="B196" s="105" t="str">
        <f>IFERROR(VLOOKUP(A196,'Salary Calculation'!A195:F1192,2,0),"")</f>
        <v/>
      </c>
      <c r="C196" s="105" t="str">
        <f>IFERROR(VLOOKUP(A196,'Salary Calculation'!$A$2:$V$999,3,0),"")</f>
        <v/>
      </c>
      <c r="D196" s="105" t="str">
        <f>IFERROR(VLOOKUP(A196,'Salary Calculation'!$A$2:$V$999,6,0),"")</f>
        <v/>
      </c>
      <c r="E196" s="105" t="str">
        <f>IFERROR(VLOOKUP(A196,'Salary Calculation'!$A$2:$V$999,10,0),"")</f>
        <v/>
      </c>
      <c r="F196" s="101"/>
      <c r="G196" s="106" t="str">
        <f>IFERROR(VLOOKUP(A196,'Salary Calculation'!$A$2:$V$999,7,0),"")</f>
        <v/>
      </c>
      <c r="H196" s="100"/>
      <c r="I196" s="101"/>
      <c r="J196" s="101"/>
      <c r="K196" s="101"/>
      <c r="L196" s="101"/>
      <c r="M196" s="101"/>
      <c r="N196" s="101"/>
      <c r="O196" s="101"/>
      <c r="P196" s="101"/>
      <c r="Q196" s="101"/>
      <c r="R196" s="101"/>
      <c r="S196" s="101"/>
      <c r="T196" s="101"/>
      <c r="U196" s="101"/>
      <c r="V196" s="101"/>
      <c r="W196" s="101"/>
      <c r="X196" s="101"/>
      <c r="Y196" s="101"/>
      <c r="Z196" s="101"/>
      <c r="AA196" s="101"/>
      <c r="AB196" s="101"/>
    </row>
    <row r="197">
      <c r="A197" s="104" t="s">
        <v>334</v>
      </c>
      <c r="B197" s="105" t="str">
        <f>IFERROR(VLOOKUP(A197,'Salary Calculation'!A196:F1193,2,0),"")</f>
        <v/>
      </c>
      <c r="C197" s="105" t="str">
        <f>IFERROR(VLOOKUP(A197,'Salary Calculation'!$A$2:$V$999,3,0),"")</f>
        <v/>
      </c>
      <c r="D197" s="105" t="str">
        <f>IFERROR(VLOOKUP(A197,'Salary Calculation'!$A$2:$V$999,6,0),"")</f>
        <v/>
      </c>
      <c r="E197" s="105" t="str">
        <f>IFERROR(VLOOKUP(A197,'Salary Calculation'!$A$2:$V$999,10,0),"")</f>
        <v/>
      </c>
      <c r="F197" s="101"/>
      <c r="G197" s="106" t="str">
        <f>IFERROR(VLOOKUP(A197,'Salary Calculation'!$A$2:$V$999,7,0),"")</f>
        <v/>
      </c>
      <c r="H197" s="100"/>
      <c r="I197" s="101"/>
      <c r="J197" s="101"/>
      <c r="K197" s="101"/>
      <c r="L197" s="101"/>
      <c r="M197" s="101"/>
      <c r="N197" s="101"/>
      <c r="O197" s="101"/>
      <c r="P197" s="101"/>
      <c r="Q197" s="101"/>
      <c r="R197" s="101"/>
      <c r="S197" s="101"/>
      <c r="T197" s="101"/>
      <c r="U197" s="101"/>
      <c r="V197" s="101"/>
      <c r="W197" s="101"/>
      <c r="X197" s="101"/>
      <c r="Y197" s="101"/>
      <c r="Z197" s="101"/>
      <c r="AA197" s="101"/>
      <c r="AB197" s="101"/>
    </row>
    <row r="198">
      <c r="A198" s="104" t="s">
        <v>335</v>
      </c>
      <c r="B198" s="105" t="str">
        <f>IFERROR(VLOOKUP(A198,'Salary Calculation'!A197:F1194,2,0),"")</f>
        <v/>
      </c>
      <c r="C198" s="105" t="str">
        <f>IFERROR(VLOOKUP(A198,'Salary Calculation'!$A$2:$V$999,3,0),"")</f>
        <v/>
      </c>
      <c r="D198" s="105" t="str">
        <f>IFERROR(VLOOKUP(A198,'Salary Calculation'!$A$2:$V$999,6,0),"")</f>
        <v/>
      </c>
      <c r="E198" s="105" t="str">
        <f>IFERROR(VLOOKUP(A198,'Salary Calculation'!$A$2:$V$999,10,0),"")</f>
        <v/>
      </c>
      <c r="F198" s="101"/>
      <c r="G198" s="106" t="str">
        <f>IFERROR(VLOOKUP(A198,'Salary Calculation'!$A$2:$V$999,7,0),"")</f>
        <v/>
      </c>
      <c r="H198" s="100"/>
      <c r="I198" s="101"/>
      <c r="J198" s="101"/>
      <c r="K198" s="101"/>
      <c r="L198" s="101"/>
      <c r="M198" s="101"/>
      <c r="N198" s="101"/>
      <c r="O198" s="101"/>
      <c r="P198" s="101"/>
      <c r="Q198" s="101"/>
      <c r="R198" s="101"/>
      <c r="S198" s="101"/>
      <c r="T198" s="101"/>
      <c r="U198" s="101"/>
      <c r="V198" s="101"/>
      <c r="W198" s="101"/>
      <c r="X198" s="101"/>
      <c r="Y198" s="101"/>
      <c r="Z198" s="101"/>
      <c r="AA198" s="101"/>
      <c r="AB198" s="101"/>
    </row>
    <row r="199">
      <c r="A199" s="104" t="s">
        <v>336</v>
      </c>
      <c r="B199" s="105" t="str">
        <f>IFERROR(VLOOKUP(A199,'Salary Calculation'!A198:F1195,2,0),"")</f>
        <v/>
      </c>
      <c r="C199" s="105" t="str">
        <f>IFERROR(VLOOKUP(A199,'Salary Calculation'!$A$2:$V$999,3,0),"")</f>
        <v/>
      </c>
      <c r="D199" s="105" t="str">
        <f>IFERROR(VLOOKUP(A199,'Salary Calculation'!$A$2:$V$999,6,0),"")</f>
        <v/>
      </c>
      <c r="E199" s="105" t="str">
        <f>IFERROR(VLOOKUP(A199,'Salary Calculation'!$A$2:$V$999,10,0),"")</f>
        <v/>
      </c>
      <c r="F199" s="101"/>
      <c r="G199" s="106" t="str">
        <f>IFERROR(VLOOKUP(A199,'Salary Calculation'!$A$2:$V$999,7,0),"")</f>
        <v/>
      </c>
      <c r="H199" s="100"/>
      <c r="I199" s="101"/>
      <c r="J199" s="101"/>
      <c r="K199" s="101"/>
      <c r="L199" s="101"/>
      <c r="M199" s="101"/>
      <c r="N199" s="101"/>
      <c r="O199" s="101"/>
      <c r="P199" s="101"/>
      <c r="Q199" s="101"/>
      <c r="R199" s="101"/>
      <c r="S199" s="101"/>
      <c r="T199" s="101"/>
      <c r="U199" s="101"/>
      <c r="V199" s="101"/>
      <c r="W199" s="101"/>
      <c r="X199" s="101"/>
      <c r="Y199" s="101"/>
      <c r="Z199" s="101"/>
      <c r="AA199" s="101"/>
      <c r="AB199" s="101"/>
    </row>
    <row r="200">
      <c r="A200" s="104" t="s">
        <v>337</v>
      </c>
      <c r="B200" s="105" t="str">
        <f>IFERROR(VLOOKUP(A200,'Salary Calculation'!A199:F1196,2,0),"")</f>
        <v/>
      </c>
      <c r="C200" s="105" t="str">
        <f>IFERROR(VLOOKUP(A200,'Salary Calculation'!$A$2:$V$999,3,0),"")</f>
        <v/>
      </c>
      <c r="D200" s="105" t="str">
        <f>IFERROR(VLOOKUP(A200,'Salary Calculation'!$A$2:$V$999,6,0),"")</f>
        <v/>
      </c>
      <c r="E200" s="105" t="str">
        <f>IFERROR(VLOOKUP(A200,'Salary Calculation'!$A$2:$V$999,10,0),"")</f>
        <v/>
      </c>
      <c r="F200" s="101"/>
      <c r="G200" s="106" t="str">
        <f>IFERROR(VLOOKUP(A200,'Salary Calculation'!$A$2:$V$999,7,0),"")</f>
        <v/>
      </c>
      <c r="H200" s="100"/>
      <c r="I200" s="101"/>
      <c r="J200" s="101"/>
      <c r="K200" s="101"/>
      <c r="L200" s="101"/>
      <c r="M200" s="101"/>
      <c r="N200" s="101"/>
      <c r="O200" s="101"/>
      <c r="P200" s="101"/>
      <c r="Q200" s="101"/>
      <c r="R200" s="101"/>
      <c r="S200" s="101"/>
      <c r="T200" s="101"/>
      <c r="U200" s="101"/>
      <c r="V200" s="101"/>
      <c r="W200" s="101"/>
      <c r="X200" s="101"/>
      <c r="Y200" s="101"/>
      <c r="Z200" s="101"/>
      <c r="AA200" s="101"/>
      <c r="AB200" s="101"/>
    </row>
    <row r="201">
      <c r="A201" s="104" t="s">
        <v>338</v>
      </c>
      <c r="B201" s="105" t="str">
        <f>IFERROR(VLOOKUP(A201,'Salary Calculation'!A200:F1197,2,0),"")</f>
        <v/>
      </c>
      <c r="C201" s="105" t="str">
        <f>IFERROR(VLOOKUP(A201,'Salary Calculation'!$A$2:$V$999,3,0),"")</f>
        <v/>
      </c>
      <c r="D201" s="105" t="str">
        <f>IFERROR(VLOOKUP(A201,'Salary Calculation'!$A$2:$V$999,6,0),"")</f>
        <v/>
      </c>
      <c r="E201" s="105" t="str">
        <f>IFERROR(VLOOKUP(A201,'Salary Calculation'!$A$2:$V$999,10,0),"")</f>
        <v/>
      </c>
      <c r="F201" s="101"/>
      <c r="G201" s="106" t="str">
        <f>IFERROR(VLOOKUP(A201,'Salary Calculation'!$A$2:$V$999,7,0),"")</f>
        <v/>
      </c>
      <c r="H201" s="100"/>
      <c r="I201" s="101"/>
      <c r="J201" s="101"/>
      <c r="K201" s="101"/>
      <c r="L201" s="101"/>
      <c r="M201" s="101"/>
      <c r="N201" s="101"/>
      <c r="O201" s="101"/>
      <c r="P201" s="101"/>
      <c r="Q201" s="101"/>
      <c r="R201" s="101"/>
      <c r="S201" s="101"/>
      <c r="T201" s="101"/>
      <c r="U201" s="101"/>
      <c r="V201" s="101"/>
      <c r="W201" s="101"/>
      <c r="X201" s="101"/>
      <c r="Y201" s="101"/>
      <c r="Z201" s="101"/>
      <c r="AA201" s="101"/>
      <c r="AB201" s="101"/>
    </row>
    <row r="202">
      <c r="A202" s="104" t="s">
        <v>339</v>
      </c>
      <c r="B202" s="105" t="str">
        <f>IFERROR(VLOOKUP(A202,'Salary Calculation'!A201:F1198,2,0),"")</f>
        <v/>
      </c>
      <c r="C202" s="105" t="str">
        <f>IFERROR(VLOOKUP(A202,'Salary Calculation'!$A$2:$V$999,3,0),"")</f>
        <v/>
      </c>
      <c r="D202" s="105" t="str">
        <f>IFERROR(VLOOKUP(A202,'Salary Calculation'!$A$2:$V$999,6,0),"")</f>
        <v/>
      </c>
      <c r="E202" s="105" t="str">
        <f>IFERROR(VLOOKUP(A202,'Salary Calculation'!$A$2:$V$999,10,0),"")</f>
        <v/>
      </c>
      <c r="F202" s="101"/>
      <c r="G202" s="106" t="str">
        <f>IFERROR(VLOOKUP(A202,'Salary Calculation'!$A$2:$V$999,7,0),"")</f>
        <v/>
      </c>
      <c r="H202" s="100"/>
      <c r="I202" s="101"/>
      <c r="J202" s="101"/>
      <c r="K202" s="101"/>
      <c r="L202" s="101"/>
      <c r="M202" s="101"/>
      <c r="N202" s="101"/>
      <c r="O202" s="101"/>
      <c r="P202" s="101"/>
      <c r="Q202" s="101"/>
      <c r="R202" s="101"/>
      <c r="S202" s="101"/>
      <c r="T202" s="101"/>
      <c r="U202" s="101"/>
      <c r="V202" s="101"/>
      <c r="W202" s="101"/>
      <c r="X202" s="101"/>
      <c r="Y202" s="101"/>
      <c r="Z202" s="101"/>
      <c r="AA202" s="101"/>
      <c r="AB202" s="101"/>
    </row>
    <row r="203">
      <c r="A203" s="104" t="s">
        <v>340</v>
      </c>
      <c r="B203" s="105" t="str">
        <f>IFERROR(VLOOKUP(A203,'Salary Calculation'!A202:F1199,2,0),"")</f>
        <v/>
      </c>
      <c r="C203" s="105" t="str">
        <f>IFERROR(VLOOKUP(A203,'Salary Calculation'!$A$2:$V$999,3,0),"")</f>
        <v/>
      </c>
      <c r="D203" s="105" t="str">
        <f>IFERROR(VLOOKUP(A203,'Salary Calculation'!$A$2:$V$999,6,0),"")</f>
        <v/>
      </c>
      <c r="E203" s="105" t="str">
        <f>IFERROR(VLOOKUP(A203,'Salary Calculation'!$A$2:$V$999,10,0),"")</f>
        <v/>
      </c>
      <c r="F203" s="101"/>
      <c r="G203" s="106" t="str">
        <f>IFERROR(VLOOKUP(A203,'Salary Calculation'!$A$2:$V$999,7,0),"")</f>
        <v/>
      </c>
      <c r="H203" s="100"/>
      <c r="I203" s="101"/>
      <c r="J203" s="101"/>
      <c r="K203" s="101"/>
      <c r="L203" s="101"/>
      <c r="M203" s="101"/>
      <c r="N203" s="101"/>
      <c r="O203" s="101"/>
      <c r="P203" s="101"/>
      <c r="Q203" s="101"/>
      <c r="R203" s="101"/>
      <c r="S203" s="101"/>
      <c r="T203" s="101"/>
      <c r="U203" s="101"/>
      <c r="V203" s="101"/>
      <c r="W203" s="101"/>
      <c r="X203" s="101"/>
      <c r="Y203" s="101"/>
      <c r="Z203" s="101"/>
      <c r="AA203" s="101"/>
      <c r="AB203" s="101"/>
    </row>
    <row r="204">
      <c r="A204" s="104" t="s">
        <v>341</v>
      </c>
      <c r="B204" s="105" t="str">
        <f>IFERROR(VLOOKUP(A204,'Salary Calculation'!A203:F1200,2,0),"")</f>
        <v/>
      </c>
      <c r="C204" s="105" t="str">
        <f>IFERROR(VLOOKUP(A204,'Salary Calculation'!$A$2:$V$999,3,0),"")</f>
        <v/>
      </c>
      <c r="D204" s="105" t="str">
        <f>IFERROR(VLOOKUP(A204,'Salary Calculation'!$A$2:$V$999,6,0),"")</f>
        <v/>
      </c>
      <c r="E204" s="105" t="str">
        <f>IFERROR(VLOOKUP(A204,'Salary Calculation'!$A$2:$V$999,10,0),"")</f>
        <v/>
      </c>
      <c r="F204" s="101"/>
      <c r="G204" s="106" t="str">
        <f>IFERROR(VLOOKUP(A204,'Salary Calculation'!$A$2:$V$999,7,0),"")</f>
        <v/>
      </c>
      <c r="H204" s="100"/>
      <c r="I204" s="101"/>
      <c r="J204" s="101"/>
      <c r="K204" s="101"/>
      <c r="L204" s="101"/>
      <c r="M204" s="101"/>
      <c r="N204" s="101"/>
      <c r="O204" s="101"/>
      <c r="P204" s="101"/>
      <c r="Q204" s="101"/>
      <c r="R204" s="101"/>
      <c r="S204" s="101"/>
      <c r="T204" s="101"/>
      <c r="U204" s="101"/>
      <c r="V204" s="101"/>
      <c r="W204" s="101"/>
      <c r="X204" s="101"/>
      <c r="Y204" s="101"/>
      <c r="Z204" s="101"/>
      <c r="AA204" s="101"/>
      <c r="AB204" s="101"/>
    </row>
    <row r="205">
      <c r="A205" s="104" t="s">
        <v>342</v>
      </c>
      <c r="B205" s="105" t="str">
        <f>IFERROR(VLOOKUP(A205,'Salary Calculation'!A204:F1201,2,0),"")</f>
        <v/>
      </c>
      <c r="C205" s="105" t="str">
        <f>IFERROR(VLOOKUP(A205,'Salary Calculation'!$A$2:$V$999,3,0),"")</f>
        <v/>
      </c>
      <c r="D205" s="105" t="str">
        <f>IFERROR(VLOOKUP(A205,'Salary Calculation'!$A$2:$V$999,6,0),"")</f>
        <v/>
      </c>
      <c r="E205" s="105" t="str">
        <f>IFERROR(VLOOKUP(A205,'Salary Calculation'!$A$2:$V$999,10,0),"")</f>
        <v/>
      </c>
      <c r="F205" s="101"/>
      <c r="G205" s="106" t="str">
        <f>IFERROR(VLOOKUP(A205,'Salary Calculation'!$A$2:$V$999,7,0),"")</f>
        <v/>
      </c>
      <c r="H205" s="100"/>
      <c r="I205" s="101"/>
      <c r="J205" s="101"/>
      <c r="K205" s="101"/>
      <c r="L205" s="101"/>
      <c r="M205" s="101"/>
      <c r="N205" s="101"/>
      <c r="O205" s="101"/>
      <c r="P205" s="101"/>
      <c r="Q205" s="101"/>
      <c r="R205" s="101"/>
      <c r="S205" s="101"/>
      <c r="T205" s="101"/>
      <c r="U205" s="101"/>
      <c r="V205" s="101"/>
      <c r="W205" s="101"/>
      <c r="X205" s="101"/>
      <c r="Y205" s="101"/>
      <c r="Z205" s="101"/>
      <c r="AA205" s="101"/>
      <c r="AB205" s="101"/>
    </row>
    <row r="206">
      <c r="A206" s="104" t="s">
        <v>343</v>
      </c>
      <c r="B206" s="105" t="str">
        <f>IFERROR(VLOOKUP(A206,'Salary Calculation'!A205:F1202,2,0),"")</f>
        <v/>
      </c>
      <c r="C206" s="105" t="str">
        <f>IFERROR(VLOOKUP(A206,'Salary Calculation'!$A$2:$V$999,3,0),"")</f>
        <v/>
      </c>
      <c r="D206" s="105" t="str">
        <f>IFERROR(VLOOKUP(A206,'Salary Calculation'!$A$2:$V$999,6,0),"")</f>
        <v/>
      </c>
      <c r="E206" s="105" t="str">
        <f>IFERROR(VLOOKUP(A206,'Salary Calculation'!$A$2:$V$999,10,0),"")</f>
        <v/>
      </c>
      <c r="F206" s="101"/>
      <c r="G206" s="106" t="str">
        <f>IFERROR(VLOOKUP(A206,'Salary Calculation'!$A$2:$V$999,7,0),"")</f>
        <v/>
      </c>
      <c r="H206" s="100"/>
      <c r="I206" s="101"/>
      <c r="J206" s="101"/>
      <c r="K206" s="101"/>
      <c r="L206" s="101"/>
      <c r="M206" s="101"/>
      <c r="N206" s="101"/>
      <c r="O206" s="101"/>
      <c r="P206" s="101"/>
      <c r="Q206" s="101"/>
      <c r="R206" s="101"/>
      <c r="S206" s="101"/>
      <c r="T206" s="101"/>
      <c r="U206" s="101"/>
      <c r="V206" s="101"/>
      <c r="W206" s="101"/>
      <c r="X206" s="101"/>
      <c r="Y206" s="101"/>
      <c r="Z206" s="101"/>
      <c r="AA206" s="101"/>
      <c r="AB206" s="101"/>
    </row>
    <row r="207">
      <c r="A207" s="104" t="s">
        <v>344</v>
      </c>
      <c r="B207" s="105" t="str">
        <f>IFERROR(VLOOKUP(A207,'Salary Calculation'!A206:F1203,2,0),"")</f>
        <v/>
      </c>
      <c r="C207" s="105" t="str">
        <f>IFERROR(VLOOKUP(A207,'Salary Calculation'!$A$2:$V$999,3,0),"")</f>
        <v/>
      </c>
      <c r="D207" s="105" t="str">
        <f>IFERROR(VLOOKUP(A207,'Salary Calculation'!$A$2:$V$999,6,0),"")</f>
        <v/>
      </c>
      <c r="E207" s="105" t="str">
        <f>IFERROR(VLOOKUP(A207,'Salary Calculation'!$A$2:$V$999,10,0),"")</f>
        <v/>
      </c>
      <c r="F207" s="101"/>
      <c r="G207" s="106" t="str">
        <f>IFERROR(VLOOKUP(A207,'Salary Calculation'!$A$2:$V$999,7,0),"")</f>
        <v/>
      </c>
      <c r="H207" s="100"/>
      <c r="I207" s="101"/>
      <c r="J207" s="101"/>
      <c r="K207" s="101"/>
      <c r="L207" s="101"/>
      <c r="M207" s="101"/>
      <c r="N207" s="101"/>
      <c r="O207" s="101"/>
      <c r="P207" s="101"/>
      <c r="Q207" s="101"/>
      <c r="R207" s="101"/>
      <c r="S207" s="101"/>
      <c r="T207" s="101"/>
      <c r="U207" s="101"/>
      <c r="V207" s="101"/>
      <c r="W207" s="101"/>
      <c r="X207" s="101"/>
      <c r="Y207" s="101"/>
      <c r="Z207" s="101"/>
      <c r="AA207" s="101"/>
      <c r="AB207" s="101"/>
    </row>
    <row r="208">
      <c r="A208" s="104" t="s">
        <v>345</v>
      </c>
      <c r="B208" s="105" t="str">
        <f>IFERROR(VLOOKUP(A208,'Salary Calculation'!A207:F1204,2,0),"")</f>
        <v/>
      </c>
      <c r="C208" s="105" t="str">
        <f>IFERROR(VLOOKUP(A208,'Salary Calculation'!$A$2:$V$999,3,0),"")</f>
        <v/>
      </c>
      <c r="D208" s="105" t="str">
        <f>IFERROR(VLOOKUP(A208,'Salary Calculation'!$A$2:$V$999,6,0),"")</f>
        <v/>
      </c>
      <c r="E208" s="105" t="str">
        <f>IFERROR(VLOOKUP(A208,'Salary Calculation'!$A$2:$V$999,10,0),"")</f>
        <v/>
      </c>
      <c r="F208" s="101"/>
      <c r="G208" s="106" t="str">
        <f>IFERROR(VLOOKUP(A208,'Salary Calculation'!$A$2:$V$999,7,0),"")</f>
        <v/>
      </c>
      <c r="H208" s="100"/>
      <c r="I208" s="101"/>
      <c r="J208" s="101"/>
      <c r="K208" s="101"/>
      <c r="L208" s="101"/>
      <c r="M208" s="101"/>
      <c r="N208" s="101"/>
      <c r="O208" s="101"/>
      <c r="P208" s="101"/>
      <c r="Q208" s="101"/>
      <c r="R208" s="101"/>
      <c r="S208" s="101"/>
      <c r="T208" s="101"/>
      <c r="U208" s="101"/>
      <c r="V208" s="101"/>
      <c r="W208" s="101"/>
      <c r="X208" s="101"/>
      <c r="Y208" s="101"/>
      <c r="Z208" s="101"/>
      <c r="AA208" s="101"/>
      <c r="AB208" s="101"/>
    </row>
    <row r="209">
      <c r="A209" s="104" t="s">
        <v>346</v>
      </c>
      <c r="B209" s="105" t="str">
        <f>IFERROR(VLOOKUP(A209,'Salary Calculation'!A208:F1205,2,0),"")</f>
        <v/>
      </c>
      <c r="C209" s="105" t="str">
        <f>IFERROR(VLOOKUP(A209,'Salary Calculation'!$A$2:$V$999,3,0),"")</f>
        <v/>
      </c>
      <c r="D209" s="105" t="str">
        <f>IFERROR(VLOOKUP(A209,'Salary Calculation'!$A$2:$V$999,6,0),"")</f>
        <v/>
      </c>
      <c r="E209" s="105" t="str">
        <f>IFERROR(VLOOKUP(A209,'Salary Calculation'!$A$2:$V$999,10,0),"")</f>
        <v/>
      </c>
      <c r="F209" s="101"/>
      <c r="G209" s="106" t="str">
        <f>IFERROR(VLOOKUP(A209,'Salary Calculation'!$A$2:$V$999,7,0),"")</f>
        <v/>
      </c>
      <c r="H209" s="100"/>
      <c r="I209" s="101"/>
      <c r="J209" s="101"/>
      <c r="K209" s="101"/>
      <c r="L209" s="101"/>
      <c r="M209" s="101"/>
      <c r="N209" s="101"/>
      <c r="O209" s="101"/>
      <c r="P209" s="101"/>
      <c r="Q209" s="101"/>
      <c r="R209" s="101"/>
      <c r="S209" s="101"/>
      <c r="T209" s="101"/>
      <c r="U209" s="101"/>
      <c r="V209" s="101"/>
      <c r="W209" s="101"/>
      <c r="X209" s="101"/>
      <c r="Y209" s="101"/>
      <c r="Z209" s="101"/>
      <c r="AA209" s="101"/>
      <c r="AB209" s="101"/>
    </row>
    <row r="210">
      <c r="A210" s="104" t="s">
        <v>347</v>
      </c>
      <c r="B210" s="105" t="str">
        <f>IFERROR(VLOOKUP(A210,'Salary Calculation'!A209:F1206,2,0),"")</f>
        <v/>
      </c>
      <c r="C210" s="105" t="str">
        <f>IFERROR(VLOOKUP(A210,'Salary Calculation'!$A$2:$V$999,3,0),"")</f>
        <v/>
      </c>
      <c r="D210" s="105" t="str">
        <f>IFERROR(VLOOKUP(A210,'Salary Calculation'!$A$2:$V$999,6,0),"")</f>
        <v/>
      </c>
      <c r="E210" s="105" t="str">
        <f>IFERROR(VLOOKUP(A210,'Salary Calculation'!$A$2:$V$999,10,0),"")</f>
        <v/>
      </c>
      <c r="F210" s="101"/>
      <c r="G210" s="106" t="str">
        <f>IFERROR(VLOOKUP(A210,'Salary Calculation'!$A$2:$V$999,7,0),"")</f>
        <v/>
      </c>
      <c r="H210" s="100"/>
      <c r="I210" s="101"/>
      <c r="J210" s="101"/>
      <c r="K210" s="101"/>
      <c r="L210" s="101"/>
      <c r="M210" s="101"/>
      <c r="N210" s="101"/>
      <c r="O210" s="101"/>
      <c r="P210" s="101"/>
      <c r="Q210" s="101"/>
      <c r="R210" s="101"/>
      <c r="S210" s="101"/>
      <c r="T210" s="101"/>
      <c r="U210" s="101"/>
      <c r="V210" s="101"/>
      <c r="W210" s="101"/>
      <c r="X210" s="101"/>
      <c r="Y210" s="101"/>
      <c r="Z210" s="101"/>
      <c r="AA210" s="101"/>
      <c r="AB210" s="101"/>
    </row>
    <row r="211">
      <c r="A211" s="104" t="s">
        <v>348</v>
      </c>
      <c r="B211" s="105" t="str">
        <f>IFERROR(VLOOKUP(A211,'Salary Calculation'!A210:F1207,2,0),"")</f>
        <v/>
      </c>
      <c r="C211" s="105" t="str">
        <f>IFERROR(VLOOKUP(A211,'Salary Calculation'!$A$2:$V$999,3,0),"")</f>
        <v/>
      </c>
      <c r="D211" s="105" t="str">
        <f>IFERROR(VLOOKUP(A211,'Salary Calculation'!$A$2:$V$999,6,0),"")</f>
        <v/>
      </c>
      <c r="E211" s="105" t="str">
        <f>IFERROR(VLOOKUP(A211,'Salary Calculation'!$A$2:$V$999,10,0),"")</f>
        <v/>
      </c>
      <c r="F211" s="101"/>
      <c r="G211" s="106" t="str">
        <f>IFERROR(VLOOKUP(A211,'Salary Calculation'!$A$2:$V$999,7,0),"")</f>
        <v/>
      </c>
      <c r="H211" s="100"/>
      <c r="I211" s="101"/>
      <c r="J211" s="101"/>
      <c r="K211" s="101"/>
      <c r="L211" s="101"/>
      <c r="M211" s="101"/>
      <c r="N211" s="101"/>
      <c r="O211" s="101"/>
      <c r="P211" s="101"/>
      <c r="Q211" s="101"/>
      <c r="R211" s="101"/>
      <c r="S211" s="101"/>
      <c r="T211" s="101"/>
      <c r="U211" s="101"/>
      <c r="V211" s="101"/>
      <c r="W211" s="101"/>
      <c r="X211" s="101"/>
      <c r="Y211" s="101"/>
      <c r="Z211" s="101"/>
      <c r="AA211" s="101"/>
      <c r="AB211" s="101"/>
    </row>
    <row r="212">
      <c r="A212" s="104" t="s">
        <v>349</v>
      </c>
      <c r="B212" s="105" t="str">
        <f>IFERROR(VLOOKUP(A212,'Salary Calculation'!A211:F1208,2,0),"")</f>
        <v/>
      </c>
      <c r="C212" s="105" t="str">
        <f>IFERROR(VLOOKUP(A212,'Salary Calculation'!$A$2:$V$999,3,0),"")</f>
        <v/>
      </c>
      <c r="D212" s="105" t="str">
        <f>IFERROR(VLOOKUP(A212,'Salary Calculation'!$A$2:$V$999,6,0),"")</f>
        <v/>
      </c>
      <c r="E212" s="105" t="str">
        <f>IFERROR(VLOOKUP(A212,'Salary Calculation'!$A$2:$V$999,10,0),"")</f>
        <v/>
      </c>
      <c r="F212" s="101"/>
      <c r="G212" s="106" t="str">
        <f>IFERROR(VLOOKUP(A212,'Salary Calculation'!$A$2:$V$999,7,0),"")</f>
        <v/>
      </c>
      <c r="H212" s="100"/>
      <c r="I212" s="101"/>
      <c r="J212" s="101"/>
      <c r="K212" s="101"/>
      <c r="L212" s="101"/>
      <c r="M212" s="101"/>
      <c r="N212" s="101"/>
      <c r="O212" s="101"/>
      <c r="P212" s="101"/>
      <c r="Q212" s="101"/>
      <c r="R212" s="101"/>
      <c r="S212" s="101"/>
      <c r="T212" s="101"/>
      <c r="U212" s="101"/>
      <c r="V212" s="101"/>
      <c r="W212" s="101"/>
      <c r="X212" s="101"/>
      <c r="Y212" s="101"/>
      <c r="Z212" s="101"/>
      <c r="AA212" s="101"/>
      <c r="AB212" s="101"/>
    </row>
    <row r="213">
      <c r="A213" s="104" t="s">
        <v>350</v>
      </c>
      <c r="B213" s="105" t="str">
        <f>IFERROR(VLOOKUP(A213,'Salary Calculation'!A212:F1209,2,0),"")</f>
        <v/>
      </c>
      <c r="C213" s="105" t="str">
        <f>IFERROR(VLOOKUP(A213,'Salary Calculation'!$A$2:$V$999,3,0),"")</f>
        <v/>
      </c>
      <c r="D213" s="105" t="str">
        <f>IFERROR(VLOOKUP(A213,'Salary Calculation'!$A$2:$V$999,6,0),"")</f>
        <v/>
      </c>
      <c r="E213" s="105" t="str">
        <f>IFERROR(VLOOKUP(A213,'Salary Calculation'!$A$2:$V$999,10,0),"")</f>
        <v/>
      </c>
      <c r="F213" s="101"/>
      <c r="G213" s="106" t="str">
        <f>IFERROR(VLOOKUP(A213,'Salary Calculation'!$A$2:$V$999,7,0),"")</f>
        <v/>
      </c>
      <c r="H213" s="100"/>
      <c r="I213" s="101"/>
      <c r="J213" s="101"/>
      <c r="K213" s="101"/>
      <c r="L213" s="101"/>
      <c r="M213" s="101"/>
      <c r="N213" s="101"/>
      <c r="O213" s="101"/>
      <c r="P213" s="101"/>
      <c r="Q213" s="101"/>
      <c r="R213" s="101"/>
      <c r="S213" s="101"/>
      <c r="T213" s="101"/>
      <c r="U213" s="101"/>
      <c r="V213" s="101"/>
      <c r="W213" s="101"/>
      <c r="X213" s="101"/>
      <c r="Y213" s="101"/>
      <c r="Z213" s="101"/>
      <c r="AA213" s="101"/>
      <c r="AB213" s="101"/>
    </row>
    <row r="214">
      <c r="A214" s="104" t="s">
        <v>351</v>
      </c>
      <c r="B214" s="105" t="str">
        <f>IFERROR(VLOOKUP(A214,'Salary Calculation'!A213:F1210,2,0),"")</f>
        <v/>
      </c>
      <c r="C214" s="105" t="str">
        <f>IFERROR(VLOOKUP(A214,'Salary Calculation'!$A$2:$V$999,3,0),"")</f>
        <v/>
      </c>
      <c r="D214" s="105" t="str">
        <f>IFERROR(VLOOKUP(A214,'Salary Calculation'!$A$2:$V$999,6,0),"")</f>
        <v/>
      </c>
      <c r="E214" s="105" t="str">
        <f>IFERROR(VLOOKUP(A214,'Salary Calculation'!$A$2:$V$999,10,0),"")</f>
        <v/>
      </c>
      <c r="F214" s="101"/>
      <c r="G214" s="106" t="str">
        <f>IFERROR(VLOOKUP(A214,'Salary Calculation'!$A$2:$V$999,7,0),"")</f>
        <v/>
      </c>
      <c r="H214" s="100"/>
      <c r="I214" s="101"/>
      <c r="J214" s="101"/>
      <c r="K214" s="101"/>
      <c r="L214" s="101"/>
      <c r="M214" s="101"/>
      <c r="N214" s="101"/>
      <c r="O214" s="101"/>
      <c r="P214" s="101"/>
      <c r="Q214" s="101"/>
      <c r="R214" s="101"/>
      <c r="S214" s="101"/>
      <c r="T214" s="101"/>
      <c r="U214" s="101"/>
      <c r="V214" s="101"/>
      <c r="W214" s="101"/>
      <c r="X214" s="101"/>
      <c r="Y214" s="101"/>
      <c r="Z214" s="101"/>
      <c r="AA214" s="101"/>
      <c r="AB214" s="101"/>
    </row>
    <row r="215">
      <c r="A215" s="104" t="s">
        <v>352</v>
      </c>
      <c r="B215" s="105" t="str">
        <f>IFERROR(VLOOKUP(A215,'Salary Calculation'!A214:F1211,2,0),"")</f>
        <v/>
      </c>
      <c r="C215" s="105" t="str">
        <f>IFERROR(VLOOKUP(A215,'Salary Calculation'!$A$2:$V$999,3,0),"")</f>
        <v/>
      </c>
      <c r="D215" s="105" t="str">
        <f>IFERROR(VLOOKUP(A215,'Salary Calculation'!$A$2:$V$999,6,0),"")</f>
        <v/>
      </c>
      <c r="E215" s="105" t="str">
        <f>IFERROR(VLOOKUP(A215,'Salary Calculation'!$A$2:$V$999,10,0),"")</f>
        <v/>
      </c>
      <c r="F215" s="101"/>
      <c r="G215" s="106" t="str">
        <f>IFERROR(VLOOKUP(A215,'Salary Calculation'!$A$2:$V$999,7,0),"")</f>
        <v/>
      </c>
      <c r="H215" s="100"/>
      <c r="I215" s="101"/>
      <c r="J215" s="101"/>
      <c r="K215" s="101"/>
      <c r="L215" s="101"/>
      <c r="M215" s="101"/>
      <c r="N215" s="101"/>
      <c r="O215" s="101"/>
      <c r="P215" s="101"/>
      <c r="Q215" s="101"/>
      <c r="R215" s="101"/>
      <c r="S215" s="101"/>
      <c r="T215" s="101"/>
      <c r="U215" s="101"/>
      <c r="V215" s="101"/>
      <c r="W215" s="101"/>
      <c r="X215" s="101"/>
      <c r="Y215" s="101"/>
      <c r="Z215" s="101"/>
      <c r="AA215" s="101"/>
      <c r="AB215" s="101"/>
    </row>
    <row r="216">
      <c r="A216" s="104" t="s">
        <v>353</v>
      </c>
      <c r="B216" s="105" t="str">
        <f>IFERROR(VLOOKUP(A216,'Salary Calculation'!A215:F1212,2,0),"")</f>
        <v/>
      </c>
      <c r="C216" s="105" t="str">
        <f>IFERROR(VLOOKUP(A216,'Salary Calculation'!$A$2:$V$999,3,0),"")</f>
        <v/>
      </c>
      <c r="D216" s="105" t="str">
        <f>IFERROR(VLOOKUP(A216,'Salary Calculation'!$A$2:$V$999,6,0),"")</f>
        <v/>
      </c>
      <c r="E216" s="105" t="str">
        <f>IFERROR(VLOOKUP(A216,'Salary Calculation'!$A$2:$V$999,10,0),"")</f>
        <v/>
      </c>
      <c r="F216" s="101"/>
      <c r="G216" s="106" t="str">
        <f>IFERROR(VLOOKUP(A216,'Salary Calculation'!$A$2:$V$999,7,0),"")</f>
        <v/>
      </c>
      <c r="H216" s="100"/>
      <c r="I216" s="101"/>
      <c r="J216" s="101"/>
      <c r="K216" s="101"/>
      <c r="L216" s="101"/>
      <c r="M216" s="101"/>
      <c r="N216" s="101"/>
      <c r="O216" s="101"/>
      <c r="P216" s="101"/>
      <c r="Q216" s="101"/>
      <c r="R216" s="101"/>
      <c r="S216" s="101"/>
      <c r="T216" s="101"/>
      <c r="U216" s="101"/>
      <c r="V216" s="101"/>
      <c r="W216" s="101"/>
      <c r="X216" s="101"/>
      <c r="Y216" s="101"/>
      <c r="Z216" s="101"/>
      <c r="AA216" s="101"/>
      <c r="AB216" s="101"/>
    </row>
    <row r="217">
      <c r="A217" s="104" t="s">
        <v>354</v>
      </c>
      <c r="B217" s="105" t="str">
        <f>IFERROR(VLOOKUP(A217,'Salary Calculation'!A216:F1213,2,0),"")</f>
        <v/>
      </c>
      <c r="C217" s="105" t="str">
        <f>IFERROR(VLOOKUP(A217,'Salary Calculation'!$A$2:$V$999,3,0),"")</f>
        <v/>
      </c>
      <c r="D217" s="105" t="str">
        <f>IFERROR(VLOOKUP(A217,'Salary Calculation'!$A$2:$V$999,6,0),"")</f>
        <v/>
      </c>
      <c r="E217" s="105" t="str">
        <f>IFERROR(VLOOKUP(A217,'Salary Calculation'!$A$2:$V$999,10,0),"")</f>
        <v/>
      </c>
      <c r="F217" s="101"/>
      <c r="G217" s="106" t="str">
        <f>IFERROR(VLOOKUP(A217,'Salary Calculation'!$A$2:$V$999,7,0),"")</f>
        <v/>
      </c>
      <c r="H217" s="100"/>
      <c r="I217" s="101"/>
      <c r="J217" s="101"/>
      <c r="K217" s="101"/>
      <c r="L217" s="101"/>
      <c r="M217" s="101"/>
      <c r="N217" s="101"/>
      <c r="O217" s="101"/>
      <c r="P217" s="101"/>
      <c r="Q217" s="101"/>
      <c r="R217" s="101"/>
      <c r="S217" s="101"/>
      <c r="T217" s="101"/>
      <c r="U217" s="101"/>
      <c r="V217" s="101"/>
      <c r="W217" s="101"/>
      <c r="X217" s="101"/>
      <c r="Y217" s="101"/>
      <c r="Z217" s="101"/>
      <c r="AA217" s="101"/>
      <c r="AB217" s="101"/>
    </row>
    <row r="218">
      <c r="A218" s="104" t="s">
        <v>355</v>
      </c>
      <c r="B218" s="105" t="str">
        <f>IFERROR(VLOOKUP(A218,'Salary Calculation'!A217:F1214,2,0),"")</f>
        <v/>
      </c>
      <c r="C218" s="105" t="str">
        <f>IFERROR(VLOOKUP(A218,'Salary Calculation'!$A$2:$V$999,3,0),"")</f>
        <v/>
      </c>
      <c r="D218" s="105" t="str">
        <f>IFERROR(VLOOKUP(A218,'Salary Calculation'!$A$2:$V$999,6,0),"")</f>
        <v/>
      </c>
      <c r="E218" s="105" t="str">
        <f>IFERROR(VLOOKUP(A218,'Salary Calculation'!$A$2:$V$999,10,0),"")</f>
        <v/>
      </c>
      <c r="F218" s="101"/>
      <c r="G218" s="106" t="str">
        <f>IFERROR(VLOOKUP(A218,'Salary Calculation'!$A$2:$V$999,7,0),"")</f>
        <v/>
      </c>
      <c r="H218" s="100"/>
      <c r="I218" s="101"/>
      <c r="J218" s="101"/>
      <c r="K218" s="101"/>
      <c r="L218" s="101"/>
      <c r="M218" s="101"/>
      <c r="N218" s="101"/>
      <c r="O218" s="101"/>
      <c r="P218" s="101"/>
      <c r="Q218" s="101"/>
      <c r="R218" s="101"/>
      <c r="S218" s="101"/>
      <c r="T218" s="101"/>
      <c r="U218" s="101"/>
      <c r="V218" s="101"/>
      <c r="W218" s="101"/>
      <c r="X218" s="101"/>
      <c r="Y218" s="101"/>
      <c r="Z218" s="101"/>
      <c r="AA218" s="101"/>
      <c r="AB218" s="101"/>
    </row>
    <row r="219">
      <c r="A219" s="104" t="s">
        <v>356</v>
      </c>
      <c r="B219" s="105" t="str">
        <f>IFERROR(VLOOKUP(A219,'Salary Calculation'!A218:F1215,2,0),"")</f>
        <v/>
      </c>
      <c r="C219" s="105" t="str">
        <f>IFERROR(VLOOKUP(A219,'Salary Calculation'!$A$2:$V$999,3,0),"")</f>
        <v/>
      </c>
      <c r="D219" s="105" t="str">
        <f>IFERROR(VLOOKUP(A219,'Salary Calculation'!$A$2:$V$999,6,0),"")</f>
        <v/>
      </c>
      <c r="E219" s="105" t="str">
        <f>IFERROR(VLOOKUP(A219,'Salary Calculation'!$A$2:$V$999,10,0),"")</f>
        <v/>
      </c>
      <c r="F219" s="101"/>
      <c r="G219" s="106" t="str">
        <f>IFERROR(VLOOKUP(A219,'Salary Calculation'!$A$2:$V$999,7,0),"")</f>
        <v/>
      </c>
      <c r="H219" s="100"/>
      <c r="I219" s="101"/>
      <c r="J219" s="101"/>
      <c r="K219" s="101"/>
      <c r="L219" s="101"/>
      <c r="M219" s="101"/>
      <c r="N219" s="101"/>
      <c r="O219" s="101"/>
      <c r="P219" s="101"/>
      <c r="Q219" s="101"/>
      <c r="R219" s="101"/>
      <c r="S219" s="101"/>
      <c r="T219" s="101"/>
      <c r="U219" s="101"/>
      <c r="V219" s="101"/>
      <c r="W219" s="101"/>
      <c r="X219" s="101"/>
      <c r="Y219" s="101"/>
      <c r="Z219" s="101"/>
      <c r="AA219" s="101"/>
      <c r="AB219" s="101"/>
    </row>
    <row r="220">
      <c r="A220" s="104" t="s">
        <v>357</v>
      </c>
      <c r="B220" s="105" t="str">
        <f>IFERROR(VLOOKUP(A220,'Salary Calculation'!A219:F1216,2,0),"")</f>
        <v/>
      </c>
      <c r="C220" s="105" t="str">
        <f>IFERROR(VLOOKUP(A220,'Salary Calculation'!$A$2:$V$999,3,0),"")</f>
        <v/>
      </c>
      <c r="D220" s="105" t="str">
        <f>IFERROR(VLOOKUP(A220,'Salary Calculation'!$A$2:$V$999,6,0),"")</f>
        <v/>
      </c>
      <c r="E220" s="105" t="str">
        <f>IFERROR(VLOOKUP(A220,'Salary Calculation'!$A$2:$V$999,10,0),"")</f>
        <v/>
      </c>
      <c r="F220" s="101"/>
      <c r="G220" s="106" t="str">
        <f>IFERROR(VLOOKUP(A220,'Salary Calculation'!$A$2:$V$999,7,0),"")</f>
        <v/>
      </c>
      <c r="H220" s="100"/>
      <c r="I220" s="101"/>
      <c r="J220" s="101"/>
      <c r="K220" s="101"/>
      <c r="L220" s="101"/>
      <c r="M220" s="101"/>
      <c r="N220" s="101"/>
      <c r="O220" s="101"/>
      <c r="P220" s="101"/>
      <c r="Q220" s="101"/>
      <c r="R220" s="101"/>
      <c r="S220" s="101"/>
      <c r="T220" s="101"/>
      <c r="U220" s="101"/>
      <c r="V220" s="101"/>
      <c r="W220" s="101"/>
      <c r="X220" s="101"/>
      <c r="Y220" s="101"/>
      <c r="Z220" s="101"/>
      <c r="AA220" s="101"/>
      <c r="AB220" s="101"/>
    </row>
    <row r="221">
      <c r="A221" s="104" t="s">
        <v>358</v>
      </c>
      <c r="B221" s="105" t="str">
        <f>IFERROR(VLOOKUP(A221,'Salary Calculation'!A220:F1217,2,0),"")</f>
        <v/>
      </c>
      <c r="C221" s="105" t="str">
        <f>IFERROR(VLOOKUP(A221,'Salary Calculation'!$A$2:$V$999,3,0),"")</f>
        <v/>
      </c>
      <c r="D221" s="105" t="str">
        <f>IFERROR(VLOOKUP(A221,'Salary Calculation'!$A$2:$V$999,6,0),"")</f>
        <v/>
      </c>
      <c r="E221" s="105" t="str">
        <f>IFERROR(VLOOKUP(A221,'Salary Calculation'!$A$2:$V$999,10,0),"")</f>
        <v/>
      </c>
      <c r="F221" s="101"/>
      <c r="G221" s="106" t="str">
        <f>IFERROR(VLOOKUP(A221,'Salary Calculation'!$A$2:$V$999,7,0),"")</f>
        <v/>
      </c>
      <c r="H221" s="100"/>
      <c r="I221" s="101"/>
      <c r="J221" s="101"/>
      <c r="K221" s="101"/>
      <c r="L221" s="101"/>
      <c r="M221" s="101"/>
      <c r="N221" s="101"/>
      <c r="O221" s="101"/>
      <c r="P221" s="101"/>
      <c r="Q221" s="101"/>
      <c r="R221" s="101"/>
      <c r="S221" s="101"/>
      <c r="T221" s="101"/>
      <c r="U221" s="101"/>
      <c r="V221" s="101"/>
      <c r="W221" s="101"/>
      <c r="X221" s="101"/>
      <c r="Y221" s="101"/>
      <c r="Z221" s="101"/>
      <c r="AA221" s="101"/>
      <c r="AB221" s="101"/>
    </row>
    <row r="222">
      <c r="A222" s="104" t="s">
        <v>359</v>
      </c>
      <c r="B222" s="105" t="str">
        <f>IFERROR(VLOOKUP(A222,'Salary Calculation'!A221:F1218,2,0),"")</f>
        <v/>
      </c>
      <c r="C222" s="105" t="str">
        <f>IFERROR(VLOOKUP(A222,'Salary Calculation'!$A$2:$V$999,3,0),"")</f>
        <v/>
      </c>
      <c r="D222" s="105" t="str">
        <f>IFERROR(VLOOKUP(A222,'Salary Calculation'!$A$2:$V$999,6,0),"")</f>
        <v/>
      </c>
      <c r="E222" s="105" t="str">
        <f>IFERROR(VLOOKUP(A222,'Salary Calculation'!$A$2:$V$999,10,0),"")</f>
        <v/>
      </c>
      <c r="F222" s="101"/>
      <c r="G222" s="106" t="str">
        <f>IFERROR(VLOOKUP(A222,'Salary Calculation'!$A$2:$V$999,7,0),"")</f>
        <v/>
      </c>
      <c r="H222" s="100"/>
      <c r="I222" s="101"/>
      <c r="J222" s="101"/>
      <c r="K222" s="101"/>
      <c r="L222" s="101"/>
      <c r="M222" s="101"/>
      <c r="N222" s="101"/>
      <c r="O222" s="101"/>
      <c r="P222" s="101"/>
      <c r="Q222" s="101"/>
      <c r="R222" s="101"/>
      <c r="S222" s="101"/>
      <c r="T222" s="101"/>
      <c r="U222" s="101"/>
      <c r="V222" s="101"/>
      <c r="W222" s="101"/>
      <c r="X222" s="101"/>
      <c r="Y222" s="101"/>
      <c r="Z222" s="101"/>
      <c r="AA222" s="101"/>
      <c r="AB222" s="101"/>
    </row>
    <row r="223">
      <c r="A223" s="104" t="s">
        <v>360</v>
      </c>
      <c r="B223" s="105" t="str">
        <f>IFERROR(VLOOKUP(A223,'Salary Calculation'!A222:F1219,2,0),"")</f>
        <v/>
      </c>
      <c r="C223" s="105" t="str">
        <f>IFERROR(VLOOKUP(A223,'Salary Calculation'!$A$2:$V$999,3,0),"")</f>
        <v/>
      </c>
      <c r="D223" s="105" t="str">
        <f>IFERROR(VLOOKUP(A223,'Salary Calculation'!$A$2:$V$999,6,0),"")</f>
        <v/>
      </c>
      <c r="E223" s="105" t="str">
        <f>IFERROR(VLOOKUP(A223,'Salary Calculation'!$A$2:$V$999,10,0),"")</f>
        <v/>
      </c>
      <c r="F223" s="101"/>
      <c r="G223" s="106" t="str">
        <f>IFERROR(VLOOKUP(A223,'Salary Calculation'!$A$2:$V$999,7,0),"")</f>
        <v/>
      </c>
      <c r="H223" s="100"/>
      <c r="I223" s="101"/>
      <c r="J223" s="101"/>
      <c r="K223" s="101"/>
      <c r="L223" s="101"/>
      <c r="M223" s="101"/>
      <c r="N223" s="101"/>
      <c r="O223" s="101"/>
      <c r="P223" s="101"/>
      <c r="Q223" s="101"/>
      <c r="R223" s="101"/>
      <c r="S223" s="101"/>
      <c r="T223" s="101"/>
      <c r="U223" s="101"/>
      <c r="V223" s="101"/>
      <c r="W223" s="101"/>
      <c r="X223" s="101"/>
      <c r="Y223" s="101"/>
      <c r="Z223" s="101"/>
      <c r="AA223" s="101"/>
      <c r="AB223" s="101"/>
    </row>
    <row r="224">
      <c r="A224" s="104" t="s">
        <v>361</v>
      </c>
      <c r="B224" s="105" t="str">
        <f>IFERROR(VLOOKUP(A224,'Salary Calculation'!A223:F1220,2,0),"")</f>
        <v/>
      </c>
      <c r="C224" s="105" t="str">
        <f>IFERROR(VLOOKUP(A224,'Salary Calculation'!$A$2:$V$999,3,0),"")</f>
        <v/>
      </c>
      <c r="D224" s="105" t="str">
        <f>IFERROR(VLOOKUP(A224,'Salary Calculation'!$A$2:$V$999,6,0),"")</f>
        <v/>
      </c>
      <c r="E224" s="105" t="str">
        <f>IFERROR(VLOOKUP(A224,'Salary Calculation'!$A$2:$V$999,10,0),"")</f>
        <v/>
      </c>
      <c r="F224" s="101"/>
      <c r="G224" s="106" t="str">
        <f>IFERROR(VLOOKUP(A224,'Salary Calculation'!$A$2:$V$999,7,0),"")</f>
        <v/>
      </c>
      <c r="H224" s="100"/>
      <c r="I224" s="101"/>
      <c r="J224" s="101"/>
      <c r="K224" s="101"/>
      <c r="L224" s="101"/>
      <c r="M224" s="101"/>
      <c r="N224" s="101"/>
      <c r="O224" s="101"/>
      <c r="P224" s="101"/>
      <c r="Q224" s="101"/>
      <c r="R224" s="101"/>
      <c r="S224" s="101"/>
      <c r="T224" s="101"/>
      <c r="U224" s="101"/>
      <c r="V224" s="101"/>
      <c r="W224" s="101"/>
      <c r="X224" s="101"/>
      <c r="Y224" s="101"/>
      <c r="Z224" s="101"/>
      <c r="AA224" s="101"/>
      <c r="AB224" s="101"/>
    </row>
    <row r="225">
      <c r="A225" s="104" t="s">
        <v>362</v>
      </c>
      <c r="B225" s="105" t="str">
        <f>IFERROR(VLOOKUP(A225,'Salary Calculation'!A224:F1221,2,0),"")</f>
        <v/>
      </c>
      <c r="C225" s="105" t="str">
        <f>IFERROR(VLOOKUP(A225,'Salary Calculation'!$A$2:$V$999,3,0),"")</f>
        <v/>
      </c>
      <c r="D225" s="105" t="str">
        <f>IFERROR(VLOOKUP(A225,'Salary Calculation'!$A$2:$V$999,6,0),"")</f>
        <v/>
      </c>
      <c r="E225" s="105" t="str">
        <f>IFERROR(VLOOKUP(A225,'Salary Calculation'!$A$2:$V$999,10,0),"")</f>
        <v/>
      </c>
      <c r="F225" s="101"/>
      <c r="G225" s="106" t="str">
        <f>IFERROR(VLOOKUP(A225,'Salary Calculation'!$A$2:$V$999,7,0),"")</f>
        <v/>
      </c>
      <c r="H225" s="100"/>
      <c r="I225" s="101"/>
      <c r="J225" s="101"/>
      <c r="K225" s="101"/>
      <c r="L225" s="101"/>
      <c r="M225" s="101"/>
      <c r="N225" s="101"/>
      <c r="O225" s="101"/>
      <c r="P225" s="101"/>
      <c r="Q225" s="101"/>
      <c r="R225" s="101"/>
      <c r="S225" s="101"/>
      <c r="T225" s="101"/>
      <c r="U225" s="101"/>
      <c r="V225" s="101"/>
      <c r="W225" s="101"/>
      <c r="X225" s="101"/>
      <c r="Y225" s="101"/>
      <c r="Z225" s="101"/>
      <c r="AA225" s="101"/>
      <c r="AB225" s="101"/>
    </row>
    <row r="226">
      <c r="A226" s="104" t="s">
        <v>363</v>
      </c>
      <c r="B226" s="105" t="str">
        <f>IFERROR(VLOOKUP(A226,'Salary Calculation'!A225:F1222,2,0),"")</f>
        <v/>
      </c>
      <c r="C226" s="105" t="str">
        <f>IFERROR(VLOOKUP(A226,'Salary Calculation'!$A$2:$V$999,3,0),"")</f>
        <v/>
      </c>
      <c r="D226" s="105" t="str">
        <f>IFERROR(VLOOKUP(A226,'Salary Calculation'!$A$2:$V$999,6,0),"")</f>
        <v/>
      </c>
      <c r="E226" s="105" t="str">
        <f>IFERROR(VLOOKUP(A226,'Salary Calculation'!$A$2:$V$999,10,0),"")</f>
        <v/>
      </c>
      <c r="F226" s="101"/>
      <c r="G226" s="106" t="str">
        <f>IFERROR(VLOOKUP(A226,'Salary Calculation'!$A$2:$V$999,7,0),"")</f>
        <v/>
      </c>
      <c r="H226" s="100"/>
      <c r="I226" s="101"/>
      <c r="J226" s="101"/>
      <c r="K226" s="101"/>
      <c r="L226" s="101"/>
      <c r="M226" s="101"/>
      <c r="N226" s="101"/>
      <c r="O226" s="101"/>
      <c r="P226" s="101"/>
      <c r="Q226" s="101"/>
      <c r="R226" s="101"/>
      <c r="S226" s="101"/>
      <c r="T226" s="101"/>
      <c r="U226" s="101"/>
      <c r="V226" s="101"/>
      <c r="W226" s="101"/>
      <c r="X226" s="101"/>
      <c r="Y226" s="101"/>
      <c r="Z226" s="101"/>
      <c r="AA226" s="101"/>
      <c r="AB226" s="101"/>
    </row>
    <row r="227">
      <c r="A227" s="104" t="s">
        <v>364</v>
      </c>
      <c r="B227" s="105" t="str">
        <f>IFERROR(VLOOKUP(A227,'Salary Calculation'!A226:F1223,2,0),"")</f>
        <v/>
      </c>
      <c r="C227" s="105" t="str">
        <f>IFERROR(VLOOKUP(A227,'Salary Calculation'!$A$2:$V$999,3,0),"")</f>
        <v/>
      </c>
      <c r="D227" s="105" t="str">
        <f>IFERROR(VLOOKUP(A227,'Salary Calculation'!$A$2:$V$999,6,0),"")</f>
        <v/>
      </c>
      <c r="E227" s="105" t="str">
        <f>IFERROR(VLOOKUP(A227,'Salary Calculation'!$A$2:$V$999,10,0),"")</f>
        <v/>
      </c>
      <c r="F227" s="101"/>
      <c r="G227" s="106" t="str">
        <f>IFERROR(VLOOKUP(A227,'Salary Calculation'!$A$2:$V$999,7,0),"")</f>
        <v/>
      </c>
      <c r="H227" s="100"/>
      <c r="I227" s="101"/>
      <c r="J227" s="101"/>
      <c r="K227" s="101"/>
      <c r="L227" s="101"/>
      <c r="M227" s="101"/>
      <c r="N227" s="101"/>
      <c r="O227" s="101"/>
      <c r="P227" s="101"/>
      <c r="Q227" s="101"/>
      <c r="R227" s="101"/>
      <c r="S227" s="101"/>
      <c r="T227" s="101"/>
      <c r="U227" s="101"/>
      <c r="V227" s="101"/>
      <c r="W227" s="101"/>
      <c r="X227" s="101"/>
      <c r="Y227" s="101"/>
      <c r="Z227" s="101"/>
      <c r="AA227" s="101"/>
      <c r="AB227" s="101"/>
    </row>
    <row r="228">
      <c r="A228" s="104" t="s">
        <v>365</v>
      </c>
      <c r="B228" s="105" t="str">
        <f>IFERROR(VLOOKUP(A228,'Salary Calculation'!A227:F1224,2,0),"")</f>
        <v/>
      </c>
      <c r="C228" s="105" t="str">
        <f>IFERROR(VLOOKUP(A228,'Salary Calculation'!$A$2:$V$999,3,0),"")</f>
        <v/>
      </c>
      <c r="D228" s="105" t="str">
        <f>IFERROR(VLOOKUP(A228,'Salary Calculation'!$A$2:$V$999,6,0),"")</f>
        <v/>
      </c>
      <c r="E228" s="105" t="str">
        <f>IFERROR(VLOOKUP(A228,'Salary Calculation'!$A$2:$V$999,10,0),"")</f>
        <v/>
      </c>
      <c r="F228" s="101"/>
      <c r="G228" s="106" t="str">
        <f>IFERROR(VLOOKUP(A228,'Salary Calculation'!$A$2:$V$999,7,0),"")</f>
        <v/>
      </c>
      <c r="H228" s="100"/>
      <c r="I228" s="101"/>
      <c r="J228" s="101"/>
      <c r="K228" s="101"/>
      <c r="L228" s="101"/>
      <c r="M228" s="101"/>
      <c r="N228" s="101"/>
      <c r="O228" s="101"/>
      <c r="P228" s="101"/>
      <c r="Q228" s="101"/>
      <c r="R228" s="101"/>
      <c r="S228" s="101"/>
      <c r="T228" s="101"/>
      <c r="U228" s="101"/>
      <c r="V228" s="101"/>
      <c r="W228" s="101"/>
      <c r="X228" s="101"/>
      <c r="Y228" s="101"/>
      <c r="Z228" s="101"/>
      <c r="AA228" s="101"/>
      <c r="AB228" s="101"/>
    </row>
    <row r="229">
      <c r="A229" s="104" t="s">
        <v>366</v>
      </c>
      <c r="B229" s="105" t="str">
        <f>IFERROR(VLOOKUP(A229,'Salary Calculation'!A228:F1225,2,0),"")</f>
        <v/>
      </c>
      <c r="C229" s="105" t="str">
        <f>IFERROR(VLOOKUP(A229,'Salary Calculation'!$A$2:$V$999,3,0),"")</f>
        <v/>
      </c>
      <c r="D229" s="105" t="str">
        <f>IFERROR(VLOOKUP(A229,'Salary Calculation'!$A$2:$V$999,6,0),"")</f>
        <v/>
      </c>
      <c r="E229" s="105" t="str">
        <f>IFERROR(VLOOKUP(A229,'Salary Calculation'!$A$2:$V$999,10,0),"")</f>
        <v/>
      </c>
      <c r="F229" s="101"/>
      <c r="G229" s="106" t="str">
        <f>IFERROR(VLOOKUP(A229,'Salary Calculation'!$A$2:$V$999,7,0),"")</f>
        <v/>
      </c>
      <c r="H229" s="100"/>
      <c r="I229" s="101"/>
      <c r="J229" s="101"/>
      <c r="K229" s="101"/>
      <c r="L229" s="101"/>
      <c r="M229" s="101"/>
      <c r="N229" s="101"/>
      <c r="O229" s="101"/>
      <c r="P229" s="101"/>
      <c r="Q229" s="101"/>
      <c r="R229" s="101"/>
      <c r="S229" s="101"/>
      <c r="T229" s="101"/>
      <c r="U229" s="101"/>
      <c r="V229" s="101"/>
      <c r="W229" s="101"/>
      <c r="X229" s="101"/>
      <c r="Y229" s="101"/>
      <c r="Z229" s="101"/>
      <c r="AA229" s="101"/>
      <c r="AB229" s="101"/>
    </row>
    <row r="230">
      <c r="A230" s="104" t="s">
        <v>367</v>
      </c>
      <c r="B230" s="105" t="str">
        <f>IFERROR(VLOOKUP(A230,'Salary Calculation'!A229:F1226,2,0),"")</f>
        <v/>
      </c>
      <c r="C230" s="105" t="str">
        <f>IFERROR(VLOOKUP(A230,'Salary Calculation'!$A$2:$V$999,3,0),"")</f>
        <v/>
      </c>
      <c r="D230" s="105" t="str">
        <f>IFERROR(VLOOKUP(A230,'Salary Calculation'!$A$2:$V$999,6,0),"")</f>
        <v/>
      </c>
      <c r="E230" s="105" t="str">
        <f>IFERROR(VLOOKUP(A230,'Salary Calculation'!$A$2:$V$999,10,0),"")</f>
        <v/>
      </c>
      <c r="F230" s="101"/>
      <c r="G230" s="106" t="str">
        <f>IFERROR(VLOOKUP(A230,'Salary Calculation'!$A$2:$V$999,7,0),"")</f>
        <v/>
      </c>
      <c r="H230" s="100"/>
      <c r="I230" s="101"/>
      <c r="J230" s="101"/>
      <c r="K230" s="101"/>
      <c r="L230" s="101"/>
      <c r="M230" s="101"/>
      <c r="N230" s="101"/>
      <c r="O230" s="101"/>
      <c r="P230" s="101"/>
      <c r="Q230" s="101"/>
      <c r="R230" s="101"/>
      <c r="S230" s="101"/>
      <c r="T230" s="101"/>
      <c r="U230" s="101"/>
      <c r="V230" s="101"/>
      <c r="W230" s="101"/>
      <c r="X230" s="101"/>
      <c r="Y230" s="101"/>
      <c r="Z230" s="101"/>
      <c r="AA230" s="101"/>
      <c r="AB230" s="101"/>
    </row>
    <row r="231">
      <c r="A231" s="104" t="s">
        <v>368</v>
      </c>
      <c r="B231" s="105" t="str">
        <f>IFERROR(VLOOKUP(A231,'Salary Calculation'!A230:F1227,2,0),"")</f>
        <v/>
      </c>
      <c r="C231" s="105" t="str">
        <f>IFERROR(VLOOKUP(A231,'Salary Calculation'!$A$2:$V$999,3,0),"")</f>
        <v/>
      </c>
      <c r="D231" s="105" t="str">
        <f>IFERROR(VLOOKUP(A231,'Salary Calculation'!$A$2:$V$999,6,0),"")</f>
        <v/>
      </c>
      <c r="E231" s="105" t="str">
        <f>IFERROR(VLOOKUP(A231,'Salary Calculation'!$A$2:$V$999,10,0),"")</f>
        <v/>
      </c>
      <c r="F231" s="101"/>
      <c r="G231" s="106" t="str">
        <f>IFERROR(VLOOKUP(A231,'Salary Calculation'!$A$2:$V$999,7,0),"")</f>
        <v/>
      </c>
      <c r="H231" s="100"/>
      <c r="I231" s="101"/>
      <c r="J231" s="101"/>
      <c r="K231" s="101"/>
      <c r="L231" s="101"/>
      <c r="M231" s="101"/>
      <c r="N231" s="101"/>
      <c r="O231" s="101"/>
      <c r="P231" s="101"/>
      <c r="Q231" s="101"/>
      <c r="R231" s="101"/>
      <c r="S231" s="101"/>
      <c r="T231" s="101"/>
      <c r="U231" s="101"/>
      <c r="V231" s="101"/>
      <c r="W231" s="101"/>
      <c r="X231" s="101"/>
      <c r="Y231" s="101"/>
      <c r="Z231" s="101"/>
      <c r="AA231" s="101"/>
      <c r="AB231" s="101"/>
    </row>
    <row r="232">
      <c r="A232" s="104" t="s">
        <v>369</v>
      </c>
      <c r="B232" s="105" t="str">
        <f>IFERROR(VLOOKUP(A232,'Salary Calculation'!A231:F1228,2,0),"")</f>
        <v/>
      </c>
      <c r="C232" s="105" t="str">
        <f>IFERROR(VLOOKUP(A232,'Salary Calculation'!$A$2:$V$999,3,0),"")</f>
        <v/>
      </c>
      <c r="D232" s="105" t="str">
        <f>IFERROR(VLOOKUP(A232,'Salary Calculation'!$A$2:$V$999,6,0),"")</f>
        <v/>
      </c>
      <c r="E232" s="105" t="str">
        <f>IFERROR(VLOOKUP(A232,'Salary Calculation'!$A$2:$V$999,10,0),"")</f>
        <v/>
      </c>
      <c r="F232" s="101"/>
      <c r="G232" s="106" t="str">
        <f>IFERROR(VLOOKUP(A232,'Salary Calculation'!$A$2:$V$999,7,0),"")</f>
        <v/>
      </c>
      <c r="H232" s="100"/>
      <c r="I232" s="101"/>
      <c r="J232" s="101"/>
      <c r="K232" s="101"/>
      <c r="L232" s="101"/>
      <c r="M232" s="101"/>
      <c r="N232" s="101"/>
      <c r="O232" s="101"/>
      <c r="P232" s="101"/>
      <c r="Q232" s="101"/>
      <c r="R232" s="101"/>
      <c r="S232" s="101"/>
      <c r="T232" s="101"/>
      <c r="U232" s="101"/>
      <c r="V232" s="101"/>
      <c r="W232" s="101"/>
      <c r="X232" s="101"/>
      <c r="Y232" s="101"/>
      <c r="Z232" s="101"/>
      <c r="AA232" s="101"/>
      <c r="AB232" s="101"/>
    </row>
    <row r="233">
      <c r="A233" s="104" t="s">
        <v>370</v>
      </c>
      <c r="B233" s="105" t="str">
        <f>IFERROR(VLOOKUP(A233,'Salary Calculation'!A232:F1229,2,0),"")</f>
        <v/>
      </c>
      <c r="C233" s="105" t="str">
        <f>IFERROR(VLOOKUP(A233,'Salary Calculation'!$A$2:$V$999,3,0),"")</f>
        <v/>
      </c>
      <c r="D233" s="105" t="str">
        <f>IFERROR(VLOOKUP(A233,'Salary Calculation'!$A$2:$V$999,6,0),"")</f>
        <v/>
      </c>
      <c r="E233" s="105" t="str">
        <f>IFERROR(VLOOKUP(A233,'Salary Calculation'!$A$2:$V$999,10,0),"")</f>
        <v/>
      </c>
      <c r="F233" s="101"/>
      <c r="G233" s="106" t="str">
        <f>IFERROR(VLOOKUP(A233,'Salary Calculation'!$A$2:$V$999,7,0),"")</f>
        <v/>
      </c>
      <c r="H233" s="100"/>
      <c r="I233" s="101"/>
      <c r="J233" s="101"/>
      <c r="K233" s="101"/>
      <c r="L233" s="101"/>
      <c r="M233" s="101"/>
      <c r="N233" s="101"/>
      <c r="O233" s="101"/>
      <c r="P233" s="101"/>
      <c r="Q233" s="101"/>
      <c r="R233" s="101"/>
      <c r="S233" s="101"/>
      <c r="T233" s="101"/>
      <c r="U233" s="101"/>
      <c r="V233" s="101"/>
      <c r="W233" s="101"/>
      <c r="X233" s="101"/>
      <c r="Y233" s="101"/>
      <c r="Z233" s="101"/>
      <c r="AA233" s="101"/>
      <c r="AB233" s="101"/>
    </row>
    <row r="234">
      <c r="A234" s="104" t="s">
        <v>371</v>
      </c>
      <c r="B234" s="105" t="str">
        <f>IFERROR(VLOOKUP(A234,'Salary Calculation'!A233:F1230,2,0),"")</f>
        <v/>
      </c>
      <c r="C234" s="105" t="str">
        <f>IFERROR(VLOOKUP(A234,'Salary Calculation'!$A$2:$V$999,3,0),"")</f>
        <v/>
      </c>
      <c r="D234" s="105" t="str">
        <f>IFERROR(VLOOKUP(A234,'Salary Calculation'!$A$2:$V$999,6,0),"")</f>
        <v/>
      </c>
      <c r="E234" s="105" t="str">
        <f>IFERROR(VLOOKUP(A234,'Salary Calculation'!$A$2:$V$999,10,0),"")</f>
        <v/>
      </c>
      <c r="F234" s="101"/>
      <c r="G234" s="106" t="str">
        <f>IFERROR(VLOOKUP(A234,'Salary Calculation'!$A$2:$V$999,7,0),"")</f>
        <v/>
      </c>
      <c r="H234" s="100"/>
      <c r="I234" s="101"/>
      <c r="J234" s="101"/>
      <c r="K234" s="101"/>
      <c r="L234" s="101"/>
      <c r="M234" s="101"/>
      <c r="N234" s="101"/>
      <c r="O234" s="101"/>
      <c r="P234" s="101"/>
      <c r="Q234" s="101"/>
      <c r="R234" s="101"/>
      <c r="S234" s="101"/>
      <c r="T234" s="101"/>
      <c r="U234" s="101"/>
      <c r="V234" s="101"/>
      <c r="W234" s="101"/>
      <c r="X234" s="101"/>
      <c r="Y234" s="101"/>
      <c r="Z234" s="101"/>
      <c r="AA234" s="101"/>
      <c r="AB234" s="101"/>
    </row>
    <row r="235">
      <c r="A235" s="104" t="s">
        <v>372</v>
      </c>
      <c r="B235" s="105" t="str">
        <f>IFERROR(VLOOKUP(A235,'Salary Calculation'!A234:F1231,2,0),"")</f>
        <v/>
      </c>
      <c r="C235" s="105" t="str">
        <f>IFERROR(VLOOKUP(A235,'Salary Calculation'!$A$2:$V$999,3,0),"")</f>
        <v/>
      </c>
      <c r="D235" s="105" t="str">
        <f>IFERROR(VLOOKUP(A235,'Salary Calculation'!$A$2:$V$999,6,0),"")</f>
        <v/>
      </c>
      <c r="E235" s="105" t="str">
        <f>IFERROR(VLOOKUP(A235,'Salary Calculation'!$A$2:$V$999,10,0),"")</f>
        <v/>
      </c>
      <c r="F235" s="101"/>
      <c r="G235" s="106" t="str">
        <f>IFERROR(VLOOKUP(A235,'Salary Calculation'!$A$2:$V$999,7,0),"")</f>
        <v/>
      </c>
      <c r="H235" s="100"/>
      <c r="I235" s="101"/>
      <c r="J235" s="101"/>
      <c r="K235" s="101"/>
      <c r="L235" s="101"/>
      <c r="M235" s="101"/>
      <c r="N235" s="101"/>
      <c r="O235" s="101"/>
      <c r="P235" s="101"/>
      <c r="Q235" s="101"/>
      <c r="R235" s="101"/>
      <c r="S235" s="101"/>
      <c r="T235" s="101"/>
      <c r="U235" s="101"/>
      <c r="V235" s="101"/>
      <c r="W235" s="101"/>
      <c r="X235" s="101"/>
      <c r="Y235" s="101"/>
      <c r="Z235" s="101"/>
      <c r="AA235" s="101"/>
      <c r="AB235" s="101"/>
    </row>
    <row r="236">
      <c r="A236" s="104" t="s">
        <v>373</v>
      </c>
      <c r="B236" s="105" t="str">
        <f>IFERROR(VLOOKUP(A236,'Salary Calculation'!A235:F1232,2,0),"")</f>
        <v/>
      </c>
      <c r="C236" s="105" t="str">
        <f>IFERROR(VLOOKUP(A236,'Salary Calculation'!$A$2:$V$999,3,0),"")</f>
        <v/>
      </c>
      <c r="D236" s="105" t="str">
        <f>IFERROR(VLOOKUP(A236,'Salary Calculation'!$A$2:$V$999,6,0),"")</f>
        <v/>
      </c>
      <c r="E236" s="105" t="str">
        <f>IFERROR(VLOOKUP(A236,'Salary Calculation'!$A$2:$V$999,10,0),"")</f>
        <v/>
      </c>
      <c r="F236" s="101"/>
      <c r="G236" s="106" t="str">
        <f>IFERROR(VLOOKUP(A236,'Salary Calculation'!$A$2:$V$999,7,0),"")</f>
        <v/>
      </c>
      <c r="H236" s="100"/>
      <c r="I236" s="101"/>
      <c r="J236" s="101"/>
      <c r="K236" s="101"/>
      <c r="L236" s="101"/>
      <c r="M236" s="101"/>
      <c r="N236" s="101"/>
      <c r="O236" s="101"/>
      <c r="P236" s="101"/>
      <c r="Q236" s="101"/>
      <c r="R236" s="101"/>
      <c r="S236" s="101"/>
      <c r="T236" s="101"/>
      <c r="U236" s="101"/>
      <c r="V236" s="101"/>
      <c r="W236" s="101"/>
      <c r="X236" s="101"/>
      <c r="Y236" s="101"/>
      <c r="Z236" s="101"/>
      <c r="AA236" s="101"/>
      <c r="AB236" s="101"/>
    </row>
    <row r="237">
      <c r="A237" s="104" t="s">
        <v>374</v>
      </c>
      <c r="B237" s="105" t="str">
        <f>IFERROR(VLOOKUP(A237,'Salary Calculation'!A236:F1233,2,0),"")</f>
        <v/>
      </c>
      <c r="C237" s="105" t="str">
        <f>IFERROR(VLOOKUP(A237,'Salary Calculation'!$A$2:$V$999,3,0),"")</f>
        <v/>
      </c>
      <c r="D237" s="105" t="str">
        <f>IFERROR(VLOOKUP(A237,'Salary Calculation'!$A$2:$V$999,6,0),"")</f>
        <v/>
      </c>
      <c r="E237" s="105" t="str">
        <f>IFERROR(VLOOKUP(A237,'Salary Calculation'!$A$2:$V$999,10,0),"")</f>
        <v/>
      </c>
      <c r="F237" s="101"/>
      <c r="G237" s="106" t="str">
        <f>IFERROR(VLOOKUP(A237,'Salary Calculation'!$A$2:$V$999,7,0),"")</f>
        <v/>
      </c>
      <c r="H237" s="100"/>
      <c r="I237" s="101"/>
      <c r="J237" s="101"/>
      <c r="K237" s="101"/>
      <c r="L237" s="101"/>
      <c r="M237" s="101"/>
      <c r="N237" s="101"/>
      <c r="O237" s="101"/>
      <c r="P237" s="101"/>
      <c r="Q237" s="101"/>
      <c r="R237" s="101"/>
      <c r="S237" s="101"/>
      <c r="T237" s="101"/>
      <c r="U237" s="101"/>
      <c r="V237" s="101"/>
      <c r="W237" s="101"/>
      <c r="X237" s="101"/>
      <c r="Y237" s="101"/>
      <c r="Z237" s="101"/>
      <c r="AA237" s="101"/>
      <c r="AB237" s="101"/>
    </row>
    <row r="238">
      <c r="A238" s="104" t="s">
        <v>375</v>
      </c>
      <c r="B238" s="105" t="str">
        <f>IFERROR(VLOOKUP(A238,'Salary Calculation'!A237:F1234,2,0),"")</f>
        <v/>
      </c>
      <c r="C238" s="105" t="str">
        <f>IFERROR(VLOOKUP(A238,'Salary Calculation'!$A$2:$V$999,3,0),"")</f>
        <v/>
      </c>
      <c r="D238" s="105" t="str">
        <f>IFERROR(VLOOKUP(A238,'Salary Calculation'!$A$2:$V$999,6,0),"")</f>
        <v/>
      </c>
      <c r="E238" s="105" t="str">
        <f>IFERROR(VLOOKUP(A238,'Salary Calculation'!$A$2:$V$999,10,0),"")</f>
        <v/>
      </c>
      <c r="F238" s="101"/>
      <c r="G238" s="106" t="str">
        <f>IFERROR(VLOOKUP(A238,'Salary Calculation'!$A$2:$V$999,7,0),"")</f>
        <v/>
      </c>
      <c r="H238" s="100"/>
      <c r="I238" s="101"/>
      <c r="J238" s="101"/>
      <c r="K238" s="101"/>
      <c r="L238" s="101"/>
      <c r="M238" s="101"/>
      <c r="N238" s="101"/>
      <c r="O238" s="101"/>
      <c r="P238" s="101"/>
      <c r="Q238" s="101"/>
      <c r="R238" s="101"/>
      <c r="S238" s="101"/>
      <c r="T238" s="101"/>
      <c r="U238" s="101"/>
      <c r="V238" s="101"/>
      <c r="W238" s="101"/>
      <c r="X238" s="101"/>
      <c r="Y238" s="101"/>
      <c r="Z238" s="101"/>
      <c r="AA238" s="101"/>
      <c r="AB238" s="101"/>
    </row>
    <row r="239">
      <c r="A239" s="104" t="s">
        <v>376</v>
      </c>
      <c r="B239" s="105" t="str">
        <f>IFERROR(VLOOKUP(A239,'Salary Calculation'!A238:F1235,2,0),"")</f>
        <v/>
      </c>
      <c r="C239" s="105" t="str">
        <f>IFERROR(VLOOKUP(A239,'Salary Calculation'!$A$2:$V$999,3,0),"")</f>
        <v/>
      </c>
      <c r="D239" s="105" t="str">
        <f>IFERROR(VLOOKUP(A239,'Salary Calculation'!$A$2:$V$999,6,0),"")</f>
        <v/>
      </c>
      <c r="E239" s="105" t="str">
        <f>IFERROR(VLOOKUP(A239,'Salary Calculation'!$A$2:$V$999,10,0),"")</f>
        <v/>
      </c>
      <c r="F239" s="101"/>
      <c r="G239" s="106" t="str">
        <f>IFERROR(VLOOKUP(A239,'Salary Calculation'!$A$2:$V$999,7,0),"")</f>
        <v/>
      </c>
      <c r="H239" s="100"/>
      <c r="I239" s="101"/>
      <c r="J239" s="101"/>
      <c r="K239" s="101"/>
      <c r="L239" s="101"/>
      <c r="M239" s="101"/>
      <c r="N239" s="101"/>
      <c r="O239" s="101"/>
      <c r="P239" s="101"/>
      <c r="Q239" s="101"/>
      <c r="R239" s="101"/>
      <c r="S239" s="101"/>
      <c r="T239" s="101"/>
      <c r="U239" s="101"/>
      <c r="V239" s="101"/>
      <c r="W239" s="101"/>
      <c r="X239" s="101"/>
      <c r="Y239" s="101"/>
      <c r="Z239" s="101"/>
      <c r="AA239" s="101"/>
      <c r="AB239" s="101"/>
    </row>
    <row r="240">
      <c r="A240" s="104" t="s">
        <v>377</v>
      </c>
      <c r="B240" s="105" t="str">
        <f>IFERROR(VLOOKUP(A240,'Salary Calculation'!A239:F1236,2,0),"")</f>
        <v/>
      </c>
      <c r="C240" s="105" t="str">
        <f>IFERROR(VLOOKUP(A240,'Salary Calculation'!$A$2:$V$999,3,0),"")</f>
        <v/>
      </c>
      <c r="D240" s="105" t="str">
        <f>IFERROR(VLOOKUP(A240,'Salary Calculation'!$A$2:$V$999,6,0),"")</f>
        <v/>
      </c>
      <c r="E240" s="105" t="str">
        <f>IFERROR(VLOOKUP(A240,'Salary Calculation'!$A$2:$V$999,10,0),"")</f>
        <v/>
      </c>
      <c r="F240" s="101"/>
      <c r="G240" s="106" t="str">
        <f>IFERROR(VLOOKUP(A240,'Salary Calculation'!$A$2:$V$999,7,0),"")</f>
        <v/>
      </c>
      <c r="H240" s="100"/>
      <c r="I240" s="101"/>
      <c r="J240" s="101"/>
      <c r="K240" s="101"/>
      <c r="L240" s="101"/>
      <c r="M240" s="101"/>
      <c r="N240" s="101"/>
      <c r="O240" s="101"/>
      <c r="P240" s="101"/>
      <c r="Q240" s="101"/>
      <c r="R240" s="101"/>
      <c r="S240" s="101"/>
      <c r="T240" s="101"/>
      <c r="U240" s="101"/>
      <c r="V240" s="101"/>
      <c r="W240" s="101"/>
      <c r="X240" s="101"/>
      <c r="Y240" s="101"/>
      <c r="Z240" s="101"/>
      <c r="AA240" s="101"/>
      <c r="AB240" s="101"/>
    </row>
    <row r="241">
      <c r="A241" s="104" t="s">
        <v>378</v>
      </c>
      <c r="B241" s="105" t="str">
        <f>IFERROR(VLOOKUP(A241,'Salary Calculation'!A240:F1237,2,0),"")</f>
        <v/>
      </c>
      <c r="C241" s="105" t="str">
        <f>IFERROR(VLOOKUP(A241,'Salary Calculation'!$A$2:$V$999,3,0),"")</f>
        <v/>
      </c>
      <c r="D241" s="105" t="str">
        <f>IFERROR(VLOOKUP(A241,'Salary Calculation'!$A$2:$V$999,6,0),"")</f>
        <v/>
      </c>
      <c r="E241" s="105" t="str">
        <f>IFERROR(VLOOKUP(A241,'Salary Calculation'!$A$2:$V$999,10,0),"")</f>
        <v/>
      </c>
      <c r="F241" s="101"/>
      <c r="G241" s="106" t="str">
        <f>IFERROR(VLOOKUP(A241,'Salary Calculation'!$A$2:$V$999,7,0),"")</f>
        <v/>
      </c>
      <c r="H241" s="100"/>
      <c r="I241" s="101"/>
      <c r="J241" s="101"/>
      <c r="K241" s="101"/>
      <c r="L241" s="101"/>
      <c r="M241" s="101"/>
      <c r="N241" s="101"/>
      <c r="O241" s="101"/>
      <c r="P241" s="101"/>
      <c r="Q241" s="101"/>
      <c r="R241" s="101"/>
      <c r="S241" s="101"/>
      <c r="T241" s="101"/>
      <c r="U241" s="101"/>
      <c r="V241" s="101"/>
      <c r="W241" s="101"/>
      <c r="X241" s="101"/>
      <c r="Y241" s="101"/>
      <c r="Z241" s="101"/>
      <c r="AA241" s="101"/>
      <c r="AB241" s="101"/>
    </row>
    <row r="242">
      <c r="A242" s="104" t="s">
        <v>379</v>
      </c>
      <c r="B242" s="105" t="str">
        <f>IFERROR(VLOOKUP(A242,'Salary Calculation'!A241:F1238,2,0),"")</f>
        <v/>
      </c>
      <c r="C242" s="105" t="str">
        <f>IFERROR(VLOOKUP(A242,'Salary Calculation'!$A$2:$V$999,3,0),"")</f>
        <v/>
      </c>
      <c r="D242" s="105" t="str">
        <f>IFERROR(VLOOKUP(A242,'Salary Calculation'!$A$2:$V$999,6,0),"")</f>
        <v/>
      </c>
      <c r="E242" s="105" t="str">
        <f>IFERROR(VLOOKUP(A242,'Salary Calculation'!$A$2:$V$999,10,0),"")</f>
        <v/>
      </c>
      <c r="F242" s="101"/>
      <c r="G242" s="106" t="str">
        <f>IFERROR(VLOOKUP(A242,'Salary Calculation'!$A$2:$V$999,7,0),"")</f>
        <v/>
      </c>
      <c r="H242" s="100"/>
      <c r="I242" s="101"/>
      <c r="J242" s="101"/>
      <c r="K242" s="101"/>
      <c r="L242" s="101"/>
      <c r="M242" s="101"/>
      <c r="N242" s="101"/>
      <c r="O242" s="101"/>
      <c r="P242" s="101"/>
      <c r="Q242" s="101"/>
      <c r="R242" s="101"/>
      <c r="S242" s="101"/>
      <c r="T242" s="101"/>
      <c r="U242" s="101"/>
      <c r="V242" s="101"/>
      <c r="W242" s="101"/>
      <c r="X242" s="101"/>
      <c r="Y242" s="101"/>
      <c r="Z242" s="101"/>
      <c r="AA242" s="101"/>
      <c r="AB242" s="101"/>
    </row>
    <row r="243">
      <c r="A243" s="104" t="s">
        <v>380</v>
      </c>
      <c r="B243" s="105" t="str">
        <f>IFERROR(VLOOKUP(A243,'Salary Calculation'!A242:F1239,2,0),"")</f>
        <v/>
      </c>
      <c r="C243" s="105" t="str">
        <f>IFERROR(VLOOKUP(A243,'Salary Calculation'!$A$2:$V$999,3,0),"")</f>
        <v/>
      </c>
      <c r="D243" s="105" t="str">
        <f>IFERROR(VLOOKUP(A243,'Salary Calculation'!$A$2:$V$999,6,0),"")</f>
        <v/>
      </c>
      <c r="E243" s="105" t="str">
        <f>IFERROR(VLOOKUP(A243,'Salary Calculation'!$A$2:$V$999,10,0),"")</f>
        <v/>
      </c>
      <c r="F243" s="101"/>
      <c r="G243" s="106" t="str">
        <f>IFERROR(VLOOKUP(A243,'Salary Calculation'!$A$2:$V$999,7,0),"")</f>
        <v/>
      </c>
      <c r="H243" s="100"/>
      <c r="I243" s="101"/>
      <c r="J243" s="101"/>
      <c r="K243" s="101"/>
      <c r="L243" s="101"/>
      <c r="M243" s="101"/>
      <c r="N243" s="101"/>
      <c r="O243" s="101"/>
      <c r="P243" s="101"/>
      <c r="Q243" s="101"/>
      <c r="R243" s="101"/>
      <c r="S243" s="101"/>
      <c r="T243" s="101"/>
      <c r="U243" s="101"/>
      <c r="V243" s="101"/>
      <c r="W243" s="101"/>
      <c r="X243" s="101"/>
      <c r="Y243" s="101"/>
      <c r="Z243" s="101"/>
      <c r="AA243" s="101"/>
      <c r="AB243" s="101"/>
    </row>
    <row r="244">
      <c r="A244" s="104" t="s">
        <v>381</v>
      </c>
      <c r="B244" s="105" t="str">
        <f>IFERROR(VLOOKUP(A244,'Salary Calculation'!A243:F1240,2,0),"")</f>
        <v/>
      </c>
      <c r="C244" s="105" t="str">
        <f>IFERROR(VLOOKUP(A244,'Salary Calculation'!$A$2:$V$999,3,0),"")</f>
        <v/>
      </c>
      <c r="D244" s="105" t="str">
        <f>IFERROR(VLOOKUP(A244,'Salary Calculation'!$A$2:$V$999,6,0),"")</f>
        <v/>
      </c>
      <c r="E244" s="105" t="str">
        <f>IFERROR(VLOOKUP(A244,'Salary Calculation'!$A$2:$V$999,10,0),"")</f>
        <v/>
      </c>
      <c r="F244" s="101"/>
      <c r="G244" s="106" t="str">
        <f>IFERROR(VLOOKUP(A244,'Salary Calculation'!$A$2:$V$999,7,0),"")</f>
        <v/>
      </c>
      <c r="H244" s="100"/>
      <c r="I244" s="101"/>
      <c r="J244" s="101"/>
      <c r="K244" s="101"/>
      <c r="L244" s="101"/>
      <c r="M244" s="101"/>
      <c r="N244" s="101"/>
      <c r="O244" s="101"/>
      <c r="P244" s="101"/>
      <c r="Q244" s="101"/>
      <c r="R244" s="101"/>
      <c r="S244" s="101"/>
      <c r="T244" s="101"/>
      <c r="U244" s="101"/>
      <c r="V244" s="101"/>
      <c r="W244" s="101"/>
      <c r="X244" s="101"/>
      <c r="Y244" s="101"/>
      <c r="Z244" s="101"/>
      <c r="AA244" s="101"/>
      <c r="AB244" s="101"/>
    </row>
    <row r="245">
      <c r="A245" s="104" t="s">
        <v>382</v>
      </c>
      <c r="B245" s="105" t="str">
        <f>IFERROR(VLOOKUP(A245,'Salary Calculation'!A244:F1241,2,0),"")</f>
        <v/>
      </c>
      <c r="C245" s="105" t="str">
        <f>IFERROR(VLOOKUP(A245,'Salary Calculation'!$A$2:$V$999,3,0),"")</f>
        <v/>
      </c>
      <c r="D245" s="105" t="str">
        <f>IFERROR(VLOOKUP(A245,'Salary Calculation'!$A$2:$V$999,6,0),"")</f>
        <v/>
      </c>
      <c r="E245" s="105" t="str">
        <f>IFERROR(VLOOKUP(A245,'Salary Calculation'!$A$2:$V$999,10,0),"")</f>
        <v/>
      </c>
      <c r="F245" s="101"/>
      <c r="G245" s="106" t="str">
        <f>IFERROR(VLOOKUP(A245,'Salary Calculation'!$A$2:$V$999,7,0),"")</f>
        <v/>
      </c>
      <c r="H245" s="100"/>
      <c r="I245" s="101"/>
      <c r="J245" s="101"/>
      <c r="K245" s="101"/>
      <c r="L245" s="101"/>
      <c r="M245" s="101"/>
      <c r="N245" s="101"/>
      <c r="O245" s="101"/>
      <c r="P245" s="101"/>
      <c r="Q245" s="101"/>
      <c r="R245" s="101"/>
      <c r="S245" s="101"/>
      <c r="T245" s="101"/>
      <c r="U245" s="101"/>
      <c r="V245" s="101"/>
      <c r="W245" s="101"/>
      <c r="X245" s="101"/>
      <c r="Y245" s="101"/>
      <c r="Z245" s="101"/>
      <c r="AA245" s="101"/>
      <c r="AB245" s="101"/>
    </row>
    <row r="246">
      <c r="A246" s="104" t="s">
        <v>383</v>
      </c>
      <c r="B246" s="105" t="str">
        <f>IFERROR(VLOOKUP(A246,'Salary Calculation'!A245:F1242,2,0),"")</f>
        <v/>
      </c>
      <c r="C246" s="105" t="str">
        <f>IFERROR(VLOOKUP(A246,'Salary Calculation'!$A$2:$V$999,3,0),"")</f>
        <v/>
      </c>
      <c r="D246" s="105" t="str">
        <f>IFERROR(VLOOKUP(A246,'Salary Calculation'!$A$2:$V$999,6,0),"")</f>
        <v/>
      </c>
      <c r="E246" s="105" t="str">
        <f>IFERROR(VLOOKUP(A246,'Salary Calculation'!$A$2:$V$999,10,0),"")</f>
        <v/>
      </c>
      <c r="F246" s="101"/>
      <c r="G246" s="106" t="str">
        <f>IFERROR(VLOOKUP(A246,'Salary Calculation'!$A$2:$V$999,7,0),"")</f>
        <v/>
      </c>
      <c r="H246" s="100"/>
      <c r="I246" s="101"/>
      <c r="J246" s="101"/>
      <c r="K246" s="101"/>
      <c r="L246" s="101"/>
      <c r="M246" s="101"/>
      <c r="N246" s="101"/>
      <c r="O246" s="101"/>
      <c r="P246" s="101"/>
      <c r="Q246" s="101"/>
      <c r="R246" s="101"/>
      <c r="S246" s="101"/>
      <c r="T246" s="101"/>
      <c r="U246" s="101"/>
      <c r="V246" s="101"/>
      <c r="W246" s="101"/>
      <c r="X246" s="101"/>
      <c r="Y246" s="101"/>
      <c r="Z246" s="101"/>
      <c r="AA246" s="101"/>
      <c r="AB246" s="101"/>
    </row>
    <row r="247">
      <c r="A247" s="104" t="s">
        <v>384</v>
      </c>
      <c r="B247" s="105" t="str">
        <f>IFERROR(VLOOKUP(A247,'Salary Calculation'!A246:F1243,2,0),"")</f>
        <v/>
      </c>
      <c r="C247" s="105" t="str">
        <f>IFERROR(VLOOKUP(A247,'Salary Calculation'!$A$2:$V$999,3,0),"")</f>
        <v/>
      </c>
      <c r="D247" s="105" t="str">
        <f>IFERROR(VLOOKUP(A247,'Salary Calculation'!$A$2:$V$999,6,0),"")</f>
        <v/>
      </c>
      <c r="E247" s="105" t="str">
        <f>IFERROR(VLOOKUP(A247,'Salary Calculation'!$A$2:$V$999,10,0),"")</f>
        <v/>
      </c>
      <c r="F247" s="101"/>
      <c r="G247" s="106" t="str">
        <f>IFERROR(VLOOKUP(A247,'Salary Calculation'!$A$2:$V$999,7,0),"")</f>
        <v/>
      </c>
      <c r="H247" s="100"/>
      <c r="I247" s="101"/>
      <c r="J247" s="101"/>
      <c r="K247" s="101"/>
      <c r="L247" s="101"/>
      <c r="M247" s="101"/>
      <c r="N247" s="101"/>
      <c r="O247" s="101"/>
      <c r="P247" s="101"/>
      <c r="Q247" s="101"/>
      <c r="R247" s="101"/>
      <c r="S247" s="101"/>
      <c r="T247" s="101"/>
      <c r="U247" s="101"/>
      <c r="V247" s="101"/>
      <c r="W247" s="101"/>
      <c r="X247" s="101"/>
      <c r="Y247" s="101"/>
      <c r="Z247" s="101"/>
      <c r="AA247" s="101"/>
      <c r="AB247" s="101"/>
    </row>
    <row r="248">
      <c r="A248" s="104" t="s">
        <v>385</v>
      </c>
      <c r="B248" s="105" t="str">
        <f>IFERROR(VLOOKUP(A248,'Salary Calculation'!A247:F1244,2,0),"")</f>
        <v/>
      </c>
      <c r="C248" s="105" t="str">
        <f>IFERROR(VLOOKUP(A248,'Salary Calculation'!$A$2:$V$999,3,0),"")</f>
        <v/>
      </c>
      <c r="D248" s="105" t="str">
        <f>IFERROR(VLOOKUP(A248,'Salary Calculation'!$A$2:$V$999,6,0),"")</f>
        <v/>
      </c>
      <c r="E248" s="105" t="str">
        <f>IFERROR(VLOOKUP(A248,'Salary Calculation'!$A$2:$V$999,10,0),"")</f>
        <v/>
      </c>
      <c r="F248" s="101"/>
      <c r="G248" s="106" t="str">
        <f>IFERROR(VLOOKUP(A248,'Salary Calculation'!$A$2:$V$999,7,0),"")</f>
        <v/>
      </c>
      <c r="H248" s="100"/>
      <c r="I248" s="101"/>
      <c r="J248" s="101"/>
      <c r="K248" s="101"/>
      <c r="L248" s="101"/>
      <c r="M248" s="101"/>
      <c r="N248" s="101"/>
      <c r="O248" s="101"/>
      <c r="P248" s="101"/>
      <c r="Q248" s="101"/>
      <c r="R248" s="101"/>
      <c r="S248" s="101"/>
      <c r="T248" s="101"/>
      <c r="U248" s="101"/>
      <c r="V248" s="101"/>
      <c r="W248" s="101"/>
      <c r="X248" s="101"/>
      <c r="Y248" s="101"/>
      <c r="Z248" s="101"/>
      <c r="AA248" s="101"/>
      <c r="AB248" s="101"/>
    </row>
    <row r="249">
      <c r="A249" s="104" t="s">
        <v>386</v>
      </c>
      <c r="B249" s="105" t="str">
        <f>IFERROR(VLOOKUP(A249,'Salary Calculation'!A248:F1245,2,0),"")</f>
        <v/>
      </c>
      <c r="C249" s="105" t="str">
        <f>IFERROR(VLOOKUP(A249,'Salary Calculation'!$A$2:$V$999,3,0),"")</f>
        <v/>
      </c>
      <c r="D249" s="105" t="str">
        <f>IFERROR(VLOOKUP(A249,'Salary Calculation'!$A$2:$V$999,6,0),"")</f>
        <v/>
      </c>
      <c r="E249" s="105" t="str">
        <f>IFERROR(VLOOKUP(A249,'Salary Calculation'!$A$2:$V$999,10,0),"")</f>
        <v/>
      </c>
      <c r="F249" s="101"/>
      <c r="G249" s="106" t="str">
        <f>IFERROR(VLOOKUP(A249,'Salary Calculation'!$A$2:$V$999,7,0),"")</f>
        <v/>
      </c>
      <c r="H249" s="100"/>
      <c r="I249" s="101"/>
      <c r="J249" s="101"/>
      <c r="K249" s="101"/>
      <c r="L249" s="101"/>
      <c r="M249" s="101"/>
      <c r="N249" s="101"/>
      <c r="O249" s="101"/>
      <c r="P249" s="101"/>
      <c r="Q249" s="101"/>
      <c r="R249" s="101"/>
      <c r="S249" s="101"/>
      <c r="T249" s="101"/>
      <c r="U249" s="101"/>
      <c r="V249" s="101"/>
      <c r="W249" s="101"/>
      <c r="X249" s="101"/>
      <c r="Y249" s="101"/>
      <c r="Z249" s="101"/>
      <c r="AA249" s="101"/>
      <c r="AB249" s="101"/>
    </row>
    <row r="250">
      <c r="A250" s="104" t="s">
        <v>387</v>
      </c>
      <c r="B250" s="105" t="str">
        <f>IFERROR(VLOOKUP(A250,'Salary Calculation'!A249:F1246,2,0),"")</f>
        <v/>
      </c>
      <c r="C250" s="105" t="str">
        <f>IFERROR(VLOOKUP(A250,'Salary Calculation'!$A$2:$V$999,3,0),"")</f>
        <v/>
      </c>
      <c r="D250" s="105" t="str">
        <f>IFERROR(VLOOKUP(A250,'Salary Calculation'!$A$2:$V$999,6,0),"")</f>
        <v/>
      </c>
      <c r="E250" s="105" t="str">
        <f>IFERROR(VLOOKUP(A250,'Salary Calculation'!$A$2:$V$999,10,0),"")</f>
        <v/>
      </c>
      <c r="F250" s="101"/>
      <c r="G250" s="106" t="str">
        <f>IFERROR(VLOOKUP(A250,'Salary Calculation'!$A$2:$V$999,7,0),"")</f>
        <v/>
      </c>
      <c r="H250" s="100"/>
      <c r="I250" s="101"/>
      <c r="J250" s="101"/>
      <c r="K250" s="101"/>
      <c r="L250" s="101"/>
      <c r="M250" s="101"/>
      <c r="N250" s="101"/>
      <c r="O250" s="101"/>
      <c r="P250" s="101"/>
      <c r="Q250" s="101"/>
      <c r="R250" s="101"/>
      <c r="S250" s="101"/>
      <c r="T250" s="101"/>
      <c r="U250" s="101"/>
      <c r="V250" s="101"/>
      <c r="W250" s="101"/>
      <c r="X250" s="101"/>
      <c r="Y250" s="101"/>
      <c r="Z250" s="101"/>
      <c r="AA250" s="101"/>
      <c r="AB250" s="101"/>
    </row>
    <row r="251">
      <c r="A251" s="104" t="s">
        <v>388</v>
      </c>
      <c r="B251" s="105" t="str">
        <f>IFERROR(VLOOKUP(A251,'Salary Calculation'!A250:F1247,2,0),"")</f>
        <v/>
      </c>
      <c r="C251" s="105" t="str">
        <f>IFERROR(VLOOKUP(A251,'Salary Calculation'!$A$2:$V$999,3,0),"")</f>
        <v/>
      </c>
      <c r="D251" s="105" t="str">
        <f>IFERROR(VLOOKUP(A251,'Salary Calculation'!$A$2:$V$999,6,0),"")</f>
        <v/>
      </c>
      <c r="E251" s="105" t="str">
        <f>IFERROR(VLOOKUP(A251,'Salary Calculation'!$A$2:$V$999,10,0),"")</f>
        <v/>
      </c>
      <c r="F251" s="101"/>
      <c r="G251" s="106" t="str">
        <f>IFERROR(VLOOKUP(A251,'Salary Calculation'!$A$2:$V$999,7,0),"")</f>
        <v/>
      </c>
      <c r="H251" s="100"/>
      <c r="I251" s="101"/>
      <c r="J251" s="101"/>
      <c r="K251" s="101"/>
      <c r="L251" s="101"/>
      <c r="M251" s="101"/>
      <c r="N251" s="101"/>
      <c r="O251" s="101"/>
      <c r="P251" s="101"/>
      <c r="Q251" s="101"/>
      <c r="R251" s="101"/>
      <c r="S251" s="101"/>
      <c r="T251" s="101"/>
      <c r="U251" s="101"/>
      <c r="V251" s="101"/>
      <c r="W251" s="101"/>
      <c r="X251" s="101"/>
      <c r="Y251" s="101"/>
      <c r="Z251" s="101"/>
      <c r="AA251" s="101"/>
      <c r="AB251" s="101"/>
    </row>
    <row r="252">
      <c r="A252" s="104" t="s">
        <v>389</v>
      </c>
      <c r="B252" s="105" t="str">
        <f>IFERROR(VLOOKUP(A252,'Salary Calculation'!A251:F1248,2,0),"")</f>
        <v/>
      </c>
      <c r="C252" s="105" t="str">
        <f>IFERROR(VLOOKUP(A252,'Salary Calculation'!$A$2:$V$999,3,0),"")</f>
        <v/>
      </c>
      <c r="D252" s="105" t="str">
        <f>IFERROR(VLOOKUP(A252,'Salary Calculation'!$A$2:$V$999,6,0),"")</f>
        <v/>
      </c>
      <c r="E252" s="105" t="str">
        <f>IFERROR(VLOOKUP(A252,'Salary Calculation'!$A$2:$V$999,10,0),"")</f>
        <v/>
      </c>
      <c r="F252" s="101"/>
      <c r="G252" s="106" t="str">
        <f>IFERROR(VLOOKUP(A252,'Salary Calculation'!$A$2:$V$999,7,0),"")</f>
        <v/>
      </c>
      <c r="H252" s="100"/>
      <c r="I252" s="101"/>
      <c r="J252" s="101"/>
      <c r="K252" s="101"/>
      <c r="L252" s="101"/>
      <c r="M252" s="101"/>
      <c r="N252" s="101"/>
      <c r="O252" s="101"/>
      <c r="P252" s="101"/>
      <c r="Q252" s="101"/>
      <c r="R252" s="101"/>
      <c r="S252" s="101"/>
      <c r="T252" s="101"/>
      <c r="U252" s="101"/>
      <c r="V252" s="101"/>
      <c r="W252" s="101"/>
      <c r="X252" s="101"/>
      <c r="Y252" s="101"/>
      <c r="Z252" s="101"/>
      <c r="AA252" s="101"/>
      <c r="AB252" s="101"/>
    </row>
    <row r="253">
      <c r="A253" s="104" t="s">
        <v>390</v>
      </c>
      <c r="B253" s="105" t="str">
        <f>IFERROR(VLOOKUP(A253,'Salary Calculation'!A252:F1249,2,0),"")</f>
        <v/>
      </c>
      <c r="C253" s="105" t="str">
        <f>IFERROR(VLOOKUP(A253,'Salary Calculation'!$A$2:$V$999,3,0),"")</f>
        <v/>
      </c>
      <c r="D253" s="105" t="str">
        <f>IFERROR(VLOOKUP(A253,'Salary Calculation'!$A$2:$V$999,6,0),"")</f>
        <v/>
      </c>
      <c r="E253" s="105" t="str">
        <f>IFERROR(VLOOKUP(A253,'Salary Calculation'!$A$2:$V$999,10,0),"")</f>
        <v/>
      </c>
      <c r="F253" s="101"/>
      <c r="G253" s="106" t="str">
        <f>IFERROR(VLOOKUP(A253,'Salary Calculation'!$A$2:$V$999,7,0),"")</f>
        <v/>
      </c>
      <c r="H253" s="100"/>
      <c r="I253" s="101"/>
      <c r="J253" s="101"/>
      <c r="K253" s="101"/>
      <c r="L253" s="101"/>
      <c r="M253" s="101"/>
      <c r="N253" s="101"/>
      <c r="O253" s="101"/>
      <c r="P253" s="101"/>
      <c r="Q253" s="101"/>
      <c r="R253" s="101"/>
      <c r="S253" s="101"/>
      <c r="T253" s="101"/>
      <c r="U253" s="101"/>
      <c r="V253" s="101"/>
      <c r="W253" s="101"/>
      <c r="X253" s="101"/>
      <c r="Y253" s="101"/>
      <c r="Z253" s="101"/>
      <c r="AA253" s="101"/>
      <c r="AB253" s="101"/>
    </row>
    <row r="254">
      <c r="A254" s="104" t="s">
        <v>391</v>
      </c>
      <c r="B254" s="105" t="str">
        <f>IFERROR(VLOOKUP(A254,'Salary Calculation'!A253:F1250,2,0),"")</f>
        <v/>
      </c>
      <c r="C254" s="105" t="str">
        <f>IFERROR(VLOOKUP(A254,'Salary Calculation'!$A$2:$V$999,3,0),"")</f>
        <v/>
      </c>
      <c r="D254" s="105" t="str">
        <f>IFERROR(VLOOKUP(A254,'Salary Calculation'!$A$2:$V$999,6,0),"")</f>
        <v/>
      </c>
      <c r="E254" s="105" t="str">
        <f>IFERROR(VLOOKUP(A254,'Salary Calculation'!$A$2:$V$999,10,0),"")</f>
        <v/>
      </c>
      <c r="F254" s="101"/>
      <c r="G254" s="106" t="str">
        <f>IFERROR(VLOOKUP(A254,'Salary Calculation'!$A$2:$V$999,7,0),"")</f>
        <v/>
      </c>
      <c r="H254" s="100"/>
      <c r="I254" s="101"/>
      <c r="J254" s="101"/>
      <c r="K254" s="101"/>
      <c r="L254" s="101"/>
      <c r="M254" s="101"/>
      <c r="N254" s="101"/>
      <c r="O254" s="101"/>
      <c r="P254" s="101"/>
      <c r="Q254" s="101"/>
      <c r="R254" s="101"/>
      <c r="S254" s="101"/>
      <c r="T254" s="101"/>
      <c r="U254" s="101"/>
      <c r="V254" s="101"/>
      <c r="W254" s="101"/>
      <c r="X254" s="101"/>
      <c r="Y254" s="101"/>
      <c r="Z254" s="101"/>
      <c r="AA254" s="101"/>
      <c r="AB254" s="101"/>
    </row>
    <row r="255">
      <c r="A255" s="104" t="s">
        <v>392</v>
      </c>
      <c r="B255" s="105" t="str">
        <f>IFERROR(VLOOKUP(A255,'Salary Calculation'!A254:F1251,2,0),"")</f>
        <v/>
      </c>
      <c r="C255" s="105" t="str">
        <f>IFERROR(VLOOKUP(A255,'Salary Calculation'!$A$2:$V$999,3,0),"")</f>
        <v/>
      </c>
      <c r="D255" s="105" t="str">
        <f>IFERROR(VLOOKUP(A255,'Salary Calculation'!$A$2:$V$999,6,0),"")</f>
        <v/>
      </c>
      <c r="E255" s="105" t="str">
        <f>IFERROR(VLOOKUP(A255,'Salary Calculation'!$A$2:$V$999,10,0),"")</f>
        <v/>
      </c>
      <c r="F255" s="101"/>
      <c r="G255" s="106" t="str">
        <f>IFERROR(VLOOKUP(A255,'Salary Calculation'!$A$2:$V$999,7,0),"")</f>
        <v/>
      </c>
      <c r="H255" s="100"/>
      <c r="I255" s="101"/>
      <c r="J255" s="101"/>
      <c r="K255" s="101"/>
      <c r="L255" s="101"/>
      <c r="M255" s="101"/>
      <c r="N255" s="101"/>
      <c r="O255" s="101"/>
      <c r="P255" s="101"/>
      <c r="Q255" s="101"/>
      <c r="R255" s="101"/>
      <c r="S255" s="101"/>
      <c r="T255" s="101"/>
      <c r="U255" s="101"/>
      <c r="V255" s="101"/>
      <c r="W255" s="101"/>
      <c r="X255" s="101"/>
      <c r="Y255" s="101"/>
      <c r="Z255" s="101"/>
      <c r="AA255" s="101"/>
      <c r="AB255" s="101"/>
    </row>
    <row r="256">
      <c r="A256" s="104" t="s">
        <v>393</v>
      </c>
      <c r="B256" s="105" t="str">
        <f>IFERROR(VLOOKUP(A256,'Salary Calculation'!A255:F1252,2,0),"")</f>
        <v/>
      </c>
      <c r="C256" s="105" t="str">
        <f>IFERROR(VLOOKUP(A256,'Salary Calculation'!$A$2:$V$999,3,0),"")</f>
        <v/>
      </c>
      <c r="D256" s="105" t="str">
        <f>IFERROR(VLOOKUP(A256,'Salary Calculation'!$A$2:$V$999,6,0),"")</f>
        <v/>
      </c>
      <c r="E256" s="105" t="str">
        <f>IFERROR(VLOOKUP(A256,'Salary Calculation'!$A$2:$V$999,10,0),"")</f>
        <v/>
      </c>
      <c r="F256" s="101"/>
      <c r="G256" s="106" t="str">
        <f>IFERROR(VLOOKUP(A256,'Salary Calculation'!$A$2:$V$999,7,0),"")</f>
        <v/>
      </c>
      <c r="H256" s="100"/>
      <c r="I256" s="101"/>
      <c r="J256" s="101"/>
      <c r="K256" s="101"/>
      <c r="L256" s="101"/>
      <c r="M256" s="101"/>
      <c r="N256" s="101"/>
      <c r="O256" s="101"/>
      <c r="P256" s="101"/>
      <c r="Q256" s="101"/>
      <c r="R256" s="101"/>
      <c r="S256" s="101"/>
      <c r="T256" s="101"/>
      <c r="U256" s="101"/>
      <c r="V256" s="101"/>
      <c r="W256" s="101"/>
      <c r="X256" s="101"/>
      <c r="Y256" s="101"/>
      <c r="Z256" s="101"/>
      <c r="AA256" s="101"/>
      <c r="AB256" s="101"/>
    </row>
    <row r="257">
      <c r="A257" s="104" t="s">
        <v>394</v>
      </c>
      <c r="B257" s="105" t="str">
        <f>IFERROR(VLOOKUP(A257,'Salary Calculation'!A256:F1253,2,0),"")</f>
        <v/>
      </c>
      <c r="C257" s="105" t="str">
        <f>IFERROR(VLOOKUP(A257,'Salary Calculation'!$A$2:$V$999,3,0),"")</f>
        <v/>
      </c>
      <c r="D257" s="105" t="str">
        <f>IFERROR(VLOOKUP(A257,'Salary Calculation'!$A$2:$V$999,6,0),"")</f>
        <v/>
      </c>
      <c r="E257" s="105" t="str">
        <f>IFERROR(VLOOKUP(A257,'Salary Calculation'!$A$2:$V$999,10,0),"")</f>
        <v/>
      </c>
      <c r="F257" s="101"/>
      <c r="G257" s="106" t="str">
        <f>IFERROR(VLOOKUP(A257,'Salary Calculation'!$A$2:$V$999,7,0),"")</f>
        <v/>
      </c>
      <c r="H257" s="100"/>
      <c r="I257" s="101"/>
      <c r="J257" s="101"/>
      <c r="K257" s="101"/>
      <c r="L257" s="101"/>
      <c r="M257" s="101"/>
      <c r="N257" s="101"/>
      <c r="O257" s="101"/>
      <c r="P257" s="101"/>
      <c r="Q257" s="101"/>
      <c r="R257" s="101"/>
      <c r="S257" s="101"/>
      <c r="T257" s="101"/>
      <c r="U257" s="101"/>
      <c r="V257" s="101"/>
      <c r="W257" s="101"/>
      <c r="X257" s="101"/>
      <c r="Y257" s="101"/>
      <c r="Z257" s="101"/>
      <c r="AA257" s="101"/>
      <c r="AB257" s="101"/>
    </row>
    <row r="258">
      <c r="A258" s="104" t="s">
        <v>395</v>
      </c>
      <c r="B258" s="105" t="str">
        <f>IFERROR(VLOOKUP(A258,'Salary Calculation'!A257:F1254,2,0),"")</f>
        <v/>
      </c>
      <c r="C258" s="105" t="str">
        <f>IFERROR(VLOOKUP(A258,'Salary Calculation'!$A$2:$V$999,3,0),"")</f>
        <v/>
      </c>
      <c r="D258" s="105" t="str">
        <f>IFERROR(VLOOKUP(A258,'Salary Calculation'!$A$2:$V$999,6,0),"")</f>
        <v/>
      </c>
      <c r="E258" s="105" t="str">
        <f>IFERROR(VLOOKUP(A258,'Salary Calculation'!$A$2:$V$999,10,0),"")</f>
        <v/>
      </c>
      <c r="F258" s="101"/>
      <c r="G258" s="106" t="str">
        <f>IFERROR(VLOOKUP(A258,'Salary Calculation'!$A$2:$V$999,7,0),"")</f>
        <v/>
      </c>
      <c r="H258" s="100"/>
      <c r="I258" s="101"/>
      <c r="J258" s="101"/>
      <c r="K258" s="101"/>
      <c r="L258" s="101"/>
      <c r="M258" s="101"/>
      <c r="N258" s="101"/>
      <c r="O258" s="101"/>
      <c r="P258" s="101"/>
      <c r="Q258" s="101"/>
      <c r="R258" s="101"/>
      <c r="S258" s="101"/>
      <c r="T258" s="101"/>
      <c r="U258" s="101"/>
      <c r="V258" s="101"/>
      <c r="W258" s="101"/>
      <c r="X258" s="101"/>
      <c r="Y258" s="101"/>
      <c r="Z258" s="101"/>
      <c r="AA258" s="101"/>
      <c r="AB258" s="101"/>
    </row>
    <row r="259">
      <c r="A259" s="104" t="s">
        <v>396</v>
      </c>
      <c r="B259" s="105" t="str">
        <f>IFERROR(VLOOKUP(A259,'Salary Calculation'!A258:F1255,2,0),"")</f>
        <v/>
      </c>
      <c r="C259" s="105" t="str">
        <f>IFERROR(VLOOKUP(A259,'Salary Calculation'!$A$2:$V$999,3,0),"")</f>
        <v/>
      </c>
      <c r="D259" s="105" t="str">
        <f>IFERROR(VLOOKUP(A259,'Salary Calculation'!$A$2:$V$999,6,0),"")</f>
        <v/>
      </c>
      <c r="E259" s="105" t="str">
        <f>IFERROR(VLOOKUP(A259,'Salary Calculation'!$A$2:$V$999,10,0),"")</f>
        <v/>
      </c>
      <c r="F259" s="101"/>
      <c r="G259" s="106" t="str">
        <f>IFERROR(VLOOKUP(A259,'Salary Calculation'!$A$2:$V$999,7,0),"")</f>
        <v/>
      </c>
      <c r="H259" s="100"/>
      <c r="I259" s="101"/>
      <c r="J259" s="101"/>
      <c r="K259" s="101"/>
      <c r="L259" s="101"/>
      <c r="M259" s="101"/>
      <c r="N259" s="101"/>
      <c r="O259" s="101"/>
      <c r="P259" s="101"/>
      <c r="Q259" s="101"/>
      <c r="R259" s="101"/>
      <c r="S259" s="101"/>
      <c r="T259" s="101"/>
      <c r="U259" s="101"/>
      <c r="V259" s="101"/>
      <c r="W259" s="101"/>
      <c r="X259" s="101"/>
      <c r="Y259" s="101"/>
      <c r="Z259" s="101"/>
      <c r="AA259" s="101"/>
      <c r="AB259" s="101"/>
    </row>
    <row r="260">
      <c r="A260" s="104" t="s">
        <v>397</v>
      </c>
      <c r="B260" s="105" t="str">
        <f>IFERROR(VLOOKUP(A260,'Salary Calculation'!A259:F1256,2,0),"")</f>
        <v/>
      </c>
      <c r="C260" s="105" t="str">
        <f>IFERROR(VLOOKUP(A260,'Salary Calculation'!$A$2:$V$999,3,0),"")</f>
        <v/>
      </c>
      <c r="D260" s="105" t="str">
        <f>IFERROR(VLOOKUP(A260,'Salary Calculation'!$A$2:$V$999,6,0),"")</f>
        <v/>
      </c>
      <c r="E260" s="105" t="str">
        <f>IFERROR(VLOOKUP(A260,'Salary Calculation'!$A$2:$V$999,10,0),"")</f>
        <v/>
      </c>
      <c r="F260" s="101"/>
      <c r="G260" s="106" t="str">
        <f>IFERROR(VLOOKUP(A260,'Salary Calculation'!$A$2:$V$999,7,0),"")</f>
        <v/>
      </c>
      <c r="H260" s="100"/>
      <c r="I260" s="101"/>
      <c r="J260" s="101"/>
      <c r="K260" s="101"/>
      <c r="L260" s="101"/>
      <c r="M260" s="101"/>
      <c r="N260" s="101"/>
      <c r="O260" s="101"/>
      <c r="P260" s="101"/>
      <c r="Q260" s="101"/>
      <c r="R260" s="101"/>
      <c r="S260" s="101"/>
      <c r="T260" s="101"/>
      <c r="U260" s="101"/>
      <c r="V260" s="101"/>
      <c r="W260" s="101"/>
      <c r="X260" s="101"/>
      <c r="Y260" s="101"/>
      <c r="Z260" s="101"/>
      <c r="AA260" s="101"/>
      <c r="AB260" s="101"/>
    </row>
    <row r="261">
      <c r="A261" s="104" t="s">
        <v>398</v>
      </c>
      <c r="B261" s="105" t="str">
        <f>IFERROR(VLOOKUP(A261,'Salary Calculation'!A260:F1257,2,0),"")</f>
        <v/>
      </c>
      <c r="C261" s="105" t="str">
        <f>IFERROR(VLOOKUP(A261,'Salary Calculation'!$A$2:$V$999,3,0),"")</f>
        <v/>
      </c>
      <c r="D261" s="105" t="str">
        <f>IFERROR(VLOOKUP(A261,'Salary Calculation'!$A$2:$V$999,6,0),"")</f>
        <v/>
      </c>
      <c r="E261" s="105" t="str">
        <f>IFERROR(VLOOKUP(A261,'Salary Calculation'!$A$2:$V$999,10,0),"")</f>
        <v/>
      </c>
      <c r="F261" s="101"/>
      <c r="G261" s="106" t="str">
        <f>IFERROR(VLOOKUP(A261,'Salary Calculation'!$A$2:$V$999,7,0),"")</f>
        <v/>
      </c>
      <c r="H261" s="100"/>
      <c r="I261" s="101"/>
      <c r="J261" s="101"/>
      <c r="K261" s="101"/>
      <c r="L261" s="101"/>
      <c r="M261" s="101"/>
      <c r="N261" s="101"/>
      <c r="O261" s="101"/>
      <c r="P261" s="101"/>
      <c r="Q261" s="101"/>
      <c r="R261" s="101"/>
      <c r="S261" s="101"/>
      <c r="T261" s="101"/>
      <c r="U261" s="101"/>
      <c r="V261" s="101"/>
      <c r="W261" s="101"/>
      <c r="X261" s="101"/>
      <c r="Y261" s="101"/>
      <c r="Z261" s="101"/>
      <c r="AA261" s="101"/>
      <c r="AB261" s="101"/>
    </row>
    <row r="262">
      <c r="A262" s="104" t="s">
        <v>399</v>
      </c>
      <c r="B262" s="105" t="str">
        <f>IFERROR(VLOOKUP(A262,'Salary Calculation'!A261:F1258,2,0),"")</f>
        <v/>
      </c>
      <c r="C262" s="105" t="str">
        <f>IFERROR(VLOOKUP(A262,'Salary Calculation'!$A$2:$V$999,3,0),"")</f>
        <v/>
      </c>
      <c r="D262" s="105" t="str">
        <f>IFERROR(VLOOKUP(A262,'Salary Calculation'!$A$2:$V$999,6,0),"")</f>
        <v/>
      </c>
      <c r="E262" s="105" t="str">
        <f>IFERROR(VLOOKUP(A262,'Salary Calculation'!$A$2:$V$999,10,0),"")</f>
        <v/>
      </c>
      <c r="F262" s="101"/>
      <c r="G262" s="106" t="str">
        <f>IFERROR(VLOOKUP(A262,'Salary Calculation'!$A$2:$V$999,7,0),"")</f>
        <v/>
      </c>
      <c r="H262" s="100"/>
      <c r="I262" s="101"/>
      <c r="J262" s="101"/>
      <c r="K262" s="101"/>
      <c r="L262" s="101"/>
      <c r="M262" s="101"/>
      <c r="N262" s="101"/>
      <c r="O262" s="101"/>
      <c r="P262" s="101"/>
      <c r="Q262" s="101"/>
      <c r="R262" s="101"/>
      <c r="S262" s="101"/>
      <c r="T262" s="101"/>
      <c r="U262" s="101"/>
      <c r="V262" s="101"/>
      <c r="W262" s="101"/>
      <c r="X262" s="101"/>
      <c r="Y262" s="101"/>
      <c r="Z262" s="101"/>
      <c r="AA262" s="101"/>
      <c r="AB262" s="101"/>
    </row>
    <row r="263">
      <c r="A263" s="104" t="s">
        <v>400</v>
      </c>
      <c r="B263" s="105" t="str">
        <f>IFERROR(VLOOKUP(A263,'Salary Calculation'!A262:F1259,2,0),"")</f>
        <v/>
      </c>
      <c r="C263" s="105" t="str">
        <f>IFERROR(VLOOKUP(A263,'Salary Calculation'!$A$2:$V$999,3,0),"")</f>
        <v/>
      </c>
      <c r="D263" s="105" t="str">
        <f>IFERROR(VLOOKUP(A263,'Salary Calculation'!$A$2:$V$999,6,0),"")</f>
        <v/>
      </c>
      <c r="E263" s="105" t="str">
        <f>IFERROR(VLOOKUP(A263,'Salary Calculation'!$A$2:$V$999,10,0),"")</f>
        <v/>
      </c>
      <c r="F263" s="101"/>
      <c r="G263" s="106" t="str">
        <f>IFERROR(VLOOKUP(A263,'Salary Calculation'!$A$2:$V$999,7,0),"")</f>
        <v/>
      </c>
      <c r="H263" s="100"/>
      <c r="I263" s="101"/>
      <c r="J263" s="101"/>
      <c r="K263" s="101"/>
      <c r="L263" s="101"/>
      <c r="M263" s="101"/>
      <c r="N263" s="101"/>
      <c r="O263" s="101"/>
      <c r="P263" s="101"/>
      <c r="Q263" s="101"/>
      <c r="R263" s="101"/>
      <c r="S263" s="101"/>
      <c r="T263" s="101"/>
      <c r="U263" s="101"/>
      <c r="V263" s="101"/>
      <c r="W263" s="101"/>
      <c r="X263" s="101"/>
      <c r="Y263" s="101"/>
      <c r="Z263" s="101"/>
      <c r="AA263" s="101"/>
      <c r="AB263" s="101"/>
    </row>
    <row r="264">
      <c r="A264" s="104" t="s">
        <v>401</v>
      </c>
      <c r="B264" s="105" t="str">
        <f>IFERROR(VLOOKUP(A264,'Salary Calculation'!A263:F1260,2,0),"")</f>
        <v/>
      </c>
      <c r="C264" s="105" t="str">
        <f>IFERROR(VLOOKUP(A264,'Salary Calculation'!$A$2:$V$999,3,0),"")</f>
        <v/>
      </c>
      <c r="D264" s="105" t="str">
        <f>IFERROR(VLOOKUP(A264,'Salary Calculation'!$A$2:$V$999,6,0),"")</f>
        <v/>
      </c>
      <c r="E264" s="105" t="str">
        <f>IFERROR(VLOOKUP(A264,'Salary Calculation'!$A$2:$V$999,10,0),"")</f>
        <v/>
      </c>
      <c r="F264" s="101"/>
      <c r="G264" s="106" t="str">
        <f>IFERROR(VLOOKUP(A264,'Salary Calculation'!$A$2:$V$999,7,0),"")</f>
        <v/>
      </c>
      <c r="H264" s="100"/>
      <c r="I264" s="101"/>
      <c r="J264" s="101"/>
      <c r="K264" s="101"/>
      <c r="L264" s="101"/>
      <c r="M264" s="101"/>
      <c r="N264" s="101"/>
      <c r="O264" s="101"/>
      <c r="P264" s="101"/>
      <c r="Q264" s="101"/>
      <c r="R264" s="101"/>
      <c r="S264" s="101"/>
      <c r="T264" s="101"/>
      <c r="U264" s="101"/>
      <c r="V264" s="101"/>
      <c r="W264" s="101"/>
      <c r="X264" s="101"/>
      <c r="Y264" s="101"/>
      <c r="Z264" s="101"/>
      <c r="AA264" s="101"/>
      <c r="AB264" s="101"/>
    </row>
    <row r="265">
      <c r="A265" s="104" t="s">
        <v>402</v>
      </c>
      <c r="B265" s="105" t="str">
        <f>IFERROR(VLOOKUP(A265,'Salary Calculation'!A264:F1261,2,0),"")</f>
        <v/>
      </c>
      <c r="C265" s="105" t="str">
        <f>IFERROR(VLOOKUP(A265,'Salary Calculation'!$A$2:$V$999,3,0),"")</f>
        <v/>
      </c>
      <c r="D265" s="105" t="str">
        <f>IFERROR(VLOOKUP(A265,'Salary Calculation'!$A$2:$V$999,6,0),"")</f>
        <v/>
      </c>
      <c r="E265" s="105" t="str">
        <f>IFERROR(VLOOKUP(A265,'Salary Calculation'!$A$2:$V$999,10,0),"")</f>
        <v/>
      </c>
      <c r="F265" s="101"/>
      <c r="G265" s="106" t="str">
        <f>IFERROR(VLOOKUP(A265,'Salary Calculation'!$A$2:$V$999,7,0),"")</f>
        <v/>
      </c>
      <c r="H265" s="100"/>
      <c r="I265" s="101"/>
      <c r="J265" s="101"/>
      <c r="K265" s="101"/>
      <c r="L265" s="101"/>
      <c r="M265" s="101"/>
      <c r="N265" s="101"/>
      <c r="O265" s="101"/>
      <c r="P265" s="101"/>
      <c r="Q265" s="101"/>
      <c r="R265" s="101"/>
      <c r="S265" s="101"/>
      <c r="T265" s="101"/>
      <c r="U265" s="101"/>
      <c r="V265" s="101"/>
      <c r="W265" s="101"/>
      <c r="X265" s="101"/>
      <c r="Y265" s="101"/>
      <c r="Z265" s="101"/>
      <c r="AA265" s="101"/>
      <c r="AB265" s="101"/>
    </row>
    <row r="266">
      <c r="A266" s="104" t="s">
        <v>403</v>
      </c>
      <c r="B266" s="105" t="str">
        <f>IFERROR(VLOOKUP(A266,'Salary Calculation'!A265:F1262,2,0),"")</f>
        <v/>
      </c>
      <c r="C266" s="105" t="str">
        <f>IFERROR(VLOOKUP(A266,'Salary Calculation'!$A$2:$V$999,3,0),"")</f>
        <v/>
      </c>
      <c r="D266" s="105" t="str">
        <f>IFERROR(VLOOKUP(A266,'Salary Calculation'!$A$2:$V$999,6,0),"")</f>
        <v/>
      </c>
      <c r="E266" s="105" t="str">
        <f>IFERROR(VLOOKUP(A266,'Salary Calculation'!$A$2:$V$999,10,0),"")</f>
        <v/>
      </c>
      <c r="F266" s="101"/>
      <c r="G266" s="106" t="str">
        <f>IFERROR(VLOOKUP(A266,'Salary Calculation'!$A$2:$V$999,7,0),"")</f>
        <v/>
      </c>
      <c r="H266" s="100"/>
      <c r="I266" s="101"/>
      <c r="J266" s="101"/>
      <c r="K266" s="101"/>
      <c r="L266" s="101"/>
      <c r="M266" s="101"/>
      <c r="N266" s="101"/>
      <c r="O266" s="101"/>
      <c r="P266" s="101"/>
      <c r="Q266" s="101"/>
      <c r="R266" s="101"/>
      <c r="S266" s="101"/>
      <c r="T266" s="101"/>
      <c r="U266" s="101"/>
      <c r="V266" s="101"/>
      <c r="W266" s="101"/>
      <c r="X266" s="101"/>
      <c r="Y266" s="101"/>
      <c r="Z266" s="101"/>
      <c r="AA266" s="101"/>
      <c r="AB266" s="101"/>
    </row>
    <row r="267">
      <c r="A267" s="104" t="s">
        <v>404</v>
      </c>
      <c r="B267" s="105" t="str">
        <f>IFERROR(VLOOKUP(A267,'Salary Calculation'!A266:F1263,2,0),"")</f>
        <v/>
      </c>
      <c r="C267" s="105" t="str">
        <f>IFERROR(VLOOKUP(A267,'Salary Calculation'!$A$2:$V$999,3,0),"")</f>
        <v/>
      </c>
      <c r="D267" s="105" t="str">
        <f>IFERROR(VLOOKUP(A267,'Salary Calculation'!$A$2:$V$999,6,0),"")</f>
        <v/>
      </c>
      <c r="E267" s="105" t="str">
        <f>IFERROR(VLOOKUP(A267,'Salary Calculation'!$A$2:$V$999,10,0),"")</f>
        <v/>
      </c>
      <c r="F267" s="101"/>
      <c r="G267" s="106" t="str">
        <f>IFERROR(VLOOKUP(A267,'Salary Calculation'!$A$2:$V$999,7,0),"")</f>
        <v/>
      </c>
      <c r="H267" s="100"/>
      <c r="I267" s="101"/>
      <c r="J267" s="101"/>
      <c r="K267" s="101"/>
      <c r="L267" s="101"/>
      <c r="M267" s="101"/>
      <c r="N267" s="101"/>
      <c r="O267" s="101"/>
      <c r="P267" s="101"/>
      <c r="Q267" s="101"/>
      <c r="R267" s="101"/>
      <c r="S267" s="101"/>
      <c r="T267" s="101"/>
      <c r="U267" s="101"/>
      <c r="V267" s="101"/>
      <c r="W267" s="101"/>
      <c r="X267" s="101"/>
      <c r="Y267" s="101"/>
      <c r="Z267" s="101"/>
      <c r="AA267" s="101"/>
      <c r="AB267" s="101"/>
    </row>
    <row r="268">
      <c r="A268" s="104" t="s">
        <v>405</v>
      </c>
      <c r="B268" s="105" t="str">
        <f>IFERROR(VLOOKUP(A268,'Salary Calculation'!A267:F1264,2,0),"")</f>
        <v/>
      </c>
      <c r="C268" s="105" t="str">
        <f>IFERROR(VLOOKUP(A268,'Salary Calculation'!$A$2:$V$999,3,0),"")</f>
        <v/>
      </c>
      <c r="D268" s="105" t="str">
        <f>IFERROR(VLOOKUP(A268,'Salary Calculation'!$A$2:$V$999,6,0),"")</f>
        <v/>
      </c>
      <c r="E268" s="105" t="str">
        <f>IFERROR(VLOOKUP(A268,'Salary Calculation'!$A$2:$V$999,10,0),"")</f>
        <v/>
      </c>
      <c r="F268" s="101"/>
      <c r="G268" s="106" t="str">
        <f>IFERROR(VLOOKUP(A268,'Salary Calculation'!$A$2:$V$999,7,0),"")</f>
        <v/>
      </c>
      <c r="H268" s="100"/>
      <c r="I268" s="101"/>
      <c r="J268" s="101"/>
      <c r="K268" s="101"/>
      <c r="L268" s="101"/>
      <c r="M268" s="101"/>
      <c r="N268" s="101"/>
      <c r="O268" s="101"/>
      <c r="P268" s="101"/>
      <c r="Q268" s="101"/>
      <c r="R268" s="101"/>
      <c r="S268" s="101"/>
      <c r="T268" s="101"/>
      <c r="U268" s="101"/>
      <c r="V268" s="101"/>
      <c r="W268" s="101"/>
      <c r="X268" s="101"/>
      <c r="Y268" s="101"/>
      <c r="Z268" s="101"/>
      <c r="AA268" s="101"/>
      <c r="AB268" s="101"/>
    </row>
    <row r="269">
      <c r="A269" s="104" t="s">
        <v>406</v>
      </c>
      <c r="B269" s="105" t="str">
        <f>IFERROR(VLOOKUP(A269,'Salary Calculation'!A268:F1265,2,0),"")</f>
        <v/>
      </c>
      <c r="C269" s="105" t="str">
        <f>IFERROR(VLOOKUP(A269,'Salary Calculation'!$A$2:$V$999,3,0),"")</f>
        <v/>
      </c>
      <c r="D269" s="105" t="str">
        <f>IFERROR(VLOOKUP(A269,'Salary Calculation'!$A$2:$V$999,6,0),"")</f>
        <v/>
      </c>
      <c r="E269" s="105" t="str">
        <f>IFERROR(VLOOKUP(A269,'Salary Calculation'!$A$2:$V$999,10,0),"")</f>
        <v/>
      </c>
      <c r="F269" s="101"/>
      <c r="G269" s="106" t="str">
        <f>IFERROR(VLOOKUP(A269,'Salary Calculation'!$A$2:$V$999,7,0),"")</f>
        <v/>
      </c>
      <c r="H269" s="100"/>
      <c r="I269" s="101"/>
      <c r="J269" s="101"/>
      <c r="K269" s="101"/>
      <c r="L269" s="101"/>
      <c r="M269" s="101"/>
      <c r="N269" s="101"/>
      <c r="O269" s="101"/>
      <c r="P269" s="101"/>
      <c r="Q269" s="101"/>
      <c r="R269" s="101"/>
      <c r="S269" s="101"/>
      <c r="T269" s="101"/>
      <c r="U269" s="101"/>
      <c r="V269" s="101"/>
      <c r="W269" s="101"/>
      <c r="X269" s="101"/>
      <c r="Y269" s="101"/>
      <c r="Z269" s="101"/>
      <c r="AA269" s="101"/>
      <c r="AB269" s="101"/>
    </row>
    <row r="270">
      <c r="A270" s="104" t="s">
        <v>407</v>
      </c>
      <c r="B270" s="105" t="str">
        <f>IFERROR(VLOOKUP(A270,'Salary Calculation'!A269:F1266,2,0),"")</f>
        <v/>
      </c>
      <c r="C270" s="105" t="str">
        <f>IFERROR(VLOOKUP(A270,'Salary Calculation'!$A$2:$V$999,3,0),"")</f>
        <v/>
      </c>
      <c r="D270" s="105" t="str">
        <f>IFERROR(VLOOKUP(A270,'Salary Calculation'!$A$2:$V$999,6,0),"")</f>
        <v/>
      </c>
      <c r="E270" s="105" t="str">
        <f>IFERROR(VLOOKUP(A270,'Salary Calculation'!$A$2:$V$999,10,0),"")</f>
        <v/>
      </c>
      <c r="F270" s="101"/>
      <c r="G270" s="106" t="str">
        <f>IFERROR(VLOOKUP(A270,'Salary Calculation'!$A$2:$V$999,7,0),"")</f>
        <v/>
      </c>
      <c r="H270" s="100"/>
      <c r="I270" s="101"/>
      <c r="J270" s="101"/>
      <c r="K270" s="101"/>
      <c r="L270" s="101"/>
      <c r="M270" s="101"/>
      <c r="N270" s="101"/>
      <c r="O270" s="101"/>
      <c r="P270" s="101"/>
      <c r="Q270" s="101"/>
      <c r="R270" s="101"/>
      <c r="S270" s="101"/>
      <c r="T270" s="101"/>
      <c r="U270" s="101"/>
      <c r="V270" s="101"/>
      <c r="W270" s="101"/>
      <c r="X270" s="101"/>
      <c r="Y270" s="101"/>
      <c r="Z270" s="101"/>
      <c r="AA270" s="101"/>
      <c r="AB270" s="101"/>
    </row>
    <row r="271">
      <c r="A271" s="104" t="s">
        <v>408</v>
      </c>
      <c r="B271" s="105" t="str">
        <f>IFERROR(VLOOKUP(A271,'Salary Calculation'!A270:F1267,2,0),"")</f>
        <v/>
      </c>
      <c r="C271" s="105" t="str">
        <f>IFERROR(VLOOKUP(A271,'Salary Calculation'!$A$2:$V$999,3,0),"")</f>
        <v/>
      </c>
      <c r="D271" s="105" t="str">
        <f>IFERROR(VLOOKUP(A271,'Salary Calculation'!$A$2:$V$999,6,0),"")</f>
        <v/>
      </c>
      <c r="E271" s="105" t="str">
        <f>IFERROR(VLOOKUP(A271,'Salary Calculation'!$A$2:$V$999,10,0),"")</f>
        <v/>
      </c>
      <c r="F271" s="101"/>
      <c r="G271" s="106" t="str">
        <f>IFERROR(VLOOKUP(A271,'Salary Calculation'!$A$2:$V$999,7,0),"")</f>
        <v/>
      </c>
      <c r="H271" s="100"/>
      <c r="I271" s="101"/>
      <c r="J271" s="101"/>
      <c r="K271" s="101"/>
      <c r="L271" s="101"/>
      <c r="M271" s="101"/>
      <c r="N271" s="101"/>
      <c r="O271" s="101"/>
      <c r="P271" s="101"/>
      <c r="Q271" s="101"/>
      <c r="R271" s="101"/>
      <c r="S271" s="101"/>
      <c r="T271" s="101"/>
      <c r="U271" s="101"/>
      <c r="V271" s="101"/>
      <c r="W271" s="101"/>
      <c r="X271" s="101"/>
      <c r="Y271" s="101"/>
      <c r="Z271" s="101"/>
      <c r="AA271" s="101"/>
      <c r="AB271" s="101"/>
    </row>
    <row r="272">
      <c r="A272" s="104" t="s">
        <v>409</v>
      </c>
      <c r="B272" s="105" t="str">
        <f>IFERROR(VLOOKUP(A272,'Salary Calculation'!A271:F1268,2,0),"")</f>
        <v/>
      </c>
      <c r="C272" s="105" t="str">
        <f>IFERROR(VLOOKUP(A272,'Salary Calculation'!$A$2:$V$999,3,0),"")</f>
        <v/>
      </c>
      <c r="D272" s="105" t="str">
        <f>IFERROR(VLOOKUP(A272,'Salary Calculation'!$A$2:$V$999,6,0),"")</f>
        <v/>
      </c>
      <c r="E272" s="105" t="str">
        <f>IFERROR(VLOOKUP(A272,'Salary Calculation'!$A$2:$V$999,10,0),"")</f>
        <v/>
      </c>
      <c r="F272" s="101"/>
      <c r="G272" s="106" t="str">
        <f>IFERROR(VLOOKUP(A272,'Salary Calculation'!$A$2:$V$999,7,0),"")</f>
        <v/>
      </c>
      <c r="H272" s="100"/>
      <c r="I272" s="101"/>
      <c r="J272" s="101"/>
      <c r="K272" s="101"/>
      <c r="L272" s="101"/>
      <c r="M272" s="101"/>
      <c r="N272" s="101"/>
      <c r="O272" s="101"/>
      <c r="P272" s="101"/>
      <c r="Q272" s="101"/>
      <c r="R272" s="101"/>
      <c r="S272" s="101"/>
      <c r="T272" s="101"/>
      <c r="U272" s="101"/>
      <c r="V272" s="101"/>
      <c r="W272" s="101"/>
      <c r="X272" s="101"/>
      <c r="Y272" s="101"/>
      <c r="Z272" s="101"/>
      <c r="AA272" s="101"/>
      <c r="AB272" s="101"/>
    </row>
    <row r="273">
      <c r="A273" s="104" t="s">
        <v>410</v>
      </c>
      <c r="B273" s="105" t="str">
        <f>IFERROR(VLOOKUP(A273,'Salary Calculation'!A272:F1269,2,0),"")</f>
        <v/>
      </c>
      <c r="C273" s="105" t="str">
        <f>IFERROR(VLOOKUP(A273,'Salary Calculation'!$A$2:$V$999,3,0),"")</f>
        <v/>
      </c>
      <c r="D273" s="105" t="str">
        <f>IFERROR(VLOOKUP(A273,'Salary Calculation'!$A$2:$V$999,6,0),"")</f>
        <v/>
      </c>
      <c r="E273" s="105" t="str">
        <f>IFERROR(VLOOKUP(A273,'Salary Calculation'!$A$2:$V$999,10,0),"")</f>
        <v/>
      </c>
      <c r="F273" s="101"/>
      <c r="G273" s="106" t="str">
        <f>IFERROR(VLOOKUP(A273,'Salary Calculation'!$A$2:$V$999,7,0),"")</f>
        <v/>
      </c>
      <c r="H273" s="100"/>
      <c r="I273" s="101"/>
      <c r="J273" s="101"/>
      <c r="K273" s="101"/>
      <c r="L273" s="101"/>
      <c r="M273" s="101"/>
      <c r="N273" s="101"/>
      <c r="O273" s="101"/>
      <c r="P273" s="101"/>
      <c r="Q273" s="101"/>
      <c r="R273" s="101"/>
      <c r="S273" s="101"/>
      <c r="T273" s="101"/>
      <c r="U273" s="101"/>
      <c r="V273" s="101"/>
      <c r="W273" s="101"/>
      <c r="X273" s="101"/>
      <c r="Y273" s="101"/>
      <c r="Z273" s="101"/>
      <c r="AA273" s="101"/>
      <c r="AB273" s="101"/>
    </row>
    <row r="274">
      <c r="A274" s="104" t="s">
        <v>411</v>
      </c>
      <c r="B274" s="105" t="str">
        <f>IFERROR(VLOOKUP(A274,'Salary Calculation'!A273:F1270,2,0),"")</f>
        <v/>
      </c>
      <c r="C274" s="105" t="str">
        <f>IFERROR(VLOOKUP(A274,'Salary Calculation'!$A$2:$V$999,3,0),"")</f>
        <v/>
      </c>
      <c r="D274" s="105" t="str">
        <f>IFERROR(VLOOKUP(A274,'Salary Calculation'!$A$2:$V$999,6,0),"")</f>
        <v/>
      </c>
      <c r="E274" s="105" t="str">
        <f>IFERROR(VLOOKUP(A274,'Salary Calculation'!$A$2:$V$999,10,0),"")</f>
        <v/>
      </c>
      <c r="F274" s="101"/>
      <c r="G274" s="106" t="str">
        <f>IFERROR(VLOOKUP(A274,'Salary Calculation'!$A$2:$V$999,7,0),"")</f>
        <v/>
      </c>
      <c r="H274" s="100"/>
      <c r="I274" s="101"/>
      <c r="J274" s="101"/>
      <c r="K274" s="101"/>
      <c r="L274" s="101"/>
      <c r="M274" s="101"/>
      <c r="N274" s="101"/>
      <c r="O274" s="101"/>
      <c r="P274" s="101"/>
      <c r="Q274" s="101"/>
      <c r="R274" s="101"/>
      <c r="S274" s="101"/>
      <c r="T274" s="101"/>
      <c r="U274" s="101"/>
      <c r="V274" s="101"/>
      <c r="W274" s="101"/>
      <c r="X274" s="101"/>
      <c r="Y274" s="101"/>
      <c r="Z274" s="101"/>
      <c r="AA274" s="101"/>
      <c r="AB274" s="101"/>
    </row>
    <row r="275">
      <c r="A275" s="104" t="s">
        <v>412</v>
      </c>
      <c r="B275" s="105" t="str">
        <f>IFERROR(VLOOKUP(A275,'Salary Calculation'!A274:F1271,2,0),"")</f>
        <v/>
      </c>
      <c r="C275" s="105" t="str">
        <f>IFERROR(VLOOKUP(A275,'Salary Calculation'!$A$2:$V$999,3,0),"")</f>
        <v/>
      </c>
      <c r="D275" s="105" t="str">
        <f>IFERROR(VLOOKUP(A275,'Salary Calculation'!$A$2:$V$999,6,0),"")</f>
        <v/>
      </c>
      <c r="E275" s="105" t="str">
        <f>IFERROR(VLOOKUP(A275,'Salary Calculation'!$A$2:$V$999,10,0),"")</f>
        <v/>
      </c>
      <c r="F275" s="101"/>
      <c r="G275" s="106" t="str">
        <f>IFERROR(VLOOKUP(A275,'Salary Calculation'!$A$2:$V$999,7,0),"")</f>
        <v/>
      </c>
      <c r="H275" s="100"/>
      <c r="I275" s="101"/>
      <c r="J275" s="101"/>
      <c r="K275" s="101"/>
      <c r="L275" s="101"/>
      <c r="M275" s="101"/>
      <c r="N275" s="101"/>
      <c r="O275" s="101"/>
      <c r="P275" s="101"/>
      <c r="Q275" s="101"/>
      <c r="R275" s="101"/>
      <c r="S275" s="101"/>
      <c r="T275" s="101"/>
      <c r="U275" s="101"/>
      <c r="V275" s="101"/>
      <c r="W275" s="101"/>
      <c r="X275" s="101"/>
      <c r="Y275" s="101"/>
      <c r="Z275" s="101"/>
      <c r="AA275" s="101"/>
      <c r="AB275" s="101"/>
    </row>
    <row r="276">
      <c r="A276" s="104" t="s">
        <v>413</v>
      </c>
      <c r="B276" s="105" t="str">
        <f>IFERROR(VLOOKUP(A276,'Salary Calculation'!A275:F1272,2,0),"")</f>
        <v/>
      </c>
      <c r="C276" s="105" t="str">
        <f>IFERROR(VLOOKUP(A276,'Salary Calculation'!$A$2:$V$999,3,0),"")</f>
        <v/>
      </c>
      <c r="D276" s="105" t="str">
        <f>IFERROR(VLOOKUP(A276,'Salary Calculation'!$A$2:$V$999,6,0),"")</f>
        <v/>
      </c>
      <c r="E276" s="105" t="str">
        <f>IFERROR(VLOOKUP(A276,'Salary Calculation'!$A$2:$V$999,10,0),"")</f>
        <v/>
      </c>
      <c r="F276" s="101"/>
      <c r="G276" s="106" t="str">
        <f>IFERROR(VLOOKUP(A276,'Salary Calculation'!$A$2:$V$999,7,0),"")</f>
        <v/>
      </c>
      <c r="H276" s="100"/>
      <c r="I276" s="101"/>
      <c r="J276" s="101"/>
      <c r="K276" s="101"/>
      <c r="L276" s="101"/>
      <c r="M276" s="101"/>
      <c r="N276" s="101"/>
      <c r="O276" s="101"/>
      <c r="P276" s="101"/>
      <c r="Q276" s="101"/>
      <c r="R276" s="101"/>
      <c r="S276" s="101"/>
      <c r="T276" s="101"/>
      <c r="U276" s="101"/>
      <c r="V276" s="101"/>
      <c r="W276" s="101"/>
      <c r="X276" s="101"/>
      <c r="Y276" s="101"/>
      <c r="Z276" s="101"/>
      <c r="AA276" s="101"/>
      <c r="AB276" s="101"/>
    </row>
    <row r="277">
      <c r="A277" s="104" t="s">
        <v>414</v>
      </c>
      <c r="B277" s="105" t="str">
        <f>IFERROR(VLOOKUP(A277,'Salary Calculation'!A276:F1273,2,0),"")</f>
        <v/>
      </c>
      <c r="C277" s="105" t="str">
        <f>IFERROR(VLOOKUP(A277,'Salary Calculation'!$A$2:$V$999,3,0),"")</f>
        <v/>
      </c>
      <c r="D277" s="105" t="str">
        <f>IFERROR(VLOOKUP(A277,'Salary Calculation'!$A$2:$V$999,6,0),"")</f>
        <v/>
      </c>
      <c r="E277" s="105" t="str">
        <f>IFERROR(VLOOKUP(A277,'Salary Calculation'!$A$2:$V$999,10,0),"")</f>
        <v/>
      </c>
      <c r="F277" s="101"/>
      <c r="G277" s="106" t="str">
        <f>IFERROR(VLOOKUP(A277,'Salary Calculation'!$A$2:$V$999,7,0),"")</f>
        <v/>
      </c>
      <c r="H277" s="100"/>
      <c r="I277" s="101"/>
      <c r="J277" s="101"/>
      <c r="K277" s="101"/>
      <c r="L277" s="101"/>
      <c r="M277" s="101"/>
      <c r="N277" s="101"/>
      <c r="O277" s="101"/>
      <c r="P277" s="101"/>
      <c r="Q277" s="101"/>
      <c r="R277" s="101"/>
      <c r="S277" s="101"/>
      <c r="T277" s="101"/>
      <c r="U277" s="101"/>
      <c r="V277" s="101"/>
      <c r="W277" s="101"/>
      <c r="X277" s="101"/>
      <c r="Y277" s="101"/>
      <c r="Z277" s="101"/>
      <c r="AA277" s="101"/>
      <c r="AB277" s="101"/>
    </row>
    <row r="278">
      <c r="A278" s="104" t="s">
        <v>415</v>
      </c>
      <c r="B278" s="105" t="str">
        <f>IFERROR(VLOOKUP(A278,'Salary Calculation'!A277:F1274,2,0),"")</f>
        <v/>
      </c>
      <c r="C278" s="105" t="str">
        <f>IFERROR(VLOOKUP(A278,'Salary Calculation'!$A$2:$V$999,3,0),"")</f>
        <v/>
      </c>
      <c r="D278" s="105" t="str">
        <f>IFERROR(VLOOKUP(A278,'Salary Calculation'!$A$2:$V$999,6,0),"")</f>
        <v/>
      </c>
      <c r="E278" s="105" t="str">
        <f>IFERROR(VLOOKUP(A278,'Salary Calculation'!$A$2:$V$999,10,0),"")</f>
        <v/>
      </c>
      <c r="F278" s="101"/>
      <c r="G278" s="106" t="str">
        <f>IFERROR(VLOOKUP(A278,'Salary Calculation'!$A$2:$V$999,7,0),"")</f>
        <v/>
      </c>
      <c r="H278" s="100"/>
      <c r="I278" s="101"/>
      <c r="J278" s="101"/>
      <c r="K278" s="101"/>
      <c r="L278" s="101"/>
      <c r="M278" s="101"/>
      <c r="N278" s="101"/>
      <c r="O278" s="101"/>
      <c r="P278" s="101"/>
      <c r="Q278" s="101"/>
      <c r="R278" s="101"/>
      <c r="S278" s="101"/>
      <c r="T278" s="101"/>
      <c r="U278" s="101"/>
      <c r="V278" s="101"/>
      <c r="W278" s="101"/>
      <c r="X278" s="101"/>
      <c r="Y278" s="101"/>
      <c r="Z278" s="101"/>
      <c r="AA278" s="101"/>
      <c r="AB278" s="101"/>
    </row>
    <row r="279">
      <c r="A279" s="104" t="s">
        <v>416</v>
      </c>
      <c r="B279" s="105" t="str">
        <f>IFERROR(VLOOKUP(A279,'Salary Calculation'!A278:F1275,2,0),"")</f>
        <v/>
      </c>
      <c r="C279" s="105" t="str">
        <f>IFERROR(VLOOKUP(A279,'Salary Calculation'!$A$2:$V$999,3,0),"")</f>
        <v/>
      </c>
      <c r="D279" s="105" t="str">
        <f>IFERROR(VLOOKUP(A279,'Salary Calculation'!$A$2:$V$999,6,0),"")</f>
        <v/>
      </c>
      <c r="E279" s="105" t="str">
        <f>IFERROR(VLOOKUP(A279,'Salary Calculation'!$A$2:$V$999,10,0),"")</f>
        <v/>
      </c>
      <c r="F279" s="101"/>
      <c r="G279" s="106" t="str">
        <f>IFERROR(VLOOKUP(A279,'Salary Calculation'!$A$2:$V$999,7,0),"")</f>
        <v/>
      </c>
      <c r="H279" s="100"/>
      <c r="I279" s="101"/>
      <c r="J279" s="101"/>
      <c r="K279" s="101"/>
      <c r="L279" s="101"/>
      <c r="M279" s="101"/>
      <c r="N279" s="101"/>
      <c r="O279" s="101"/>
      <c r="P279" s="101"/>
      <c r="Q279" s="101"/>
      <c r="R279" s="101"/>
      <c r="S279" s="101"/>
      <c r="T279" s="101"/>
      <c r="U279" s="101"/>
      <c r="V279" s="101"/>
      <c r="W279" s="101"/>
      <c r="X279" s="101"/>
      <c r="Y279" s="101"/>
      <c r="Z279" s="101"/>
      <c r="AA279" s="101"/>
      <c r="AB279" s="101"/>
    </row>
    <row r="280">
      <c r="A280" s="104" t="s">
        <v>417</v>
      </c>
      <c r="B280" s="105" t="str">
        <f>IFERROR(VLOOKUP(A280,'Salary Calculation'!A279:F1276,2,0),"")</f>
        <v/>
      </c>
      <c r="C280" s="105" t="str">
        <f>IFERROR(VLOOKUP(A280,'Salary Calculation'!$A$2:$V$999,3,0),"")</f>
        <v/>
      </c>
      <c r="D280" s="105" t="str">
        <f>IFERROR(VLOOKUP(A280,'Salary Calculation'!$A$2:$V$999,6,0),"")</f>
        <v/>
      </c>
      <c r="E280" s="105" t="str">
        <f>IFERROR(VLOOKUP(A280,'Salary Calculation'!$A$2:$V$999,10,0),"")</f>
        <v/>
      </c>
      <c r="F280" s="101"/>
      <c r="G280" s="106" t="str">
        <f>IFERROR(VLOOKUP(A280,'Salary Calculation'!$A$2:$V$999,7,0),"")</f>
        <v/>
      </c>
      <c r="H280" s="100"/>
      <c r="I280" s="101"/>
      <c r="J280" s="101"/>
      <c r="K280" s="101"/>
      <c r="L280" s="101"/>
      <c r="M280" s="101"/>
      <c r="N280" s="101"/>
      <c r="O280" s="101"/>
      <c r="P280" s="101"/>
      <c r="Q280" s="101"/>
      <c r="R280" s="101"/>
      <c r="S280" s="101"/>
      <c r="T280" s="101"/>
      <c r="U280" s="101"/>
      <c r="V280" s="101"/>
      <c r="W280" s="101"/>
      <c r="X280" s="101"/>
      <c r="Y280" s="101"/>
      <c r="Z280" s="101"/>
      <c r="AA280" s="101"/>
      <c r="AB280" s="101"/>
    </row>
    <row r="281">
      <c r="A281" s="104" t="s">
        <v>418</v>
      </c>
      <c r="B281" s="105" t="str">
        <f>IFERROR(VLOOKUP(A281,'Salary Calculation'!A280:F1277,2,0),"")</f>
        <v/>
      </c>
      <c r="C281" s="105" t="str">
        <f>IFERROR(VLOOKUP(A281,'Salary Calculation'!$A$2:$V$999,3,0),"")</f>
        <v/>
      </c>
      <c r="D281" s="105" t="str">
        <f>IFERROR(VLOOKUP(A281,'Salary Calculation'!$A$2:$V$999,6,0),"")</f>
        <v/>
      </c>
      <c r="E281" s="105" t="str">
        <f>IFERROR(VLOOKUP(A281,'Salary Calculation'!$A$2:$V$999,10,0),"")</f>
        <v/>
      </c>
      <c r="F281" s="101"/>
      <c r="G281" s="106" t="str">
        <f>IFERROR(VLOOKUP(A281,'Salary Calculation'!$A$2:$V$999,7,0),"")</f>
        <v/>
      </c>
      <c r="H281" s="100"/>
      <c r="I281" s="101"/>
      <c r="J281" s="101"/>
      <c r="K281" s="101"/>
      <c r="L281" s="101"/>
      <c r="M281" s="101"/>
      <c r="N281" s="101"/>
      <c r="O281" s="101"/>
      <c r="P281" s="101"/>
      <c r="Q281" s="101"/>
      <c r="R281" s="101"/>
      <c r="S281" s="101"/>
      <c r="T281" s="101"/>
      <c r="U281" s="101"/>
      <c r="V281" s="101"/>
      <c r="W281" s="101"/>
      <c r="X281" s="101"/>
      <c r="Y281" s="101"/>
      <c r="Z281" s="101"/>
      <c r="AA281" s="101"/>
      <c r="AB281" s="101"/>
    </row>
    <row r="282">
      <c r="A282" s="104" t="s">
        <v>419</v>
      </c>
      <c r="B282" s="105" t="str">
        <f>IFERROR(VLOOKUP(A282,'Salary Calculation'!A281:F1278,2,0),"")</f>
        <v/>
      </c>
      <c r="C282" s="105" t="str">
        <f>IFERROR(VLOOKUP(A282,'Salary Calculation'!$A$2:$V$999,3,0),"")</f>
        <v/>
      </c>
      <c r="D282" s="105" t="str">
        <f>IFERROR(VLOOKUP(A282,'Salary Calculation'!$A$2:$V$999,6,0),"")</f>
        <v/>
      </c>
      <c r="E282" s="105" t="str">
        <f>IFERROR(VLOOKUP(A282,'Salary Calculation'!$A$2:$V$999,10,0),"")</f>
        <v/>
      </c>
      <c r="F282" s="101"/>
      <c r="G282" s="106" t="str">
        <f>IFERROR(VLOOKUP(A282,'Salary Calculation'!$A$2:$V$999,7,0),"")</f>
        <v/>
      </c>
      <c r="H282" s="100"/>
      <c r="I282" s="101"/>
      <c r="J282" s="101"/>
      <c r="K282" s="101"/>
      <c r="L282" s="101"/>
      <c r="M282" s="101"/>
      <c r="N282" s="101"/>
      <c r="O282" s="101"/>
      <c r="P282" s="101"/>
      <c r="Q282" s="101"/>
      <c r="R282" s="101"/>
      <c r="S282" s="101"/>
      <c r="T282" s="101"/>
      <c r="U282" s="101"/>
      <c r="V282" s="101"/>
      <c r="W282" s="101"/>
      <c r="X282" s="101"/>
      <c r="Y282" s="101"/>
      <c r="Z282" s="101"/>
      <c r="AA282" s="101"/>
      <c r="AB282" s="101"/>
    </row>
    <row r="283">
      <c r="A283" s="104" t="s">
        <v>420</v>
      </c>
      <c r="B283" s="105" t="str">
        <f>IFERROR(VLOOKUP(A283,'Salary Calculation'!A282:F1279,2,0),"")</f>
        <v/>
      </c>
      <c r="C283" s="105" t="str">
        <f>IFERROR(VLOOKUP(A283,'Salary Calculation'!$A$2:$V$999,3,0),"")</f>
        <v/>
      </c>
      <c r="D283" s="105" t="str">
        <f>IFERROR(VLOOKUP(A283,'Salary Calculation'!$A$2:$V$999,6,0),"")</f>
        <v/>
      </c>
      <c r="E283" s="105" t="str">
        <f>IFERROR(VLOOKUP(A283,'Salary Calculation'!$A$2:$V$999,10,0),"")</f>
        <v/>
      </c>
      <c r="F283" s="101"/>
      <c r="G283" s="106" t="str">
        <f>IFERROR(VLOOKUP(A283,'Salary Calculation'!$A$2:$V$999,7,0),"")</f>
        <v/>
      </c>
      <c r="H283" s="100"/>
      <c r="I283" s="101"/>
      <c r="J283" s="101"/>
      <c r="K283" s="101"/>
      <c r="L283" s="101"/>
      <c r="M283" s="101"/>
      <c r="N283" s="101"/>
      <c r="O283" s="101"/>
      <c r="P283" s="101"/>
      <c r="Q283" s="101"/>
      <c r="R283" s="101"/>
      <c r="S283" s="101"/>
      <c r="T283" s="101"/>
      <c r="U283" s="101"/>
      <c r="V283" s="101"/>
      <c r="W283" s="101"/>
      <c r="X283" s="101"/>
      <c r="Y283" s="101"/>
      <c r="Z283" s="101"/>
      <c r="AA283" s="101"/>
      <c r="AB283" s="101"/>
    </row>
    <row r="284">
      <c r="A284" s="104" t="s">
        <v>421</v>
      </c>
      <c r="B284" s="105" t="str">
        <f>IFERROR(VLOOKUP(A284,'Salary Calculation'!A283:F1280,2,0),"")</f>
        <v/>
      </c>
      <c r="C284" s="105" t="str">
        <f>IFERROR(VLOOKUP(A284,'Salary Calculation'!$A$2:$V$999,3,0),"")</f>
        <v/>
      </c>
      <c r="D284" s="105" t="str">
        <f>IFERROR(VLOOKUP(A284,'Salary Calculation'!$A$2:$V$999,6,0),"")</f>
        <v/>
      </c>
      <c r="E284" s="105" t="str">
        <f>IFERROR(VLOOKUP(A284,'Salary Calculation'!$A$2:$V$999,10,0),"")</f>
        <v/>
      </c>
      <c r="F284" s="101"/>
      <c r="G284" s="106" t="str">
        <f>IFERROR(VLOOKUP(A284,'Salary Calculation'!$A$2:$V$999,7,0),"")</f>
        <v/>
      </c>
      <c r="H284" s="100"/>
      <c r="I284" s="101"/>
      <c r="J284" s="101"/>
      <c r="K284" s="101"/>
      <c r="L284" s="101"/>
      <c r="M284" s="101"/>
      <c r="N284" s="101"/>
      <c r="O284" s="101"/>
      <c r="P284" s="101"/>
      <c r="Q284" s="101"/>
      <c r="R284" s="101"/>
      <c r="S284" s="101"/>
      <c r="T284" s="101"/>
      <c r="U284" s="101"/>
      <c r="V284" s="101"/>
      <c r="W284" s="101"/>
      <c r="X284" s="101"/>
      <c r="Y284" s="101"/>
      <c r="Z284" s="101"/>
      <c r="AA284" s="101"/>
      <c r="AB284" s="101"/>
    </row>
    <row r="285">
      <c r="A285" s="104" t="s">
        <v>422</v>
      </c>
      <c r="B285" s="105" t="str">
        <f>IFERROR(VLOOKUP(A285,'Salary Calculation'!A284:F1281,2,0),"")</f>
        <v/>
      </c>
      <c r="C285" s="105" t="str">
        <f>IFERROR(VLOOKUP(A285,'Salary Calculation'!$A$2:$V$999,3,0),"")</f>
        <v/>
      </c>
      <c r="D285" s="105" t="str">
        <f>IFERROR(VLOOKUP(A285,'Salary Calculation'!$A$2:$V$999,6,0),"")</f>
        <v/>
      </c>
      <c r="E285" s="105" t="str">
        <f>IFERROR(VLOOKUP(A285,'Salary Calculation'!$A$2:$V$999,10,0),"")</f>
        <v/>
      </c>
      <c r="F285" s="101"/>
      <c r="G285" s="106" t="str">
        <f>IFERROR(VLOOKUP(A285,'Salary Calculation'!$A$2:$V$999,7,0),"")</f>
        <v/>
      </c>
      <c r="H285" s="100"/>
      <c r="I285" s="101"/>
      <c r="J285" s="101"/>
      <c r="K285" s="101"/>
      <c r="L285" s="101"/>
      <c r="M285" s="101"/>
      <c r="N285" s="101"/>
      <c r="O285" s="101"/>
      <c r="P285" s="101"/>
      <c r="Q285" s="101"/>
      <c r="R285" s="101"/>
      <c r="S285" s="101"/>
      <c r="T285" s="101"/>
      <c r="U285" s="101"/>
      <c r="V285" s="101"/>
      <c r="W285" s="101"/>
      <c r="X285" s="101"/>
      <c r="Y285" s="101"/>
      <c r="Z285" s="101"/>
      <c r="AA285" s="101"/>
      <c r="AB285" s="101"/>
    </row>
    <row r="286">
      <c r="A286" s="104" t="s">
        <v>423</v>
      </c>
      <c r="B286" s="105" t="str">
        <f>IFERROR(VLOOKUP(A286,'Salary Calculation'!A285:F1282,2,0),"")</f>
        <v/>
      </c>
      <c r="C286" s="105" t="str">
        <f>IFERROR(VLOOKUP(A286,'Salary Calculation'!$A$2:$V$999,3,0),"")</f>
        <v/>
      </c>
      <c r="D286" s="105" t="str">
        <f>IFERROR(VLOOKUP(A286,'Salary Calculation'!$A$2:$V$999,6,0),"")</f>
        <v/>
      </c>
      <c r="E286" s="105" t="str">
        <f>IFERROR(VLOOKUP(A286,'Salary Calculation'!$A$2:$V$999,10,0),"")</f>
        <v/>
      </c>
      <c r="F286" s="101"/>
      <c r="G286" s="106" t="str">
        <f>IFERROR(VLOOKUP(A286,'Salary Calculation'!$A$2:$V$999,7,0),"")</f>
        <v/>
      </c>
      <c r="H286" s="100"/>
      <c r="I286" s="101"/>
      <c r="J286" s="101"/>
      <c r="K286" s="101"/>
      <c r="L286" s="101"/>
      <c r="M286" s="101"/>
      <c r="N286" s="101"/>
      <c r="O286" s="101"/>
      <c r="P286" s="101"/>
      <c r="Q286" s="101"/>
      <c r="R286" s="101"/>
      <c r="S286" s="101"/>
      <c r="T286" s="101"/>
      <c r="U286" s="101"/>
      <c r="V286" s="101"/>
      <c r="W286" s="101"/>
      <c r="X286" s="101"/>
      <c r="Y286" s="101"/>
      <c r="Z286" s="101"/>
      <c r="AA286" s="101"/>
      <c r="AB286" s="101"/>
    </row>
    <row r="287">
      <c r="A287" s="104" t="s">
        <v>424</v>
      </c>
      <c r="B287" s="105" t="str">
        <f>IFERROR(VLOOKUP(A287,'Salary Calculation'!A286:F1283,2,0),"")</f>
        <v/>
      </c>
      <c r="C287" s="105" t="str">
        <f>IFERROR(VLOOKUP(A287,'Salary Calculation'!$A$2:$V$999,3,0),"")</f>
        <v/>
      </c>
      <c r="D287" s="105" t="str">
        <f>IFERROR(VLOOKUP(A287,'Salary Calculation'!$A$2:$V$999,6,0),"")</f>
        <v/>
      </c>
      <c r="E287" s="105" t="str">
        <f>IFERROR(VLOOKUP(A287,'Salary Calculation'!$A$2:$V$999,10,0),"")</f>
        <v/>
      </c>
      <c r="F287" s="101"/>
      <c r="G287" s="106" t="str">
        <f>IFERROR(VLOOKUP(A287,'Salary Calculation'!$A$2:$V$999,7,0),"")</f>
        <v/>
      </c>
      <c r="H287" s="100"/>
      <c r="I287" s="101"/>
      <c r="J287" s="101"/>
      <c r="K287" s="101"/>
      <c r="L287" s="101"/>
      <c r="M287" s="101"/>
      <c r="N287" s="101"/>
      <c r="O287" s="101"/>
      <c r="P287" s="101"/>
      <c r="Q287" s="101"/>
      <c r="R287" s="101"/>
      <c r="S287" s="101"/>
      <c r="T287" s="101"/>
      <c r="U287" s="101"/>
      <c r="V287" s="101"/>
      <c r="W287" s="101"/>
      <c r="X287" s="101"/>
      <c r="Y287" s="101"/>
      <c r="Z287" s="101"/>
      <c r="AA287" s="101"/>
      <c r="AB287" s="101"/>
    </row>
    <row r="288">
      <c r="A288" s="104" t="s">
        <v>425</v>
      </c>
      <c r="B288" s="105" t="str">
        <f>IFERROR(VLOOKUP(A288,'Salary Calculation'!A287:F1284,2,0),"")</f>
        <v/>
      </c>
      <c r="C288" s="105" t="str">
        <f>IFERROR(VLOOKUP(A288,'Salary Calculation'!$A$2:$V$999,3,0),"")</f>
        <v/>
      </c>
      <c r="D288" s="105" t="str">
        <f>IFERROR(VLOOKUP(A288,'Salary Calculation'!$A$2:$V$999,6,0),"")</f>
        <v/>
      </c>
      <c r="E288" s="105" t="str">
        <f>IFERROR(VLOOKUP(A288,'Salary Calculation'!$A$2:$V$999,10,0),"")</f>
        <v/>
      </c>
      <c r="F288" s="101"/>
      <c r="G288" s="106" t="str">
        <f>IFERROR(VLOOKUP(A288,'Salary Calculation'!$A$2:$V$999,7,0),"")</f>
        <v/>
      </c>
      <c r="H288" s="100"/>
      <c r="I288" s="101"/>
      <c r="J288" s="101"/>
      <c r="K288" s="101"/>
      <c r="L288" s="101"/>
      <c r="M288" s="101"/>
      <c r="N288" s="101"/>
      <c r="O288" s="101"/>
      <c r="P288" s="101"/>
      <c r="Q288" s="101"/>
      <c r="R288" s="101"/>
      <c r="S288" s="101"/>
      <c r="T288" s="101"/>
      <c r="U288" s="101"/>
      <c r="V288" s="101"/>
      <c r="W288" s="101"/>
      <c r="X288" s="101"/>
      <c r="Y288" s="101"/>
      <c r="Z288" s="101"/>
      <c r="AA288" s="101"/>
      <c r="AB288" s="101"/>
    </row>
    <row r="289">
      <c r="A289" s="104" t="s">
        <v>426</v>
      </c>
      <c r="B289" s="105" t="str">
        <f>IFERROR(VLOOKUP(A289,'Salary Calculation'!A288:F1285,2,0),"")</f>
        <v/>
      </c>
      <c r="C289" s="105" t="str">
        <f>IFERROR(VLOOKUP(A289,'Salary Calculation'!$A$2:$V$999,3,0),"")</f>
        <v/>
      </c>
      <c r="D289" s="105" t="str">
        <f>IFERROR(VLOOKUP(A289,'Salary Calculation'!$A$2:$V$999,6,0),"")</f>
        <v/>
      </c>
      <c r="E289" s="105" t="str">
        <f>IFERROR(VLOOKUP(A289,'Salary Calculation'!$A$2:$V$999,10,0),"")</f>
        <v/>
      </c>
      <c r="F289" s="101"/>
      <c r="G289" s="106" t="str">
        <f>IFERROR(VLOOKUP(A289,'Salary Calculation'!$A$2:$V$999,7,0),"")</f>
        <v/>
      </c>
      <c r="H289" s="100"/>
      <c r="I289" s="101"/>
      <c r="J289" s="101"/>
      <c r="K289" s="101"/>
      <c r="L289" s="101"/>
      <c r="M289" s="101"/>
      <c r="N289" s="101"/>
      <c r="O289" s="101"/>
      <c r="P289" s="101"/>
      <c r="Q289" s="101"/>
      <c r="R289" s="101"/>
      <c r="S289" s="101"/>
      <c r="T289" s="101"/>
      <c r="U289" s="101"/>
      <c r="V289" s="101"/>
      <c r="W289" s="101"/>
      <c r="X289" s="101"/>
      <c r="Y289" s="101"/>
      <c r="Z289" s="101"/>
      <c r="AA289" s="101"/>
      <c r="AB289" s="101"/>
    </row>
    <row r="290">
      <c r="A290" s="104" t="s">
        <v>427</v>
      </c>
      <c r="B290" s="105" t="str">
        <f>IFERROR(VLOOKUP(A290,'Salary Calculation'!A289:F1286,2,0),"")</f>
        <v/>
      </c>
      <c r="C290" s="105" t="str">
        <f>IFERROR(VLOOKUP(A290,'Salary Calculation'!$A$2:$V$999,3,0),"")</f>
        <v/>
      </c>
      <c r="D290" s="105" t="str">
        <f>IFERROR(VLOOKUP(A290,'Salary Calculation'!$A$2:$V$999,6,0),"")</f>
        <v/>
      </c>
      <c r="E290" s="105" t="str">
        <f>IFERROR(VLOOKUP(A290,'Salary Calculation'!$A$2:$V$999,10,0),"")</f>
        <v/>
      </c>
      <c r="F290" s="101"/>
      <c r="G290" s="106" t="str">
        <f>IFERROR(VLOOKUP(A290,'Salary Calculation'!$A$2:$V$999,7,0),"")</f>
        <v/>
      </c>
      <c r="H290" s="100"/>
      <c r="I290" s="101"/>
      <c r="J290" s="101"/>
      <c r="K290" s="101"/>
      <c r="L290" s="101"/>
      <c r="M290" s="101"/>
      <c r="N290" s="101"/>
      <c r="O290" s="101"/>
      <c r="P290" s="101"/>
      <c r="Q290" s="101"/>
      <c r="R290" s="101"/>
      <c r="S290" s="101"/>
      <c r="T290" s="101"/>
      <c r="U290" s="101"/>
      <c r="V290" s="101"/>
      <c r="W290" s="101"/>
      <c r="X290" s="101"/>
      <c r="Y290" s="101"/>
      <c r="Z290" s="101"/>
      <c r="AA290" s="101"/>
      <c r="AB290" s="101"/>
    </row>
    <row r="291">
      <c r="A291" s="104" t="s">
        <v>428</v>
      </c>
      <c r="B291" s="105" t="str">
        <f>IFERROR(VLOOKUP(A291,'Salary Calculation'!A290:F1287,2,0),"")</f>
        <v/>
      </c>
      <c r="C291" s="105" t="str">
        <f>IFERROR(VLOOKUP(A291,'Salary Calculation'!$A$2:$V$999,3,0),"")</f>
        <v/>
      </c>
      <c r="D291" s="105" t="str">
        <f>IFERROR(VLOOKUP(A291,'Salary Calculation'!$A$2:$V$999,6,0),"")</f>
        <v/>
      </c>
      <c r="E291" s="105" t="str">
        <f>IFERROR(VLOOKUP(A291,'Salary Calculation'!$A$2:$V$999,10,0),"")</f>
        <v/>
      </c>
      <c r="F291" s="101"/>
      <c r="G291" s="106" t="str">
        <f>IFERROR(VLOOKUP(A291,'Salary Calculation'!$A$2:$V$999,7,0),"")</f>
        <v/>
      </c>
      <c r="H291" s="100"/>
      <c r="I291" s="101"/>
      <c r="J291" s="101"/>
      <c r="K291" s="101"/>
      <c r="L291" s="101"/>
      <c r="M291" s="101"/>
      <c r="N291" s="101"/>
      <c r="O291" s="101"/>
      <c r="P291" s="101"/>
      <c r="Q291" s="101"/>
      <c r="R291" s="101"/>
      <c r="S291" s="101"/>
      <c r="T291" s="101"/>
      <c r="U291" s="101"/>
      <c r="V291" s="101"/>
      <c r="W291" s="101"/>
      <c r="X291" s="101"/>
      <c r="Y291" s="101"/>
      <c r="Z291" s="101"/>
      <c r="AA291" s="101"/>
      <c r="AB291" s="101"/>
    </row>
    <row r="292">
      <c r="A292" s="104" t="s">
        <v>429</v>
      </c>
      <c r="B292" s="105" t="str">
        <f>IFERROR(VLOOKUP(A292,'Salary Calculation'!A291:F1288,2,0),"")</f>
        <v/>
      </c>
      <c r="C292" s="105" t="str">
        <f>IFERROR(VLOOKUP(A292,'Salary Calculation'!$A$2:$V$999,3,0),"")</f>
        <v/>
      </c>
      <c r="D292" s="105" t="str">
        <f>IFERROR(VLOOKUP(A292,'Salary Calculation'!$A$2:$V$999,6,0),"")</f>
        <v/>
      </c>
      <c r="E292" s="105" t="str">
        <f>IFERROR(VLOOKUP(A292,'Salary Calculation'!$A$2:$V$999,10,0),"")</f>
        <v/>
      </c>
      <c r="F292" s="101"/>
      <c r="G292" s="106" t="str">
        <f>IFERROR(VLOOKUP(A292,'Salary Calculation'!$A$2:$V$999,7,0),"")</f>
        <v/>
      </c>
      <c r="H292" s="100"/>
      <c r="I292" s="101"/>
      <c r="J292" s="101"/>
      <c r="K292" s="101"/>
      <c r="L292" s="101"/>
      <c r="M292" s="101"/>
      <c r="N292" s="101"/>
      <c r="O292" s="101"/>
      <c r="P292" s="101"/>
      <c r="Q292" s="101"/>
      <c r="R292" s="101"/>
      <c r="S292" s="101"/>
      <c r="T292" s="101"/>
      <c r="U292" s="101"/>
      <c r="V292" s="101"/>
      <c r="W292" s="101"/>
      <c r="X292" s="101"/>
      <c r="Y292" s="101"/>
      <c r="Z292" s="101"/>
      <c r="AA292" s="101"/>
      <c r="AB292" s="101"/>
    </row>
    <row r="293">
      <c r="A293" s="104" t="s">
        <v>430</v>
      </c>
      <c r="B293" s="105" t="str">
        <f>IFERROR(VLOOKUP(A293,'Salary Calculation'!A292:F1289,2,0),"")</f>
        <v/>
      </c>
      <c r="C293" s="105" t="str">
        <f>IFERROR(VLOOKUP(A293,'Salary Calculation'!$A$2:$V$999,3,0),"")</f>
        <v/>
      </c>
      <c r="D293" s="105" t="str">
        <f>IFERROR(VLOOKUP(A293,'Salary Calculation'!$A$2:$V$999,6,0),"")</f>
        <v/>
      </c>
      <c r="E293" s="105" t="str">
        <f>IFERROR(VLOOKUP(A293,'Salary Calculation'!$A$2:$V$999,10,0),"")</f>
        <v/>
      </c>
      <c r="F293" s="101"/>
      <c r="G293" s="106" t="str">
        <f>IFERROR(VLOOKUP(A293,'Salary Calculation'!$A$2:$V$999,7,0),"")</f>
        <v/>
      </c>
      <c r="H293" s="100"/>
      <c r="I293" s="101"/>
      <c r="J293" s="101"/>
      <c r="K293" s="101"/>
      <c r="L293" s="101"/>
      <c r="M293" s="101"/>
      <c r="N293" s="101"/>
      <c r="O293" s="101"/>
      <c r="P293" s="101"/>
      <c r="Q293" s="101"/>
      <c r="R293" s="101"/>
      <c r="S293" s="101"/>
      <c r="T293" s="101"/>
      <c r="U293" s="101"/>
      <c r="V293" s="101"/>
      <c r="W293" s="101"/>
      <c r="X293" s="101"/>
      <c r="Y293" s="101"/>
      <c r="Z293" s="101"/>
      <c r="AA293" s="101"/>
      <c r="AB293" s="101"/>
    </row>
    <row r="294">
      <c r="A294" s="104" t="s">
        <v>431</v>
      </c>
      <c r="B294" s="105" t="str">
        <f>IFERROR(VLOOKUP(A294,'Salary Calculation'!A293:F1290,2,0),"")</f>
        <v/>
      </c>
      <c r="C294" s="105" t="str">
        <f>IFERROR(VLOOKUP(A294,'Salary Calculation'!$A$2:$V$999,3,0),"")</f>
        <v/>
      </c>
      <c r="D294" s="105" t="str">
        <f>IFERROR(VLOOKUP(A294,'Salary Calculation'!$A$2:$V$999,6,0),"")</f>
        <v/>
      </c>
      <c r="E294" s="105" t="str">
        <f>IFERROR(VLOOKUP(A294,'Salary Calculation'!$A$2:$V$999,10,0),"")</f>
        <v/>
      </c>
      <c r="F294" s="101"/>
      <c r="G294" s="106" t="str">
        <f>IFERROR(VLOOKUP(A294,'Salary Calculation'!$A$2:$V$999,7,0),"")</f>
        <v/>
      </c>
      <c r="H294" s="100"/>
      <c r="I294" s="101"/>
      <c r="J294" s="101"/>
      <c r="K294" s="101"/>
      <c r="L294" s="101"/>
      <c r="M294" s="101"/>
      <c r="N294" s="101"/>
      <c r="O294" s="101"/>
      <c r="P294" s="101"/>
      <c r="Q294" s="101"/>
      <c r="R294" s="101"/>
      <c r="S294" s="101"/>
      <c r="T294" s="101"/>
      <c r="U294" s="101"/>
      <c r="V294" s="101"/>
      <c r="W294" s="101"/>
      <c r="X294" s="101"/>
      <c r="Y294" s="101"/>
      <c r="Z294" s="101"/>
      <c r="AA294" s="101"/>
      <c r="AB294" s="101"/>
    </row>
    <row r="295">
      <c r="A295" s="104" t="s">
        <v>432</v>
      </c>
      <c r="B295" s="105" t="str">
        <f>IFERROR(VLOOKUP(A295,'Salary Calculation'!A294:F1291,2,0),"")</f>
        <v/>
      </c>
      <c r="C295" s="105" t="str">
        <f>IFERROR(VLOOKUP(A295,'Salary Calculation'!$A$2:$V$999,3,0),"")</f>
        <v/>
      </c>
      <c r="D295" s="105" t="str">
        <f>IFERROR(VLOOKUP(A295,'Salary Calculation'!$A$2:$V$999,6,0),"")</f>
        <v/>
      </c>
      <c r="E295" s="105" t="str">
        <f>IFERROR(VLOOKUP(A295,'Salary Calculation'!$A$2:$V$999,10,0),"")</f>
        <v/>
      </c>
      <c r="F295" s="101"/>
      <c r="G295" s="106" t="str">
        <f>IFERROR(VLOOKUP(A295,'Salary Calculation'!$A$2:$V$999,7,0),"")</f>
        <v/>
      </c>
      <c r="H295" s="100"/>
      <c r="I295" s="101"/>
      <c r="J295" s="101"/>
      <c r="K295" s="101"/>
      <c r="L295" s="101"/>
      <c r="M295" s="101"/>
      <c r="N295" s="101"/>
      <c r="O295" s="101"/>
      <c r="P295" s="101"/>
      <c r="Q295" s="101"/>
      <c r="R295" s="101"/>
      <c r="S295" s="101"/>
      <c r="T295" s="101"/>
      <c r="U295" s="101"/>
      <c r="V295" s="101"/>
      <c r="W295" s="101"/>
      <c r="X295" s="101"/>
      <c r="Y295" s="101"/>
      <c r="Z295" s="101"/>
      <c r="AA295" s="101"/>
      <c r="AB295" s="101"/>
    </row>
    <row r="296">
      <c r="A296" s="104" t="s">
        <v>433</v>
      </c>
      <c r="B296" s="105" t="str">
        <f>IFERROR(VLOOKUP(A296,'Salary Calculation'!A295:F1292,2,0),"")</f>
        <v/>
      </c>
      <c r="C296" s="105" t="str">
        <f>IFERROR(VLOOKUP(A296,'Salary Calculation'!$A$2:$V$999,3,0),"")</f>
        <v/>
      </c>
      <c r="D296" s="105" t="str">
        <f>IFERROR(VLOOKUP(A296,'Salary Calculation'!$A$2:$V$999,6,0),"")</f>
        <v/>
      </c>
      <c r="E296" s="105" t="str">
        <f>IFERROR(VLOOKUP(A296,'Salary Calculation'!$A$2:$V$999,10,0),"")</f>
        <v/>
      </c>
      <c r="F296" s="101"/>
      <c r="G296" s="106" t="str">
        <f>IFERROR(VLOOKUP(A296,'Salary Calculation'!$A$2:$V$999,7,0),"")</f>
        <v/>
      </c>
      <c r="H296" s="100"/>
      <c r="I296" s="101"/>
      <c r="J296" s="101"/>
      <c r="K296" s="101"/>
      <c r="L296" s="101"/>
      <c r="M296" s="101"/>
      <c r="N296" s="101"/>
      <c r="O296" s="101"/>
      <c r="P296" s="101"/>
      <c r="Q296" s="101"/>
      <c r="R296" s="101"/>
      <c r="S296" s="101"/>
      <c r="T296" s="101"/>
      <c r="U296" s="101"/>
      <c r="V296" s="101"/>
      <c r="W296" s="101"/>
      <c r="X296" s="101"/>
      <c r="Y296" s="101"/>
      <c r="Z296" s="101"/>
      <c r="AA296" s="101"/>
      <c r="AB296" s="101"/>
    </row>
    <row r="297">
      <c r="A297" s="104" t="s">
        <v>434</v>
      </c>
      <c r="B297" s="105" t="str">
        <f>IFERROR(VLOOKUP(A297,'Salary Calculation'!A296:F1293,2,0),"")</f>
        <v/>
      </c>
      <c r="C297" s="105" t="str">
        <f>IFERROR(VLOOKUP(A297,'Salary Calculation'!$A$2:$V$999,3,0),"")</f>
        <v/>
      </c>
      <c r="D297" s="105" t="str">
        <f>IFERROR(VLOOKUP(A297,'Salary Calculation'!$A$2:$V$999,6,0),"")</f>
        <v/>
      </c>
      <c r="E297" s="105" t="str">
        <f>IFERROR(VLOOKUP(A297,'Salary Calculation'!$A$2:$V$999,10,0),"")</f>
        <v/>
      </c>
      <c r="F297" s="101"/>
      <c r="G297" s="106" t="str">
        <f>IFERROR(VLOOKUP(A297,'Salary Calculation'!$A$2:$V$999,7,0),"")</f>
        <v/>
      </c>
      <c r="H297" s="100"/>
      <c r="I297" s="101"/>
      <c r="J297" s="101"/>
      <c r="K297" s="101"/>
      <c r="L297" s="101"/>
      <c r="M297" s="101"/>
      <c r="N297" s="101"/>
      <c r="O297" s="101"/>
      <c r="P297" s="101"/>
      <c r="Q297" s="101"/>
      <c r="R297" s="101"/>
      <c r="S297" s="101"/>
      <c r="T297" s="101"/>
      <c r="U297" s="101"/>
      <c r="V297" s="101"/>
      <c r="W297" s="101"/>
      <c r="X297" s="101"/>
      <c r="Y297" s="101"/>
      <c r="Z297" s="101"/>
      <c r="AA297" s="101"/>
      <c r="AB297" s="101"/>
    </row>
    <row r="298">
      <c r="A298" s="104" t="s">
        <v>435</v>
      </c>
      <c r="B298" s="105" t="str">
        <f>IFERROR(VLOOKUP(A298,'Salary Calculation'!A297:F1294,2,0),"")</f>
        <v/>
      </c>
      <c r="C298" s="105" t="str">
        <f>IFERROR(VLOOKUP(A298,'Salary Calculation'!$A$2:$V$999,3,0),"")</f>
        <v/>
      </c>
      <c r="D298" s="105" t="str">
        <f>IFERROR(VLOOKUP(A298,'Salary Calculation'!$A$2:$V$999,6,0),"")</f>
        <v/>
      </c>
      <c r="E298" s="105" t="str">
        <f>IFERROR(VLOOKUP(A298,'Salary Calculation'!$A$2:$V$999,10,0),"")</f>
        <v/>
      </c>
      <c r="F298" s="101"/>
      <c r="G298" s="106" t="str">
        <f>IFERROR(VLOOKUP(A298,'Salary Calculation'!$A$2:$V$999,7,0),"")</f>
        <v/>
      </c>
      <c r="H298" s="100"/>
      <c r="I298" s="101"/>
      <c r="J298" s="101"/>
      <c r="K298" s="101"/>
      <c r="L298" s="101"/>
      <c r="M298" s="101"/>
      <c r="N298" s="101"/>
      <c r="O298" s="101"/>
      <c r="P298" s="101"/>
      <c r="Q298" s="101"/>
      <c r="R298" s="101"/>
      <c r="S298" s="101"/>
      <c r="T298" s="101"/>
      <c r="U298" s="101"/>
      <c r="V298" s="101"/>
      <c r="W298" s="101"/>
      <c r="X298" s="101"/>
      <c r="Y298" s="101"/>
      <c r="Z298" s="101"/>
      <c r="AA298" s="101"/>
      <c r="AB298" s="101"/>
    </row>
    <row r="299">
      <c r="A299" s="104" t="s">
        <v>436</v>
      </c>
      <c r="B299" s="105" t="str">
        <f>IFERROR(VLOOKUP(A299,'Salary Calculation'!A298:F1295,2,0),"")</f>
        <v/>
      </c>
      <c r="C299" s="105" t="str">
        <f>IFERROR(VLOOKUP(A299,'Salary Calculation'!$A$2:$V$999,3,0),"")</f>
        <v/>
      </c>
      <c r="D299" s="105" t="str">
        <f>IFERROR(VLOOKUP(A299,'Salary Calculation'!$A$2:$V$999,6,0),"")</f>
        <v/>
      </c>
      <c r="E299" s="105" t="str">
        <f>IFERROR(VLOOKUP(A299,'Salary Calculation'!$A$2:$V$999,10,0),"")</f>
        <v/>
      </c>
      <c r="F299" s="101"/>
      <c r="G299" s="106" t="str">
        <f>IFERROR(VLOOKUP(A299,'Salary Calculation'!$A$2:$V$999,7,0),"")</f>
        <v/>
      </c>
      <c r="H299" s="100"/>
      <c r="I299" s="101"/>
      <c r="J299" s="101"/>
      <c r="K299" s="101"/>
      <c r="L299" s="101"/>
      <c r="M299" s="101"/>
      <c r="N299" s="101"/>
      <c r="O299" s="101"/>
      <c r="P299" s="101"/>
      <c r="Q299" s="101"/>
      <c r="R299" s="101"/>
      <c r="S299" s="101"/>
      <c r="T299" s="101"/>
      <c r="U299" s="101"/>
      <c r="V299" s="101"/>
      <c r="W299" s="101"/>
      <c r="X299" s="101"/>
      <c r="Y299" s="101"/>
      <c r="Z299" s="101"/>
      <c r="AA299" s="101"/>
      <c r="AB299" s="101"/>
    </row>
    <row r="300">
      <c r="A300" s="104" t="s">
        <v>437</v>
      </c>
      <c r="B300" s="105" t="str">
        <f>IFERROR(VLOOKUP(A300,'Salary Calculation'!A299:F1296,2,0),"")</f>
        <v/>
      </c>
      <c r="C300" s="105" t="str">
        <f>IFERROR(VLOOKUP(A300,'Salary Calculation'!$A$2:$V$999,3,0),"")</f>
        <v/>
      </c>
      <c r="D300" s="105" t="str">
        <f>IFERROR(VLOOKUP(A300,'Salary Calculation'!$A$2:$V$999,6,0),"")</f>
        <v/>
      </c>
      <c r="E300" s="105" t="str">
        <f>IFERROR(VLOOKUP(A300,'Salary Calculation'!$A$2:$V$999,10,0),"")</f>
        <v/>
      </c>
      <c r="F300" s="101"/>
      <c r="G300" s="106" t="str">
        <f>IFERROR(VLOOKUP(A300,'Salary Calculation'!$A$2:$V$999,7,0),"")</f>
        <v/>
      </c>
      <c r="H300" s="100"/>
      <c r="I300" s="101"/>
      <c r="J300" s="101"/>
      <c r="K300" s="101"/>
      <c r="L300" s="101"/>
      <c r="M300" s="101"/>
      <c r="N300" s="101"/>
      <c r="O300" s="101"/>
      <c r="P300" s="101"/>
      <c r="Q300" s="101"/>
      <c r="R300" s="101"/>
      <c r="S300" s="101"/>
      <c r="T300" s="101"/>
      <c r="U300" s="101"/>
      <c r="V300" s="101"/>
      <c r="W300" s="101"/>
      <c r="X300" s="101"/>
      <c r="Y300" s="101"/>
      <c r="Z300" s="101"/>
      <c r="AA300" s="101"/>
      <c r="AB300" s="101"/>
    </row>
    <row r="301">
      <c r="A301" s="104" t="s">
        <v>438</v>
      </c>
      <c r="B301" s="105" t="str">
        <f>IFERROR(VLOOKUP(A301,'Salary Calculation'!A300:F1297,2,0),"")</f>
        <v/>
      </c>
      <c r="C301" s="105" t="str">
        <f>IFERROR(VLOOKUP(A301,'Salary Calculation'!$A$2:$V$999,3,0),"")</f>
        <v/>
      </c>
      <c r="D301" s="105" t="str">
        <f>IFERROR(VLOOKUP(A301,'Salary Calculation'!$A$2:$V$999,6,0),"")</f>
        <v/>
      </c>
      <c r="E301" s="105" t="str">
        <f>IFERROR(VLOOKUP(A301,'Salary Calculation'!$A$2:$V$999,10,0),"")</f>
        <v/>
      </c>
      <c r="F301" s="101"/>
      <c r="G301" s="106" t="str">
        <f>IFERROR(VLOOKUP(A301,'Salary Calculation'!$A$2:$V$999,7,0),"")</f>
        <v/>
      </c>
      <c r="H301" s="100"/>
      <c r="I301" s="101"/>
      <c r="J301" s="101"/>
      <c r="K301" s="101"/>
      <c r="L301" s="101"/>
      <c r="M301" s="101"/>
      <c r="N301" s="101"/>
      <c r="O301" s="101"/>
      <c r="P301" s="101"/>
      <c r="Q301" s="101"/>
      <c r="R301" s="101"/>
      <c r="S301" s="101"/>
      <c r="T301" s="101"/>
      <c r="U301" s="101"/>
      <c r="V301" s="101"/>
      <c r="W301" s="101"/>
      <c r="X301" s="101"/>
      <c r="Y301" s="101"/>
      <c r="Z301" s="101"/>
      <c r="AA301" s="101"/>
      <c r="AB301" s="101"/>
    </row>
    <row r="302">
      <c r="A302" s="104" t="s">
        <v>439</v>
      </c>
      <c r="B302" s="105" t="str">
        <f>IFERROR(VLOOKUP(A302,'Salary Calculation'!A301:F1298,2,0),"")</f>
        <v/>
      </c>
      <c r="C302" s="105" t="str">
        <f>IFERROR(VLOOKUP(A302,'Salary Calculation'!$A$2:$V$999,3,0),"")</f>
        <v/>
      </c>
      <c r="D302" s="105" t="str">
        <f>IFERROR(VLOOKUP(A302,'Salary Calculation'!$A$2:$V$999,6,0),"")</f>
        <v/>
      </c>
      <c r="E302" s="105" t="str">
        <f>IFERROR(VLOOKUP(A302,'Salary Calculation'!$A$2:$V$999,10,0),"")</f>
        <v/>
      </c>
      <c r="F302" s="101"/>
      <c r="G302" s="106" t="str">
        <f>IFERROR(VLOOKUP(A302,'Salary Calculation'!$A$2:$V$999,7,0),"")</f>
        <v/>
      </c>
      <c r="H302" s="100"/>
      <c r="I302" s="101"/>
      <c r="J302" s="101"/>
      <c r="K302" s="101"/>
      <c r="L302" s="101"/>
      <c r="M302" s="101"/>
      <c r="N302" s="101"/>
      <c r="O302" s="101"/>
      <c r="P302" s="101"/>
      <c r="Q302" s="101"/>
      <c r="R302" s="101"/>
      <c r="S302" s="101"/>
      <c r="T302" s="101"/>
      <c r="U302" s="101"/>
      <c r="V302" s="101"/>
      <c r="W302" s="101"/>
      <c r="X302" s="101"/>
      <c r="Y302" s="101"/>
      <c r="Z302" s="101"/>
      <c r="AA302" s="101"/>
      <c r="AB302" s="101"/>
    </row>
    <row r="303">
      <c r="A303" s="104" t="s">
        <v>440</v>
      </c>
      <c r="B303" s="105" t="str">
        <f>IFERROR(VLOOKUP(A303,'Salary Calculation'!A302:F1299,2,0),"")</f>
        <v/>
      </c>
      <c r="C303" s="105" t="str">
        <f>IFERROR(VLOOKUP(A303,'Salary Calculation'!$A$2:$V$999,3,0),"")</f>
        <v/>
      </c>
      <c r="D303" s="105" t="str">
        <f>IFERROR(VLOOKUP(A303,'Salary Calculation'!$A$2:$V$999,6,0),"")</f>
        <v/>
      </c>
      <c r="E303" s="105" t="str">
        <f>IFERROR(VLOOKUP(A303,'Salary Calculation'!$A$2:$V$999,10,0),"")</f>
        <v/>
      </c>
      <c r="F303" s="101"/>
      <c r="G303" s="106" t="str">
        <f>IFERROR(VLOOKUP(A303,'Salary Calculation'!$A$2:$V$999,7,0),"")</f>
        <v/>
      </c>
      <c r="H303" s="100"/>
      <c r="I303" s="101"/>
      <c r="J303" s="101"/>
      <c r="K303" s="101"/>
      <c r="L303" s="101"/>
      <c r="M303" s="101"/>
      <c r="N303" s="101"/>
      <c r="O303" s="101"/>
      <c r="P303" s="101"/>
      <c r="Q303" s="101"/>
      <c r="R303" s="101"/>
      <c r="S303" s="101"/>
      <c r="T303" s="101"/>
      <c r="U303" s="101"/>
      <c r="V303" s="101"/>
      <c r="W303" s="101"/>
      <c r="X303" s="101"/>
      <c r="Y303" s="101"/>
      <c r="Z303" s="101"/>
      <c r="AA303" s="101"/>
      <c r="AB303" s="101"/>
    </row>
    <row r="304">
      <c r="A304" s="104" t="s">
        <v>441</v>
      </c>
      <c r="B304" s="105" t="str">
        <f>IFERROR(VLOOKUP(A304,'Salary Calculation'!A303:F1300,2,0),"")</f>
        <v/>
      </c>
      <c r="C304" s="105" t="str">
        <f>IFERROR(VLOOKUP(A304,'Salary Calculation'!$A$2:$V$999,3,0),"")</f>
        <v/>
      </c>
      <c r="D304" s="105" t="str">
        <f>IFERROR(VLOOKUP(A304,'Salary Calculation'!$A$2:$V$999,6,0),"")</f>
        <v/>
      </c>
      <c r="E304" s="105" t="str">
        <f>IFERROR(VLOOKUP(A304,'Salary Calculation'!$A$2:$V$999,10,0),"")</f>
        <v/>
      </c>
      <c r="F304" s="101"/>
      <c r="G304" s="106" t="str">
        <f>IFERROR(VLOOKUP(A304,'Salary Calculation'!$A$2:$V$999,7,0),"")</f>
        <v/>
      </c>
      <c r="H304" s="100"/>
      <c r="I304" s="101"/>
      <c r="J304" s="101"/>
      <c r="K304" s="101"/>
      <c r="L304" s="101"/>
      <c r="M304" s="101"/>
      <c r="N304" s="101"/>
      <c r="O304" s="101"/>
      <c r="P304" s="101"/>
      <c r="Q304" s="101"/>
      <c r="R304" s="101"/>
      <c r="S304" s="101"/>
      <c r="T304" s="101"/>
      <c r="U304" s="101"/>
      <c r="V304" s="101"/>
      <c r="W304" s="101"/>
      <c r="X304" s="101"/>
      <c r="Y304" s="101"/>
      <c r="Z304" s="101"/>
      <c r="AA304" s="101"/>
      <c r="AB304" s="101"/>
    </row>
    <row r="305">
      <c r="A305" s="104" t="s">
        <v>442</v>
      </c>
      <c r="B305" s="105" t="str">
        <f>IFERROR(VLOOKUP(A305,'Salary Calculation'!A304:F1301,2,0),"")</f>
        <v/>
      </c>
      <c r="C305" s="105" t="str">
        <f>IFERROR(VLOOKUP(A305,'Salary Calculation'!$A$2:$V$999,3,0),"")</f>
        <v/>
      </c>
      <c r="D305" s="105" t="str">
        <f>IFERROR(VLOOKUP(A305,'Salary Calculation'!$A$2:$V$999,6,0),"")</f>
        <v/>
      </c>
      <c r="E305" s="105" t="str">
        <f>IFERROR(VLOOKUP(A305,'Salary Calculation'!$A$2:$V$999,10,0),"")</f>
        <v/>
      </c>
      <c r="F305" s="101"/>
      <c r="G305" s="106" t="str">
        <f>IFERROR(VLOOKUP(A305,'Salary Calculation'!$A$2:$V$999,7,0),"")</f>
        <v/>
      </c>
      <c r="H305" s="100"/>
      <c r="I305" s="101"/>
      <c r="J305" s="101"/>
      <c r="K305" s="101"/>
      <c r="L305" s="101"/>
      <c r="M305" s="101"/>
      <c r="N305" s="101"/>
      <c r="O305" s="101"/>
      <c r="P305" s="101"/>
      <c r="Q305" s="101"/>
      <c r="R305" s="101"/>
      <c r="S305" s="101"/>
      <c r="T305" s="101"/>
      <c r="U305" s="101"/>
      <c r="V305" s="101"/>
      <c r="W305" s="101"/>
      <c r="X305" s="101"/>
      <c r="Y305" s="101"/>
      <c r="Z305" s="101"/>
      <c r="AA305" s="101"/>
      <c r="AB305" s="101"/>
    </row>
    <row r="306">
      <c r="A306" s="104" t="s">
        <v>443</v>
      </c>
      <c r="B306" s="105" t="str">
        <f>IFERROR(VLOOKUP(A306,'Salary Calculation'!A305:F1302,2,0),"")</f>
        <v/>
      </c>
      <c r="C306" s="105" t="str">
        <f>IFERROR(VLOOKUP(A306,'Salary Calculation'!$A$2:$V$999,3,0),"")</f>
        <v/>
      </c>
      <c r="D306" s="105" t="str">
        <f>IFERROR(VLOOKUP(A306,'Salary Calculation'!$A$2:$V$999,6,0),"")</f>
        <v/>
      </c>
      <c r="E306" s="105" t="str">
        <f>IFERROR(VLOOKUP(A306,'Salary Calculation'!$A$2:$V$999,10,0),"")</f>
        <v/>
      </c>
      <c r="F306" s="101"/>
      <c r="G306" s="106" t="str">
        <f>IFERROR(VLOOKUP(A306,'Salary Calculation'!$A$2:$V$999,7,0),"")</f>
        <v/>
      </c>
      <c r="H306" s="100"/>
      <c r="I306" s="101"/>
      <c r="J306" s="101"/>
      <c r="K306" s="101"/>
      <c r="L306" s="101"/>
      <c r="M306" s="101"/>
      <c r="N306" s="101"/>
      <c r="O306" s="101"/>
      <c r="P306" s="101"/>
      <c r="Q306" s="101"/>
      <c r="R306" s="101"/>
      <c r="S306" s="101"/>
      <c r="T306" s="101"/>
      <c r="U306" s="101"/>
      <c r="V306" s="101"/>
      <c r="W306" s="101"/>
      <c r="X306" s="101"/>
      <c r="Y306" s="101"/>
      <c r="Z306" s="101"/>
      <c r="AA306" s="101"/>
      <c r="AB306" s="101"/>
    </row>
    <row r="307">
      <c r="A307" s="104" t="s">
        <v>444</v>
      </c>
      <c r="B307" s="105" t="str">
        <f>IFERROR(VLOOKUP(A307,'Salary Calculation'!A306:F1303,2,0),"")</f>
        <v/>
      </c>
      <c r="C307" s="105" t="str">
        <f>IFERROR(VLOOKUP(A307,'Salary Calculation'!$A$2:$V$999,3,0),"")</f>
        <v/>
      </c>
      <c r="D307" s="105" t="str">
        <f>IFERROR(VLOOKUP(A307,'Salary Calculation'!$A$2:$V$999,6,0),"")</f>
        <v/>
      </c>
      <c r="E307" s="105" t="str">
        <f>IFERROR(VLOOKUP(A307,'Salary Calculation'!$A$2:$V$999,10,0),"")</f>
        <v/>
      </c>
      <c r="F307" s="101"/>
      <c r="G307" s="106" t="str">
        <f>IFERROR(VLOOKUP(A307,'Salary Calculation'!$A$2:$V$999,7,0),"")</f>
        <v/>
      </c>
      <c r="H307" s="100"/>
      <c r="I307" s="101"/>
      <c r="J307" s="101"/>
      <c r="K307" s="101"/>
      <c r="L307" s="101"/>
      <c r="M307" s="101"/>
      <c r="N307" s="101"/>
      <c r="O307" s="101"/>
      <c r="P307" s="101"/>
      <c r="Q307" s="101"/>
      <c r="R307" s="101"/>
      <c r="S307" s="101"/>
      <c r="T307" s="101"/>
      <c r="U307" s="101"/>
      <c r="V307" s="101"/>
      <c r="W307" s="101"/>
      <c r="X307" s="101"/>
      <c r="Y307" s="101"/>
      <c r="Z307" s="101"/>
      <c r="AA307" s="101"/>
      <c r="AB307" s="101"/>
    </row>
    <row r="308">
      <c r="A308" s="104" t="s">
        <v>445</v>
      </c>
      <c r="B308" s="105" t="str">
        <f>IFERROR(VLOOKUP(A308,'Salary Calculation'!A307:F1304,2,0),"")</f>
        <v/>
      </c>
      <c r="C308" s="105" t="str">
        <f>IFERROR(VLOOKUP(A308,'Salary Calculation'!$A$2:$V$999,3,0),"")</f>
        <v/>
      </c>
      <c r="D308" s="105" t="str">
        <f>IFERROR(VLOOKUP(A308,'Salary Calculation'!$A$2:$V$999,6,0),"")</f>
        <v/>
      </c>
      <c r="E308" s="105" t="str">
        <f>IFERROR(VLOOKUP(A308,'Salary Calculation'!$A$2:$V$999,10,0),"")</f>
        <v/>
      </c>
      <c r="F308" s="101"/>
      <c r="G308" s="106" t="str">
        <f>IFERROR(VLOOKUP(A308,'Salary Calculation'!$A$2:$V$999,7,0),"")</f>
        <v/>
      </c>
      <c r="H308" s="100"/>
      <c r="I308" s="101"/>
      <c r="J308" s="101"/>
      <c r="K308" s="101"/>
      <c r="L308" s="101"/>
      <c r="M308" s="101"/>
      <c r="N308" s="101"/>
      <c r="O308" s="101"/>
      <c r="P308" s="101"/>
      <c r="Q308" s="101"/>
      <c r="R308" s="101"/>
      <c r="S308" s="101"/>
      <c r="T308" s="101"/>
      <c r="U308" s="101"/>
      <c r="V308" s="101"/>
      <c r="W308" s="101"/>
      <c r="X308" s="101"/>
      <c r="Y308" s="101"/>
      <c r="Z308" s="101"/>
      <c r="AA308" s="101"/>
      <c r="AB308" s="101"/>
    </row>
    <row r="309">
      <c r="A309" s="104" t="s">
        <v>446</v>
      </c>
      <c r="B309" s="105" t="str">
        <f>IFERROR(VLOOKUP(A309,'Salary Calculation'!A308:F1305,2,0),"")</f>
        <v/>
      </c>
      <c r="C309" s="105" t="str">
        <f>IFERROR(VLOOKUP(A309,'Salary Calculation'!$A$2:$V$999,3,0),"")</f>
        <v/>
      </c>
      <c r="D309" s="105" t="str">
        <f>IFERROR(VLOOKUP(A309,'Salary Calculation'!$A$2:$V$999,6,0),"")</f>
        <v/>
      </c>
      <c r="E309" s="105" t="str">
        <f>IFERROR(VLOOKUP(A309,'Salary Calculation'!$A$2:$V$999,10,0),"")</f>
        <v/>
      </c>
      <c r="F309" s="101"/>
      <c r="G309" s="106" t="str">
        <f>IFERROR(VLOOKUP(A309,'Salary Calculation'!$A$2:$V$999,7,0),"")</f>
        <v/>
      </c>
      <c r="H309" s="100"/>
      <c r="I309" s="101"/>
      <c r="J309" s="101"/>
      <c r="K309" s="101"/>
      <c r="L309" s="101"/>
      <c r="M309" s="101"/>
      <c r="N309" s="101"/>
      <c r="O309" s="101"/>
      <c r="P309" s="101"/>
      <c r="Q309" s="101"/>
      <c r="R309" s="101"/>
      <c r="S309" s="101"/>
      <c r="T309" s="101"/>
      <c r="U309" s="101"/>
      <c r="V309" s="101"/>
      <c r="W309" s="101"/>
      <c r="X309" s="101"/>
      <c r="Y309" s="101"/>
      <c r="Z309" s="101"/>
      <c r="AA309" s="101"/>
      <c r="AB309" s="101"/>
    </row>
    <row r="310">
      <c r="A310" s="104" t="s">
        <v>447</v>
      </c>
      <c r="B310" s="105" t="str">
        <f>IFERROR(VLOOKUP(A310,'Salary Calculation'!A309:F1306,2,0),"")</f>
        <v/>
      </c>
      <c r="C310" s="105" t="str">
        <f>IFERROR(VLOOKUP(A310,'Salary Calculation'!$A$2:$V$999,3,0),"")</f>
        <v/>
      </c>
      <c r="D310" s="105" t="str">
        <f>IFERROR(VLOOKUP(A310,'Salary Calculation'!$A$2:$V$999,6,0),"")</f>
        <v/>
      </c>
      <c r="E310" s="105" t="str">
        <f>IFERROR(VLOOKUP(A310,'Salary Calculation'!$A$2:$V$999,10,0),"")</f>
        <v/>
      </c>
      <c r="F310" s="101"/>
      <c r="G310" s="106" t="str">
        <f>IFERROR(VLOOKUP(A310,'Salary Calculation'!$A$2:$V$999,7,0),"")</f>
        <v/>
      </c>
      <c r="H310" s="100"/>
      <c r="I310" s="101"/>
      <c r="J310" s="101"/>
      <c r="K310" s="101"/>
      <c r="L310" s="101"/>
      <c r="M310" s="101"/>
      <c r="N310" s="101"/>
      <c r="O310" s="101"/>
      <c r="P310" s="101"/>
      <c r="Q310" s="101"/>
      <c r="R310" s="101"/>
      <c r="S310" s="101"/>
      <c r="T310" s="101"/>
      <c r="U310" s="101"/>
      <c r="V310" s="101"/>
      <c r="W310" s="101"/>
      <c r="X310" s="101"/>
      <c r="Y310" s="101"/>
      <c r="Z310" s="101"/>
      <c r="AA310" s="101"/>
      <c r="AB310" s="101"/>
    </row>
    <row r="311">
      <c r="A311" s="104" t="s">
        <v>448</v>
      </c>
      <c r="B311" s="105" t="str">
        <f>IFERROR(VLOOKUP(A311,'Salary Calculation'!A310:F1307,2,0),"")</f>
        <v/>
      </c>
      <c r="C311" s="105" t="str">
        <f>IFERROR(VLOOKUP(A311,'Salary Calculation'!$A$2:$V$999,3,0),"")</f>
        <v/>
      </c>
      <c r="D311" s="105" t="str">
        <f>IFERROR(VLOOKUP(A311,'Salary Calculation'!$A$2:$V$999,6,0),"")</f>
        <v/>
      </c>
      <c r="E311" s="105" t="str">
        <f>IFERROR(VLOOKUP(A311,'Salary Calculation'!$A$2:$V$999,10,0),"")</f>
        <v/>
      </c>
      <c r="F311" s="101"/>
      <c r="G311" s="106" t="str">
        <f>IFERROR(VLOOKUP(A311,'Salary Calculation'!$A$2:$V$999,7,0),"")</f>
        <v/>
      </c>
      <c r="H311" s="100"/>
      <c r="I311" s="101"/>
      <c r="J311" s="101"/>
      <c r="K311" s="101"/>
      <c r="L311" s="101"/>
      <c r="M311" s="101"/>
      <c r="N311" s="101"/>
      <c r="O311" s="101"/>
      <c r="P311" s="101"/>
      <c r="Q311" s="101"/>
      <c r="R311" s="101"/>
      <c r="S311" s="101"/>
      <c r="T311" s="101"/>
      <c r="U311" s="101"/>
      <c r="V311" s="101"/>
      <c r="W311" s="101"/>
      <c r="X311" s="101"/>
      <c r="Y311" s="101"/>
      <c r="Z311" s="101"/>
      <c r="AA311" s="101"/>
      <c r="AB311" s="101"/>
    </row>
    <row r="312">
      <c r="A312" s="104" t="s">
        <v>449</v>
      </c>
      <c r="B312" s="105" t="str">
        <f>IFERROR(VLOOKUP(A312,'Salary Calculation'!A311:F1308,2,0),"")</f>
        <v/>
      </c>
      <c r="C312" s="105" t="str">
        <f>IFERROR(VLOOKUP(A312,'Salary Calculation'!$A$2:$V$999,3,0),"")</f>
        <v/>
      </c>
      <c r="D312" s="105" t="str">
        <f>IFERROR(VLOOKUP(A312,'Salary Calculation'!$A$2:$V$999,6,0),"")</f>
        <v/>
      </c>
      <c r="E312" s="105" t="str">
        <f>IFERROR(VLOOKUP(A312,'Salary Calculation'!$A$2:$V$999,10,0),"")</f>
        <v/>
      </c>
      <c r="F312" s="101"/>
      <c r="G312" s="106" t="str">
        <f>IFERROR(VLOOKUP(A312,'Salary Calculation'!$A$2:$V$999,7,0),"")</f>
        <v/>
      </c>
      <c r="H312" s="100"/>
      <c r="I312" s="101"/>
      <c r="J312" s="101"/>
      <c r="K312" s="101"/>
      <c r="L312" s="101"/>
      <c r="M312" s="101"/>
      <c r="N312" s="101"/>
      <c r="O312" s="101"/>
      <c r="P312" s="101"/>
      <c r="Q312" s="101"/>
      <c r="R312" s="101"/>
      <c r="S312" s="101"/>
      <c r="T312" s="101"/>
      <c r="U312" s="101"/>
      <c r="V312" s="101"/>
      <c r="W312" s="101"/>
      <c r="X312" s="101"/>
      <c r="Y312" s="101"/>
      <c r="Z312" s="101"/>
      <c r="AA312" s="101"/>
      <c r="AB312" s="101"/>
    </row>
    <row r="313">
      <c r="A313" s="104" t="s">
        <v>450</v>
      </c>
      <c r="B313" s="105" t="str">
        <f>IFERROR(VLOOKUP(A313,'Salary Calculation'!A312:F1309,2,0),"")</f>
        <v/>
      </c>
      <c r="C313" s="105" t="str">
        <f>IFERROR(VLOOKUP(A313,'Salary Calculation'!$A$2:$V$999,3,0),"")</f>
        <v/>
      </c>
      <c r="D313" s="105" t="str">
        <f>IFERROR(VLOOKUP(A313,'Salary Calculation'!$A$2:$V$999,6,0),"")</f>
        <v/>
      </c>
      <c r="E313" s="105" t="str">
        <f>IFERROR(VLOOKUP(A313,'Salary Calculation'!$A$2:$V$999,10,0),"")</f>
        <v/>
      </c>
      <c r="F313" s="101"/>
      <c r="G313" s="106" t="str">
        <f>IFERROR(VLOOKUP(A313,'Salary Calculation'!$A$2:$V$999,7,0),"")</f>
        <v/>
      </c>
      <c r="H313" s="100"/>
      <c r="I313" s="101"/>
      <c r="J313" s="101"/>
      <c r="K313" s="101"/>
      <c r="L313" s="101"/>
      <c r="M313" s="101"/>
      <c r="N313" s="101"/>
      <c r="O313" s="101"/>
      <c r="P313" s="101"/>
      <c r="Q313" s="101"/>
      <c r="R313" s="101"/>
      <c r="S313" s="101"/>
      <c r="T313" s="101"/>
      <c r="U313" s="101"/>
      <c r="V313" s="101"/>
      <c r="W313" s="101"/>
      <c r="X313" s="101"/>
      <c r="Y313" s="101"/>
      <c r="Z313" s="101"/>
      <c r="AA313" s="101"/>
      <c r="AB313" s="101"/>
    </row>
    <row r="314">
      <c r="A314" s="104" t="s">
        <v>451</v>
      </c>
      <c r="B314" s="105" t="str">
        <f>IFERROR(VLOOKUP(A314,'Salary Calculation'!A313:F1310,2,0),"")</f>
        <v/>
      </c>
      <c r="C314" s="105" t="str">
        <f>IFERROR(VLOOKUP(A314,'Salary Calculation'!$A$2:$V$999,3,0),"")</f>
        <v/>
      </c>
      <c r="D314" s="105" t="str">
        <f>IFERROR(VLOOKUP(A314,'Salary Calculation'!$A$2:$V$999,6,0),"")</f>
        <v/>
      </c>
      <c r="E314" s="105" t="str">
        <f>IFERROR(VLOOKUP(A314,'Salary Calculation'!$A$2:$V$999,10,0),"")</f>
        <v/>
      </c>
      <c r="F314" s="101"/>
      <c r="G314" s="106" t="str">
        <f>IFERROR(VLOOKUP(A314,'Salary Calculation'!$A$2:$V$999,7,0),"")</f>
        <v/>
      </c>
      <c r="H314" s="100"/>
      <c r="I314" s="101"/>
      <c r="J314" s="101"/>
      <c r="K314" s="101"/>
      <c r="L314" s="101"/>
      <c r="M314" s="101"/>
      <c r="N314" s="101"/>
      <c r="O314" s="101"/>
      <c r="P314" s="101"/>
      <c r="Q314" s="101"/>
      <c r="R314" s="101"/>
      <c r="S314" s="101"/>
      <c r="T314" s="101"/>
      <c r="U314" s="101"/>
      <c r="V314" s="101"/>
      <c r="W314" s="101"/>
      <c r="X314" s="101"/>
      <c r="Y314" s="101"/>
      <c r="Z314" s="101"/>
      <c r="AA314" s="101"/>
      <c r="AB314" s="101"/>
    </row>
    <row r="315">
      <c r="A315" s="104" t="s">
        <v>452</v>
      </c>
      <c r="B315" s="105" t="str">
        <f>IFERROR(VLOOKUP(A315,'Salary Calculation'!A314:F1311,2,0),"")</f>
        <v/>
      </c>
      <c r="C315" s="105" t="str">
        <f>IFERROR(VLOOKUP(A315,'Salary Calculation'!$A$2:$V$999,3,0),"")</f>
        <v/>
      </c>
      <c r="D315" s="105" t="str">
        <f>IFERROR(VLOOKUP(A315,'Salary Calculation'!$A$2:$V$999,6,0),"")</f>
        <v/>
      </c>
      <c r="E315" s="105" t="str">
        <f>IFERROR(VLOOKUP(A315,'Salary Calculation'!$A$2:$V$999,10,0),"")</f>
        <v/>
      </c>
      <c r="F315" s="101"/>
      <c r="G315" s="106" t="str">
        <f>IFERROR(VLOOKUP(A315,'Salary Calculation'!$A$2:$V$999,7,0),"")</f>
        <v/>
      </c>
      <c r="H315" s="100"/>
      <c r="I315" s="101"/>
      <c r="J315" s="101"/>
      <c r="K315" s="101"/>
      <c r="L315" s="101"/>
      <c r="M315" s="101"/>
      <c r="N315" s="101"/>
      <c r="O315" s="101"/>
      <c r="P315" s="101"/>
      <c r="Q315" s="101"/>
      <c r="R315" s="101"/>
      <c r="S315" s="101"/>
      <c r="T315" s="101"/>
      <c r="U315" s="101"/>
      <c r="V315" s="101"/>
      <c r="W315" s="101"/>
      <c r="X315" s="101"/>
      <c r="Y315" s="101"/>
      <c r="Z315" s="101"/>
      <c r="AA315" s="101"/>
      <c r="AB315" s="101"/>
    </row>
    <row r="316">
      <c r="A316" s="104" t="s">
        <v>453</v>
      </c>
      <c r="B316" s="105" t="str">
        <f>IFERROR(VLOOKUP(A316,'Salary Calculation'!A315:F1312,2,0),"")</f>
        <v/>
      </c>
      <c r="C316" s="105" t="str">
        <f>IFERROR(VLOOKUP(A316,'Salary Calculation'!$A$2:$V$999,3,0),"")</f>
        <v/>
      </c>
      <c r="D316" s="105" t="str">
        <f>IFERROR(VLOOKUP(A316,'Salary Calculation'!$A$2:$V$999,6,0),"")</f>
        <v/>
      </c>
      <c r="E316" s="105" t="str">
        <f>IFERROR(VLOOKUP(A316,'Salary Calculation'!$A$2:$V$999,10,0),"")</f>
        <v/>
      </c>
      <c r="F316" s="101"/>
      <c r="G316" s="106" t="str">
        <f>IFERROR(VLOOKUP(A316,'Salary Calculation'!$A$2:$V$999,7,0),"")</f>
        <v/>
      </c>
      <c r="H316" s="100"/>
      <c r="I316" s="101"/>
      <c r="J316" s="101"/>
      <c r="K316" s="101"/>
      <c r="L316" s="101"/>
      <c r="M316" s="101"/>
      <c r="N316" s="101"/>
      <c r="O316" s="101"/>
      <c r="P316" s="101"/>
      <c r="Q316" s="101"/>
      <c r="R316" s="101"/>
      <c r="S316" s="101"/>
      <c r="T316" s="101"/>
      <c r="U316" s="101"/>
      <c r="V316" s="101"/>
      <c r="W316" s="101"/>
      <c r="X316" s="101"/>
      <c r="Y316" s="101"/>
      <c r="Z316" s="101"/>
      <c r="AA316" s="101"/>
      <c r="AB316" s="101"/>
    </row>
    <row r="317">
      <c r="A317" s="104" t="s">
        <v>454</v>
      </c>
      <c r="B317" s="105" t="str">
        <f>IFERROR(VLOOKUP(A317,'Salary Calculation'!A316:F1313,2,0),"")</f>
        <v/>
      </c>
      <c r="C317" s="105" t="str">
        <f>IFERROR(VLOOKUP(A317,'Salary Calculation'!$A$2:$V$999,3,0),"")</f>
        <v/>
      </c>
      <c r="D317" s="105" t="str">
        <f>IFERROR(VLOOKUP(A317,'Salary Calculation'!$A$2:$V$999,6,0),"")</f>
        <v/>
      </c>
      <c r="E317" s="105" t="str">
        <f>IFERROR(VLOOKUP(A317,'Salary Calculation'!$A$2:$V$999,10,0),"")</f>
        <v/>
      </c>
      <c r="F317" s="101"/>
      <c r="G317" s="106" t="str">
        <f>IFERROR(VLOOKUP(A317,'Salary Calculation'!$A$2:$V$999,7,0),"")</f>
        <v/>
      </c>
      <c r="H317" s="100"/>
      <c r="I317" s="101"/>
      <c r="J317" s="101"/>
      <c r="K317" s="101"/>
      <c r="L317" s="101"/>
      <c r="M317" s="101"/>
      <c r="N317" s="101"/>
      <c r="O317" s="101"/>
      <c r="P317" s="101"/>
      <c r="Q317" s="101"/>
      <c r="R317" s="101"/>
      <c r="S317" s="101"/>
      <c r="T317" s="101"/>
      <c r="U317" s="101"/>
      <c r="V317" s="101"/>
      <c r="W317" s="101"/>
      <c r="X317" s="101"/>
      <c r="Y317" s="101"/>
      <c r="Z317" s="101"/>
      <c r="AA317" s="101"/>
      <c r="AB317" s="101"/>
    </row>
    <row r="318">
      <c r="A318" s="104" t="s">
        <v>455</v>
      </c>
      <c r="B318" s="105" t="str">
        <f>IFERROR(VLOOKUP(A318,'Salary Calculation'!A317:F1314,2,0),"")</f>
        <v/>
      </c>
      <c r="C318" s="105" t="str">
        <f>IFERROR(VLOOKUP(A318,'Salary Calculation'!$A$2:$V$999,3,0),"")</f>
        <v/>
      </c>
      <c r="D318" s="105" t="str">
        <f>IFERROR(VLOOKUP(A318,'Salary Calculation'!$A$2:$V$999,6,0),"")</f>
        <v/>
      </c>
      <c r="E318" s="105" t="str">
        <f>IFERROR(VLOOKUP(A318,'Salary Calculation'!$A$2:$V$999,10,0),"")</f>
        <v/>
      </c>
      <c r="F318" s="101"/>
      <c r="G318" s="106" t="str">
        <f>IFERROR(VLOOKUP(A318,'Salary Calculation'!$A$2:$V$999,7,0),"")</f>
        <v/>
      </c>
      <c r="H318" s="100"/>
      <c r="I318" s="101"/>
      <c r="J318" s="101"/>
      <c r="K318" s="101"/>
      <c r="L318" s="101"/>
      <c r="M318" s="101"/>
      <c r="N318" s="101"/>
      <c r="O318" s="101"/>
      <c r="P318" s="101"/>
      <c r="Q318" s="101"/>
      <c r="R318" s="101"/>
      <c r="S318" s="101"/>
      <c r="T318" s="101"/>
      <c r="U318" s="101"/>
      <c r="V318" s="101"/>
      <c r="W318" s="101"/>
      <c r="X318" s="101"/>
      <c r="Y318" s="101"/>
      <c r="Z318" s="101"/>
      <c r="AA318" s="101"/>
      <c r="AB318" s="101"/>
    </row>
    <row r="319">
      <c r="A319" s="104" t="s">
        <v>456</v>
      </c>
      <c r="B319" s="105" t="str">
        <f>IFERROR(VLOOKUP(A319,'Salary Calculation'!A318:F1315,2,0),"")</f>
        <v/>
      </c>
      <c r="C319" s="105" t="str">
        <f>IFERROR(VLOOKUP(A319,'Salary Calculation'!$A$2:$V$999,3,0),"")</f>
        <v/>
      </c>
      <c r="D319" s="105" t="str">
        <f>IFERROR(VLOOKUP(A319,'Salary Calculation'!$A$2:$V$999,6,0),"")</f>
        <v/>
      </c>
      <c r="E319" s="105" t="str">
        <f>IFERROR(VLOOKUP(A319,'Salary Calculation'!$A$2:$V$999,10,0),"")</f>
        <v/>
      </c>
      <c r="F319" s="101"/>
      <c r="G319" s="106" t="str">
        <f>IFERROR(VLOOKUP(A319,'Salary Calculation'!$A$2:$V$999,7,0),"")</f>
        <v/>
      </c>
      <c r="H319" s="100"/>
      <c r="I319" s="101"/>
      <c r="J319" s="101"/>
      <c r="K319" s="101"/>
      <c r="L319" s="101"/>
      <c r="M319" s="101"/>
      <c r="N319" s="101"/>
      <c r="O319" s="101"/>
      <c r="P319" s="101"/>
      <c r="Q319" s="101"/>
      <c r="R319" s="101"/>
      <c r="S319" s="101"/>
      <c r="T319" s="101"/>
      <c r="U319" s="101"/>
      <c r="V319" s="101"/>
      <c r="W319" s="101"/>
      <c r="X319" s="101"/>
      <c r="Y319" s="101"/>
      <c r="Z319" s="101"/>
      <c r="AA319" s="101"/>
      <c r="AB319" s="101"/>
    </row>
    <row r="320">
      <c r="A320" s="104" t="s">
        <v>457</v>
      </c>
      <c r="B320" s="105" t="str">
        <f>IFERROR(VLOOKUP(A320,'Salary Calculation'!A319:F1316,2,0),"")</f>
        <v/>
      </c>
      <c r="C320" s="105" t="str">
        <f>IFERROR(VLOOKUP(A320,'Salary Calculation'!$A$2:$V$999,3,0),"")</f>
        <v/>
      </c>
      <c r="D320" s="105" t="str">
        <f>IFERROR(VLOOKUP(A320,'Salary Calculation'!$A$2:$V$999,6,0),"")</f>
        <v/>
      </c>
      <c r="E320" s="105" t="str">
        <f>IFERROR(VLOOKUP(A320,'Salary Calculation'!$A$2:$V$999,10,0),"")</f>
        <v/>
      </c>
      <c r="F320" s="101"/>
      <c r="G320" s="106" t="str">
        <f>IFERROR(VLOOKUP(A320,'Salary Calculation'!$A$2:$V$999,7,0),"")</f>
        <v/>
      </c>
      <c r="H320" s="100"/>
      <c r="I320" s="101"/>
      <c r="J320" s="101"/>
      <c r="K320" s="101"/>
      <c r="L320" s="101"/>
      <c r="M320" s="101"/>
      <c r="N320" s="101"/>
      <c r="O320" s="101"/>
      <c r="P320" s="101"/>
      <c r="Q320" s="101"/>
      <c r="R320" s="101"/>
      <c r="S320" s="101"/>
      <c r="T320" s="101"/>
      <c r="U320" s="101"/>
      <c r="V320" s="101"/>
      <c r="W320" s="101"/>
      <c r="X320" s="101"/>
      <c r="Y320" s="101"/>
      <c r="Z320" s="101"/>
      <c r="AA320" s="101"/>
      <c r="AB320" s="101"/>
    </row>
    <row r="321">
      <c r="A321" s="104" t="s">
        <v>458</v>
      </c>
      <c r="B321" s="105" t="str">
        <f>IFERROR(VLOOKUP(A321,'Salary Calculation'!A320:F1317,2,0),"")</f>
        <v/>
      </c>
      <c r="C321" s="105" t="str">
        <f>IFERROR(VLOOKUP(A321,'Salary Calculation'!$A$2:$V$999,3,0),"")</f>
        <v/>
      </c>
      <c r="D321" s="105" t="str">
        <f>IFERROR(VLOOKUP(A321,'Salary Calculation'!$A$2:$V$999,6,0),"")</f>
        <v/>
      </c>
      <c r="E321" s="105" t="str">
        <f>IFERROR(VLOOKUP(A321,'Salary Calculation'!$A$2:$V$999,10,0),"")</f>
        <v/>
      </c>
      <c r="F321" s="101"/>
      <c r="G321" s="106" t="str">
        <f>IFERROR(VLOOKUP(A321,'Salary Calculation'!$A$2:$V$999,7,0),"")</f>
        <v/>
      </c>
      <c r="H321" s="100"/>
      <c r="I321" s="101"/>
      <c r="J321" s="101"/>
      <c r="K321" s="101"/>
      <c r="L321" s="101"/>
      <c r="M321" s="101"/>
      <c r="N321" s="101"/>
      <c r="O321" s="101"/>
      <c r="P321" s="101"/>
      <c r="Q321" s="101"/>
      <c r="R321" s="101"/>
      <c r="S321" s="101"/>
      <c r="T321" s="101"/>
      <c r="U321" s="101"/>
      <c r="V321" s="101"/>
      <c r="W321" s="101"/>
      <c r="X321" s="101"/>
      <c r="Y321" s="101"/>
      <c r="Z321" s="101"/>
      <c r="AA321" s="101"/>
      <c r="AB321" s="101"/>
    </row>
    <row r="322">
      <c r="A322" s="104" t="s">
        <v>459</v>
      </c>
      <c r="B322" s="105" t="str">
        <f>IFERROR(VLOOKUP(A322,'Salary Calculation'!A321:F1318,2,0),"")</f>
        <v/>
      </c>
      <c r="C322" s="105" t="str">
        <f>IFERROR(VLOOKUP(A322,'Salary Calculation'!$A$2:$V$999,3,0),"")</f>
        <v/>
      </c>
      <c r="D322" s="105" t="str">
        <f>IFERROR(VLOOKUP(A322,'Salary Calculation'!$A$2:$V$999,6,0),"")</f>
        <v/>
      </c>
      <c r="E322" s="105" t="str">
        <f>IFERROR(VLOOKUP(A322,'Salary Calculation'!$A$2:$V$999,10,0),"")</f>
        <v/>
      </c>
      <c r="F322" s="101"/>
      <c r="G322" s="106" t="str">
        <f>IFERROR(VLOOKUP(A322,'Salary Calculation'!$A$2:$V$999,7,0),"")</f>
        <v/>
      </c>
      <c r="H322" s="100"/>
      <c r="I322" s="101"/>
      <c r="J322" s="101"/>
      <c r="K322" s="101"/>
      <c r="L322" s="101"/>
      <c r="M322" s="101"/>
      <c r="N322" s="101"/>
      <c r="O322" s="101"/>
      <c r="P322" s="101"/>
      <c r="Q322" s="101"/>
      <c r="R322" s="101"/>
      <c r="S322" s="101"/>
      <c r="T322" s="101"/>
      <c r="U322" s="101"/>
      <c r="V322" s="101"/>
      <c r="W322" s="101"/>
      <c r="X322" s="101"/>
      <c r="Y322" s="101"/>
      <c r="Z322" s="101"/>
      <c r="AA322" s="101"/>
      <c r="AB322" s="101"/>
    </row>
    <row r="323">
      <c r="A323" s="104" t="s">
        <v>460</v>
      </c>
      <c r="B323" s="105" t="str">
        <f>IFERROR(VLOOKUP(A323,'Salary Calculation'!A322:F1319,2,0),"")</f>
        <v/>
      </c>
      <c r="C323" s="105" t="str">
        <f>IFERROR(VLOOKUP(A323,'Salary Calculation'!$A$2:$V$999,3,0),"")</f>
        <v/>
      </c>
      <c r="D323" s="105" t="str">
        <f>IFERROR(VLOOKUP(A323,'Salary Calculation'!$A$2:$V$999,6,0),"")</f>
        <v/>
      </c>
      <c r="E323" s="105" t="str">
        <f>IFERROR(VLOOKUP(A323,'Salary Calculation'!$A$2:$V$999,10,0),"")</f>
        <v/>
      </c>
      <c r="F323" s="101"/>
      <c r="G323" s="106" t="str">
        <f>IFERROR(VLOOKUP(A323,'Salary Calculation'!$A$2:$V$999,7,0),"")</f>
        <v/>
      </c>
      <c r="H323" s="100"/>
      <c r="I323" s="101"/>
      <c r="J323" s="101"/>
      <c r="K323" s="101"/>
      <c r="L323" s="101"/>
      <c r="M323" s="101"/>
      <c r="N323" s="101"/>
      <c r="O323" s="101"/>
      <c r="P323" s="101"/>
      <c r="Q323" s="101"/>
      <c r="R323" s="101"/>
      <c r="S323" s="101"/>
      <c r="T323" s="101"/>
      <c r="U323" s="101"/>
      <c r="V323" s="101"/>
      <c r="W323" s="101"/>
      <c r="X323" s="101"/>
      <c r="Y323" s="101"/>
      <c r="Z323" s="101"/>
      <c r="AA323" s="101"/>
      <c r="AB323" s="101"/>
    </row>
    <row r="324">
      <c r="A324" s="104" t="s">
        <v>461</v>
      </c>
      <c r="B324" s="105" t="str">
        <f>IFERROR(VLOOKUP(A324,'Salary Calculation'!A323:F1320,2,0),"")</f>
        <v/>
      </c>
      <c r="C324" s="105" t="str">
        <f>IFERROR(VLOOKUP(A324,'Salary Calculation'!$A$2:$V$999,3,0),"")</f>
        <v/>
      </c>
      <c r="D324" s="105" t="str">
        <f>IFERROR(VLOOKUP(A324,'Salary Calculation'!$A$2:$V$999,6,0),"")</f>
        <v/>
      </c>
      <c r="E324" s="105" t="str">
        <f>IFERROR(VLOOKUP(A324,'Salary Calculation'!$A$2:$V$999,10,0),"")</f>
        <v/>
      </c>
      <c r="F324" s="101"/>
      <c r="G324" s="106" t="str">
        <f>IFERROR(VLOOKUP(A324,'Salary Calculation'!$A$2:$V$999,7,0),"")</f>
        <v/>
      </c>
      <c r="H324" s="100"/>
      <c r="I324" s="101"/>
      <c r="J324" s="101"/>
      <c r="K324" s="101"/>
      <c r="L324" s="101"/>
      <c r="M324" s="101"/>
      <c r="N324" s="101"/>
      <c r="O324" s="101"/>
      <c r="P324" s="101"/>
      <c r="Q324" s="101"/>
      <c r="R324" s="101"/>
      <c r="S324" s="101"/>
      <c r="T324" s="101"/>
      <c r="U324" s="101"/>
      <c r="V324" s="101"/>
      <c r="W324" s="101"/>
      <c r="X324" s="101"/>
      <c r="Y324" s="101"/>
      <c r="Z324" s="101"/>
      <c r="AA324" s="101"/>
      <c r="AB324" s="101"/>
    </row>
    <row r="325">
      <c r="A325" s="104" t="s">
        <v>462</v>
      </c>
      <c r="B325" s="105" t="str">
        <f>IFERROR(VLOOKUP(A325,'Salary Calculation'!A324:F1321,2,0),"")</f>
        <v/>
      </c>
      <c r="C325" s="105" t="str">
        <f>IFERROR(VLOOKUP(A325,'Salary Calculation'!$A$2:$V$999,3,0),"")</f>
        <v/>
      </c>
      <c r="D325" s="105" t="str">
        <f>IFERROR(VLOOKUP(A325,'Salary Calculation'!$A$2:$V$999,6,0),"")</f>
        <v/>
      </c>
      <c r="E325" s="105" t="str">
        <f>IFERROR(VLOOKUP(A325,'Salary Calculation'!$A$2:$V$999,10,0),"")</f>
        <v/>
      </c>
      <c r="F325" s="101"/>
      <c r="G325" s="106" t="str">
        <f>IFERROR(VLOOKUP(A325,'Salary Calculation'!$A$2:$V$999,7,0),"")</f>
        <v/>
      </c>
      <c r="H325" s="100"/>
      <c r="I325" s="101"/>
      <c r="J325" s="101"/>
      <c r="K325" s="101"/>
      <c r="L325" s="101"/>
      <c r="M325" s="101"/>
      <c r="N325" s="101"/>
      <c r="O325" s="101"/>
      <c r="P325" s="101"/>
      <c r="Q325" s="101"/>
      <c r="R325" s="101"/>
      <c r="S325" s="101"/>
      <c r="T325" s="101"/>
      <c r="U325" s="101"/>
      <c r="V325" s="101"/>
      <c r="W325" s="101"/>
      <c r="X325" s="101"/>
      <c r="Y325" s="101"/>
      <c r="Z325" s="101"/>
      <c r="AA325" s="101"/>
      <c r="AB325" s="101"/>
    </row>
    <row r="326">
      <c r="A326" s="104" t="s">
        <v>463</v>
      </c>
      <c r="B326" s="105" t="str">
        <f>IFERROR(VLOOKUP(A326,'Salary Calculation'!A325:F1322,2,0),"")</f>
        <v/>
      </c>
      <c r="C326" s="105" t="str">
        <f>IFERROR(VLOOKUP(A326,'Salary Calculation'!$A$2:$V$999,3,0),"")</f>
        <v/>
      </c>
      <c r="D326" s="105" t="str">
        <f>IFERROR(VLOOKUP(A326,'Salary Calculation'!$A$2:$V$999,6,0),"")</f>
        <v/>
      </c>
      <c r="E326" s="105" t="str">
        <f>IFERROR(VLOOKUP(A326,'Salary Calculation'!$A$2:$V$999,10,0),"")</f>
        <v/>
      </c>
      <c r="F326" s="101"/>
      <c r="G326" s="106" t="str">
        <f>IFERROR(VLOOKUP(A326,'Salary Calculation'!$A$2:$V$999,7,0),"")</f>
        <v/>
      </c>
      <c r="H326" s="100"/>
      <c r="I326" s="101"/>
      <c r="J326" s="101"/>
      <c r="K326" s="101"/>
      <c r="L326" s="101"/>
      <c r="M326" s="101"/>
      <c r="N326" s="101"/>
      <c r="O326" s="101"/>
      <c r="P326" s="101"/>
      <c r="Q326" s="101"/>
      <c r="R326" s="101"/>
      <c r="S326" s="101"/>
      <c r="T326" s="101"/>
      <c r="U326" s="101"/>
      <c r="V326" s="101"/>
      <c r="W326" s="101"/>
      <c r="X326" s="101"/>
      <c r="Y326" s="101"/>
      <c r="Z326" s="101"/>
      <c r="AA326" s="101"/>
      <c r="AB326" s="101"/>
    </row>
    <row r="327">
      <c r="A327" s="104" t="s">
        <v>464</v>
      </c>
      <c r="B327" s="105" t="str">
        <f>IFERROR(VLOOKUP(A327,'Salary Calculation'!A326:F1323,2,0),"")</f>
        <v/>
      </c>
      <c r="C327" s="105" t="str">
        <f>IFERROR(VLOOKUP(A327,'Salary Calculation'!$A$2:$V$999,3,0),"")</f>
        <v/>
      </c>
      <c r="D327" s="105" t="str">
        <f>IFERROR(VLOOKUP(A327,'Salary Calculation'!$A$2:$V$999,6,0),"")</f>
        <v/>
      </c>
      <c r="E327" s="105" t="str">
        <f>IFERROR(VLOOKUP(A327,'Salary Calculation'!$A$2:$V$999,10,0),"")</f>
        <v/>
      </c>
      <c r="F327" s="101"/>
      <c r="G327" s="106" t="str">
        <f>IFERROR(VLOOKUP(A327,'Salary Calculation'!$A$2:$V$999,7,0),"")</f>
        <v/>
      </c>
      <c r="H327" s="100"/>
      <c r="I327" s="101"/>
      <c r="J327" s="101"/>
      <c r="K327" s="101"/>
      <c r="L327" s="101"/>
      <c r="M327" s="101"/>
      <c r="N327" s="101"/>
      <c r="O327" s="101"/>
      <c r="P327" s="101"/>
      <c r="Q327" s="101"/>
      <c r="R327" s="101"/>
      <c r="S327" s="101"/>
      <c r="T327" s="101"/>
      <c r="U327" s="101"/>
      <c r="V327" s="101"/>
      <c r="W327" s="101"/>
      <c r="X327" s="101"/>
      <c r="Y327" s="101"/>
      <c r="Z327" s="101"/>
      <c r="AA327" s="101"/>
      <c r="AB327" s="101"/>
    </row>
    <row r="328">
      <c r="A328" s="104" t="s">
        <v>465</v>
      </c>
      <c r="B328" s="105" t="str">
        <f>IFERROR(VLOOKUP(A328,'Salary Calculation'!A327:F1324,2,0),"")</f>
        <v/>
      </c>
      <c r="C328" s="105" t="str">
        <f>IFERROR(VLOOKUP(A328,'Salary Calculation'!$A$2:$V$999,3,0),"")</f>
        <v/>
      </c>
      <c r="D328" s="105" t="str">
        <f>IFERROR(VLOOKUP(A328,'Salary Calculation'!$A$2:$V$999,6,0),"")</f>
        <v/>
      </c>
      <c r="E328" s="105" t="str">
        <f>IFERROR(VLOOKUP(A328,'Salary Calculation'!$A$2:$V$999,10,0),"")</f>
        <v/>
      </c>
      <c r="F328" s="101"/>
      <c r="G328" s="106" t="str">
        <f>IFERROR(VLOOKUP(A328,'Salary Calculation'!$A$2:$V$999,7,0),"")</f>
        <v/>
      </c>
      <c r="H328" s="100"/>
      <c r="I328" s="101"/>
      <c r="J328" s="101"/>
      <c r="K328" s="101"/>
      <c r="L328" s="101"/>
      <c r="M328" s="101"/>
      <c r="N328" s="101"/>
      <c r="O328" s="101"/>
      <c r="P328" s="101"/>
      <c r="Q328" s="101"/>
      <c r="R328" s="101"/>
      <c r="S328" s="101"/>
      <c r="T328" s="101"/>
      <c r="U328" s="101"/>
      <c r="V328" s="101"/>
      <c r="W328" s="101"/>
      <c r="X328" s="101"/>
      <c r="Y328" s="101"/>
      <c r="Z328" s="101"/>
      <c r="AA328" s="101"/>
      <c r="AB328" s="101"/>
    </row>
    <row r="329">
      <c r="A329" s="104" t="s">
        <v>466</v>
      </c>
      <c r="B329" s="105" t="str">
        <f>IFERROR(VLOOKUP(A329,'Salary Calculation'!A328:F1325,2,0),"")</f>
        <v/>
      </c>
      <c r="C329" s="105" t="str">
        <f>IFERROR(VLOOKUP(A329,'Salary Calculation'!$A$2:$V$999,3,0),"")</f>
        <v/>
      </c>
      <c r="D329" s="105" t="str">
        <f>IFERROR(VLOOKUP(A329,'Salary Calculation'!$A$2:$V$999,6,0),"")</f>
        <v/>
      </c>
      <c r="E329" s="105" t="str">
        <f>IFERROR(VLOOKUP(A329,'Salary Calculation'!$A$2:$V$999,10,0),"")</f>
        <v/>
      </c>
      <c r="F329" s="101"/>
      <c r="G329" s="106" t="str">
        <f>IFERROR(VLOOKUP(A329,'Salary Calculation'!$A$2:$V$999,7,0),"")</f>
        <v/>
      </c>
      <c r="H329" s="100"/>
      <c r="I329" s="101"/>
      <c r="J329" s="101"/>
      <c r="K329" s="101"/>
      <c r="L329" s="101"/>
      <c r="M329" s="101"/>
      <c r="N329" s="101"/>
      <c r="O329" s="101"/>
      <c r="P329" s="101"/>
      <c r="Q329" s="101"/>
      <c r="R329" s="101"/>
      <c r="S329" s="101"/>
      <c r="T329" s="101"/>
      <c r="U329" s="101"/>
      <c r="V329" s="101"/>
      <c r="W329" s="101"/>
      <c r="X329" s="101"/>
      <c r="Y329" s="101"/>
      <c r="Z329" s="101"/>
      <c r="AA329" s="101"/>
      <c r="AB329" s="101"/>
    </row>
    <row r="330">
      <c r="A330" s="104" t="s">
        <v>467</v>
      </c>
      <c r="B330" s="105" t="str">
        <f>IFERROR(VLOOKUP(A330,'Salary Calculation'!A329:F1326,2,0),"")</f>
        <v/>
      </c>
      <c r="C330" s="105" t="str">
        <f>IFERROR(VLOOKUP(A330,'Salary Calculation'!$A$2:$V$999,3,0),"")</f>
        <v/>
      </c>
      <c r="D330" s="105" t="str">
        <f>IFERROR(VLOOKUP(A330,'Salary Calculation'!$A$2:$V$999,6,0),"")</f>
        <v/>
      </c>
      <c r="E330" s="105" t="str">
        <f>IFERROR(VLOOKUP(A330,'Salary Calculation'!$A$2:$V$999,10,0),"")</f>
        <v/>
      </c>
      <c r="F330" s="101"/>
      <c r="G330" s="106" t="str">
        <f>IFERROR(VLOOKUP(A330,'Salary Calculation'!$A$2:$V$999,7,0),"")</f>
        <v/>
      </c>
      <c r="H330" s="100"/>
      <c r="I330" s="101"/>
      <c r="J330" s="101"/>
      <c r="K330" s="101"/>
      <c r="L330" s="101"/>
      <c r="M330" s="101"/>
      <c r="N330" s="101"/>
      <c r="O330" s="101"/>
      <c r="P330" s="101"/>
      <c r="Q330" s="101"/>
      <c r="R330" s="101"/>
      <c r="S330" s="101"/>
      <c r="T330" s="101"/>
      <c r="U330" s="101"/>
      <c r="V330" s="101"/>
      <c r="W330" s="101"/>
      <c r="X330" s="101"/>
      <c r="Y330" s="101"/>
      <c r="Z330" s="101"/>
      <c r="AA330" s="101"/>
      <c r="AB330" s="101"/>
    </row>
    <row r="331">
      <c r="A331" s="104" t="s">
        <v>468</v>
      </c>
      <c r="B331" s="105" t="str">
        <f>IFERROR(VLOOKUP(A331,'Salary Calculation'!A330:F1327,2,0),"")</f>
        <v/>
      </c>
      <c r="C331" s="105" t="str">
        <f>IFERROR(VLOOKUP(A331,'Salary Calculation'!$A$2:$V$999,3,0),"")</f>
        <v/>
      </c>
      <c r="D331" s="105" t="str">
        <f>IFERROR(VLOOKUP(A331,'Salary Calculation'!$A$2:$V$999,6,0),"")</f>
        <v/>
      </c>
      <c r="E331" s="105" t="str">
        <f>IFERROR(VLOOKUP(A331,'Salary Calculation'!$A$2:$V$999,10,0),"")</f>
        <v/>
      </c>
      <c r="F331" s="101"/>
      <c r="G331" s="106" t="str">
        <f>IFERROR(VLOOKUP(A331,'Salary Calculation'!$A$2:$V$999,7,0),"")</f>
        <v/>
      </c>
      <c r="H331" s="100"/>
      <c r="I331" s="101"/>
      <c r="J331" s="101"/>
      <c r="K331" s="101"/>
      <c r="L331" s="101"/>
      <c r="M331" s="101"/>
      <c r="N331" s="101"/>
      <c r="O331" s="101"/>
      <c r="P331" s="101"/>
      <c r="Q331" s="101"/>
      <c r="R331" s="101"/>
      <c r="S331" s="101"/>
      <c r="T331" s="101"/>
      <c r="U331" s="101"/>
      <c r="V331" s="101"/>
      <c r="W331" s="101"/>
      <c r="X331" s="101"/>
      <c r="Y331" s="101"/>
      <c r="Z331" s="101"/>
      <c r="AA331" s="101"/>
      <c r="AB331" s="101"/>
    </row>
    <row r="332">
      <c r="A332" s="104" t="s">
        <v>469</v>
      </c>
      <c r="B332" s="105" t="str">
        <f>IFERROR(VLOOKUP(A332,'Salary Calculation'!A331:F1328,2,0),"")</f>
        <v/>
      </c>
      <c r="C332" s="105" t="str">
        <f>IFERROR(VLOOKUP(A332,'Salary Calculation'!$A$2:$V$999,3,0),"")</f>
        <v/>
      </c>
      <c r="D332" s="105" t="str">
        <f>IFERROR(VLOOKUP(A332,'Salary Calculation'!$A$2:$V$999,6,0),"")</f>
        <v/>
      </c>
      <c r="E332" s="105" t="str">
        <f>IFERROR(VLOOKUP(A332,'Salary Calculation'!$A$2:$V$999,10,0),"")</f>
        <v/>
      </c>
      <c r="F332" s="101"/>
      <c r="G332" s="106" t="str">
        <f>IFERROR(VLOOKUP(A332,'Salary Calculation'!$A$2:$V$999,7,0),"")</f>
        <v/>
      </c>
      <c r="H332" s="100"/>
      <c r="I332" s="101"/>
      <c r="J332" s="101"/>
      <c r="K332" s="101"/>
      <c r="L332" s="101"/>
      <c r="M332" s="101"/>
      <c r="N332" s="101"/>
      <c r="O332" s="101"/>
      <c r="P332" s="101"/>
      <c r="Q332" s="101"/>
      <c r="R332" s="101"/>
      <c r="S332" s="101"/>
      <c r="T332" s="101"/>
      <c r="U332" s="101"/>
      <c r="V332" s="101"/>
      <c r="W332" s="101"/>
      <c r="X332" s="101"/>
      <c r="Y332" s="101"/>
      <c r="Z332" s="101"/>
      <c r="AA332" s="101"/>
      <c r="AB332" s="101"/>
    </row>
    <row r="333">
      <c r="A333" s="104" t="s">
        <v>470</v>
      </c>
      <c r="B333" s="105" t="str">
        <f>IFERROR(VLOOKUP(A333,'Salary Calculation'!A332:F1329,2,0),"")</f>
        <v/>
      </c>
      <c r="C333" s="105" t="str">
        <f>IFERROR(VLOOKUP(A333,'Salary Calculation'!$A$2:$V$999,3,0),"")</f>
        <v/>
      </c>
      <c r="D333" s="105" t="str">
        <f>IFERROR(VLOOKUP(A333,'Salary Calculation'!$A$2:$V$999,6,0),"")</f>
        <v/>
      </c>
      <c r="E333" s="105" t="str">
        <f>IFERROR(VLOOKUP(A333,'Salary Calculation'!$A$2:$V$999,10,0),"")</f>
        <v/>
      </c>
      <c r="F333" s="101"/>
      <c r="G333" s="106" t="str">
        <f>IFERROR(VLOOKUP(A333,'Salary Calculation'!$A$2:$V$999,7,0),"")</f>
        <v/>
      </c>
      <c r="H333" s="100"/>
      <c r="I333" s="101"/>
      <c r="J333" s="101"/>
      <c r="K333" s="101"/>
      <c r="L333" s="101"/>
      <c r="M333" s="101"/>
      <c r="N333" s="101"/>
      <c r="O333" s="101"/>
      <c r="P333" s="101"/>
      <c r="Q333" s="101"/>
      <c r="R333" s="101"/>
      <c r="S333" s="101"/>
      <c r="T333" s="101"/>
      <c r="U333" s="101"/>
      <c r="V333" s="101"/>
      <c r="W333" s="101"/>
      <c r="X333" s="101"/>
      <c r="Y333" s="101"/>
      <c r="Z333" s="101"/>
      <c r="AA333" s="101"/>
      <c r="AB333" s="101"/>
    </row>
    <row r="334">
      <c r="A334" s="104" t="s">
        <v>471</v>
      </c>
      <c r="B334" s="105" t="str">
        <f>IFERROR(VLOOKUP(A334,'Salary Calculation'!A333:F1330,2,0),"")</f>
        <v/>
      </c>
      <c r="C334" s="105" t="str">
        <f>IFERROR(VLOOKUP(A334,'Salary Calculation'!$A$2:$V$999,3,0),"")</f>
        <v/>
      </c>
      <c r="D334" s="105" t="str">
        <f>IFERROR(VLOOKUP(A334,'Salary Calculation'!$A$2:$V$999,6,0),"")</f>
        <v/>
      </c>
      <c r="E334" s="105" t="str">
        <f>IFERROR(VLOOKUP(A334,'Salary Calculation'!$A$2:$V$999,10,0),"")</f>
        <v/>
      </c>
      <c r="F334" s="101"/>
      <c r="G334" s="106" t="str">
        <f>IFERROR(VLOOKUP(A334,'Salary Calculation'!$A$2:$V$999,7,0),"")</f>
        <v/>
      </c>
      <c r="H334" s="100"/>
      <c r="I334" s="101"/>
      <c r="J334" s="101"/>
      <c r="K334" s="101"/>
      <c r="L334" s="101"/>
      <c r="M334" s="101"/>
      <c r="N334" s="101"/>
      <c r="O334" s="101"/>
      <c r="P334" s="101"/>
      <c r="Q334" s="101"/>
      <c r="R334" s="101"/>
      <c r="S334" s="101"/>
      <c r="T334" s="101"/>
      <c r="U334" s="101"/>
      <c r="V334" s="101"/>
      <c r="W334" s="101"/>
      <c r="X334" s="101"/>
      <c r="Y334" s="101"/>
      <c r="Z334" s="101"/>
      <c r="AA334" s="101"/>
      <c r="AB334" s="101"/>
    </row>
    <row r="335">
      <c r="A335" s="104" t="s">
        <v>472</v>
      </c>
      <c r="B335" s="105" t="str">
        <f>IFERROR(VLOOKUP(A335,'Salary Calculation'!A334:F1331,2,0),"")</f>
        <v/>
      </c>
      <c r="C335" s="105" t="str">
        <f>IFERROR(VLOOKUP(A335,'Salary Calculation'!$A$2:$V$999,3,0),"")</f>
        <v/>
      </c>
      <c r="D335" s="105" t="str">
        <f>IFERROR(VLOOKUP(A335,'Salary Calculation'!$A$2:$V$999,6,0),"")</f>
        <v/>
      </c>
      <c r="E335" s="105" t="str">
        <f>IFERROR(VLOOKUP(A335,'Salary Calculation'!$A$2:$V$999,10,0),"")</f>
        <v/>
      </c>
      <c r="F335" s="101"/>
      <c r="G335" s="106" t="str">
        <f>IFERROR(VLOOKUP(A335,'Salary Calculation'!$A$2:$V$999,7,0),"")</f>
        <v/>
      </c>
      <c r="H335" s="100"/>
      <c r="I335" s="101"/>
      <c r="J335" s="101"/>
      <c r="K335" s="101"/>
      <c r="L335" s="101"/>
      <c r="M335" s="101"/>
      <c r="N335" s="101"/>
      <c r="O335" s="101"/>
      <c r="P335" s="101"/>
      <c r="Q335" s="101"/>
      <c r="R335" s="101"/>
      <c r="S335" s="101"/>
      <c r="T335" s="101"/>
      <c r="U335" s="101"/>
      <c r="V335" s="101"/>
      <c r="W335" s="101"/>
      <c r="X335" s="101"/>
      <c r="Y335" s="101"/>
      <c r="Z335" s="101"/>
      <c r="AA335" s="101"/>
      <c r="AB335" s="101"/>
    </row>
    <row r="336">
      <c r="A336" s="104" t="s">
        <v>473</v>
      </c>
      <c r="B336" s="105" t="str">
        <f>IFERROR(VLOOKUP(A336,'Salary Calculation'!A335:F1332,2,0),"")</f>
        <v/>
      </c>
      <c r="C336" s="105" t="str">
        <f>IFERROR(VLOOKUP(A336,'Salary Calculation'!$A$2:$V$999,3,0),"")</f>
        <v/>
      </c>
      <c r="D336" s="105" t="str">
        <f>IFERROR(VLOOKUP(A336,'Salary Calculation'!$A$2:$V$999,6,0),"")</f>
        <v/>
      </c>
      <c r="E336" s="105" t="str">
        <f>IFERROR(VLOOKUP(A336,'Salary Calculation'!$A$2:$V$999,10,0),"")</f>
        <v/>
      </c>
      <c r="F336" s="101"/>
      <c r="G336" s="106" t="str">
        <f>IFERROR(VLOOKUP(A336,'Salary Calculation'!$A$2:$V$999,7,0),"")</f>
        <v/>
      </c>
      <c r="H336" s="100"/>
      <c r="I336" s="101"/>
      <c r="J336" s="101"/>
      <c r="K336" s="101"/>
      <c r="L336" s="101"/>
      <c r="M336" s="101"/>
      <c r="N336" s="101"/>
      <c r="O336" s="101"/>
      <c r="P336" s="101"/>
      <c r="Q336" s="101"/>
      <c r="R336" s="101"/>
      <c r="S336" s="101"/>
      <c r="T336" s="101"/>
      <c r="U336" s="101"/>
      <c r="V336" s="101"/>
      <c r="W336" s="101"/>
      <c r="X336" s="101"/>
      <c r="Y336" s="101"/>
      <c r="Z336" s="101"/>
      <c r="AA336" s="101"/>
      <c r="AB336" s="101"/>
    </row>
    <row r="337">
      <c r="A337" s="104" t="s">
        <v>474</v>
      </c>
      <c r="B337" s="105" t="str">
        <f>IFERROR(VLOOKUP(A337,'Salary Calculation'!A336:F1333,2,0),"")</f>
        <v/>
      </c>
      <c r="C337" s="105" t="str">
        <f>IFERROR(VLOOKUP(A337,'Salary Calculation'!$A$2:$V$999,3,0),"")</f>
        <v/>
      </c>
      <c r="D337" s="105" t="str">
        <f>IFERROR(VLOOKUP(A337,'Salary Calculation'!$A$2:$V$999,6,0),"")</f>
        <v/>
      </c>
      <c r="E337" s="105" t="str">
        <f>IFERROR(VLOOKUP(A337,'Salary Calculation'!$A$2:$V$999,10,0),"")</f>
        <v/>
      </c>
      <c r="F337" s="101"/>
      <c r="G337" s="106" t="str">
        <f>IFERROR(VLOOKUP(A337,'Salary Calculation'!$A$2:$V$999,7,0),"")</f>
        <v/>
      </c>
      <c r="H337" s="100"/>
      <c r="I337" s="101"/>
      <c r="J337" s="101"/>
      <c r="K337" s="101"/>
      <c r="L337" s="101"/>
      <c r="M337" s="101"/>
      <c r="N337" s="101"/>
      <c r="O337" s="101"/>
      <c r="P337" s="101"/>
      <c r="Q337" s="101"/>
      <c r="R337" s="101"/>
      <c r="S337" s="101"/>
      <c r="T337" s="101"/>
      <c r="U337" s="101"/>
      <c r="V337" s="101"/>
      <c r="W337" s="101"/>
      <c r="X337" s="101"/>
      <c r="Y337" s="101"/>
      <c r="Z337" s="101"/>
      <c r="AA337" s="101"/>
      <c r="AB337" s="101"/>
    </row>
    <row r="338">
      <c r="A338" s="104" t="s">
        <v>475</v>
      </c>
      <c r="B338" s="105" t="str">
        <f>IFERROR(VLOOKUP(A338,'Salary Calculation'!A337:F1334,2,0),"")</f>
        <v/>
      </c>
      <c r="C338" s="105" t="str">
        <f>IFERROR(VLOOKUP(A338,'Salary Calculation'!$A$2:$V$999,3,0),"")</f>
        <v/>
      </c>
      <c r="D338" s="105" t="str">
        <f>IFERROR(VLOOKUP(A338,'Salary Calculation'!$A$2:$V$999,6,0),"")</f>
        <v/>
      </c>
      <c r="E338" s="105" t="str">
        <f>IFERROR(VLOOKUP(A338,'Salary Calculation'!$A$2:$V$999,10,0),"")</f>
        <v/>
      </c>
      <c r="F338" s="101"/>
      <c r="G338" s="106" t="str">
        <f>IFERROR(VLOOKUP(A338,'Salary Calculation'!$A$2:$V$999,7,0),"")</f>
        <v/>
      </c>
      <c r="H338" s="100"/>
      <c r="I338" s="101"/>
      <c r="J338" s="101"/>
      <c r="K338" s="101"/>
      <c r="L338" s="101"/>
      <c r="M338" s="101"/>
      <c r="N338" s="101"/>
      <c r="O338" s="101"/>
      <c r="P338" s="101"/>
      <c r="Q338" s="101"/>
      <c r="R338" s="101"/>
      <c r="S338" s="101"/>
      <c r="T338" s="101"/>
      <c r="U338" s="101"/>
      <c r="V338" s="101"/>
      <c r="W338" s="101"/>
      <c r="X338" s="101"/>
      <c r="Y338" s="101"/>
      <c r="Z338" s="101"/>
      <c r="AA338" s="101"/>
      <c r="AB338" s="101"/>
    </row>
    <row r="339">
      <c r="A339" s="104" t="s">
        <v>476</v>
      </c>
      <c r="B339" s="105" t="str">
        <f>IFERROR(VLOOKUP(A339,'Salary Calculation'!A338:F1335,2,0),"")</f>
        <v/>
      </c>
      <c r="C339" s="105" t="str">
        <f>IFERROR(VLOOKUP(A339,'Salary Calculation'!$A$2:$V$999,3,0),"")</f>
        <v/>
      </c>
      <c r="D339" s="105" t="str">
        <f>IFERROR(VLOOKUP(A339,'Salary Calculation'!$A$2:$V$999,6,0),"")</f>
        <v/>
      </c>
      <c r="E339" s="105" t="str">
        <f>IFERROR(VLOOKUP(A339,'Salary Calculation'!$A$2:$V$999,10,0),"")</f>
        <v/>
      </c>
      <c r="F339" s="101"/>
      <c r="G339" s="106" t="str">
        <f>IFERROR(VLOOKUP(A339,'Salary Calculation'!$A$2:$V$999,7,0),"")</f>
        <v/>
      </c>
      <c r="H339" s="100"/>
      <c r="I339" s="101"/>
      <c r="J339" s="101"/>
      <c r="K339" s="101"/>
      <c r="L339" s="101"/>
      <c r="M339" s="101"/>
      <c r="N339" s="101"/>
      <c r="O339" s="101"/>
      <c r="P339" s="101"/>
      <c r="Q339" s="101"/>
      <c r="R339" s="101"/>
      <c r="S339" s="101"/>
      <c r="T339" s="101"/>
      <c r="U339" s="101"/>
      <c r="V339" s="101"/>
      <c r="W339" s="101"/>
      <c r="X339" s="101"/>
      <c r="Y339" s="101"/>
      <c r="Z339" s="101"/>
      <c r="AA339" s="101"/>
      <c r="AB339" s="101"/>
    </row>
    <row r="340">
      <c r="A340" s="104" t="s">
        <v>477</v>
      </c>
      <c r="B340" s="105" t="str">
        <f>IFERROR(VLOOKUP(A340,'Salary Calculation'!A339:F1336,2,0),"")</f>
        <v/>
      </c>
      <c r="C340" s="105" t="str">
        <f>IFERROR(VLOOKUP(A340,'Salary Calculation'!$A$2:$V$999,3,0),"")</f>
        <v/>
      </c>
      <c r="D340" s="105" t="str">
        <f>IFERROR(VLOOKUP(A340,'Salary Calculation'!$A$2:$V$999,6,0),"")</f>
        <v/>
      </c>
      <c r="E340" s="105" t="str">
        <f>IFERROR(VLOOKUP(A340,'Salary Calculation'!$A$2:$V$999,10,0),"")</f>
        <v/>
      </c>
      <c r="F340" s="101"/>
      <c r="G340" s="106" t="str">
        <f>IFERROR(VLOOKUP(A340,'Salary Calculation'!$A$2:$V$999,7,0),"")</f>
        <v/>
      </c>
      <c r="H340" s="100"/>
      <c r="I340" s="101"/>
      <c r="J340" s="101"/>
      <c r="K340" s="101"/>
      <c r="L340" s="101"/>
      <c r="M340" s="101"/>
      <c r="N340" s="101"/>
      <c r="O340" s="101"/>
      <c r="P340" s="101"/>
      <c r="Q340" s="101"/>
      <c r="R340" s="101"/>
      <c r="S340" s="101"/>
      <c r="T340" s="101"/>
      <c r="U340" s="101"/>
      <c r="V340" s="101"/>
      <c r="W340" s="101"/>
      <c r="X340" s="101"/>
      <c r="Y340" s="101"/>
      <c r="Z340" s="101"/>
      <c r="AA340" s="101"/>
      <c r="AB340" s="101"/>
    </row>
    <row r="341">
      <c r="A341" s="104" t="s">
        <v>478</v>
      </c>
      <c r="B341" s="105" t="str">
        <f>IFERROR(VLOOKUP(A341,'Salary Calculation'!A340:F1337,2,0),"")</f>
        <v/>
      </c>
      <c r="C341" s="105" t="str">
        <f>IFERROR(VLOOKUP(A341,'Salary Calculation'!$A$2:$V$999,3,0),"")</f>
        <v/>
      </c>
      <c r="D341" s="105" t="str">
        <f>IFERROR(VLOOKUP(A341,'Salary Calculation'!$A$2:$V$999,6,0),"")</f>
        <v/>
      </c>
      <c r="E341" s="105" t="str">
        <f>IFERROR(VLOOKUP(A341,'Salary Calculation'!$A$2:$V$999,10,0),"")</f>
        <v/>
      </c>
      <c r="F341" s="101"/>
      <c r="G341" s="106" t="str">
        <f>IFERROR(VLOOKUP(A341,'Salary Calculation'!$A$2:$V$999,7,0),"")</f>
        <v/>
      </c>
      <c r="H341" s="100"/>
      <c r="I341" s="101"/>
      <c r="J341" s="101"/>
      <c r="K341" s="101"/>
      <c r="L341" s="101"/>
      <c r="M341" s="101"/>
      <c r="N341" s="101"/>
      <c r="O341" s="101"/>
      <c r="P341" s="101"/>
      <c r="Q341" s="101"/>
      <c r="R341" s="101"/>
      <c r="S341" s="101"/>
      <c r="T341" s="101"/>
      <c r="U341" s="101"/>
      <c r="V341" s="101"/>
      <c r="W341" s="101"/>
      <c r="X341" s="101"/>
      <c r="Y341" s="101"/>
      <c r="Z341" s="101"/>
      <c r="AA341" s="101"/>
      <c r="AB341" s="101"/>
    </row>
    <row r="342">
      <c r="A342" s="104" t="s">
        <v>479</v>
      </c>
      <c r="B342" s="105" t="str">
        <f>IFERROR(VLOOKUP(A342,'Salary Calculation'!A341:F1338,2,0),"")</f>
        <v/>
      </c>
      <c r="C342" s="105" t="str">
        <f>IFERROR(VLOOKUP(A342,'Salary Calculation'!$A$2:$V$999,3,0),"")</f>
        <v/>
      </c>
      <c r="D342" s="105" t="str">
        <f>IFERROR(VLOOKUP(A342,'Salary Calculation'!$A$2:$V$999,6,0),"")</f>
        <v/>
      </c>
      <c r="E342" s="105" t="str">
        <f>IFERROR(VLOOKUP(A342,'Salary Calculation'!$A$2:$V$999,10,0),"")</f>
        <v/>
      </c>
      <c r="F342" s="101"/>
      <c r="G342" s="106" t="str">
        <f>IFERROR(VLOOKUP(A342,'Salary Calculation'!$A$2:$V$999,7,0),"")</f>
        <v/>
      </c>
      <c r="H342" s="100"/>
      <c r="I342" s="101"/>
      <c r="J342" s="101"/>
      <c r="K342" s="101"/>
      <c r="L342" s="101"/>
      <c r="M342" s="101"/>
      <c r="N342" s="101"/>
      <c r="O342" s="101"/>
      <c r="P342" s="101"/>
      <c r="Q342" s="101"/>
      <c r="R342" s="101"/>
      <c r="S342" s="101"/>
      <c r="T342" s="101"/>
      <c r="U342" s="101"/>
      <c r="V342" s="101"/>
      <c r="W342" s="101"/>
      <c r="X342" s="101"/>
      <c r="Y342" s="101"/>
      <c r="Z342" s="101"/>
      <c r="AA342" s="101"/>
      <c r="AB342" s="101"/>
    </row>
    <row r="343">
      <c r="A343" s="104" t="s">
        <v>480</v>
      </c>
      <c r="B343" s="105" t="str">
        <f>IFERROR(VLOOKUP(A343,'Salary Calculation'!A342:F1339,2,0),"")</f>
        <v/>
      </c>
      <c r="C343" s="105" t="str">
        <f>IFERROR(VLOOKUP(A343,'Salary Calculation'!$A$2:$V$999,3,0),"")</f>
        <v/>
      </c>
      <c r="D343" s="105" t="str">
        <f>IFERROR(VLOOKUP(A343,'Salary Calculation'!$A$2:$V$999,6,0),"")</f>
        <v/>
      </c>
      <c r="E343" s="105" t="str">
        <f>IFERROR(VLOOKUP(A343,'Salary Calculation'!$A$2:$V$999,10,0),"")</f>
        <v/>
      </c>
      <c r="F343" s="101"/>
      <c r="G343" s="106" t="str">
        <f>IFERROR(VLOOKUP(A343,'Salary Calculation'!$A$2:$V$999,7,0),"")</f>
        <v/>
      </c>
      <c r="H343" s="100"/>
      <c r="I343" s="101"/>
      <c r="J343" s="101"/>
      <c r="K343" s="101"/>
      <c r="L343" s="101"/>
      <c r="M343" s="101"/>
      <c r="N343" s="101"/>
      <c r="O343" s="101"/>
      <c r="P343" s="101"/>
      <c r="Q343" s="101"/>
      <c r="R343" s="101"/>
      <c r="S343" s="101"/>
      <c r="T343" s="101"/>
      <c r="U343" s="101"/>
      <c r="V343" s="101"/>
      <c r="W343" s="101"/>
      <c r="X343" s="101"/>
      <c r="Y343" s="101"/>
      <c r="Z343" s="101"/>
      <c r="AA343" s="101"/>
      <c r="AB343" s="101"/>
    </row>
    <row r="344">
      <c r="A344" s="104" t="s">
        <v>481</v>
      </c>
      <c r="B344" s="105" t="str">
        <f>IFERROR(VLOOKUP(A344,'Salary Calculation'!A343:F1340,2,0),"")</f>
        <v/>
      </c>
      <c r="C344" s="105" t="str">
        <f>IFERROR(VLOOKUP(A344,'Salary Calculation'!$A$2:$V$999,3,0),"")</f>
        <v/>
      </c>
      <c r="D344" s="105" t="str">
        <f>IFERROR(VLOOKUP(A344,'Salary Calculation'!$A$2:$V$999,6,0),"")</f>
        <v/>
      </c>
      <c r="E344" s="105" t="str">
        <f>IFERROR(VLOOKUP(A344,'Salary Calculation'!$A$2:$V$999,10,0),"")</f>
        <v/>
      </c>
      <c r="F344" s="101"/>
      <c r="G344" s="106" t="str">
        <f>IFERROR(VLOOKUP(A344,'Salary Calculation'!$A$2:$V$999,7,0),"")</f>
        <v/>
      </c>
      <c r="H344" s="100"/>
      <c r="I344" s="101"/>
      <c r="J344" s="101"/>
      <c r="K344" s="101"/>
      <c r="L344" s="101"/>
      <c r="M344" s="101"/>
      <c r="N344" s="101"/>
      <c r="O344" s="101"/>
      <c r="P344" s="101"/>
      <c r="Q344" s="101"/>
      <c r="R344" s="101"/>
      <c r="S344" s="101"/>
      <c r="T344" s="101"/>
      <c r="U344" s="101"/>
      <c r="V344" s="101"/>
      <c r="W344" s="101"/>
      <c r="X344" s="101"/>
      <c r="Y344" s="101"/>
      <c r="Z344" s="101"/>
      <c r="AA344" s="101"/>
      <c r="AB344" s="101"/>
    </row>
    <row r="345">
      <c r="A345" s="104" t="s">
        <v>482</v>
      </c>
      <c r="B345" s="105" t="str">
        <f>IFERROR(VLOOKUP(A345,'Salary Calculation'!A344:F1341,2,0),"")</f>
        <v/>
      </c>
      <c r="C345" s="105" t="str">
        <f>IFERROR(VLOOKUP(A345,'Salary Calculation'!$A$2:$V$999,3,0),"")</f>
        <v/>
      </c>
      <c r="D345" s="105" t="str">
        <f>IFERROR(VLOOKUP(A345,'Salary Calculation'!$A$2:$V$999,6,0),"")</f>
        <v/>
      </c>
      <c r="E345" s="105" t="str">
        <f>IFERROR(VLOOKUP(A345,'Salary Calculation'!$A$2:$V$999,10,0),"")</f>
        <v/>
      </c>
      <c r="F345" s="101"/>
      <c r="G345" s="106" t="str">
        <f>IFERROR(VLOOKUP(A345,'Salary Calculation'!$A$2:$V$999,7,0),"")</f>
        <v/>
      </c>
      <c r="H345" s="100"/>
      <c r="I345" s="101"/>
      <c r="J345" s="101"/>
      <c r="K345" s="101"/>
      <c r="L345" s="101"/>
      <c r="M345" s="101"/>
      <c r="N345" s="101"/>
      <c r="O345" s="101"/>
      <c r="P345" s="101"/>
      <c r="Q345" s="101"/>
      <c r="R345" s="101"/>
      <c r="S345" s="101"/>
      <c r="T345" s="101"/>
      <c r="U345" s="101"/>
      <c r="V345" s="101"/>
      <c r="W345" s="101"/>
      <c r="X345" s="101"/>
      <c r="Y345" s="101"/>
      <c r="Z345" s="101"/>
      <c r="AA345" s="101"/>
      <c r="AB345" s="101"/>
    </row>
    <row r="346">
      <c r="A346" s="104" t="s">
        <v>483</v>
      </c>
      <c r="B346" s="105" t="str">
        <f>IFERROR(VLOOKUP(A346,'Salary Calculation'!A345:F1342,2,0),"")</f>
        <v/>
      </c>
      <c r="C346" s="105" t="str">
        <f>IFERROR(VLOOKUP(A346,'Salary Calculation'!$A$2:$V$999,3,0),"")</f>
        <v/>
      </c>
      <c r="D346" s="105" t="str">
        <f>IFERROR(VLOOKUP(A346,'Salary Calculation'!$A$2:$V$999,6,0),"")</f>
        <v/>
      </c>
      <c r="E346" s="105" t="str">
        <f>IFERROR(VLOOKUP(A346,'Salary Calculation'!$A$2:$V$999,10,0),"")</f>
        <v/>
      </c>
      <c r="F346" s="101"/>
      <c r="G346" s="106" t="str">
        <f>IFERROR(VLOOKUP(A346,'Salary Calculation'!$A$2:$V$999,7,0),"")</f>
        <v/>
      </c>
      <c r="H346" s="100"/>
      <c r="I346" s="101"/>
      <c r="J346" s="101"/>
      <c r="K346" s="101"/>
      <c r="L346" s="101"/>
      <c r="M346" s="101"/>
      <c r="N346" s="101"/>
      <c r="O346" s="101"/>
      <c r="P346" s="101"/>
      <c r="Q346" s="101"/>
      <c r="R346" s="101"/>
      <c r="S346" s="101"/>
      <c r="T346" s="101"/>
      <c r="U346" s="101"/>
      <c r="V346" s="101"/>
      <c r="W346" s="101"/>
      <c r="X346" s="101"/>
      <c r="Y346" s="101"/>
      <c r="Z346" s="101"/>
      <c r="AA346" s="101"/>
      <c r="AB346" s="101"/>
    </row>
    <row r="347">
      <c r="A347" s="104" t="s">
        <v>484</v>
      </c>
      <c r="B347" s="105" t="str">
        <f>IFERROR(VLOOKUP(A347,'Salary Calculation'!A346:F1343,2,0),"")</f>
        <v/>
      </c>
      <c r="C347" s="105" t="str">
        <f>IFERROR(VLOOKUP(A347,'Salary Calculation'!$A$2:$V$999,3,0),"")</f>
        <v/>
      </c>
      <c r="D347" s="105" t="str">
        <f>IFERROR(VLOOKUP(A347,'Salary Calculation'!$A$2:$V$999,6,0),"")</f>
        <v/>
      </c>
      <c r="E347" s="105" t="str">
        <f>IFERROR(VLOOKUP(A347,'Salary Calculation'!$A$2:$V$999,10,0),"")</f>
        <v/>
      </c>
      <c r="F347" s="101"/>
      <c r="G347" s="106" t="str">
        <f>IFERROR(VLOOKUP(A347,'Salary Calculation'!$A$2:$V$999,7,0),"")</f>
        <v/>
      </c>
      <c r="H347" s="100"/>
      <c r="I347" s="101"/>
      <c r="J347" s="101"/>
      <c r="K347" s="101"/>
      <c r="L347" s="101"/>
      <c r="M347" s="101"/>
      <c r="N347" s="101"/>
      <c r="O347" s="101"/>
      <c r="P347" s="101"/>
      <c r="Q347" s="101"/>
      <c r="R347" s="101"/>
      <c r="S347" s="101"/>
      <c r="T347" s="101"/>
      <c r="U347" s="101"/>
      <c r="V347" s="101"/>
      <c r="W347" s="101"/>
      <c r="X347" s="101"/>
      <c r="Y347" s="101"/>
      <c r="Z347" s="101"/>
      <c r="AA347" s="101"/>
      <c r="AB347" s="101"/>
    </row>
    <row r="348">
      <c r="A348" s="104" t="s">
        <v>485</v>
      </c>
      <c r="B348" s="105" t="str">
        <f>IFERROR(VLOOKUP(A348,'Salary Calculation'!A347:F1344,2,0),"")</f>
        <v/>
      </c>
      <c r="C348" s="105" t="str">
        <f>IFERROR(VLOOKUP(A348,'Salary Calculation'!$A$2:$V$999,3,0),"")</f>
        <v/>
      </c>
      <c r="D348" s="105" t="str">
        <f>IFERROR(VLOOKUP(A348,'Salary Calculation'!$A$2:$V$999,6,0),"")</f>
        <v/>
      </c>
      <c r="E348" s="105" t="str">
        <f>IFERROR(VLOOKUP(A348,'Salary Calculation'!$A$2:$V$999,10,0),"")</f>
        <v/>
      </c>
      <c r="F348" s="101"/>
      <c r="G348" s="106" t="str">
        <f>IFERROR(VLOOKUP(A348,'Salary Calculation'!$A$2:$V$999,7,0),"")</f>
        <v/>
      </c>
      <c r="H348" s="100"/>
      <c r="I348" s="101"/>
      <c r="J348" s="101"/>
      <c r="K348" s="101"/>
      <c r="L348" s="101"/>
      <c r="M348" s="101"/>
      <c r="N348" s="101"/>
      <c r="O348" s="101"/>
      <c r="P348" s="101"/>
      <c r="Q348" s="101"/>
      <c r="R348" s="101"/>
      <c r="S348" s="101"/>
      <c r="T348" s="101"/>
      <c r="U348" s="101"/>
      <c r="V348" s="101"/>
      <c r="W348" s="101"/>
      <c r="X348" s="101"/>
      <c r="Y348" s="101"/>
      <c r="Z348" s="101"/>
      <c r="AA348" s="101"/>
      <c r="AB348" s="101"/>
    </row>
    <row r="349">
      <c r="A349" s="104" t="s">
        <v>486</v>
      </c>
      <c r="B349" s="105" t="str">
        <f>IFERROR(VLOOKUP(A349,'Salary Calculation'!A348:F1345,2,0),"")</f>
        <v/>
      </c>
      <c r="C349" s="105" t="str">
        <f>IFERROR(VLOOKUP(A349,'Salary Calculation'!$A$2:$V$999,3,0),"")</f>
        <v/>
      </c>
      <c r="D349" s="105" t="str">
        <f>IFERROR(VLOOKUP(A349,'Salary Calculation'!$A$2:$V$999,6,0),"")</f>
        <v/>
      </c>
      <c r="E349" s="105" t="str">
        <f>IFERROR(VLOOKUP(A349,'Salary Calculation'!$A$2:$V$999,10,0),"")</f>
        <v/>
      </c>
      <c r="F349" s="101"/>
      <c r="G349" s="106" t="str">
        <f>IFERROR(VLOOKUP(A349,'Salary Calculation'!$A$2:$V$999,7,0),"")</f>
        <v/>
      </c>
      <c r="H349" s="100"/>
      <c r="I349" s="101"/>
      <c r="J349" s="101"/>
      <c r="K349" s="101"/>
      <c r="L349" s="101"/>
      <c r="M349" s="101"/>
      <c r="N349" s="101"/>
      <c r="O349" s="101"/>
      <c r="P349" s="101"/>
      <c r="Q349" s="101"/>
      <c r="R349" s="101"/>
      <c r="S349" s="101"/>
      <c r="T349" s="101"/>
      <c r="U349" s="101"/>
      <c r="V349" s="101"/>
      <c r="W349" s="101"/>
      <c r="X349" s="101"/>
      <c r="Y349" s="101"/>
      <c r="Z349" s="101"/>
      <c r="AA349" s="101"/>
      <c r="AB349" s="101"/>
    </row>
    <row r="350">
      <c r="A350" s="104" t="s">
        <v>487</v>
      </c>
      <c r="B350" s="105" t="str">
        <f>IFERROR(VLOOKUP(A350,'Salary Calculation'!A349:F1346,2,0),"")</f>
        <v/>
      </c>
      <c r="C350" s="105" t="str">
        <f>IFERROR(VLOOKUP(A350,'Salary Calculation'!$A$2:$V$999,3,0),"")</f>
        <v/>
      </c>
      <c r="D350" s="105" t="str">
        <f>IFERROR(VLOOKUP(A350,'Salary Calculation'!$A$2:$V$999,6,0),"")</f>
        <v/>
      </c>
      <c r="E350" s="105" t="str">
        <f>IFERROR(VLOOKUP(A350,'Salary Calculation'!$A$2:$V$999,10,0),"")</f>
        <v/>
      </c>
      <c r="F350" s="101"/>
      <c r="G350" s="106" t="str">
        <f>IFERROR(VLOOKUP(A350,'Salary Calculation'!$A$2:$V$999,7,0),"")</f>
        <v/>
      </c>
      <c r="H350" s="100"/>
      <c r="I350" s="101"/>
      <c r="J350" s="101"/>
      <c r="K350" s="101"/>
      <c r="L350" s="101"/>
      <c r="M350" s="101"/>
      <c r="N350" s="101"/>
      <c r="O350" s="101"/>
      <c r="P350" s="101"/>
      <c r="Q350" s="101"/>
      <c r="R350" s="101"/>
      <c r="S350" s="101"/>
      <c r="T350" s="101"/>
      <c r="U350" s="101"/>
      <c r="V350" s="101"/>
      <c r="W350" s="101"/>
      <c r="X350" s="101"/>
      <c r="Y350" s="101"/>
      <c r="Z350" s="101"/>
      <c r="AA350" s="101"/>
      <c r="AB350" s="101"/>
    </row>
    <row r="351">
      <c r="A351" s="104" t="s">
        <v>488</v>
      </c>
      <c r="B351" s="105" t="str">
        <f>IFERROR(VLOOKUP(A351,'Salary Calculation'!A350:F1347,2,0),"")</f>
        <v/>
      </c>
      <c r="C351" s="105" t="str">
        <f>IFERROR(VLOOKUP(A351,'Salary Calculation'!$A$2:$V$999,3,0),"")</f>
        <v/>
      </c>
      <c r="D351" s="105" t="str">
        <f>IFERROR(VLOOKUP(A351,'Salary Calculation'!$A$2:$V$999,6,0),"")</f>
        <v/>
      </c>
      <c r="E351" s="105" t="str">
        <f>IFERROR(VLOOKUP(A351,'Salary Calculation'!$A$2:$V$999,10,0),"")</f>
        <v/>
      </c>
      <c r="F351" s="101"/>
      <c r="G351" s="106" t="str">
        <f>IFERROR(VLOOKUP(A351,'Salary Calculation'!$A$2:$V$999,7,0),"")</f>
        <v/>
      </c>
      <c r="H351" s="100"/>
      <c r="I351" s="101"/>
      <c r="J351" s="101"/>
      <c r="K351" s="101"/>
      <c r="L351" s="101"/>
      <c r="M351" s="101"/>
      <c r="N351" s="101"/>
      <c r="O351" s="101"/>
      <c r="P351" s="101"/>
      <c r="Q351" s="101"/>
      <c r="R351" s="101"/>
      <c r="S351" s="101"/>
      <c r="T351" s="101"/>
      <c r="U351" s="101"/>
      <c r="V351" s="101"/>
      <c r="W351" s="101"/>
      <c r="X351" s="101"/>
      <c r="Y351" s="101"/>
      <c r="Z351" s="101"/>
      <c r="AA351" s="101"/>
      <c r="AB351" s="101"/>
    </row>
    <row r="352">
      <c r="A352" s="104" t="s">
        <v>489</v>
      </c>
      <c r="B352" s="105" t="str">
        <f>IFERROR(VLOOKUP(A352,'Salary Calculation'!A351:F1348,2,0),"")</f>
        <v/>
      </c>
      <c r="C352" s="105" t="str">
        <f>IFERROR(VLOOKUP(A352,'Salary Calculation'!$A$2:$V$999,3,0),"")</f>
        <v/>
      </c>
      <c r="D352" s="105" t="str">
        <f>IFERROR(VLOOKUP(A352,'Salary Calculation'!$A$2:$V$999,6,0),"")</f>
        <v/>
      </c>
      <c r="E352" s="105" t="str">
        <f>IFERROR(VLOOKUP(A352,'Salary Calculation'!$A$2:$V$999,10,0),"")</f>
        <v/>
      </c>
      <c r="F352" s="101"/>
      <c r="G352" s="106" t="str">
        <f>IFERROR(VLOOKUP(A352,'Salary Calculation'!$A$2:$V$999,7,0),"")</f>
        <v/>
      </c>
      <c r="H352" s="100"/>
      <c r="I352" s="101"/>
      <c r="J352" s="101"/>
      <c r="K352" s="101"/>
      <c r="L352" s="101"/>
      <c r="M352" s="101"/>
      <c r="N352" s="101"/>
      <c r="O352" s="101"/>
      <c r="P352" s="101"/>
      <c r="Q352" s="101"/>
      <c r="R352" s="101"/>
      <c r="S352" s="101"/>
      <c r="T352" s="101"/>
      <c r="U352" s="101"/>
      <c r="V352" s="101"/>
      <c r="W352" s="101"/>
      <c r="X352" s="101"/>
      <c r="Y352" s="101"/>
      <c r="Z352" s="101"/>
      <c r="AA352" s="101"/>
      <c r="AB352" s="101"/>
    </row>
    <row r="353">
      <c r="A353" s="104" t="s">
        <v>490</v>
      </c>
      <c r="B353" s="105" t="str">
        <f>IFERROR(VLOOKUP(A353,'Salary Calculation'!A352:F1349,2,0),"")</f>
        <v/>
      </c>
      <c r="C353" s="105" t="str">
        <f>IFERROR(VLOOKUP(A353,'Salary Calculation'!$A$2:$V$999,3,0),"")</f>
        <v/>
      </c>
      <c r="D353" s="105" t="str">
        <f>IFERROR(VLOOKUP(A353,'Salary Calculation'!$A$2:$V$999,6,0),"")</f>
        <v/>
      </c>
      <c r="E353" s="105" t="str">
        <f>IFERROR(VLOOKUP(A353,'Salary Calculation'!$A$2:$V$999,10,0),"")</f>
        <v/>
      </c>
      <c r="F353" s="101"/>
      <c r="G353" s="106" t="str">
        <f>IFERROR(VLOOKUP(A353,'Salary Calculation'!$A$2:$V$999,7,0),"")</f>
        <v/>
      </c>
      <c r="H353" s="100"/>
      <c r="I353" s="101"/>
      <c r="J353" s="101"/>
      <c r="K353" s="101"/>
      <c r="L353" s="101"/>
      <c r="M353" s="101"/>
      <c r="N353" s="101"/>
      <c r="O353" s="101"/>
      <c r="P353" s="101"/>
      <c r="Q353" s="101"/>
      <c r="R353" s="101"/>
      <c r="S353" s="101"/>
      <c r="T353" s="101"/>
      <c r="U353" s="101"/>
      <c r="V353" s="101"/>
      <c r="W353" s="101"/>
      <c r="X353" s="101"/>
      <c r="Y353" s="101"/>
      <c r="Z353" s="101"/>
      <c r="AA353" s="101"/>
      <c r="AB353" s="101"/>
    </row>
    <row r="354">
      <c r="A354" s="104" t="s">
        <v>491</v>
      </c>
      <c r="B354" s="105" t="str">
        <f>IFERROR(VLOOKUP(A354,'Salary Calculation'!A353:F1350,2,0),"")</f>
        <v/>
      </c>
      <c r="C354" s="105" t="str">
        <f>IFERROR(VLOOKUP(A354,'Salary Calculation'!$A$2:$V$999,3,0),"")</f>
        <v/>
      </c>
      <c r="D354" s="105" t="str">
        <f>IFERROR(VLOOKUP(A354,'Salary Calculation'!$A$2:$V$999,6,0),"")</f>
        <v/>
      </c>
      <c r="E354" s="105" t="str">
        <f>IFERROR(VLOOKUP(A354,'Salary Calculation'!$A$2:$V$999,10,0),"")</f>
        <v/>
      </c>
      <c r="F354" s="101"/>
      <c r="G354" s="106" t="str">
        <f>IFERROR(VLOOKUP(A354,'Salary Calculation'!$A$2:$V$999,7,0),"")</f>
        <v/>
      </c>
      <c r="H354" s="100"/>
      <c r="I354" s="101"/>
      <c r="J354" s="101"/>
      <c r="K354" s="101"/>
      <c r="L354" s="101"/>
      <c r="M354" s="101"/>
      <c r="N354" s="101"/>
      <c r="O354" s="101"/>
      <c r="P354" s="101"/>
      <c r="Q354" s="101"/>
      <c r="R354" s="101"/>
      <c r="S354" s="101"/>
      <c r="T354" s="101"/>
      <c r="U354" s="101"/>
      <c r="V354" s="101"/>
      <c r="W354" s="101"/>
      <c r="X354" s="101"/>
      <c r="Y354" s="101"/>
      <c r="Z354" s="101"/>
      <c r="AA354" s="101"/>
      <c r="AB354" s="101"/>
    </row>
    <row r="355">
      <c r="A355" s="104" t="s">
        <v>492</v>
      </c>
      <c r="B355" s="105" t="str">
        <f>IFERROR(VLOOKUP(A355,'Salary Calculation'!A354:F1351,2,0),"")</f>
        <v/>
      </c>
      <c r="C355" s="105" t="str">
        <f>IFERROR(VLOOKUP(A355,'Salary Calculation'!$A$2:$V$999,3,0),"")</f>
        <v/>
      </c>
      <c r="D355" s="105" t="str">
        <f>IFERROR(VLOOKUP(A355,'Salary Calculation'!$A$2:$V$999,6,0),"")</f>
        <v/>
      </c>
      <c r="E355" s="105" t="str">
        <f>IFERROR(VLOOKUP(A355,'Salary Calculation'!$A$2:$V$999,10,0),"")</f>
        <v/>
      </c>
      <c r="F355" s="101"/>
      <c r="G355" s="106" t="str">
        <f>IFERROR(VLOOKUP(A355,'Salary Calculation'!$A$2:$V$999,7,0),"")</f>
        <v/>
      </c>
      <c r="H355" s="100"/>
      <c r="I355" s="101"/>
      <c r="J355" s="101"/>
      <c r="K355" s="101"/>
      <c r="L355" s="101"/>
      <c r="M355" s="101"/>
      <c r="N355" s="101"/>
      <c r="O355" s="101"/>
      <c r="P355" s="101"/>
      <c r="Q355" s="101"/>
      <c r="R355" s="101"/>
      <c r="S355" s="101"/>
      <c r="T355" s="101"/>
      <c r="U355" s="101"/>
      <c r="V355" s="101"/>
      <c r="W355" s="101"/>
      <c r="X355" s="101"/>
      <c r="Y355" s="101"/>
      <c r="Z355" s="101"/>
      <c r="AA355" s="101"/>
      <c r="AB355" s="101"/>
    </row>
    <row r="356">
      <c r="A356" s="104" t="s">
        <v>493</v>
      </c>
      <c r="B356" s="105" t="str">
        <f>IFERROR(VLOOKUP(A356,'Salary Calculation'!A355:F1352,2,0),"")</f>
        <v/>
      </c>
      <c r="C356" s="105" t="str">
        <f>IFERROR(VLOOKUP(A356,'Salary Calculation'!$A$2:$V$999,3,0),"")</f>
        <v/>
      </c>
      <c r="D356" s="105" t="str">
        <f>IFERROR(VLOOKUP(A356,'Salary Calculation'!$A$2:$V$999,6,0),"")</f>
        <v/>
      </c>
      <c r="E356" s="105" t="str">
        <f>IFERROR(VLOOKUP(A356,'Salary Calculation'!$A$2:$V$999,10,0),"")</f>
        <v/>
      </c>
      <c r="F356" s="101"/>
      <c r="G356" s="106" t="str">
        <f>IFERROR(VLOOKUP(A356,'Salary Calculation'!$A$2:$V$999,7,0),"")</f>
        <v/>
      </c>
      <c r="H356" s="100"/>
      <c r="I356" s="101"/>
      <c r="J356" s="101"/>
      <c r="K356" s="101"/>
      <c r="L356" s="101"/>
      <c r="M356" s="101"/>
      <c r="N356" s="101"/>
      <c r="O356" s="101"/>
      <c r="P356" s="101"/>
      <c r="Q356" s="101"/>
      <c r="R356" s="101"/>
      <c r="S356" s="101"/>
      <c r="T356" s="101"/>
      <c r="U356" s="101"/>
      <c r="V356" s="101"/>
      <c r="W356" s="101"/>
      <c r="X356" s="101"/>
      <c r="Y356" s="101"/>
      <c r="Z356" s="101"/>
      <c r="AA356" s="101"/>
      <c r="AB356" s="101"/>
    </row>
    <row r="357">
      <c r="A357" s="104" t="s">
        <v>494</v>
      </c>
      <c r="B357" s="105" t="str">
        <f>IFERROR(VLOOKUP(A357,'Salary Calculation'!A356:F1353,2,0),"")</f>
        <v/>
      </c>
      <c r="C357" s="105" t="str">
        <f>IFERROR(VLOOKUP(A357,'Salary Calculation'!$A$2:$V$999,3,0),"")</f>
        <v/>
      </c>
      <c r="D357" s="105" t="str">
        <f>IFERROR(VLOOKUP(A357,'Salary Calculation'!$A$2:$V$999,6,0),"")</f>
        <v/>
      </c>
      <c r="E357" s="105" t="str">
        <f>IFERROR(VLOOKUP(A357,'Salary Calculation'!$A$2:$V$999,10,0),"")</f>
        <v/>
      </c>
      <c r="F357" s="101"/>
      <c r="G357" s="106" t="str">
        <f>IFERROR(VLOOKUP(A357,'Salary Calculation'!$A$2:$V$999,7,0),"")</f>
        <v/>
      </c>
      <c r="H357" s="100"/>
      <c r="I357" s="101"/>
      <c r="J357" s="101"/>
      <c r="K357" s="101"/>
      <c r="L357" s="101"/>
      <c r="M357" s="101"/>
      <c r="N357" s="101"/>
      <c r="O357" s="101"/>
      <c r="P357" s="101"/>
      <c r="Q357" s="101"/>
      <c r="R357" s="101"/>
      <c r="S357" s="101"/>
      <c r="T357" s="101"/>
      <c r="U357" s="101"/>
      <c r="V357" s="101"/>
      <c r="W357" s="101"/>
      <c r="X357" s="101"/>
      <c r="Y357" s="101"/>
      <c r="Z357" s="101"/>
      <c r="AA357" s="101"/>
      <c r="AB357" s="101"/>
    </row>
    <row r="358">
      <c r="A358" s="104" t="s">
        <v>495</v>
      </c>
      <c r="B358" s="105" t="str">
        <f>IFERROR(VLOOKUP(A358,'Salary Calculation'!A357:F1354,2,0),"")</f>
        <v/>
      </c>
      <c r="C358" s="105" t="str">
        <f>IFERROR(VLOOKUP(A358,'Salary Calculation'!$A$2:$V$999,3,0),"")</f>
        <v/>
      </c>
      <c r="D358" s="105" t="str">
        <f>IFERROR(VLOOKUP(A358,'Salary Calculation'!$A$2:$V$999,6,0),"")</f>
        <v/>
      </c>
      <c r="E358" s="105" t="str">
        <f>IFERROR(VLOOKUP(A358,'Salary Calculation'!$A$2:$V$999,10,0),"")</f>
        <v/>
      </c>
      <c r="F358" s="101"/>
      <c r="G358" s="106" t="str">
        <f>IFERROR(VLOOKUP(A358,'Salary Calculation'!$A$2:$V$999,7,0),"")</f>
        <v/>
      </c>
      <c r="H358" s="100"/>
      <c r="I358" s="101"/>
      <c r="J358" s="101"/>
      <c r="K358" s="101"/>
      <c r="L358" s="101"/>
      <c r="M358" s="101"/>
      <c r="N358" s="101"/>
      <c r="O358" s="101"/>
      <c r="P358" s="101"/>
      <c r="Q358" s="101"/>
      <c r="R358" s="101"/>
      <c r="S358" s="101"/>
      <c r="T358" s="101"/>
      <c r="U358" s="101"/>
      <c r="V358" s="101"/>
      <c r="W358" s="101"/>
      <c r="X358" s="101"/>
      <c r="Y358" s="101"/>
      <c r="Z358" s="101"/>
      <c r="AA358" s="101"/>
      <c r="AB358" s="101"/>
    </row>
    <row r="359">
      <c r="A359" s="104" t="s">
        <v>496</v>
      </c>
      <c r="B359" s="105" t="str">
        <f>IFERROR(VLOOKUP(A359,'Salary Calculation'!A358:F1355,2,0),"")</f>
        <v/>
      </c>
      <c r="C359" s="105" t="str">
        <f>IFERROR(VLOOKUP(A359,'Salary Calculation'!$A$2:$V$999,3,0),"")</f>
        <v/>
      </c>
      <c r="D359" s="105" t="str">
        <f>IFERROR(VLOOKUP(A359,'Salary Calculation'!$A$2:$V$999,6,0),"")</f>
        <v/>
      </c>
      <c r="E359" s="105" t="str">
        <f>IFERROR(VLOOKUP(A359,'Salary Calculation'!$A$2:$V$999,10,0),"")</f>
        <v/>
      </c>
      <c r="F359" s="101"/>
      <c r="G359" s="106" t="str">
        <f>IFERROR(VLOOKUP(A359,'Salary Calculation'!$A$2:$V$999,7,0),"")</f>
        <v/>
      </c>
      <c r="H359" s="100"/>
      <c r="I359" s="101"/>
      <c r="J359" s="101"/>
      <c r="K359" s="101"/>
      <c r="L359" s="101"/>
      <c r="M359" s="101"/>
      <c r="N359" s="101"/>
      <c r="O359" s="101"/>
      <c r="P359" s="101"/>
      <c r="Q359" s="101"/>
      <c r="R359" s="101"/>
      <c r="S359" s="101"/>
      <c r="T359" s="101"/>
      <c r="U359" s="101"/>
      <c r="V359" s="101"/>
      <c r="W359" s="101"/>
      <c r="X359" s="101"/>
      <c r="Y359" s="101"/>
      <c r="Z359" s="101"/>
      <c r="AA359" s="101"/>
      <c r="AB359" s="101"/>
    </row>
    <row r="360">
      <c r="A360" s="104" t="s">
        <v>497</v>
      </c>
      <c r="B360" s="105" t="str">
        <f>IFERROR(VLOOKUP(A360,'Salary Calculation'!A359:F1356,2,0),"")</f>
        <v/>
      </c>
      <c r="C360" s="105" t="str">
        <f>IFERROR(VLOOKUP(A360,'Salary Calculation'!$A$2:$V$999,3,0),"")</f>
        <v/>
      </c>
      <c r="D360" s="105" t="str">
        <f>IFERROR(VLOOKUP(A360,'Salary Calculation'!$A$2:$V$999,6,0),"")</f>
        <v/>
      </c>
      <c r="E360" s="105" t="str">
        <f>IFERROR(VLOOKUP(A360,'Salary Calculation'!$A$2:$V$999,10,0),"")</f>
        <v/>
      </c>
      <c r="F360" s="101"/>
      <c r="G360" s="106" t="str">
        <f>IFERROR(VLOOKUP(A360,'Salary Calculation'!$A$2:$V$999,7,0),"")</f>
        <v/>
      </c>
      <c r="H360" s="100"/>
      <c r="I360" s="101"/>
      <c r="J360" s="101"/>
      <c r="K360" s="101"/>
      <c r="L360" s="101"/>
      <c r="M360" s="101"/>
      <c r="N360" s="101"/>
      <c r="O360" s="101"/>
      <c r="P360" s="101"/>
      <c r="Q360" s="101"/>
      <c r="R360" s="101"/>
      <c r="S360" s="101"/>
      <c r="T360" s="101"/>
      <c r="U360" s="101"/>
      <c r="V360" s="101"/>
      <c r="W360" s="101"/>
      <c r="X360" s="101"/>
      <c r="Y360" s="101"/>
      <c r="Z360" s="101"/>
      <c r="AA360" s="101"/>
      <c r="AB360" s="101"/>
    </row>
    <row r="361">
      <c r="A361" s="104" t="s">
        <v>498</v>
      </c>
      <c r="B361" s="105" t="str">
        <f>IFERROR(VLOOKUP(A361,'Salary Calculation'!A360:F1357,2,0),"")</f>
        <v/>
      </c>
      <c r="C361" s="105" t="str">
        <f>IFERROR(VLOOKUP(A361,'Salary Calculation'!$A$2:$V$999,3,0),"")</f>
        <v/>
      </c>
      <c r="D361" s="105" t="str">
        <f>IFERROR(VLOOKUP(A361,'Salary Calculation'!$A$2:$V$999,6,0),"")</f>
        <v/>
      </c>
      <c r="E361" s="105" t="str">
        <f>IFERROR(VLOOKUP(A361,'Salary Calculation'!$A$2:$V$999,10,0),"")</f>
        <v/>
      </c>
      <c r="F361" s="101"/>
      <c r="G361" s="106" t="str">
        <f>IFERROR(VLOOKUP(A361,'Salary Calculation'!$A$2:$V$999,7,0),"")</f>
        <v/>
      </c>
      <c r="H361" s="100"/>
      <c r="I361" s="101"/>
      <c r="J361" s="101"/>
      <c r="K361" s="101"/>
      <c r="L361" s="101"/>
      <c r="M361" s="101"/>
      <c r="N361" s="101"/>
      <c r="O361" s="101"/>
      <c r="P361" s="101"/>
      <c r="Q361" s="101"/>
      <c r="R361" s="101"/>
      <c r="S361" s="101"/>
      <c r="T361" s="101"/>
      <c r="U361" s="101"/>
      <c r="V361" s="101"/>
      <c r="W361" s="101"/>
      <c r="X361" s="101"/>
      <c r="Y361" s="101"/>
      <c r="Z361" s="101"/>
      <c r="AA361" s="101"/>
      <c r="AB361" s="101"/>
    </row>
    <row r="362">
      <c r="A362" s="104" t="s">
        <v>499</v>
      </c>
      <c r="B362" s="105" t="str">
        <f>IFERROR(VLOOKUP(A362,'Salary Calculation'!A361:F1358,2,0),"")</f>
        <v/>
      </c>
      <c r="C362" s="105" t="str">
        <f>IFERROR(VLOOKUP(A362,'Salary Calculation'!$A$2:$V$999,3,0),"")</f>
        <v/>
      </c>
      <c r="D362" s="105" t="str">
        <f>IFERROR(VLOOKUP(A362,'Salary Calculation'!$A$2:$V$999,6,0),"")</f>
        <v/>
      </c>
      <c r="E362" s="105" t="str">
        <f>IFERROR(VLOOKUP(A362,'Salary Calculation'!$A$2:$V$999,10,0),"")</f>
        <v/>
      </c>
      <c r="F362" s="101"/>
      <c r="G362" s="106" t="str">
        <f>IFERROR(VLOOKUP(A362,'Salary Calculation'!$A$2:$V$999,7,0),"")</f>
        <v/>
      </c>
      <c r="H362" s="100"/>
      <c r="I362" s="101"/>
      <c r="J362" s="101"/>
      <c r="K362" s="101"/>
      <c r="L362" s="101"/>
      <c r="M362" s="101"/>
      <c r="N362" s="101"/>
      <c r="O362" s="101"/>
      <c r="P362" s="101"/>
      <c r="Q362" s="101"/>
      <c r="R362" s="101"/>
      <c r="S362" s="101"/>
      <c r="T362" s="101"/>
      <c r="U362" s="101"/>
      <c r="V362" s="101"/>
      <c r="W362" s="101"/>
      <c r="X362" s="101"/>
      <c r="Y362" s="101"/>
      <c r="Z362" s="101"/>
      <c r="AA362" s="101"/>
      <c r="AB362" s="101"/>
    </row>
    <row r="363">
      <c r="A363" s="104" t="s">
        <v>500</v>
      </c>
      <c r="B363" s="105" t="str">
        <f>IFERROR(VLOOKUP(A363,'Salary Calculation'!A362:F1359,2,0),"")</f>
        <v/>
      </c>
      <c r="C363" s="105" t="str">
        <f>IFERROR(VLOOKUP(A363,'Salary Calculation'!$A$2:$V$999,3,0),"")</f>
        <v/>
      </c>
      <c r="D363" s="105" t="str">
        <f>IFERROR(VLOOKUP(A363,'Salary Calculation'!$A$2:$V$999,6,0),"")</f>
        <v/>
      </c>
      <c r="E363" s="105" t="str">
        <f>IFERROR(VLOOKUP(A363,'Salary Calculation'!$A$2:$V$999,10,0),"")</f>
        <v/>
      </c>
      <c r="F363" s="101"/>
      <c r="G363" s="106" t="str">
        <f>IFERROR(VLOOKUP(A363,'Salary Calculation'!$A$2:$V$999,7,0),"")</f>
        <v/>
      </c>
      <c r="H363" s="100"/>
      <c r="I363" s="101"/>
      <c r="J363" s="101"/>
      <c r="K363" s="101"/>
      <c r="L363" s="101"/>
      <c r="M363" s="101"/>
      <c r="N363" s="101"/>
      <c r="O363" s="101"/>
      <c r="P363" s="101"/>
      <c r="Q363" s="101"/>
      <c r="R363" s="101"/>
      <c r="S363" s="101"/>
      <c r="T363" s="101"/>
      <c r="U363" s="101"/>
      <c r="V363" s="101"/>
      <c r="W363" s="101"/>
      <c r="X363" s="101"/>
      <c r="Y363" s="101"/>
      <c r="Z363" s="101"/>
      <c r="AA363" s="101"/>
      <c r="AB363" s="101"/>
    </row>
    <row r="364">
      <c r="A364" s="104" t="s">
        <v>501</v>
      </c>
      <c r="B364" s="105" t="str">
        <f>IFERROR(VLOOKUP(A364,'Salary Calculation'!A363:F1360,2,0),"")</f>
        <v/>
      </c>
      <c r="C364" s="105" t="str">
        <f>IFERROR(VLOOKUP(A364,'Salary Calculation'!$A$2:$V$999,3,0),"")</f>
        <v/>
      </c>
      <c r="D364" s="105" t="str">
        <f>IFERROR(VLOOKUP(A364,'Salary Calculation'!$A$2:$V$999,6,0),"")</f>
        <v/>
      </c>
      <c r="E364" s="105" t="str">
        <f>IFERROR(VLOOKUP(A364,'Salary Calculation'!$A$2:$V$999,10,0),"")</f>
        <v/>
      </c>
      <c r="F364" s="101"/>
      <c r="G364" s="106" t="str">
        <f>IFERROR(VLOOKUP(A364,'Salary Calculation'!$A$2:$V$999,7,0),"")</f>
        <v/>
      </c>
      <c r="H364" s="100"/>
      <c r="I364" s="101"/>
      <c r="J364" s="101"/>
      <c r="K364" s="101"/>
      <c r="L364" s="101"/>
      <c r="M364" s="101"/>
      <c r="N364" s="101"/>
      <c r="O364" s="101"/>
      <c r="P364" s="101"/>
      <c r="Q364" s="101"/>
      <c r="R364" s="101"/>
      <c r="S364" s="101"/>
      <c r="T364" s="101"/>
      <c r="U364" s="101"/>
      <c r="V364" s="101"/>
      <c r="W364" s="101"/>
      <c r="X364" s="101"/>
      <c r="Y364" s="101"/>
      <c r="Z364" s="101"/>
      <c r="AA364" s="101"/>
      <c r="AB364" s="101"/>
    </row>
    <row r="365">
      <c r="A365" s="104" t="s">
        <v>502</v>
      </c>
      <c r="B365" s="105" t="str">
        <f>IFERROR(VLOOKUP(A365,'Salary Calculation'!A364:F1361,2,0),"")</f>
        <v/>
      </c>
      <c r="C365" s="105" t="str">
        <f>IFERROR(VLOOKUP(A365,'Salary Calculation'!$A$2:$V$999,3,0),"")</f>
        <v/>
      </c>
      <c r="D365" s="105" t="str">
        <f>IFERROR(VLOOKUP(A365,'Salary Calculation'!$A$2:$V$999,6,0),"")</f>
        <v/>
      </c>
      <c r="E365" s="105" t="str">
        <f>IFERROR(VLOOKUP(A365,'Salary Calculation'!$A$2:$V$999,10,0),"")</f>
        <v/>
      </c>
      <c r="F365" s="101"/>
      <c r="G365" s="106" t="str">
        <f>IFERROR(VLOOKUP(A365,'Salary Calculation'!$A$2:$V$999,7,0),"")</f>
        <v/>
      </c>
      <c r="H365" s="100"/>
      <c r="I365" s="101"/>
      <c r="J365" s="101"/>
      <c r="K365" s="101"/>
      <c r="L365" s="101"/>
      <c r="M365" s="101"/>
      <c r="N365" s="101"/>
      <c r="O365" s="101"/>
      <c r="P365" s="101"/>
      <c r="Q365" s="101"/>
      <c r="R365" s="101"/>
      <c r="S365" s="101"/>
      <c r="T365" s="101"/>
      <c r="U365" s="101"/>
      <c r="V365" s="101"/>
      <c r="W365" s="101"/>
      <c r="X365" s="101"/>
      <c r="Y365" s="101"/>
      <c r="Z365" s="101"/>
      <c r="AA365" s="101"/>
      <c r="AB365" s="101"/>
    </row>
    <row r="366">
      <c r="A366" s="104" t="s">
        <v>503</v>
      </c>
      <c r="B366" s="105" t="str">
        <f>IFERROR(VLOOKUP(A366,'Salary Calculation'!A365:F1362,2,0),"")</f>
        <v/>
      </c>
      <c r="C366" s="105" t="str">
        <f>IFERROR(VLOOKUP(A366,'Salary Calculation'!$A$2:$V$999,3,0),"")</f>
        <v/>
      </c>
      <c r="D366" s="105" t="str">
        <f>IFERROR(VLOOKUP(A366,'Salary Calculation'!$A$2:$V$999,6,0),"")</f>
        <v/>
      </c>
      <c r="E366" s="105" t="str">
        <f>IFERROR(VLOOKUP(A366,'Salary Calculation'!$A$2:$V$999,10,0),"")</f>
        <v/>
      </c>
      <c r="F366" s="101"/>
      <c r="G366" s="106" t="str">
        <f>IFERROR(VLOOKUP(A366,'Salary Calculation'!$A$2:$V$999,7,0),"")</f>
        <v/>
      </c>
      <c r="H366" s="100"/>
      <c r="I366" s="101"/>
      <c r="J366" s="101"/>
      <c r="K366" s="101"/>
      <c r="L366" s="101"/>
      <c r="M366" s="101"/>
      <c r="N366" s="101"/>
      <c r="O366" s="101"/>
      <c r="P366" s="101"/>
      <c r="Q366" s="101"/>
      <c r="R366" s="101"/>
      <c r="S366" s="101"/>
      <c r="T366" s="101"/>
      <c r="U366" s="101"/>
      <c r="V366" s="101"/>
      <c r="W366" s="101"/>
      <c r="X366" s="101"/>
      <c r="Y366" s="101"/>
      <c r="Z366" s="101"/>
      <c r="AA366" s="101"/>
      <c r="AB366" s="101"/>
    </row>
    <row r="367">
      <c r="A367" s="104" t="s">
        <v>504</v>
      </c>
      <c r="B367" s="105" t="str">
        <f>IFERROR(VLOOKUP(A367,'Salary Calculation'!A366:F1363,2,0),"")</f>
        <v/>
      </c>
      <c r="C367" s="105" t="str">
        <f>IFERROR(VLOOKUP(A367,'Salary Calculation'!$A$2:$V$999,3,0),"")</f>
        <v/>
      </c>
      <c r="D367" s="105" t="str">
        <f>IFERROR(VLOOKUP(A367,'Salary Calculation'!$A$2:$V$999,6,0),"")</f>
        <v/>
      </c>
      <c r="E367" s="105" t="str">
        <f>IFERROR(VLOOKUP(A367,'Salary Calculation'!$A$2:$V$999,10,0),"")</f>
        <v/>
      </c>
      <c r="F367" s="101"/>
      <c r="G367" s="106" t="str">
        <f>IFERROR(VLOOKUP(A367,'Salary Calculation'!$A$2:$V$999,7,0),"")</f>
        <v/>
      </c>
      <c r="H367" s="100"/>
      <c r="I367" s="101"/>
      <c r="J367" s="101"/>
      <c r="K367" s="101"/>
      <c r="L367" s="101"/>
      <c r="M367" s="101"/>
      <c r="N367" s="101"/>
      <c r="O367" s="101"/>
      <c r="P367" s="101"/>
      <c r="Q367" s="101"/>
      <c r="R367" s="101"/>
      <c r="S367" s="101"/>
      <c r="T367" s="101"/>
      <c r="U367" s="101"/>
      <c r="V367" s="101"/>
      <c r="W367" s="101"/>
      <c r="X367" s="101"/>
      <c r="Y367" s="101"/>
      <c r="Z367" s="101"/>
      <c r="AA367" s="101"/>
      <c r="AB367" s="101"/>
    </row>
    <row r="368">
      <c r="A368" s="104" t="s">
        <v>505</v>
      </c>
      <c r="B368" s="105" t="str">
        <f>IFERROR(VLOOKUP(A368,'Salary Calculation'!A367:F1364,2,0),"")</f>
        <v/>
      </c>
      <c r="C368" s="105" t="str">
        <f>IFERROR(VLOOKUP(A368,'Salary Calculation'!$A$2:$V$999,3,0),"")</f>
        <v/>
      </c>
      <c r="D368" s="105" t="str">
        <f>IFERROR(VLOOKUP(A368,'Salary Calculation'!$A$2:$V$999,6,0),"")</f>
        <v/>
      </c>
      <c r="E368" s="105" t="str">
        <f>IFERROR(VLOOKUP(A368,'Salary Calculation'!$A$2:$V$999,10,0),"")</f>
        <v/>
      </c>
      <c r="F368" s="101"/>
      <c r="G368" s="106" t="str">
        <f>IFERROR(VLOOKUP(A368,'Salary Calculation'!$A$2:$V$999,7,0),"")</f>
        <v/>
      </c>
      <c r="H368" s="100"/>
      <c r="I368" s="101"/>
      <c r="J368" s="101"/>
      <c r="K368" s="101"/>
      <c r="L368" s="101"/>
      <c r="M368" s="101"/>
      <c r="N368" s="101"/>
      <c r="O368" s="101"/>
      <c r="P368" s="101"/>
      <c r="Q368" s="101"/>
      <c r="R368" s="101"/>
      <c r="S368" s="101"/>
      <c r="T368" s="101"/>
      <c r="U368" s="101"/>
      <c r="V368" s="101"/>
      <c r="W368" s="101"/>
      <c r="X368" s="101"/>
      <c r="Y368" s="101"/>
      <c r="Z368" s="101"/>
      <c r="AA368" s="101"/>
      <c r="AB368" s="101"/>
    </row>
    <row r="369">
      <c r="A369" s="104" t="s">
        <v>506</v>
      </c>
      <c r="B369" s="105" t="str">
        <f>IFERROR(VLOOKUP(A369,'Salary Calculation'!A368:F1365,2,0),"")</f>
        <v/>
      </c>
      <c r="C369" s="105" t="str">
        <f>IFERROR(VLOOKUP(A369,'Salary Calculation'!$A$2:$V$999,3,0),"")</f>
        <v/>
      </c>
      <c r="D369" s="105" t="str">
        <f>IFERROR(VLOOKUP(A369,'Salary Calculation'!$A$2:$V$999,6,0),"")</f>
        <v/>
      </c>
      <c r="E369" s="105" t="str">
        <f>IFERROR(VLOOKUP(A369,'Salary Calculation'!$A$2:$V$999,10,0),"")</f>
        <v/>
      </c>
      <c r="F369" s="101"/>
      <c r="G369" s="106" t="str">
        <f>IFERROR(VLOOKUP(A369,'Salary Calculation'!$A$2:$V$999,7,0),"")</f>
        <v/>
      </c>
      <c r="H369" s="100"/>
      <c r="I369" s="101"/>
      <c r="J369" s="101"/>
      <c r="K369" s="101"/>
      <c r="L369" s="101"/>
      <c r="M369" s="101"/>
      <c r="N369" s="101"/>
      <c r="O369" s="101"/>
      <c r="P369" s="101"/>
      <c r="Q369" s="101"/>
      <c r="R369" s="101"/>
      <c r="S369" s="101"/>
      <c r="T369" s="101"/>
      <c r="U369" s="101"/>
      <c r="V369" s="101"/>
      <c r="W369" s="101"/>
      <c r="X369" s="101"/>
      <c r="Y369" s="101"/>
      <c r="Z369" s="101"/>
      <c r="AA369" s="101"/>
      <c r="AB369" s="101"/>
    </row>
    <row r="370">
      <c r="A370" s="104" t="s">
        <v>507</v>
      </c>
      <c r="B370" s="105" t="str">
        <f>IFERROR(VLOOKUP(A370,'Salary Calculation'!A369:F1366,2,0),"")</f>
        <v/>
      </c>
      <c r="C370" s="105" t="str">
        <f>IFERROR(VLOOKUP(A370,'Salary Calculation'!$A$2:$V$999,3,0),"")</f>
        <v/>
      </c>
      <c r="D370" s="105" t="str">
        <f>IFERROR(VLOOKUP(A370,'Salary Calculation'!$A$2:$V$999,6,0),"")</f>
        <v/>
      </c>
      <c r="E370" s="105" t="str">
        <f>IFERROR(VLOOKUP(A370,'Salary Calculation'!$A$2:$V$999,10,0),"")</f>
        <v/>
      </c>
      <c r="F370" s="101"/>
      <c r="G370" s="106" t="str">
        <f>IFERROR(VLOOKUP(A370,'Salary Calculation'!$A$2:$V$999,7,0),"")</f>
        <v/>
      </c>
      <c r="H370" s="100"/>
      <c r="I370" s="101"/>
      <c r="J370" s="101"/>
      <c r="K370" s="101"/>
      <c r="L370" s="101"/>
      <c r="M370" s="101"/>
      <c r="N370" s="101"/>
      <c r="O370" s="101"/>
      <c r="P370" s="101"/>
      <c r="Q370" s="101"/>
      <c r="R370" s="101"/>
      <c r="S370" s="101"/>
      <c r="T370" s="101"/>
      <c r="U370" s="101"/>
      <c r="V370" s="101"/>
      <c r="W370" s="101"/>
      <c r="X370" s="101"/>
      <c r="Y370" s="101"/>
      <c r="Z370" s="101"/>
      <c r="AA370" s="101"/>
      <c r="AB370" s="101"/>
    </row>
    <row r="371">
      <c r="A371" s="104" t="s">
        <v>508</v>
      </c>
      <c r="B371" s="105" t="str">
        <f>IFERROR(VLOOKUP(A371,'Salary Calculation'!A370:F1367,2,0),"")</f>
        <v/>
      </c>
      <c r="C371" s="105" t="str">
        <f>IFERROR(VLOOKUP(A371,'Salary Calculation'!$A$2:$V$999,3,0),"")</f>
        <v/>
      </c>
      <c r="D371" s="105" t="str">
        <f>IFERROR(VLOOKUP(A371,'Salary Calculation'!$A$2:$V$999,6,0),"")</f>
        <v/>
      </c>
      <c r="E371" s="105" t="str">
        <f>IFERROR(VLOOKUP(A371,'Salary Calculation'!$A$2:$V$999,10,0),"")</f>
        <v/>
      </c>
      <c r="F371" s="101"/>
      <c r="G371" s="106" t="str">
        <f>IFERROR(VLOOKUP(A371,'Salary Calculation'!$A$2:$V$999,7,0),"")</f>
        <v/>
      </c>
      <c r="H371" s="100"/>
      <c r="I371" s="101"/>
      <c r="J371" s="101"/>
      <c r="K371" s="101"/>
      <c r="L371" s="101"/>
      <c r="M371" s="101"/>
      <c r="N371" s="101"/>
      <c r="O371" s="101"/>
      <c r="P371" s="101"/>
      <c r="Q371" s="101"/>
      <c r="R371" s="101"/>
      <c r="S371" s="101"/>
      <c r="T371" s="101"/>
      <c r="U371" s="101"/>
      <c r="V371" s="101"/>
      <c r="W371" s="101"/>
      <c r="X371" s="101"/>
      <c r="Y371" s="101"/>
      <c r="Z371" s="101"/>
      <c r="AA371" s="101"/>
      <c r="AB371" s="101"/>
    </row>
    <row r="372">
      <c r="A372" s="104" t="s">
        <v>509</v>
      </c>
      <c r="B372" s="105" t="str">
        <f>IFERROR(VLOOKUP(A372,'Salary Calculation'!A371:F1368,2,0),"")</f>
        <v/>
      </c>
      <c r="C372" s="105" t="str">
        <f>IFERROR(VLOOKUP(A372,'Salary Calculation'!$A$2:$V$999,3,0),"")</f>
        <v/>
      </c>
      <c r="D372" s="105" t="str">
        <f>IFERROR(VLOOKUP(A372,'Salary Calculation'!$A$2:$V$999,6,0),"")</f>
        <v/>
      </c>
      <c r="E372" s="105" t="str">
        <f>IFERROR(VLOOKUP(A372,'Salary Calculation'!$A$2:$V$999,10,0),"")</f>
        <v/>
      </c>
      <c r="F372" s="101"/>
      <c r="G372" s="106" t="str">
        <f>IFERROR(VLOOKUP(A372,'Salary Calculation'!$A$2:$V$999,7,0),"")</f>
        <v/>
      </c>
      <c r="H372" s="100"/>
      <c r="I372" s="101"/>
      <c r="J372" s="101"/>
      <c r="K372" s="101"/>
      <c r="L372" s="101"/>
      <c r="M372" s="101"/>
      <c r="N372" s="101"/>
      <c r="O372" s="101"/>
      <c r="P372" s="101"/>
      <c r="Q372" s="101"/>
      <c r="R372" s="101"/>
      <c r="S372" s="101"/>
      <c r="T372" s="101"/>
      <c r="U372" s="101"/>
      <c r="V372" s="101"/>
      <c r="W372" s="101"/>
      <c r="X372" s="101"/>
      <c r="Y372" s="101"/>
      <c r="Z372" s="101"/>
      <c r="AA372" s="101"/>
      <c r="AB372" s="101"/>
    </row>
    <row r="373">
      <c r="A373" s="104" t="s">
        <v>510</v>
      </c>
      <c r="B373" s="105" t="str">
        <f>IFERROR(VLOOKUP(A373,'Salary Calculation'!A372:F1369,2,0),"")</f>
        <v/>
      </c>
      <c r="C373" s="105" t="str">
        <f>IFERROR(VLOOKUP(A373,'Salary Calculation'!$A$2:$V$999,3,0),"")</f>
        <v/>
      </c>
      <c r="D373" s="105" t="str">
        <f>IFERROR(VLOOKUP(A373,'Salary Calculation'!$A$2:$V$999,6,0),"")</f>
        <v/>
      </c>
      <c r="E373" s="105" t="str">
        <f>IFERROR(VLOOKUP(A373,'Salary Calculation'!$A$2:$V$999,10,0),"")</f>
        <v/>
      </c>
      <c r="F373" s="101"/>
      <c r="G373" s="106" t="str">
        <f>IFERROR(VLOOKUP(A373,'Salary Calculation'!$A$2:$V$999,7,0),"")</f>
        <v/>
      </c>
      <c r="H373" s="100"/>
      <c r="I373" s="101"/>
      <c r="J373" s="101"/>
      <c r="K373" s="101"/>
      <c r="L373" s="101"/>
      <c r="M373" s="101"/>
      <c r="N373" s="101"/>
      <c r="O373" s="101"/>
      <c r="P373" s="101"/>
      <c r="Q373" s="101"/>
      <c r="R373" s="101"/>
      <c r="S373" s="101"/>
      <c r="T373" s="101"/>
      <c r="U373" s="101"/>
      <c r="V373" s="101"/>
      <c r="W373" s="101"/>
      <c r="X373" s="101"/>
      <c r="Y373" s="101"/>
      <c r="Z373" s="101"/>
      <c r="AA373" s="101"/>
      <c r="AB373" s="101"/>
    </row>
    <row r="374">
      <c r="A374" s="104" t="s">
        <v>511</v>
      </c>
      <c r="B374" s="105" t="str">
        <f>IFERROR(VLOOKUP(A374,'Salary Calculation'!A373:F1370,2,0),"")</f>
        <v/>
      </c>
      <c r="C374" s="105" t="str">
        <f>IFERROR(VLOOKUP(A374,'Salary Calculation'!$A$2:$V$999,3,0),"")</f>
        <v/>
      </c>
      <c r="D374" s="105" t="str">
        <f>IFERROR(VLOOKUP(A374,'Salary Calculation'!$A$2:$V$999,6,0),"")</f>
        <v/>
      </c>
      <c r="E374" s="105" t="str">
        <f>IFERROR(VLOOKUP(A374,'Salary Calculation'!$A$2:$V$999,10,0),"")</f>
        <v/>
      </c>
      <c r="F374" s="101"/>
      <c r="G374" s="106" t="str">
        <f>IFERROR(VLOOKUP(A374,'Salary Calculation'!$A$2:$V$999,7,0),"")</f>
        <v/>
      </c>
      <c r="H374" s="100"/>
      <c r="I374" s="101"/>
      <c r="J374" s="101"/>
      <c r="K374" s="101"/>
      <c r="L374" s="101"/>
      <c r="M374" s="101"/>
      <c r="N374" s="101"/>
      <c r="O374" s="101"/>
      <c r="P374" s="101"/>
      <c r="Q374" s="101"/>
      <c r="R374" s="101"/>
      <c r="S374" s="101"/>
      <c r="T374" s="101"/>
      <c r="U374" s="101"/>
      <c r="V374" s="101"/>
      <c r="W374" s="101"/>
      <c r="X374" s="101"/>
      <c r="Y374" s="101"/>
      <c r="Z374" s="101"/>
      <c r="AA374" s="101"/>
      <c r="AB374" s="101"/>
    </row>
    <row r="375">
      <c r="A375" s="104" t="s">
        <v>512</v>
      </c>
      <c r="B375" s="105" t="str">
        <f>IFERROR(VLOOKUP(A375,'Salary Calculation'!A374:F1371,2,0),"")</f>
        <v/>
      </c>
      <c r="C375" s="105" t="str">
        <f>IFERROR(VLOOKUP(A375,'Salary Calculation'!$A$2:$V$999,3,0),"")</f>
        <v/>
      </c>
      <c r="D375" s="105" t="str">
        <f>IFERROR(VLOOKUP(A375,'Salary Calculation'!$A$2:$V$999,6,0),"")</f>
        <v/>
      </c>
      <c r="E375" s="105" t="str">
        <f>IFERROR(VLOOKUP(A375,'Salary Calculation'!$A$2:$V$999,10,0),"")</f>
        <v/>
      </c>
      <c r="F375" s="101"/>
      <c r="G375" s="106" t="str">
        <f>IFERROR(VLOOKUP(A375,'Salary Calculation'!$A$2:$V$999,7,0),"")</f>
        <v/>
      </c>
      <c r="H375" s="100"/>
      <c r="I375" s="101"/>
      <c r="J375" s="101"/>
      <c r="K375" s="101"/>
      <c r="L375" s="101"/>
      <c r="M375" s="101"/>
      <c r="N375" s="101"/>
      <c r="O375" s="101"/>
      <c r="P375" s="101"/>
      <c r="Q375" s="101"/>
      <c r="R375" s="101"/>
      <c r="S375" s="101"/>
      <c r="T375" s="101"/>
      <c r="U375" s="101"/>
      <c r="V375" s="101"/>
      <c r="W375" s="101"/>
      <c r="X375" s="101"/>
      <c r="Y375" s="101"/>
      <c r="Z375" s="101"/>
      <c r="AA375" s="101"/>
      <c r="AB375" s="101"/>
    </row>
    <row r="376">
      <c r="A376" s="104" t="s">
        <v>513</v>
      </c>
      <c r="B376" s="105" t="str">
        <f>IFERROR(VLOOKUP(A376,'Salary Calculation'!A375:F1372,2,0),"")</f>
        <v/>
      </c>
      <c r="C376" s="105" t="str">
        <f>IFERROR(VLOOKUP(A376,'Salary Calculation'!$A$2:$V$999,3,0),"")</f>
        <v/>
      </c>
      <c r="D376" s="105" t="str">
        <f>IFERROR(VLOOKUP(A376,'Salary Calculation'!$A$2:$V$999,6,0),"")</f>
        <v/>
      </c>
      <c r="E376" s="105" t="str">
        <f>IFERROR(VLOOKUP(A376,'Salary Calculation'!$A$2:$V$999,10,0),"")</f>
        <v/>
      </c>
      <c r="F376" s="101"/>
      <c r="G376" s="106" t="str">
        <f>IFERROR(VLOOKUP(A376,'Salary Calculation'!$A$2:$V$999,7,0),"")</f>
        <v/>
      </c>
      <c r="H376" s="100"/>
      <c r="I376" s="101"/>
      <c r="J376" s="101"/>
      <c r="K376" s="101"/>
      <c r="L376" s="101"/>
      <c r="M376" s="101"/>
      <c r="N376" s="101"/>
      <c r="O376" s="101"/>
      <c r="P376" s="101"/>
      <c r="Q376" s="101"/>
      <c r="R376" s="101"/>
      <c r="S376" s="101"/>
      <c r="T376" s="101"/>
      <c r="U376" s="101"/>
      <c r="V376" s="101"/>
      <c r="W376" s="101"/>
      <c r="X376" s="101"/>
      <c r="Y376" s="101"/>
      <c r="Z376" s="101"/>
      <c r="AA376" s="101"/>
      <c r="AB376" s="101"/>
    </row>
    <row r="377">
      <c r="A377" s="104" t="s">
        <v>514</v>
      </c>
      <c r="B377" s="105" t="str">
        <f>IFERROR(VLOOKUP(A377,'Salary Calculation'!A376:F1373,2,0),"")</f>
        <v/>
      </c>
      <c r="C377" s="105" t="str">
        <f>IFERROR(VLOOKUP(A377,'Salary Calculation'!$A$2:$V$999,3,0),"")</f>
        <v/>
      </c>
      <c r="D377" s="105" t="str">
        <f>IFERROR(VLOOKUP(A377,'Salary Calculation'!$A$2:$V$999,6,0),"")</f>
        <v/>
      </c>
      <c r="E377" s="105" t="str">
        <f>IFERROR(VLOOKUP(A377,'Salary Calculation'!$A$2:$V$999,10,0),"")</f>
        <v/>
      </c>
      <c r="F377" s="101"/>
      <c r="G377" s="106" t="str">
        <f>IFERROR(VLOOKUP(A377,'Salary Calculation'!$A$2:$V$999,7,0),"")</f>
        <v/>
      </c>
      <c r="H377" s="100"/>
      <c r="I377" s="101"/>
      <c r="J377" s="101"/>
      <c r="K377" s="101"/>
      <c r="L377" s="101"/>
      <c r="M377" s="101"/>
      <c r="N377" s="101"/>
      <c r="O377" s="101"/>
      <c r="P377" s="101"/>
      <c r="Q377" s="101"/>
      <c r="R377" s="101"/>
      <c r="S377" s="101"/>
      <c r="T377" s="101"/>
      <c r="U377" s="101"/>
      <c r="V377" s="101"/>
      <c r="W377" s="101"/>
      <c r="X377" s="101"/>
      <c r="Y377" s="101"/>
      <c r="Z377" s="101"/>
      <c r="AA377" s="101"/>
      <c r="AB377" s="101"/>
    </row>
    <row r="378">
      <c r="A378" s="104" t="s">
        <v>515</v>
      </c>
      <c r="B378" s="105" t="str">
        <f>IFERROR(VLOOKUP(A378,'Salary Calculation'!A377:F1374,2,0),"")</f>
        <v/>
      </c>
      <c r="C378" s="105" t="str">
        <f>IFERROR(VLOOKUP(A378,'Salary Calculation'!$A$2:$V$999,3,0),"")</f>
        <v/>
      </c>
      <c r="D378" s="105" t="str">
        <f>IFERROR(VLOOKUP(A378,'Salary Calculation'!$A$2:$V$999,6,0),"")</f>
        <v/>
      </c>
      <c r="E378" s="105" t="str">
        <f>IFERROR(VLOOKUP(A378,'Salary Calculation'!$A$2:$V$999,10,0),"")</f>
        <v/>
      </c>
      <c r="F378" s="101"/>
      <c r="G378" s="106" t="str">
        <f>IFERROR(VLOOKUP(A378,'Salary Calculation'!$A$2:$V$999,7,0),"")</f>
        <v/>
      </c>
      <c r="H378" s="100"/>
      <c r="I378" s="101"/>
      <c r="J378" s="101"/>
      <c r="K378" s="101"/>
      <c r="L378" s="101"/>
      <c r="M378" s="101"/>
      <c r="N378" s="101"/>
      <c r="O378" s="101"/>
      <c r="P378" s="101"/>
      <c r="Q378" s="101"/>
      <c r="R378" s="101"/>
      <c r="S378" s="101"/>
      <c r="T378" s="101"/>
      <c r="U378" s="101"/>
      <c r="V378" s="101"/>
      <c r="W378" s="101"/>
      <c r="X378" s="101"/>
      <c r="Y378" s="101"/>
      <c r="Z378" s="101"/>
      <c r="AA378" s="101"/>
      <c r="AB378" s="101"/>
    </row>
    <row r="379">
      <c r="A379" s="104" t="s">
        <v>516</v>
      </c>
      <c r="B379" s="105" t="str">
        <f>IFERROR(VLOOKUP(A379,'Salary Calculation'!A378:F1375,2,0),"")</f>
        <v/>
      </c>
      <c r="C379" s="105" t="str">
        <f>IFERROR(VLOOKUP(A379,'Salary Calculation'!$A$2:$V$999,3,0),"")</f>
        <v/>
      </c>
      <c r="D379" s="105" t="str">
        <f>IFERROR(VLOOKUP(A379,'Salary Calculation'!$A$2:$V$999,6,0),"")</f>
        <v/>
      </c>
      <c r="E379" s="105" t="str">
        <f>IFERROR(VLOOKUP(A379,'Salary Calculation'!$A$2:$V$999,10,0),"")</f>
        <v/>
      </c>
      <c r="F379" s="101"/>
      <c r="G379" s="106" t="str">
        <f>IFERROR(VLOOKUP(A379,'Salary Calculation'!$A$2:$V$999,7,0),"")</f>
        <v/>
      </c>
      <c r="H379" s="100"/>
      <c r="I379" s="101"/>
      <c r="J379" s="101"/>
      <c r="K379" s="101"/>
      <c r="L379" s="101"/>
      <c r="M379" s="101"/>
      <c r="N379" s="101"/>
      <c r="O379" s="101"/>
      <c r="P379" s="101"/>
      <c r="Q379" s="101"/>
      <c r="R379" s="101"/>
      <c r="S379" s="101"/>
      <c r="T379" s="101"/>
      <c r="U379" s="101"/>
      <c r="V379" s="101"/>
      <c r="W379" s="101"/>
      <c r="X379" s="101"/>
      <c r="Y379" s="101"/>
      <c r="Z379" s="101"/>
      <c r="AA379" s="101"/>
      <c r="AB379" s="101"/>
    </row>
    <row r="380">
      <c r="A380" s="104" t="s">
        <v>517</v>
      </c>
      <c r="B380" s="105" t="str">
        <f>IFERROR(VLOOKUP(A380,'Salary Calculation'!A379:F1376,2,0),"")</f>
        <v/>
      </c>
      <c r="C380" s="105" t="str">
        <f>IFERROR(VLOOKUP(A380,'Salary Calculation'!$A$2:$V$999,3,0),"")</f>
        <v/>
      </c>
      <c r="D380" s="105" t="str">
        <f>IFERROR(VLOOKUP(A380,'Salary Calculation'!$A$2:$V$999,6,0),"")</f>
        <v/>
      </c>
      <c r="E380" s="105" t="str">
        <f>IFERROR(VLOOKUP(A380,'Salary Calculation'!$A$2:$V$999,10,0),"")</f>
        <v/>
      </c>
      <c r="F380" s="101"/>
      <c r="G380" s="106" t="str">
        <f>IFERROR(VLOOKUP(A380,'Salary Calculation'!$A$2:$V$999,7,0),"")</f>
        <v/>
      </c>
      <c r="H380" s="100"/>
      <c r="I380" s="101"/>
      <c r="J380" s="101"/>
      <c r="K380" s="101"/>
      <c r="L380" s="101"/>
      <c r="M380" s="101"/>
      <c r="N380" s="101"/>
      <c r="O380" s="101"/>
      <c r="P380" s="101"/>
      <c r="Q380" s="101"/>
      <c r="R380" s="101"/>
      <c r="S380" s="101"/>
      <c r="T380" s="101"/>
      <c r="U380" s="101"/>
      <c r="V380" s="101"/>
      <c r="W380" s="101"/>
      <c r="X380" s="101"/>
      <c r="Y380" s="101"/>
      <c r="Z380" s="101"/>
      <c r="AA380" s="101"/>
      <c r="AB380" s="101"/>
    </row>
    <row r="381">
      <c r="A381" s="104" t="s">
        <v>518</v>
      </c>
      <c r="B381" s="105" t="str">
        <f>IFERROR(VLOOKUP(A381,'Salary Calculation'!A380:F1377,2,0),"")</f>
        <v/>
      </c>
      <c r="C381" s="105" t="str">
        <f>IFERROR(VLOOKUP(A381,'Salary Calculation'!$A$2:$V$999,3,0),"")</f>
        <v/>
      </c>
      <c r="D381" s="105" t="str">
        <f>IFERROR(VLOOKUP(A381,'Salary Calculation'!$A$2:$V$999,6,0),"")</f>
        <v/>
      </c>
      <c r="E381" s="105" t="str">
        <f>IFERROR(VLOOKUP(A381,'Salary Calculation'!$A$2:$V$999,10,0),"")</f>
        <v/>
      </c>
      <c r="F381" s="101"/>
      <c r="G381" s="106" t="str">
        <f>IFERROR(VLOOKUP(A381,'Salary Calculation'!$A$2:$V$999,7,0),"")</f>
        <v/>
      </c>
      <c r="H381" s="100"/>
      <c r="I381" s="101"/>
      <c r="J381" s="101"/>
      <c r="K381" s="101"/>
      <c r="L381" s="101"/>
      <c r="M381" s="101"/>
      <c r="N381" s="101"/>
      <c r="O381" s="101"/>
      <c r="P381" s="101"/>
      <c r="Q381" s="101"/>
      <c r="R381" s="101"/>
      <c r="S381" s="101"/>
      <c r="T381" s="101"/>
      <c r="U381" s="101"/>
      <c r="V381" s="101"/>
      <c r="W381" s="101"/>
      <c r="X381" s="101"/>
      <c r="Y381" s="101"/>
      <c r="Z381" s="101"/>
      <c r="AA381" s="101"/>
      <c r="AB381" s="101"/>
    </row>
    <row r="382">
      <c r="A382" s="104" t="s">
        <v>519</v>
      </c>
      <c r="B382" s="105" t="str">
        <f>IFERROR(VLOOKUP(A382,'Salary Calculation'!A381:F1378,2,0),"")</f>
        <v/>
      </c>
      <c r="C382" s="105" t="str">
        <f>IFERROR(VLOOKUP(A382,'Salary Calculation'!$A$2:$V$999,3,0),"")</f>
        <v/>
      </c>
      <c r="D382" s="105" t="str">
        <f>IFERROR(VLOOKUP(A382,'Salary Calculation'!$A$2:$V$999,6,0),"")</f>
        <v/>
      </c>
      <c r="E382" s="105" t="str">
        <f>IFERROR(VLOOKUP(A382,'Salary Calculation'!$A$2:$V$999,10,0),"")</f>
        <v/>
      </c>
      <c r="F382" s="101"/>
      <c r="G382" s="106" t="str">
        <f>IFERROR(VLOOKUP(A382,'Salary Calculation'!$A$2:$V$999,7,0),"")</f>
        <v/>
      </c>
      <c r="H382" s="100"/>
      <c r="I382" s="101"/>
      <c r="J382" s="101"/>
      <c r="K382" s="101"/>
      <c r="L382" s="101"/>
      <c r="M382" s="101"/>
      <c r="N382" s="101"/>
      <c r="O382" s="101"/>
      <c r="P382" s="101"/>
      <c r="Q382" s="101"/>
      <c r="R382" s="101"/>
      <c r="S382" s="101"/>
      <c r="T382" s="101"/>
      <c r="U382" s="101"/>
      <c r="V382" s="101"/>
      <c r="W382" s="101"/>
      <c r="X382" s="101"/>
      <c r="Y382" s="101"/>
      <c r="Z382" s="101"/>
      <c r="AA382" s="101"/>
      <c r="AB382" s="101"/>
    </row>
    <row r="383">
      <c r="A383" s="104" t="s">
        <v>520</v>
      </c>
      <c r="B383" s="105" t="str">
        <f>IFERROR(VLOOKUP(A383,'Salary Calculation'!A382:F1379,2,0),"")</f>
        <v/>
      </c>
      <c r="C383" s="105" t="str">
        <f>IFERROR(VLOOKUP(A383,'Salary Calculation'!$A$2:$V$999,3,0),"")</f>
        <v/>
      </c>
      <c r="D383" s="105" t="str">
        <f>IFERROR(VLOOKUP(A383,'Salary Calculation'!$A$2:$V$999,6,0),"")</f>
        <v/>
      </c>
      <c r="E383" s="105" t="str">
        <f>IFERROR(VLOOKUP(A383,'Salary Calculation'!$A$2:$V$999,10,0),"")</f>
        <v/>
      </c>
      <c r="F383" s="101"/>
      <c r="G383" s="106" t="str">
        <f>IFERROR(VLOOKUP(A383,'Salary Calculation'!$A$2:$V$999,7,0),"")</f>
        <v/>
      </c>
      <c r="H383" s="100"/>
      <c r="I383" s="101"/>
      <c r="J383" s="101"/>
      <c r="K383" s="101"/>
      <c r="L383" s="101"/>
      <c r="M383" s="101"/>
      <c r="N383" s="101"/>
      <c r="O383" s="101"/>
      <c r="P383" s="101"/>
      <c r="Q383" s="101"/>
      <c r="R383" s="101"/>
      <c r="S383" s="101"/>
      <c r="T383" s="101"/>
      <c r="U383" s="101"/>
      <c r="V383" s="101"/>
      <c r="W383" s="101"/>
      <c r="X383" s="101"/>
      <c r="Y383" s="101"/>
      <c r="Z383" s="101"/>
      <c r="AA383" s="101"/>
      <c r="AB383" s="101"/>
    </row>
    <row r="384">
      <c r="A384" s="104" t="s">
        <v>521</v>
      </c>
      <c r="B384" s="105" t="str">
        <f>IFERROR(VLOOKUP(A384,'Salary Calculation'!A383:F1380,2,0),"")</f>
        <v/>
      </c>
      <c r="C384" s="105" t="str">
        <f>IFERROR(VLOOKUP(A384,'Salary Calculation'!$A$2:$V$999,3,0),"")</f>
        <v/>
      </c>
      <c r="D384" s="105" t="str">
        <f>IFERROR(VLOOKUP(A384,'Salary Calculation'!$A$2:$V$999,6,0),"")</f>
        <v/>
      </c>
      <c r="E384" s="105" t="str">
        <f>IFERROR(VLOOKUP(A384,'Salary Calculation'!$A$2:$V$999,10,0),"")</f>
        <v/>
      </c>
      <c r="F384" s="101"/>
      <c r="G384" s="106" t="str">
        <f>IFERROR(VLOOKUP(A384,'Salary Calculation'!$A$2:$V$999,7,0),"")</f>
        <v/>
      </c>
      <c r="H384" s="100"/>
      <c r="I384" s="101"/>
      <c r="J384" s="101"/>
      <c r="K384" s="101"/>
      <c r="L384" s="101"/>
      <c r="M384" s="101"/>
      <c r="N384" s="101"/>
      <c r="O384" s="101"/>
      <c r="P384" s="101"/>
      <c r="Q384" s="101"/>
      <c r="R384" s="101"/>
      <c r="S384" s="101"/>
      <c r="T384" s="101"/>
      <c r="U384" s="101"/>
      <c r="V384" s="101"/>
      <c r="W384" s="101"/>
      <c r="X384" s="101"/>
      <c r="Y384" s="101"/>
      <c r="Z384" s="101"/>
      <c r="AA384" s="101"/>
      <c r="AB384" s="101"/>
    </row>
    <row r="385">
      <c r="A385" s="104" t="s">
        <v>522</v>
      </c>
      <c r="B385" s="105" t="str">
        <f>IFERROR(VLOOKUP(A385,'Salary Calculation'!A384:F1381,2,0),"")</f>
        <v/>
      </c>
      <c r="C385" s="105" t="str">
        <f>IFERROR(VLOOKUP(A385,'Salary Calculation'!$A$2:$V$999,3,0),"")</f>
        <v/>
      </c>
      <c r="D385" s="105" t="str">
        <f>IFERROR(VLOOKUP(A385,'Salary Calculation'!$A$2:$V$999,6,0),"")</f>
        <v/>
      </c>
      <c r="E385" s="105" t="str">
        <f>IFERROR(VLOOKUP(A385,'Salary Calculation'!$A$2:$V$999,10,0),"")</f>
        <v/>
      </c>
      <c r="F385" s="101"/>
      <c r="G385" s="106" t="str">
        <f>IFERROR(VLOOKUP(A385,'Salary Calculation'!$A$2:$V$999,7,0),"")</f>
        <v/>
      </c>
      <c r="H385" s="100"/>
      <c r="I385" s="101"/>
      <c r="J385" s="101"/>
      <c r="K385" s="101"/>
      <c r="L385" s="101"/>
      <c r="M385" s="101"/>
      <c r="N385" s="101"/>
      <c r="O385" s="101"/>
      <c r="P385" s="101"/>
      <c r="Q385" s="101"/>
      <c r="R385" s="101"/>
      <c r="S385" s="101"/>
      <c r="T385" s="101"/>
      <c r="U385" s="101"/>
      <c r="V385" s="101"/>
      <c r="W385" s="101"/>
      <c r="X385" s="101"/>
      <c r="Y385" s="101"/>
      <c r="Z385" s="101"/>
      <c r="AA385" s="101"/>
      <c r="AB385" s="101"/>
    </row>
    <row r="386">
      <c r="A386" s="104" t="s">
        <v>523</v>
      </c>
      <c r="B386" s="105" t="str">
        <f>IFERROR(VLOOKUP(A386,'Salary Calculation'!A385:F1382,2,0),"")</f>
        <v/>
      </c>
      <c r="C386" s="105" t="str">
        <f>IFERROR(VLOOKUP(A386,'Salary Calculation'!$A$2:$V$999,3,0),"")</f>
        <v/>
      </c>
      <c r="D386" s="105" t="str">
        <f>IFERROR(VLOOKUP(A386,'Salary Calculation'!$A$2:$V$999,6,0),"")</f>
        <v/>
      </c>
      <c r="E386" s="105" t="str">
        <f>IFERROR(VLOOKUP(A386,'Salary Calculation'!$A$2:$V$999,10,0),"")</f>
        <v/>
      </c>
      <c r="F386" s="101"/>
      <c r="G386" s="106" t="str">
        <f>IFERROR(VLOOKUP(A386,'Salary Calculation'!$A$2:$V$999,7,0),"")</f>
        <v/>
      </c>
      <c r="H386" s="100"/>
      <c r="I386" s="101"/>
      <c r="J386" s="101"/>
      <c r="K386" s="101"/>
      <c r="L386" s="101"/>
      <c r="M386" s="101"/>
      <c r="N386" s="101"/>
      <c r="O386" s="101"/>
      <c r="P386" s="101"/>
      <c r="Q386" s="101"/>
      <c r="R386" s="101"/>
      <c r="S386" s="101"/>
      <c r="T386" s="101"/>
      <c r="U386" s="101"/>
      <c r="V386" s="101"/>
      <c r="W386" s="101"/>
      <c r="X386" s="101"/>
      <c r="Y386" s="101"/>
      <c r="Z386" s="101"/>
      <c r="AA386" s="101"/>
      <c r="AB386" s="101"/>
    </row>
    <row r="387">
      <c r="A387" s="104" t="s">
        <v>524</v>
      </c>
      <c r="B387" s="105" t="str">
        <f>IFERROR(VLOOKUP(A387,'Salary Calculation'!A386:F1383,2,0),"")</f>
        <v/>
      </c>
      <c r="C387" s="105" t="str">
        <f>IFERROR(VLOOKUP(A387,'Salary Calculation'!$A$2:$V$999,3,0),"")</f>
        <v/>
      </c>
      <c r="D387" s="105" t="str">
        <f>IFERROR(VLOOKUP(A387,'Salary Calculation'!$A$2:$V$999,6,0),"")</f>
        <v/>
      </c>
      <c r="E387" s="105" t="str">
        <f>IFERROR(VLOOKUP(A387,'Salary Calculation'!$A$2:$V$999,10,0),"")</f>
        <v/>
      </c>
      <c r="F387" s="101"/>
      <c r="G387" s="106" t="str">
        <f>IFERROR(VLOOKUP(A387,'Salary Calculation'!$A$2:$V$999,7,0),"")</f>
        <v/>
      </c>
      <c r="H387" s="100"/>
      <c r="I387" s="101"/>
      <c r="J387" s="101"/>
      <c r="K387" s="101"/>
      <c r="L387" s="101"/>
      <c r="M387" s="101"/>
      <c r="N387" s="101"/>
      <c r="O387" s="101"/>
      <c r="P387" s="101"/>
      <c r="Q387" s="101"/>
      <c r="R387" s="101"/>
      <c r="S387" s="101"/>
      <c r="T387" s="101"/>
      <c r="U387" s="101"/>
      <c r="V387" s="101"/>
      <c r="W387" s="101"/>
      <c r="X387" s="101"/>
      <c r="Y387" s="101"/>
      <c r="Z387" s="101"/>
      <c r="AA387" s="101"/>
      <c r="AB387" s="101"/>
    </row>
    <row r="388">
      <c r="A388" s="104" t="s">
        <v>525</v>
      </c>
      <c r="B388" s="105" t="str">
        <f>IFERROR(VLOOKUP(A388,'Salary Calculation'!A387:F1384,2,0),"")</f>
        <v/>
      </c>
      <c r="C388" s="105" t="str">
        <f>IFERROR(VLOOKUP(A388,'Salary Calculation'!$A$2:$V$999,3,0),"")</f>
        <v/>
      </c>
      <c r="D388" s="105" t="str">
        <f>IFERROR(VLOOKUP(A388,'Salary Calculation'!$A$2:$V$999,6,0),"")</f>
        <v/>
      </c>
      <c r="E388" s="105" t="str">
        <f>IFERROR(VLOOKUP(A388,'Salary Calculation'!$A$2:$V$999,10,0),"")</f>
        <v/>
      </c>
      <c r="F388" s="101"/>
      <c r="G388" s="106" t="str">
        <f>IFERROR(VLOOKUP(A388,'Salary Calculation'!$A$2:$V$999,7,0),"")</f>
        <v/>
      </c>
      <c r="H388" s="100"/>
      <c r="I388" s="101"/>
      <c r="J388" s="101"/>
      <c r="K388" s="101"/>
      <c r="L388" s="101"/>
      <c r="M388" s="101"/>
      <c r="N388" s="101"/>
      <c r="O388" s="101"/>
      <c r="P388" s="101"/>
      <c r="Q388" s="101"/>
      <c r="R388" s="101"/>
      <c r="S388" s="101"/>
      <c r="T388" s="101"/>
      <c r="U388" s="101"/>
      <c r="V388" s="101"/>
      <c r="W388" s="101"/>
      <c r="X388" s="101"/>
      <c r="Y388" s="101"/>
      <c r="Z388" s="101"/>
      <c r="AA388" s="101"/>
      <c r="AB388" s="101"/>
    </row>
    <row r="389">
      <c r="A389" s="104" t="s">
        <v>526</v>
      </c>
      <c r="B389" s="105" t="str">
        <f>IFERROR(VLOOKUP(A389,'Salary Calculation'!A388:F1385,2,0),"")</f>
        <v/>
      </c>
      <c r="C389" s="105" t="str">
        <f>IFERROR(VLOOKUP(A389,'Salary Calculation'!$A$2:$V$999,3,0),"")</f>
        <v/>
      </c>
      <c r="D389" s="105" t="str">
        <f>IFERROR(VLOOKUP(A389,'Salary Calculation'!$A$2:$V$999,6,0),"")</f>
        <v/>
      </c>
      <c r="E389" s="105" t="str">
        <f>IFERROR(VLOOKUP(A389,'Salary Calculation'!$A$2:$V$999,10,0),"")</f>
        <v/>
      </c>
      <c r="F389" s="101"/>
      <c r="G389" s="106" t="str">
        <f>IFERROR(VLOOKUP(A389,'Salary Calculation'!$A$2:$V$999,7,0),"")</f>
        <v/>
      </c>
      <c r="H389" s="100"/>
      <c r="I389" s="101"/>
      <c r="J389" s="101"/>
      <c r="K389" s="101"/>
      <c r="L389" s="101"/>
      <c r="M389" s="101"/>
      <c r="N389" s="101"/>
      <c r="O389" s="101"/>
      <c r="P389" s="101"/>
      <c r="Q389" s="101"/>
      <c r="R389" s="101"/>
      <c r="S389" s="101"/>
      <c r="T389" s="101"/>
      <c r="U389" s="101"/>
      <c r="V389" s="101"/>
      <c r="W389" s="101"/>
      <c r="X389" s="101"/>
      <c r="Y389" s="101"/>
      <c r="Z389" s="101"/>
      <c r="AA389" s="101"/>
      <c r="AB389" s="101"/>
    </row>
    <row r="390">
      <c r="A390" s="104" t="s">
        <v>527</v>
      </c>
      <c r="B390" s="105" t="str">
        <f>IFERROR(VLOOKUP(A390,'Salary Calculation'!A389:F1386,2,0),"")</f>
        <v/>
      </c>
      <c r="C390" s="105" t="str">
        <f>IFERROR(VLOOKUP(A390,'Salary Calculation'!$A$2:$V$999,3,0),"")</f>
        <v/>
      </c>
      <c r="D390" s="105" t="str">
        <f>IFERROR(VLOOKUP(A390,'Salary Calculation'!$A$2:$V$999,6,0),"")</f>
        <v/>
      </c>
      <c r="E390" s="105" t="str">
        <f>IFERROR(VLOOKUP(A390,'Salary Calculation'!$A$2:$V$999,10,0),"")</f>
        <v/>
      </c>
      <c r="F390" s="101"/>
      <c r="G390" s="106" t="str">
        <f>IFERROR(VLOOKUP(A390,'Salary Calculation'!$A$2:$V$999,7,0),"")</f>
        <v/>
      </c>
      <c r="H390" s="100"/>
      <c r="I390" s="101"/>
      <c r="J390" s="101"/>
      <c r="K390" s="101"/>
      <c r="L390" s="101"/>
      <c r="M390" s="101"/>
      <c r="N390" s="101"/>
      <c r="O390" s="101"/>
      <c r="P390" s="101"/>
      <c r="Q390" s="101"/>
      <c r="R390" s="101"/>
      <c r="S390" s="101"/>
      <c r="T390" s="101"/>
      <c r="U390" s="101"/>
      <c r="V390" s="101"/>
      <c r="W390" s="101"/>
      <c r="X390" s="101"/>
      <c r="Y390" s="101"/>
      <c r="Z390" s="101"/>
      <c r="AA390" s="101"/>
      <c r="AB390" s="101"/>
    </row>
    <row r="391">
      <c r="A391" s="104" t="s">
        <v>528</v>
      </c>
      <c r="B391" s="105" t="str">
        <f>IFERROR(VLOOKUP(A391,'Salary Calculation'!A390:F1387,2,0),"")</f>
        <v/>
      </c>
      <c r="C391" s="105" t="str">
        <f>IFERROR(VLOOKUP(A391,'Salary Calculation'!$A$2:$V$999,3,0),"")</f>
        <v/>
      </c>
      <c r="D391" s="105" t="str">
        <f>IFERROR(VLOOKUP(A391,'Salary Calculation'!$A$2:$V$999,6,0),"")</f>
        <v/>
      </c>
      <c r="E391" s="105" t="str">
        <f>IFERROR(VLOOKUP(A391,'Salary Calculation'!$A$2:$V$999,10,0),"")</f>
        <v/>
      </c>
      <c r="F391" s="101"/>
      <c r="G391" s="106" t="str">
        <f>IFERROR(VLOOKUP(A391,'Salary Calculation'!$A$2:$V$999,7,0),"")</f>
        <v/>
      </c>
      <c r="H391" s="100"/>
      <c r="I391" s="101"/>
      <c r="J391" s="101"/>
      <c r="K391" s="101"/>
      <c r="L391" s="101"/>
      <c r="M391" s="101"/>
      <c r="N391" s="101"/>
      <c r="O391" s="101"/>
      <c r="P391" s="101"/>
      <c r="Q391" s="101"/>
      <c r="R391" s="101"/>
      <c r="S391" s="101"/>
      <c r="T391" s="101"/>
      <c r="U391" s="101"/>
      <c r="V391" s="101"/>
      <c r="W391" s="101"/>
      <c r="X391" s="101"/>
      <c r="Y391" s="101"/>
      <c r="Z391" s="101"/>
      <c r="AA391" s="101"/>
      <c r="AB391" s="101"/>
    </row>
    <row r="392">
      <c r="A392" s="104" t="s">
        <v>529</v>
      </c>
      <c r="B392" s="105" t="str">
        <f>IFERROR(VLOOKUP(A392,'Salary Calculation'!A391:F1388,2,0),"")</f>
        <v/>
      </c>
      <c r="C392" s="105" t="str">
        <f>IFERROR(VLOOKUP(A392,'Salary Calculation'!$A$2:$V$999,3,0),"")</f>
        <v/>
      </c>
      <c r="D392" s="105" t="str">
        <f>IFERROR(VLOOKUP(A392,'Salary Calculation'!$A$2:$V$999,6,0),"")</f>
        <v/>
      </c>
      <c r="E392" s="105" t="str">
        <f>IFERROR(VLOOKUP(A392,'Salary Calculation'!$A$2:$V$999,10,0),"")</f>
        <v/>
      </c>
      <c r="F392" s="101"/>
      <c r="G392" s="106" t="str">
        <f>IFERROR(VLOOKUP(A392,'Salary Calculation'!$A$2:$V$999,7,0),"")</f>
        <v/>
      </c>
      <c r="H392" s="100"/>
      <c r="I392" s="101"/>
      <c r="J392" s="101"/>
      <c r="K392" s="101"/>
      <c r="L392" s="101"/>
      <c r="M392" s="101"/>
      <c r="N392" s="101"/>
      <c r="O392" s="101"/>
      <c r="P392" s="101"/>
      <c r="Q392" s="101"/>
      <c r="R392" s="101"/>
      <c r="S392" s="101"/>
      <c r="T392" s="101"/>
      <c r="U392" s="101"/>
      <c r="V392" s="101"/>
      <c r="W392" s="101"/>
      <c r="X392" s="101"/>
      <c r="Y392" s="101"/>
      <c r="Z392" s="101"/>
      <c r="AA392" s="101"/>
      <c r="AB392" s="101"/>
    </row>
    <row r="393">
      <c r="A393" s="104" t="s">
        <v>530</v>
      </c>
      <c r="B393" s="105" t="str">
        <f>IFERROR(VLOOKUP(A393,'Salary Calculation'!A392:F1389,2,0),"")</f>
        <v/>
      </c>
      <c r="C393" s="105" t="str">
        <f>IFERROR(VLOOKUP(A393,'Salary Calculation'!$A$2:$V$999,3,0),"")</f>
        <v/>
      </c>
      <c r="D393" s="105" t="str">
        <f>IFERROR(VLOOKUP(A393,'Salary Calculation'!$A$2:$V$999,6,0),"")</f>
        <v/>
      </c>
      <c r="E393" s="105" t="str">
        <f>IFERROR(VLOOKUP(A393,'Salary Calculation'!$A$2:$V$999,10,0),"")</f>
        <v/>
      </c>
      <c r="F393" s="101"/>
      <c r="G393" s="106" t="str">
        <f>IFERROR(VLOOKUP(A393,'Salary Calculation'!$A$2:$V$999,7,0),"")</f>
        <v/>
      </c>
      <c r="H393" s="100"/>
      <c r="I393" s="101"/>
      <c r="J393" s="101"/>
      <c r="K393" s="101"/>
      <c r="L393" s="101"/>
      <c r="M393" s="101"/>
      <c r="N393" s="101"/>
      <c r="O393" s="101"/>
      <c r="P393" s="101"/>
      <c r="Q393" s="101"/>
      <c r="R393" s="101"/>
      <c r="S393" s="101"/>
      <c r="T393" s="101"/>
      <c r="U393" s="101"/>
      <c r="V393" s="101"/>
      <c r="W393" s="101"/>
      <c r="X393" s="101"/>
      <c r="Y393" s="101"/>
      <c r="Z393" s="101"/>
      <c r="AA393" s="101"/>
      <c r="AB393" s="101"/>
    </row>
    <row r="394">
      <c r="A394" s="104" t="s">
        <v>531</v>
      </c>
      <c r="B394" s="105" t="str">
        <f>IFERROR(VLOOKUP(A394,'Salary Calculation'!A393:F1390,2,0),"")</f>
        <v/>
      </c>
      <c r="C394" s="105" t="str">
        <f>IFERROR(VLOOKUP(A394,'Salary Calculation'!$A$2:$V$999,3,0),"")</f>
        <v/>
      </c>
      <c r="D394" s="105" t="str">
        <f>IFERROR(VLOOKUP(A394,'Salary Calculation'!$A$2:$V$999,6,0),"")</f>
        <v/>
      </c>
      <c r="E394" s="105" t="str">
        <f>IFERROR(VLOOKUP(A394,'Salary Calculation'!$A$2:$V$999,10,0),"")</f>
        <v/>
      </c>
      <c r="F394" s="101"/>
      <c r="G394" s="106" t="str">
        <f>IFERROR(VLOOKUP(A394,'Salary Calculation'!$A$2:$V$999,7,0),"")</f>
        <v/>
      </c>
      <c r="H394" s="100"/>
      <c r="I394" s="101"/>
      <c r="J394" s="101"/>
      <c r="K394" s="101"/>
      <c r="L394" s="101"/>
      <c r="M394" s="101"/>
      <c r="N394" s="101"/>
      <c r="O394" s="101"/>
      <c r="P394" s="101"/>
      <c r="Q394" s="101"/>
      <c r="R394" s="101"/>
      <c r="S394" s="101"/>
      <c r="T394" s="101"/>
      <c r="U394" s="101"/>
      <c r="V394" s="101"/>
      <c r="W394" s="101"/>
      <c r="X394" s="101"/>
      <c r="Y394" s="101"/>
      <c r="Z394" s="101"/>
      <c r="AA394" s="101"/>
      <c r="AB394" s="101"/>
    </row>
    <row r="395">
      <c r="A395" s="104" t="s">
        <v>532</v>
      </c>
      <c r="B395" s="105" t="str">
        <f>IFERROR(VLOOKUP(A395,'Salary Calculation'!A394:F1391,2,0),"")</f>
        <v/>
      </c>
      <c r="C395" s="105" t="str">
        <f>IFERROR(VLOOKUP(A395,'Salary Calculation'!$A$2:$V$999,3,0),"")</f>
        <v/>
      </c>
      <c r="D395" s="105" t="str">
        <f>IFERROR(VLOOKUP(A395,'Salary Calculation'!$A$2:$V$999,6,0),"")</f>
        <v/>
      </c>
      <c r="E395" s="105" t="str">
        <f>IFERROR(VLOOKUP(A395,'Salary Calculation'!$A$2:$V$999,10,0),"")</f>
        <v/>
      </c>
      <c r="F395" s="101"/>
      <c r="G395" s="106" t="str">
        <f>IFERROR(VLOOKUP(A395,'Salary Calculation'!$A$2:$V$999,7,0),"")</f>
        <v/>
      </c>
      <c r="H395" s="100"/>
      <c r="I395" s="101"/>
      <c r="J395" s="101"/>
      <c r="K395" s="101"/>
      <c r="L395" s="101"/>
      <c r="M395" s="101"/>
      <c r="N395" s="101"/>
      <c r="O395" s="101"/>
      <c r="P395" s="101"/>
      <c r="Q395" s="101"/>
      <c r="R395" s="101"/>
      <c r="S395" s="101"/>
      <c r="T395" s="101"/>
      <c r="U395" s="101"/>
      <c r="V395" s="101"/>
      <c r="W395" s="101"/>
      <c r="X395" s="101"/>
      <c r="Y395" s="101"/>
      <c r="Z395" s="101"/>
      <c r="AA395" s="101"/>
      <c r="AB395" s="101"/>
    </row>
    <row r="396">
      <c r="A396" s="104" t="s">
        <v>533</v>
      </c>
      <c r="B396" s="105" t="str">
        <f>IFERROR(VLOOKUP(A396,'Salary Calculation'!A395:F1392,2,0),"")</f>
        <v/>
      </c>
      <c r="C396" s="105" t="str">
        <f>IFERROR(VLOOKUP(A396,'Salary Calculation'!$A$2:$V$999,3,0),"")</f>
        <v/>
      </c>
      <c r="D396" s="105" t="str">
        <f>IFERROR(VLOOKUP(A396,'Salary Calculation'!$A$2:$V$999,6,0),"")</f>
        <v/>
      </c>
      <c r="E396" s="105" t="str">
        <f>IFERROR(VLOOKUP(A396,'Salary Calculation'!$A$2:$V$999,10,0),"")</f>
        <v/>
      </c>
      <c r="F396" s="101"/>
      <c r="G396" s="106" t="str">
        <f>IFERROR(VLOOKUP(A396,'Salary Calculation'!$A$2:$V$999,7,0),"")</f>
        <v/>
      </c>
      <c r="H396" s="100"/>
      <c r="I396" s="101"/>
      <c r="J396" s="101"/>
      <c r="K396" s="101"/>
      <c r="L396" s="101"/>
      <c r="M396" s="101"/>
      <c r="N396" s="101"/>
      <c r="O396" s="101"/>
      <c r="P396" s="101"/>
      <c r="Q396" s="101"/>
      <c r="R396" s="101"/>
      <c r="S396" s="101"/>
      <c r="T396" s="101"/>
      <c r="U396" s="101"/>
      <c r="V396" s="101"/>
      <c r="W396" s="101"/>
      <c r="X396" s="101"/>
      <c r="Y396" s="101"/>
      <c r="Z396" s="101"/>
      <c r="AA396" s="101"/>
      <c r="AB396" s="101"/>
    </row>
    <row r="397">
      <c r="A397" s="104" t="s">
        <v>534</v>
      </c>
      <c r="B397" s="105" t="str">
        <f>IFERROR(VLOOKUP(A397,'Salary Calculation'!A396:F1393,2,0),"")</f>
        <v/>
      </c>
      <c r="C397" s="105" t="str">
        <f>IFERROR(VLOOKUP(A397,'Salary Calculation'!$A$2:$V$999,3,0),"")</f>
        <v/>
      </c>
      <c r="D397" s="105" t="str">
        <f>IFERROR(VLOOKUP(A397,'Salary Calculation'!$A$2:$V$999,6,0),"")</f>
        <v/>
      </c>
      <c r="E397" s="105" t="str">
        <f>IFERROR(VLOOKUP(A397,'Salary Calculation'!$A$2:$V$999,10,0),"")</f>
        <v/>
      </c>
      <c r="F397" s="101"/>
      <c r="G397" s="106" t="str">
        <f>IFERROR(VLOOKUP(A397,'Salary Calculation'!$A$2:$V$999,7,0),"")</f>
        <v/>
      </c>
      <c r="H397" s="100"/>
      <c r="I397" s="101"/>
      <c r="J397" s="101"/>
      <c r="K397" s="101"/>
      <c r="L397" s="101"/>
      <c r="M397" s="101"/>
      <c r="N397" s="101"/>
      <c r="O397" s="101"/>
      <c r="P397" s="101"/>
      <c r="Q397" s="101"/>
      <c r="R397" s="101"/>
      <c r="S397" s="101"/>
      <c r="T397" s="101"/>
      <c r="U397" s="101"/>
      <c r="V397" s="101"/>
      <c r="W397" s="101"/>
      <c r="X397" s="101"/>
      <c r="Y397" s="101"/>
      <c r="Z397" s="101"/>
      <c r="AA397" s="101"/>
      <c r="AB397" s="101"/>
    </row>
    <row r="398">
      <c r="A398" s="104" t="s">
        <v>535</v>
      </c>
      <c r="B398" s="105" t="str">
        <f>IFERROR(VLOOKUP(A398,'Salary Calculation'!A397:F1394,2,0),"")</f>
        <v/>
      </c>
      <c r="C398" s="105" t="str">
        <f>IFERROR(VLOOKUP(A398,'Salary Calculation'!$A$2:$V$999,3,0),"")</f>
        <v/>
      </c>
      <c r="D398" s="105" t="str">
        <f>IFERROR(VLOOKUP(A398,'Salary Calculation'!$A$2:$V$999,6,0),"")</f>
        <v/>
      </c>
      <c r="E398" s="105" t="str">
        <f>IFERROR(VLOOKUP(A398,'Salary Calculation'!$A$2:$V$999,10,0),"")</f>
        <v/>
      </c>
      <c r="F398" s="101"/>
      <c r="G398" s="106" t="str">
        <f>IFERROR(VLOOKUP(A398,'Salary Calculation'!$A$2:$V$999,7,0),"")</f>
        <v/>
      </c>
      <c r="H398" s="100"/>
      <c r="I398" s="101"/>
      <c r="J398" s="101"/>
      <c r="K398" s="101"/>
      <c r="L398" s="101"/>
      <c r="M398" s="101"/>
      <c r="N398" s="101"/>
      <c r="O398" s="101"/>
      <c r="P398" s="101"/>
      <c r="Q398" s="101"/>
      <c r="R398" s="101"/>
      <c r="S398" s="101"/>
      <c r="T398" s="101"/>
      <c r="U398" s="101"/>
      <c r="V398" s="101"/>
      <c r="W398" s="101"/>
      <c r="X398" s="101"/>
      <c r="Y398" s="101"/>
      <c r="Z398" s="101"/>
      <c r="AA398" s="101"/>
      <c r="AB398" s="101"/>
    </row>
    <row r="399">
      <c r="A399" s="104" t="s">
        <v>536</v>
      </c>
      <c r="B399" s="105" t="str">
        <f>IFERROR(VLOOKUP(A399,'Salary Calculation'!A398:F1395,2,0),"")</f>
        <v/>
      </c>
      <c r="C399" s="105" t="str">
        <f>IFERROR(VLOOKUP(A399,'Salary Calculation'!$A$2:$V$999,3,0),"")</f>
        <v/>
      </c>
      <c r="D399" s="105" t="str">
        <f>IFERROR(VLOOKUP(A399,'Salary Calculation'!$A$2:$V$999,6,0),"")</f>
        <v/>
      </c>
      <c r="E399" s="105" t="str">
        <f>IFERROR(VLOOKUP(A399,'Salary Calculation'!$A$2:$V$999,10,0),"")</f>
        <v/>
      </c>
      <c r="F399" s="101"/>
      <c r="G399" s="106" t="str">
        <f>IFERROR(VLOOKUP(A399,'Salary Calculation'!$A$2:$V$999,7,0),"")</f>
        <v/>
      </c>
      <c r="H399" s="100"/>
      <c r="I399" s="101"/>
      <c r="J399" s="101"/>
      <c r="K399" s="101"/>
      <c r="L399" s="101"/>
      <c r="M399" s="101"/>
      <c r="N399" s="101"/>
      <c r="O399" s="101"/>
      <c r="P399" s="101"/>
      <c r="Q399" s="101"/>
      <c r="R399" s="101"/>
      <c r="S399" s="101"/>
      <c r="T399" s="101"/>
      <c r="U399" s="101"/>
      <c r="V399" s="101"/>
      <c r="W399" s="101"/>
      <c r="X399" s="101"/>
      <c r="Y399" s="101"/>
      <c r="Z399" s="101"/>
      <c r="AA399" s="101"/>
      <c r="AB399" s="101"/>
    </row>
    <row r="400">
      <c r="A400" s="104" t="s">
        <v>537</v>
      </c>
      <c r="B400" s="105" t="str">
        <f>IFERROR(VLOOKUP(A400,'Salary Calculation'!A399:F1396,2,0),"")</f>
        <v/>
      </c>
      <c r="C400" s="105" t="str">
        <f>IFERROR(VLOOKUP(A400,'Salary Calculation'!$A$2:$V$999,3,0),"")</f>
        <v/>
      </c>
      <c r="D400" s="105" t="str">
        <f>IFERROR(VLOOKUP(A400,'Salary Calculation'!$A$2:$V$999,6,0),"")</f>
        <v/>
      </c>
      <c r="E400" s="105" t="str">
        <f>IFERROR(VLOOKUP(A400,'Salary Calculation'!$A$2:$V$999,10,0),"")</f>
        <v/>
      </c>
      <c r="F400" s="101"/>
      <c r="G400" s="106" t="str">
        <f>IFERROR(VLOOKUP(A400,'Salary Calculation'!$A$2:$V$999,7,0),"")</f>
        <v/>
      </c>
      <c r="H400" s="100"/>
      <c r="I400" s="101"/>
      <c r="J400" s="101"/>
      <c r="K400" s="101"/>
      <c r="L400" s="101"/>
      <c r="M400" s="101"/>
      <c r="N400" s="101"/>
      <c r="O400" s="101"/>
      <c r="P400" s="101"/>
      <c r="Q400" s="101"/>
      <c r="R400" s="101"/>
      <c r="S400" s="101"/>
      <c r="T400" s="101"/>
      <c r="U400" s="101"/>
      <c r="V400" s="101"/>
      <c r="W400" s="101"/>
      <c r="X400" s="101"/>
      <c r="Y400" s="101"/>
      <c r="Z400" s="101"/>
      <c r="AA400" s="101"/>
      <c r="AB400" s="101"/>
    </row>
    <row r="401">
      <c r="A401" s="104" t="s">
        <v>538</v>
      </c>
      <c r="B401" s="105" t="str">
        <f>IFERROR(VLOOKUP(A401,'Salary Calculation'!A400:F1397,2,0),"")</f>
        <v/>
      </c>
      <c r="C401" s="105" t="str">
        <f>IFERROR(VLOOKUP(A401,'Salary Calculation'!$A$2:$V$999,3,0),"")</f>
        <v/>
      </c>
      <c r="D401" s="105" t="str">
        <f>IFERROR(VLOOKUP(A401,'Salary Calculation'!$A$2:$V$999,6,0),"")</f>
        <v/>
      </c>
      <c r="E401" s="105" t="str">
        <f>IFERROR(VLOOKUP(A401,'Salary Calculation'!$A$2:$V$999,10,0),"")</f>
        <v/>
      </c>
      <c r="F401" s="101"/>
      <c r="G401" s="106" t="str">
        <f>IFERROR(VLOOKUP(A401,'Salary Calculation'!$A$2:$V$999,7,0),"")</f>
        <v/>
      </c>
      <c r="H401" s="100"/>
      <c r="I401" s="101"/>
      <c r="J401" s="101"/>
      <c r="K401" s="101"/>
      <c r="L401" s="101"/>
      <c r="M401" s="101"/>
      <c r="N401" s="101"/>
      <c r="O401" s="101"/>
      <c r="P401" s="101"/>
      <c r="Q401" s="101"/>
      <c r="R401" s="101"/>
      <c r="S401" s="101"/>
      <c r="T401" s="101"/>
      <c r="U401" s="101"/>
      <c r="V401" s="101"/>
      <c r="W401" s="101"/>
      <c r="X401" s="101"/>
      <c r="Y401" s="101"/>
      <c r="Z401" s="101"/>
      <c r="AA401" s="101"/>
      <c r="AB401" s="101"/>
    </row>
    <row r="402">
      <c r="A402" s="104" t="s">
        <v>539</v>
      </c>
      <c r="B402" s="105" t="str">
        <f>IFERROR(VLOOKUP(A402,'Salary Calculation'!A401:F1398,2,0),"")</f>
        <v/>
      </c>
      <c r="C402" s="105" t="str">
        <f>IFERROR(VLOOKUP(A402,'Salary Calculation'!$A$2:$V$999,3,0),"")</f>
        <v/>
      </c>
      <c r="D402" s="105" t="str">
        <f>IFERROR(VLOOKUP(A402,'Salary Calculation'!$A$2:$V$999,6,0),"")</f>
        <v/>
      </c>
      <c r="E402" s="105" t="str">
        <f>IFERROR(VLOOKUP(A402,'Salary Calculation'!$A$2:$V$999,10,0),"")</f>
        <v/>
      </c>
      <c r="F402" s="101"/>
      <c r="G402" s="106" t="str">
        <f>IFERROR(VLOOKUP(A402,'Salary Calculation'!$A$2:$V$999,7,0),"")</f>
        <v/>
      </c>
      <c r="H402" s="100"/>
      <c r="I402" s="101"/>
      <c r="J402" s="101"/>
      <c r="K402" s="101"/>
      <c r="L402" s="101"/>
      <c r="M402" s="101"/>
      <c r="N402" s="101"/>
      <c r="O402" s="101"/>
      <c r="P402" s="101"/>
      <c r="Q402" s="101"/>
      <c r="R402" s="101"/>
      <c r="S402" s="101"/>
      <c r="T402" s="101"/>
      <c r="U402" s="101"/>
      <c r="V402" s="101"/>
      <c r="W402" s="101"/>
      <c r="X402" s="101"/>
      <c r="Y402" s="101"/>
      <c r="Z402" s="101"/>
      <c r="AA402" s="101"/>
      <c r="AB402" s="101"/>
    </row>
    <row r="403">
      <c r="A403" s="104" t="s">
        <v>540</v>
      </c>
      <c r="B403" s="105" t="str">
        <f>IFERROR(VLOOKUP(A403,'Salary Calculation'!A402:F1399,2,0),"")</f>
        <v/>
      </c>
      <c r="C403" s="105" t="str">
        <f>IFERROR(VLOOKUP(A403,'Salary Calculation'!$A$2:$V$999,3,0),"")</f>
        <v/>
      </c>
      <c r="D403" s="105" t="str">
        <f>IFERROR(VLOOKUP(A403,'Salary Calculation'!$A$2:$V$999,6,0),"")</f>
        <v/>
      </c>
      <c r="E403" s="105" t="str">
        <f>IFERROR(VLOOKUP(A403,'Salary Calculation'!$A$2:$V$999,10,0),"")</f>
        <v/>
      </c>
      <c r="F403" s="101"/>
      <c r="G403" s="106" t="str">
        <f>IFERROR(VLOOKUP(A403,'Salary Calculation'!$A$2:$V$999,7,0),"")</f>
        <v/>
      </c>
      <c r="H403" s="100"/>
      <c r="I403" s="101"/>
      <c r="J403" s="101"/>
      <c r="K403" s="101"/>
      <c r="L403" s="101"/>
      <c r="M403" s="101"/>
      <c r="N403" s="101"/>
      <c r="O403" s="101"/>
      <c r="P403" s="101"/>
      <c r="Q403" s="101"/>
      <c r="R403" s="101"/>
      <c r="S403" s="101"/>
      <c r="T403" s="101"/>
      <c r="U403" s="101"/>
      <c r="V403" s="101"/>
      <c r="W403" s="101"/>
      <c r="X403" s="101"/>
      <c r="Y403" s="101"/>
      <c r="Z403" s="101"/>
      <c r="AA403" s="101"/>
      <c r="AB403" s="101"/>
    </row>
    <row r="404">
      <c r="A404" s="104" t="s">
        <v>541</v>
      </c>
      <c r="B404" s="105" t="str">
        <f>IFERROR(VLOOKUP(A404,'Salary Calculation'!A403:F1400,2,0),"")</f>
        <v/>
      </c>
      <c r="C404" s="105" t="str">
        <f>IFERROR(VLOOKUP(A404,'Salary Calculation'!$A$2:$V$999,3,0),"")</f>
        <v/>
      </c>
      <c r="D404" s="105" t="str">
        <f>IFERROR(VLOOKUP(A404,'Salary Calculation'!$A$2:$V$999,6,0),"")</f>
        <v/>
      </c>
      <c r="E404" s="105" t="str">
        <f>IFERROR(VLOOKUP(A404,'Salary Calculation'!$A$2:$V$999,10,0),"")</f>
        <v/>
      </c>
      <c r="F404" s="101"/>
      <c r="G404" s="106" t="str">
        <f>IFERROR(VLOOKUP(A404,'Salary Calculation'!$A$2:$V$999,7,0),"")</f>
        <v/>
      </c>
      <c r="H404" s="100"/>
      <c r="I404" s="101"/>
      <c r="J404" s="101"/>
      <c r="K404" s="101"/>
      <c r="L404" s="101"/>
      <c r="M404" s="101"/>
      <c r="N404" s="101"/>
      <c r="O404" s="101"/>
      <c r="P404" s="101"/>
      <c r="Q404" s="101"/>
      <c r="R404" s="101"/>
      <c r="S404" s="101"/>
      <c r="T404" s="101"/>
      <c r="U404" s="101"/>
      <c r="V404" s="101"/>
      <c r="W404" s="101"/>
      <c r="X404" s="101"/>
      <c r="Y404" s="101"/>
      <c r="Z404" s="101"/>
      <c r="AA404" s="101"/>
      <c r="AB404" s="101"/>
    </row>
    <row r="405">
      <c r="A405" s="104" t="s">
        <v>542</v>
      </c>
      <c r="B405" s="105" t="str">
        <f>IFERROR(VLOOKUP(A405,'Salary Calculation'!A404:F1401,2,0),"")</f>
        <v/>
      </c>
      <c r="C405" s="105" t="str">
        <f>IFERROR(VLOOKUP(A405,'Salary Calculation'!$A$2:$V$999,3,0),"")</f>
        <v/>
      </c>
      <c r="D405" s="105" t="str">
        <f>IFERROR(VLOOKUP(A405,'Salary Calculation'!$A$2:$V$999,6,0),"")</f>
        <v/>
      </c>
      <c r="E405" s="105" t="str">
        <f>IFERROR(VLOOKUP(A405,'Salary Calculation'!$A$2:$V$999,10,0),"")</f>
        <v/>
      </c>
      <c r="F405" s="101"/>
      <c r="G405" s="106" t="str">
        <f>IFERROR(VLOOKUP(A405,'Salary Calculation'!$A$2:$V$999,7,0),"")</f>
        <v/>
      </c>
      <c r="H405" s="100"/>
      <c r="I405" s="101"/>
      <c r="J405" s="101"/>
      <c r="K405" s="101"/>
      <c r="L405" s="101"/>
      <c r="M405" s="101"/>
      <c r="N405" s="101"/>
      <c r="O405" s="101"/>
      <c r="P405" s="101"/>
      <c r="Q405" s="101"/>
      <c r="R405" s="101"/>
      <c r="S405" s="101"/>
      <c r="T405" s="101"/>
      <c r="U405" s="101"/>
      <c r="V405" s="101"/>
      <c r="W405" s="101"/>
      <c r="X405" s="101"/>
      <c r="Y405" s="101"/>
      <c r="Z405" s="101"/>
      <c r="AA405" s="101"/>
      <c r="AB405" s="101"/>
    </row>
    <row r="406">
      <c r="A406" s="104" t="s">
        <v>543</v>
      </c>
      <c r="B406" s="105" t="str">
        <f>IFERROR(VLOOKUP(A406,'Salary Calculation'!A405:F1402,2,0),"")</f>
        <v/>
      </c>
      <c r="C406" s="105" t="str">
        <f>IFERROR(VLOOKUP(A406,'Salary Calculation'!$A$2:$V$999,3,0),"")</f>
        <v/>
      </c>
      <c r="D406" s="105" t="str">
        <f>IFERROR(VLOOKUP(A406,'Salary Calculation'!$A$2:$V$999,6,0),"")</f>
        <v/>
      </c>
      <c r="E406" s="105" t="str">
        <f>IFERROR(VLOOKUP(A406,'Salary Calculation'!$A$2:$V$999,10,0),"")</f>
        <v/>
      </c>
      <c r="F406" s="101"/>
      <c r="G406" s="106" t="str">
        <f>IFERROR(VLOOKUP(A406,'Salary Calculation'!$A$2:$V$999,7,0),"")</f>
        <v/>
      </c>
      <c r="H406" s="100"/>
      <c r="I406" s="101"/>
      <c r="J406" s="101"/>
      <c r="K406" s="101"/>
      <c r="L406" s="101"/>
      <c r="M406" s="101"/>
      <c r="N406" s="101"/>
      <c r="O406" s="101"/>
      <c r="P406" s="101"/>
      <c r="Q406" s="101"/>
      <c r="R406" s="101"/>
      <c r="S406" s="101"/>
      <c r="T406" s="101"/>
      <c r="U406" s="101"/>
      <c r="V406" s="101"/>
      <c r="W406" s="101"/>
      <c r="X406" s="101"/>
      <c r="Y406" s="101"/>
      <c r="Z406" s="101"/>
      <c r="AA406" s="101"/>
      <c r="AB406" s="101"/>
    </row>
    <row r="407">
      <c r="A407" s="104" t="s">
        <v>544</v>
      </c>
      <c r="B407" s="105" t="str">
        <f>IFERROR(VLOOKUP(A407,'Salary Calculation'!A406:F1403,2,0),"")</f>
        <v/>
      </c>
      <c r="C407" s="105" t="str">
        <f>IFERROR(VLOOKUP(A407,'Salary Calculation'!$A$2:$V$999,3,0),"")</f>
        <v/>
      </c>
      <c r="D407" s="105" t="str">
        <f>IFERROR(VLOOKUP(A407,'Salary Calculation'!$A$2:$V$999,6,0),"")</f>
        <v/>
      </c>
      <c r="E407" s="105" t="str">
        <f>IFERROR(VLOOKUP(A407,'Salary Calculation'!$A$2:$V$999,10,0),"")</f>
        <v/>
      </c>
      <c r="F407" s="101"/>
      <c r="G407" s="106" t="str">
        <f>IFERROR(VLOOKUP(A407,'Salary Calculation'!$A$2:$V$999,7,0),"")</f>
        <v/>
      </c>
      <c r="H407" s="100"/>
      <c r="I407" s="101"/>
      <c r="J407" s="101"/>
      <c r="K407" s="101"/>
      <c r="L407" s="101"/>
      <c r="M407" s="101"/>
      <c r="N407" s="101"/>
      <c r="O407" s="101"/>
      <c r="P407" s="101"/>
      <c r="Q407" s="101"/>
      <c r="R407" s="101"/>
      <c r="S407" s="101"/>
      <c r="T407" s="101"/>
      <c r="U407" s="101"/>
      <c r="V407" s="101"/>
      <c r="W407" s="101"/>
      <c r="X407" s="101"/>
      <c r="Y407" s="101"/>
      <c r="Z407" s="101"/>
      <c r="AA407" s="101"/>
      <c r="AB407" s="101"/>
    </row>
    <row r="408">
      <c r="A408" s="104" t="s">
        <v>545</v>
      </c>
      <c r="B408" s="105" t="str">
        <f>IFERROR(VLOOKUP(A408,'Salary Calculation'!A407:F1404,2,0),"")</f>
        <v/>
      </c>
      <c r="C408" s="105" t="str">
        <f>IFERROR(VLOOKUP(A408,'Salary Calculation'!$A$2:$V$999,3,0),"")</f>
        <v/>
      </c>
      <c r="D408" s="105" t="str">
        <f>IFERROR(VLOOKUP(A408,'Salary Calculation'!$A$2:$V$999,6,0),"")</f>
        <v/>
      </c>
      <c r="E408" s="105" t="str">
        <f>IFERROR(VLOOKUP(A408,'Salary Calculation'!$A$2:$V$999,10,0),"")</f>
        <v/>
      </c>
      <c r="F408" s="101"/>
      <c r="G408" s="106" t="str">
        <f>IFERROR(VLOOKUP(A408,'Salary Calculation'!$A$2:$V$999,7,0),"")</f>
        <v/>
      </c>
      <c r="H408" s="100"/>
      <c r="I408" s="101"/>
      <c r="J408" s="101"/>
      <c r="K408" s="101"/>
      <c r="L408" s="101"/>
      <c r="M408" s="101"/>
      <c r="N408" s="101"/>
      <c r="O408" s="101"/>
      <c r="P408" s="101"/>
      <c r="Q408" s="101"/>
      <c r="R408" s="101"/>
      <c r="S408" s="101"/>
      <c r="T408" s="101"/>
      <c r="U408" s="101"/>
      <c r="V408" s="101"/>
      <c r="W408" s="101"/>
      <c r="X408" s="101"/>
      <c r="Y408" s="101"/>
      <c r="Z408" s="101"/>
      <c r="AA408" s="101"/>
      <c r="AB408" s="101"/>
    </row>
    <row r="409">
      <c r="A409" s="104" t="s">
        <v>546</v>
      </c>
      <c r="B409" s="105" t="str">
        <f>IFERROR(VLOOKUP(A409,'Salary Calculation'!A408:F1405,2,0),"")</f>
        <v/>
      </c>
      <c r="C409" s="105" t="str">
        <f>IFERROR(VLOOKUP(A409,'Salary Calculation'!$A$2:$V$999,3,0),"")</f>
        <v/>
      </c>
      <c r="D409" s="105" t="str">
        <f>IFERROR(VLOOKUP(A409,'Salary Calculation'!$A$2:$V$999,6,0),"")</f>
        <v/>
      </c>
      <c r="E409" s="105" t="str">
        <f>IFERROR(VLOOKUP(A409,'Salary Calculation'!$A$2:$V$999,10,0),"")</f>
        <v/>
      </c>
      <c r="F409" s="101"/>
      <c r="G409" s="106" t="str">
        <f>IFERROR(VLOOKUP(A409,'Salary Calculation'!$A$2:$V$999,7,0),"")</f>
        <v/>
      </c>
      <c r="H409" s="100"/>
      <c r="I409" s="101"/>
      <c r="J409" s="101"/>
      <c r="K409" s="101"/>
      <c r="L409" s="101"/>
      <c r="M409" s="101"/>
      <c r="N409" s="101"/>
      <c r="O409" s="101"/>
      <c r="P409" s="101"/>
      <c r="Q409" s="101"/>
      <c r="R409" s="101"/>
      <c r="S409" s="101"/>
      <c r="T409" s="101"/>
      <c r="U409" s="101"/>
      <c r="V409" s="101"/>
      <c r="W409" s="101"/>
      <c r="X409" s="101"/>
      <c r="Y409" s="101"/>
      <c r="Z409" s="101"/>
      <c r="AA409" s="101"/>
      <c r="AB409" s="101"/>
    </row>
    <row r="410">
      <c r="A410" s="104" t="s">
        <v>547</v>
      </c>
      <c r="B410" s="105" t="str">
        <f>IFERROR(VLOOKUP(A410,'Salary Calculation'!A409:F1406,2,0),"")</f>
        <v/>
      </c>
      <c r="C410" s="105" t="str">
        <f>IFERROR(VLOOKUP(A410,'Salary Calculation'!$A$2:$V$999,3,0),"")</f>
        <v/>
      </c>
      <c r="D410" s="105" t="str">
        <f>IFERROR(VLOOKUP(A410,'Salary Calculation'!$A$2:$V$999,6,0),"")</f>
        <v/>
      </c>
      <c r="E410" s="105" t="str">
        <f>IFERROR(VLOOKUP(A410,'Salary Calculation'!$A$2:$V$999,10,0),"")</f>
        <v/>
      </c>
      <c r="F410" s="101"/>
      <c r="G410" s="106" t="str">
        <f>IFERROR(VLOOKUP(A410,'Salary Calculation'!$A$2:$V$999,7,0),"")</f>
        <v/>
      </c>
      <c r="H410" s="100"/>
      <c r="I410" s="101"/>
      <c r="J410" s="101"/>
      <c r="K410" s="101"/>
      <c r="L410" s="101"/>
      <c r="M410" s="101"/>
      <c r="N410" s="101"/>
      <c r="O410" s="101"/>
      <c r="P410" s="101"/>
      <c r="Q410" s="101"/>
      <c r="R410" s="101"/>
      <c r="S410" s="101"/>
      <c r="T410" s="101"/>
      <c r="U410" s="101"/>
      <c r="V410" s="101"/>
      <c r="W410" s="101"/>
      <c r="X410" s="101"/>
      <c r="Y410" s="101"/>
      <c r="Z410" s="101"/>
      <c r="AA410" s="101"/>
      <c r="AB410" s="101"/>
    </row>
    <row r="411">
      <c r="A411" s="104" t="s">
        <v>548</v>
      </c>
      <c r="B411" s="105" t="str">
        <f>IFERROR(VLOOKUP(A411,'Salary Calculation'!A410:F1407,2,0),"")</f>
        <v/>
      </c>
      <c r="C411" s="105" t="str">
        <f>IFERROR(VLOOKUP(A411,'Salary Calculation'!$A$2:$V$999,3,0),"")</f>
        <v/>
      </c>
      <c r="D411" s="105" t="str">
        <f>IFERROR(VLOOKUP(A411,'Salary Calculation'!$A$2:$V$999,6,0),"")</f>
        <v/>
      </c>
      <c r="E411" s="105" t="str">
        <f>IFERROR(VLOOKUP(A411,'Salary Calculation'!$A$2:$V$999,10,0),"")</f>
        <v/>
      </c>
      <c r="F411" s="101"/>
      <c r="G411" s="106" t="str">
        <f>IFERROR(VLOOKUP(A411,'Salary Calculation'!$A$2:$V$999,7,0),"")</f>
        <v/>
      </c>
      <c r="H411" s="100"/>
      <c r="I411" s="101"/>
      <c r="J411" s="101"/>
      <c r="K411" s="101"/>
      <c r="L411" s="101"/>
      <c r="M411" s="101"/>
      <c r="N411" s="101"/>
      <c r="O411" s="101"/>
      <c r="P411" s="101"/>
      <c r="Q411" s="101"/>
      <c r="R411" s="101"/>
      <c r="S411" s="101"/>
      <c r="T411" s="101"/>
      <c r="U411" s="101"/>
      <c r="V411" s="101"/>
      <c r="W411" s="101"/>
      <c r="X411" s="101"/>
      <c r="Y411" s="101"/>
      <c r="Z411" s="101"/>
      <c r="AA411" s="101"/>
      <c r="AB411" s="101"/>
    </row>
    <row r="412">
      <c r="A412" s="104" t="s">
        <v>549</v>
      </c>
      <c r="B412" s="105" t="str">
        <f>IFERROR(VLOOKUP(A412,'Salary Calculation'!A411:F1408,2,0),"")</f>
        <v/>
      </c>
      <c r="C412" s="105" t="str">
        <f>IFERROR(VLOOKUP(A412,'Salary Calculation'!$A$2:$V$999,3,0),"")</f>
        <v/>
      </c>
      <c r="D412" s="105" t="str">
        <f>IFERROR(VLOOKUP(A412,'Salary Calculation'!$A$2:$V$999,6,0),"")</f>
        <v/>
      </c>
      <c r="E412" s="105" t="str">
        <f>IFERROR(VLOOKUP(A412,'Salary Calculation'!$A$2:$V$999,10,0),"")</f>
        <v/>
      </c>
      <c r="F412" s="101"/>
      <c r="G412" s="106" t="str">
        <f>IFERROR(VLOOKUP(A412,'Salary Calculation'!$A$2:$V$999,7,0),"")</f>
        <v/>
      </c>
      <c r="H412" s="100"/>
      <c r="I412" s="101"/>
      <c r="J412" s="101"/>
      <c r="K412" s="101"/>
      <c r="L412" s="101"/>
      <c r="M412" s="101"/>
      <c r="N412" s="101"/>
      <c r="O412" s="101"/>
      <c r="P412" s="101"/>
      <c r="Q412" s="101"/>
      <c r="R412" s="101"/>
      <c r="S412" s="101"/>
      <c r="T412" s="101"/>
      <c r="U412" s="101"/>
      <c r="V412" s="101"/>
      <c r="W412" s="101"/>
      <c r="X412" s="101"/>
      <c r="Y412" s="101"/>
      <c r="Z412" s="101"/>
      <c r="AA412" s="101"/>
      <c r="AB412" s="101"/>
    </row>
    <row r="413">
      <c r="A413" s="104" t="s">
        <v>550</v>
      </c>
      <c r="B413" s="105" t="str">
        <f>IFERROR(VLOOKUP(A413,'Salary Calculation'!A412:F1409,2,0),"")</f>
        <v/>
      </c>
      <c r="C413" s="105" t="str">
        <f>IFERROR(VLOOKUP(A413,'Salary Calculation'!$A$2:$V$999,3,0),"")</f>
        <v/>
      </c>
      <c r="D413" s="105" t="str">
        <f>IFERROR(VLOOKUP(A413,'Salary Calculation'!$A$2:$V$999,6,0),"")</f>
        <v/>
      </c>
      <c r="E413" s="105" t="str">
        <f>IFERROR(VLOOKUP(A413,'Salary Calculation'!$A$2:$V$999,10,0),"")</f>
        <v/>
      </c>
      <c r="F413" s="101"/>
      <c r="G413" s="106" t="str">
        <f>IFERROR(VLOOKUP(A413,'Salary Calculation'!$A$2:$V$999,7,0),"")</f>
        <v/>
      </c>
      <c r="H413" s="100"/>
      <c r="I413" s="101"/>
      <c r="J413" s="101"/>
      <c r="K413" s="101"/>
      <c r="L413" s="101"/>
      <c r="M413" s="101"/>
      <c r="N413" s="101"/>
      <c r="O413" s="101"/>
      <c r="P413" s="101"/>
      <c r="Q413" s="101"/>
      <c r="R413" s="101"/>
      <c r="S413" s="101"/>
      <c r="T413" s="101"/>
      <c r="U413" s="101"/>
      <c r="V413" s="101"/>
      <c r="W413" s="101"/>
      <c r="X413" s="101"/>
      <c r="Y413" s="101"/>
      <c r="Z413" s="101"/>
      <c r="AA413" s="101"/>
      <c r="AB413" s="101"/>
    </row>
    <row r="414">
      <c r="A414" s="104" t="s">
        <v>551</v>
      </c>
      <c r="B414" s="105" t="str">
        <f>IFERROR(VLOOKUP(A414,'Salary Calculation'!A413:F1410,2,0),"")</f>
        <v/>
      </c>
      <c r="C414" s="105" t="str">
        <f>IFERROR(VLOOKUP(A414,'Salary Calculation'!$A$2:$V$999,3,0),"")</f>
        <v/>
      </c>
      <c r="D414" s="105" t="str">
        <f>IFERROR(VLOOKUP(A414,'Salary Calculation'!$A$2:$V$999,6,0),"")</f>
        <v/>
      </c>
      <c r="E414" s="105" t="str">
        <f>IFERROR(VLOOKUP(A414,'Salary Calculation'!$A$2:$V$999,10,0),"")</f>
        <v/>
      </c>
      <c r="F414" s="101"/>
      <c r="G414" s="106" t="str">
        <f>IFERROR(VLOOKUP(A414,'Salary Calculation'!$A$2:$V$999,7,0),"")</f>
        <v/>
      </c>
      <c r="H414" s="100"/>
      <c r="I414" s="101"/>
      <c r="J414" s="101"/>
      <c r="K414" s="101"/>
      <c r="L414" s="101"/>
      <c r="M414" s="101"/>
      <c r="N414" s="101"/>
      <c r="O414" s="101"/>
      <c r="P414" s="101"/>
      <c r="Q414" s="101"/>
      <c r="R414" s="101"/>
      <c r="S414" s="101"/>
      <c r="T414" s="101"/>
      <c r="U414" s="101"/>
      <c r="V414" s="101"/>
      <c r="W414" s="101"/>
      <c r="X414" s="101"/>
      <c r="Y414" s="101"/>
      <c r="Z414" s="101"/>
      <c r="AA414" s="101"/>
      <c r="AB414" s="101"/>
    </row>
    <row r="415">
      <c r="A415" s="104" t="s">
        <v>552</v>
      </c>
      <c r="B415" s="105" t="str">
        <f>IFERROR(VLOOKUP(A415,'Salary Calculation'!A414:F1411,2,0),"")</f>
        <v/>
      </c>
      <c r="C415" s="105" t="str">
        <f>IFERROR(VLOOKUP(A415,'Salary Calculation'!$A$2:$V$999,3,0),"")</f>
        <v/>
      </c>
      <c r="D415" s="105" t="str">
        <f>IFERROR(VLOOKUP(A415,'Salary Calculation'!$A$2:$V$999,6,0),"")</f>
        <v/>
      </c>
      <c r="E415" s="105" t="str">
        <f>IFERROR(VLOOKUP(A415,'Salary Calculation'!$A$2:$V$999,10,0),"")</f>
        <v/>
      </c>
      <c r="F415" s="101"/>
      <c r="G415" s="106" t="str">
        <f>IFERROR(VLOOKUP(A415,'Salary Calculation'!$A$2:$V$999,7,0),"")</f>
        <v/>
      </c>
      <c r="H415" s="100"/>
      <c r="I415" s="101"/>
      <c r="J415" s="101"/>
      <c r="K415" s="101"/>
      <c r="L415" s="101"/>
      <c r="M415" s="101"/>
      <c r="N415" s="101"/>
      <c r="O415" s="101"/>
      <c r="P415" s="101"/>
      <c r="Q415" s="101"/>
      <c r="R415" s="101"/>
      <c r="S415" s="101"/>
      <c r="T415" s="101"/>
      <c r="U415" s="101"/>
      <c r="V415" s="101"/>
      <c r="W415" s="101"/>
      <c r="X415" s="101"/>
      <c r="Y415" s="101"/>
      <c r="Z415" s="101"/>
      <c r="AA415" s="101"/>
      <c r="AB415" s="101"/>
    </row>
    <row r="416">
      <c r="A416" s="104" t="s">
        <v>553</v>
      </c>
      <c r="B416" s="105" t="str">
        <f>IFERROR(VLOOKUP(A416,'Salary Calculation'!A415:F1412,2,0),"")</f>
        <v/>
      </c>
      <c r="C416" s="105" t="str">
        <f>IFERROR(VLOOKUP(A416,'Salary Calculation'!$A$2:$V$999,3,0),"")</f>
        <v/>
      </c>
      <c r="D416" s="105" t="str">
        <f>IFERROR(VLOOKUP(A416,'Salary Calculation'!$A$2:$V$999,6,0),"")</f>
        <v/>
      </c>
      <c r="E416" s="105" t="str">
        <f>IFERROR(VLOOKUP(A416,'Salary Calculation'!$A$2:$V$999,10,0),"")</f>
        <v/>
      </c>
      <c r="F416" s="101"/>
      <c r="G416" s="106" t="str">
        <f>IFERROR(VLOOKUP(A416,'Salary Calculation'!$A$2:$V$999,7,0),"")</f>
        <v/>
      </c>
      <c r="H416" s="100"/>
      <c r="I416" s="101"/>
      <c r="J416" s="101"/>
      <c r="K416" s="101"/>
      <c r="L416" s="101"/>
      <c r="M416" s="101"/>
      <c r="N416" s="101"/>
      <c r="O416" s="101"/>
      <c r="P416" s="101"/>
      <c r="Q416" s="101"/>
      <c r="R416" s="101"/>
      <c r="S416" s="101"/>
      <c r="T416" s="101"/>
      <c r="U416" s="101"/>
      <c r="V416" s="101"/>
      <c r="W416" s="101"/>
      <c r="X416" s="101"/>
      <c r="Y416" s="101"/>
      <c r="Z416" s="101"/>
      <c r="AA416" s="101"/>
      <c r="AB416" s="101"/>
    </row>
    <row r="417">
      <c r="A417" s="104" t="s">
        <v>554</v>
      </c>
      <c r="B417" s="105" t="str">
        <f>IFERROR(VLOOKUP(A417,'Salary Calculation'!A416:F1413,2,0),"")</f>
        <v/>
      </c>
      <c r="C417" s="105" t="str">
        <f>IFERROR(VLOOKUP(A417,'Salary Calculation'!$A$2:$V$999,3,0),"")</f>
        <v/>
      </c>
      <c r="D417" s="105" t="str">
        <f>IFERROR(VLOOKUP(A417,'Salary Calculation'!$A$2:$V$999,6,0),"")</f>
        <v/>
      </c>
      <c r="E417" s="105" t="str">
        <f>IFERROR(VLOOKUP(A417,'Salary Calculation'!$A$2:$V$999,10,0),"")</f>
        <v/>
      </c>
      <c r="F417" s="101"/>
      <c r="G417" s="106" t="str">
        <f>IFERROR(VLOOKUP(A417,'Salary Calculation'!$A$2:$V$999,7,0),"")</f>
        <v/>
      </c>
      <c r="H417" s="100"/>
      <c r="I417" s="101"/>
      <c r="J417" s="101"/>
      <c r="K417" s="101"/>
      <c r="L417" s="101"/>
      <c r="M417" s="101"/>
      <c r="N417" s="101"/>
      <c r="O417" s="101"/>
      <c r="P417" s="101"/>
      <c r="Q417" s="101"/>
      <c r="R417" s="101"/>
      <c r="S417" s="101"/>
      <c r="T417" s="101"/>
      <c r="U417" s="101"/>
      <c r="V417" s="101"/>
      <c r="W417" s="101"/>
      <c r="X417" s="101"/>
      <c r="Y417" s="101"/>
      <c r="Z417" s="101"/>
      <c r="AA417" s="101"/>
      <c r="AB417" s="101"/>
    </row>
    <row r="418">
      <c r="A418" s="104" t="s">
        <v>555</v>
      </c>
      <c r="B418" s="105" t="str">
        <f>IFERROR(VLOOKUP(A418,'Salary Calculation'!A417:F1414,2,0),"")</f>
        <v/>
      </c>
      <c r="C418" s="105" t="str">
        <f>IFERROR(VLOOKUP(A418,'Salary Calculation'!$A$2:$V$999,3,0),"")</f>
        <v/>
      </c>
      <c r="D418" s="105" t="str">
        <f>IFERROR(VLOOKUP(A418,'Salary Calculation'!$A$2:$V$999,6,0),"")</f>
        <v/>
      </c>
      <c r="E418" s="105" t="str">
        <f>IFERROR(VLOOKUP(A418,'Salary Calculation'!$A$2:$V$999,10,0),"")</f>
        <v/>
      </c>
      <c r="F418" s="101"/>
      <c r="G418" s="106" t="str">
        <f>IFERROR(VLOOKUP(A418,'Salary Calculation'!$A$2:$V$999,7,0),"")</f>
        <v/>
      </c>
      <c r="H418" s="100"/>
      <c r="I418" s="101"/>
      <c r="J418" s="101"/>
      <c r="K418" s="101"/>
      <c r="L418" s="101"/>
      <c r="M418" s="101"/>
      <c r="N418" s="101"/>
      <c r="O418" s="101"/>
      <c r="P418" s="101"/>
      <c r="Q418" s="101"/>
      <c r="R418" s="101"/>
      <c r="S418" s="101"/>
      <c r="T418" s="101"/>
      <c r="U418" s="101"/>
      <c r="V418" s="101"/>
      <c r="W418" s="101"/>
      <c r="X418" s="101"/>
      <c r="Y418" s="101"/>
      <c r="Z418" s="101"/>
      <c r="AA418" s="101"/>
      <c r="AB418" s="101"/>
    </row>
    <row r="419">
      <c r="A419" s="104" t="s">
        <v>556</v>
      </c>
      <c r="B419" s="105" t="str">
        <f>IFERROR(VLOOKUP(A419,'Salary Calculation'!A418:F1415,2,0),"")</f>
        <v/>
      </c>
      <c r="C419" s="105" t="str">
        <f>IFERROR(VLOOKUP(A419,'Salary Calculation'!$A$2:$V$999,3,0),"")</f>
        <v/>
      </c>
      <c r="D419" s="105" t="str">
        <f>IFERROR(VLOOKUP(A419,'Salary Calculation'!$A$2:$V$999,6,0),"")</f>
        <v/>
      </c>
      <c r="E419" s="105" t="str">
        <f>IFERROR(VLOOKUP(A419,'Salary Calculation'!$A$2:$V$999,10,0),"")</f>
        <v/>
      </c>
      <c r="F419" s="101"/>
      <c r="G419" s="106" t="str">
        <f>IFERROR(VLOOKUP(A419,'Salary Calculation'!$A$2:$V$999,7,0),"")</f>
        <v/>
      </c>
      <c r="H419" s="100"/>
      <c r="I419" s="101"/>
      <c r="J419" s="101"/>
      <c r="K419" s="101"/>
      <c r="L419" s="101"/>
      <c r="M419" s="101"/>
      <c r="N419" s="101"/>
      <c r="O419" s="101"/>
      <c r="P419" s="101"/>
      <c r="Q419" s="101"/>
      <c r="R419" s="101"/>
      <c r="S419" s="101"/>
      <c r="T419" s="101"/>
      <c r="U419" s="101"/>
      <c r="V419" s="101"/>
      <c r="W419" s="101"/>
      <c r="X419" s="101"/>
      <c r="Y419" s="101"/>
      <c r="Z419" s="101"/>
      <c r="AA419" s="101"/>
      <c r="AB419" s="101"/>
    </row>
    <row r="420">
      <c r="A420" s="104" t="s">
        <v>557</v>
      </c>
      <c r="B420" s="105" t="str">
        <f>IFERROR(VLOOKUP(A420,'Salary Calculation'!A419:F1416,2,0),"")</f>
        <v/>
      </c>
      <c r="C420" s="105" t="str">
        <f>IFERROR(VLOOKUP(A420,'Salary Calculation'!$A$2:$V$999,3,0),"")</f>
        <v/>
      </c>
      <c r="D420" s="105" t="str">
        <f>IFERROR(VLOOKUP(A420,'Salary Calculation'!$A$2:$V$999,6,0),"")</f>
        <v/>
      </c>
      <c r="E420" s="105" t="str">
        <f>IFERROR(VLOOKUP(A420,'Salary Calculation'!$A$2:$V$999,10,0),"")</f>
        <v/>
      </c>
      <c r="F420" s="101"/>
      <c r="G420" s="106" t="str">
        <f>IFERROR(VLOOKUP(A420,'Salary Calculation'!$A$2:$V$999,7,0),"")</f>
        <v/>
      </c>
      <c r="H420" s="100"/>
      <c r="I420" s="101"/>
      <c r="J420" s="101"/>
      <c r="K420" s="101"/>
      <c r="L420" s="101"/>
      <c r="M420" s="101"/>
      <c r="N420" s="101"/>
      <c r="O420" s="101"/>
      <c r="P420" s="101"/>
      <c r="Q420" s="101"/>
      <c r="R420" s="101"/>
      <c r="S420" s="101"/>
      <c r="T420" s="101"/>
      <c r="U420" s="101"/>
      <c r="V420" s="101"/>
      <c r="W420" s="101"/>
      <c r="X420" s="101"/>
      <c r="Y420" s="101"/>
      <c r="Z420" s="101"/>
      <c r="AA420" s="101"/>
      <c r="AB420" s="101"/>
    </row>
    <row r="421">
      <c r="A421" s="104" t="s">
        <v>558</v>
      </c>
      <c r="B421" s="105" t="str">
        <f>IFERROR(VLOOKUP(A421,'Salary Calculation'!A420:F1417,2,0),"")</f>
        <v/>
      </c>
      <c r="C421" s="105" t="str">
        <f>IFERROR(VLOOKUP(A421,'Salary Calculation'!$A$2:$V$999,3,0),"")</f>
        <v/>
      </c>
      <c r="D421" s="105" t="str">
        <f>IFERROR(VLOOKUP(A421,'Salary Calculation'!$A$2:$V$999,6,0),"")</f>
        <v/>
      </c>
      <c r="E421" s="105" t="str">
        <f>IFERROR(VLOOKUP(A421,'Salary Calculation'!$A$2:$V$999,10,0),"")</f>
        <v/>
      </c>
      <c r="F421" s="101"/>
      <c r="G421" s="106" t="str">
        <f>IFERROR(VLOOKUP(A421,'Salary Calculation'!$A$2:$V$999,7,0),"")</f>
        <v/>
      </c>
      <c r="H421" s="100"/>
      <c r="I421" s="101"/>
      <c r="J421" s="101"/>
      <c r="K421" s="101"/>
      <c r="L421" s="101"/>
      <c r="M421" s="101"/>
      <c r="N421" s="101"/>
      <c r="O421" s="101"/>
      <c r="P421" s="101"/>
      <c r="Q421" s="101"/>
      <c r="R421" s="101"/>
      <c r="S421" s="101"/>
      <c r="T421" s="101"/>
      <c r="U421" s="101"/>
      <c r="V421" s="101"/>
      <c r="W421" s="101"/>
      <c r="X421" s="101"/>
      <c r="Y421" s="101"/>
      <c r="Z421" s="101"/>
      <c r="AA421" s="101"/>
      <c r="AB421" s="101"/>
    </row>
    <row r="422">
      <c r="A422" s="104" t="s">
        <v>559</v>
      </c>
      <c r="B422" s="105" t="str">
        <f>IFERROR(VLOOKUP(A422,'Salary Calculation'!A421:F1418,2,0),"")</f>
        <v/>
      </c>
      <c r="C422" s="105" t="str">
        <f>IFERROR(VLOOKUP(A422,'Salary Calculation'!$A$2:$V$999,3,0),"")</f>
        <v/>
      </c>
      <c r="D422" s="105" t="str">
        <f>IFERROR(VLOOKUP(A422,'Salary Calculation'!$A$2:$V$999,6,0),"")</f>
        <v/>
      </c>
      <c r="E422" s="105" t="str">
        <f>IFERROR(VLOOKUP(A422,'Salary Calculation'!$A$2:$V$999,10,0),"")</f>
        <v/>
      </c>
      <c r="F422" s="101"/>
      <c r="G422" s="106" t="str">
        <f>IFERROR(VLOOKUP(A422,'Salary Calculation'!$A$2:$V$999,7,0),"")</f>
        <v/>
      </c>
      <c r="H422" s="100"/>
      <c r="I422" s="101"/>
      <c r="J422" s="101"/>
      <c r="K422" s="101"/>
      <c r="L422" s="101"/>
      <c r="M422" s="101"/>
      <c r="N422" s="101"/>
      <c r="O422" s="101"/>
      <c r="P422" s="101"/>
      <c r="Q422" s="101"/>
      <c r="R422" s="101"/>
      <c r="S422" s="101"/>
      <c r="T422" s="101"/>
      <c r="U422" s="101"/>
      <c r="V422" s="101"/>
      <c r="W422" s="101"/>
      <c r="X422" s="101"/>
      <c r="Y422" s="101"/>
      <c r="Z422" s="101"/>
      <c r="AA422" s="101"/>
      <c r="AB422" s="101"/>
    </row>
    <row r="423">
      <c r="A423" s="104" t="s">
        <v>560</v>
      </c>
      <c r="B423" s="105" t="str">
        <f>IFERROR(VLOOKUP(A423,'Salary Calculation'!A422:F1419,2,0),"")</f>
        <v/>
      </c>
      <c r="C423" s="105" t="str">
        <f>IFERROR(VLOOKUP(A423,'Salary Calculation'!$A$2:$V$999,3,0),"")</f>
        <v/>
      </c>
      <c r="D423" s="105" t="str">
        <f>IFERROR(VLOOKUP(A423,'Salary Calculation'!$A$2:$V$999,6,0),"")</f>
        <v/>
      </c>
      <c r="E423" s="105" t="str">
        <f>IFERROR(VLOOKUP(A423,'Salary Calculation'!$A$2:$V$999,10,0),"")</f>
        <v/>
      </c>
      <c r="F423" s="101"/>
      <c r="G423" s="106" t="str">
        <f>IFERROR(VLOOKUP(A423,'Salary Calculation'!$A$2:$V$999,7,0),"")</f>
        <v/>
      </c>
      <c r="H423" s="100"/>
      <c r="I423" s="101"/>
      <c r="J423" s="101"/>
      <c r="K423" s="101"/>
      <c r="L423" s="101"/>
      <c r="M423" s="101"/>
      <c r="N423" s="101"/>
      <c r="O423" s="101"/>
      <c r="P423" s="101"/>
      <c r="Q423" s="101"/>
      <c r="R423" s="101"/>
      <c r="S423" s="101"/>
      <c r="T423" s="101"/>
      <c r="U423" s="101"/>
      <c r="V423" s="101"/>
      <c r="W423" s="101"/>
      <c r="X423" s="101"/>
      <c r="Y423" s="101"/>
      <c r="Z423" s="101"/>
      <c r="AA423" s="101"/>
      <c r="AB423" s="101"/>
    </row>
    <row r="424">
      <c r="A424" s="104" t="s">
        <v>561</v>
      </c>
      <c r="B424" s="105" t="str">
        <f>IFERROR(VLOOKUP(A424,'Salary Calculation'!A423:F1420,2,0),"")</f>
        <v/>
      </c>
      <c r="C424" s="105" t="str">
        <f>IFERROR(VLOOKUP(A424,'Salary Calculation'!$A$2:$V$999,3,0),"")</f>
        <v/>
      </c>
      <c r="D424" s="105" t="str">
        <f>IFERROR(VLOOKUP(A424,'Salary Calculation'!$A$2:$V$999,6,0),"")</f>
        <v/>
      </c>
      <c r="E424" s="105" t="str">
        <f>IFERROR(VLOOKUP(A424,'Salary Calculation'!$A$2:$V$999,10,0),"")</f>
        <v/>
      </c>
      <c r="F424" s="101"/>
      <c r="G424" s="106" t="str">
        <f>IFERROR(VLOOKUP(A424,'Salary Calculation'!$A$2:$V$999,7,0),"")</f>
        <v/>
      </c>
      <c r="H424" s="100"/>
      <c r="I424" s="101"/>
      <c r="J424" s="101"/>
      <c r="K424" s="101"/>
      <c r="L424" s="101"/>
      <c r="M424" s="101"/>
      <c r="N424" s="101"/>
      <c r="O424" s="101"/>
      <c r="P424" s="101"/>
      <c r="Q424" s="101"/>
      <c r="R424" s="101"/>
      <c r="S424" s="101"/>
      <c r="T424" s="101"/>
      <c r="U424" s="101"/>
      <c r="V424" s="101"/>
      <c r="W424" s="101"/>
      <c r="X424" s="101"/>
      <c r="Y424" s="101"/>
      <c r="Z424" s="101"/>
      <c r="AA424" s="101"/>
      <c r="AB424" s="101"/>
    </row>
    <row r="425">
      <c r="A425" s="104" t="s">
        <v>562</v>
      </c>
      <c r="B425" s="105" t="str">
        <f>IFERROR(VLOOKUP(A425,'Salary Calculation'!A424:F1421,2,0),"")</f>
        <v/>
      </c>
      <c r="C425" s="105" t="str">
        <f>IFERROR(VLOOKUP(A425,'Salary Calculation'!$A$2:$V$999,3,0),"")</f>
        <v/>
      </c>
      <c r="D425" s="105" t="str">
        <f>IFERROR(VLOOKUP(A425,'Salary Calculation'!$A$2:$V$999,6,0),"")</f>
        <v/>
      </c>
      <c r="E425" s="105" t="str">
        <f>IFERROR(VLOOKUP(A425,'Salary Calculation'!$A$2:$V$999,10,0),"")</f>
        <v/>
      </c>
      <c r="F425" s="101"/>
      <c r="G425" s="106" t="str">
        <f>IFERROR(VLOOKUP(A425,'Salary Calculation'!$A$2:$V$999,7,0),"")</f>
        <v/>
      </c>
      <c r="H425" s="100"/>
      <c r="I425" s="101"/>
      <c r="J425" s="101"/>
      <c r="K425" s="101"/>
      <c r="L425" s="101"/>
      <c r="M425" s="101"/>
      <c r="N425" s="101"/>
      <c r="O425" s="101"/>
      <c r="P425" s="101"/>
      <c r="Q425" s="101"/>
      <c r="R425" s="101"/>
      <c r="S425" s="101"/>
      <c r="T425" s="101"/>
      <c r="U425" s="101"/>
      <c r="V425" s="101"/>
      <c r="W425" s="101"/>
      <c r="X425" s="101"/>
      <c r="Y425" s="101"/>
      <c r="Z425" s="101"/>
      <c r="AA425" s="101"/>
      <c r="AB425" s="101"/>
    </row>
    <row r="426">
      <c r="A426" s="104" t="s">
        <v>563</v>
      </c>
      <c r="B426" s="105" t="str">
        <f>IFERROR(VLOOKUP(A426,'Salary Calculation'!A425:F1422,2,0),"")</f>
        <v/>
      </c>
      <c r="C426" s="105" t="str">
        <f>IFERROR(VLOOKUP(A426,'Salary Calculation'!$A$2:$V$999,3,0),"")</f>
        <v/>
      </c>
      <c r="D426" s="105" t="str">
        <f>IFERROR(VLOOKUP(A426,'Salary Calculation'!$A$2:$V$999,6,0),"")</f>
        <v/>
      </c>
      <c r="E426" s="105" t="str">
        <f>IFERROR(VLOOKUP(A426,'Salary Calculation'!$A$2:$V$999,10,0),"")</f>
        <v/>
      </c>
      <c r="F426" s="101"/>
      <c r="G426" s="106" t="str">
        <f>IFERROR(VLOOKUP(A426,'Salary Calculation'!$A$2:$V$999,7,0),"")</f>
        <v/>
      </c>
      <c r="H426" s="100"/>
      <c r="I426" s="101"/>
      <c r="J426" s="101"/>
      <c r="K426" s="101"/>
      <c r="L426" s="101"/>
      <c r="M426" s="101"/>
      <c r="N426" s="101"/>
      <c r="O426" s="101"/>
      <c r="P426" s="101"/>
      <c r="Q426" s="101"/>
      <c r="R426" s="101"/>
      <c r="S426" s="101"/>
      <c r="T426" s="101"/>
      <c r="U426" s="101"/>
      <c r="V426" s="101"/>
      <c r="W426" s="101"/>
      <c r="X426" s="101"/>
      <c r="Y426" s="101"/>
      <c r="Z426" s="101"/>
      <c r="AA426" s="101"/>
      <c r="AB426" s="101"/>
    </row>
    <row r="427">
      <c r="A427" s="104" t="s">
        <v>564</v>
      </c>
      <c r="B427" s="105" t="str">
        <f>IFERROR(VLOOKUP(A427,'Salary Calculation'!A426:F1423,2,0),"")</f>
        <v/>
      </c>
      <c r="C427" s="105" t="str">
        <f>IFERROR(VLOOKUP(A427,'Salary Calculation'!$A$2:$V$999,3,0),"")</f>
        <v/>
      </c>
      <c r="D427" s="105" t="str">
        <f>IFERROR(VLOOKUP(A427,'Salary Calculation'!$A$2:$V$999,6,0),"")</f>
        <v/>
      </c>
      <c r="E427" s="105" t="str">
        <f>IFERROR(VLOOKUP(A427,'Salary Calculation'!$A$2:$V$999,10,0),"")</f>
        <v/>
      </c>
      <c r="F427" s="101"/>
      <c r="G427" s="106" t="str">
        <f>IFERROR(VLOOKUP(A427,'Salary Calculation'!$A$2:$V$999,7,0),"")</f>
        <v/>
      </c>
      <c r="H427" s="100"/>
      <c r="I427" s="101"/>
      <c r="J427" s="101"/>
      <c r="K427" s="101"/>
      <c r="L427" s="101"/>
      <c r="M427" s="101"/>
      <c r="N427" s="101"/>
      <c r="O427" s="101"/>
      <c r="P427" s="101"/>
      <c r="Q427" s="101"/>
      <c r="R427" s="101"/>
      <c r="S427" s="101"/>
      <c r="T427" s="101"/>
      <c r="U427" s="101"/>
      <c r="V427" s="101"/>
      <c r="W427" s="101"/>
      <c r="X427" s="101"/>
      <c r="Y427" s="101"/>
      <c r="Z427" s="101"/>
      <c r="AA427" s="101"/>
      <c r="AB427" s="101"/>
    </row>
    <row r="428">
      <c r="A428" s="104" t="s">
        <v>565</v>
      </c>
      <c r="B428" s="105" t="str">
        <f>IFERROR(VLOOKUP(A428,'Salary Calculation'!A427:F1424,2,0),"")</f>
        <v/>
      </c>
      <c r="C428" s="105" t="str">
        <f>IFERROR(VLOOKUP(A428,'Salary Calculation'!$A$2:$V$999,3,0),"")</f>
        <v/>
      </c>
      <c r="D428" s="105" t="str">
        <f>IFERROR(VLOOKUP(A428,'Salary Calculation'!$A$2:$V$999,6,0),"")</f>
        <v/>
      </c>
      <c r="E428" s="105" t="str">
        <f>IFERROR(VLOOKUP(A428,'Salary Calculation'!$A$2:$V$999,10,0),"")</f>
        <v/>
      </c>
      <c r="F428" s="101"/>
      <c r="G428" s="106" t="str">
        <f>IFERROR(VLOOKUP(A428,'Salary Calculation'!$A$2:$V$999,7,0),"")</f>
        <v/>
      </c>
      <c r="H428" s="100"/>
      <c r="I428" s="101"/>
      <c r="J428" s="101"/>
      <c r="K428" s="101"/>
      <c r="L428" s="101"/>
      <c r="M428" s="101"/>
      <c r="N428" s="101"/>
      <c r="O428" s="101"/>
      <c r="P428" s="101"/>
      <c r="Q428" s="101"/>
      <c r="R428" s="101"/>
      <c r="S428" s="101"/>
      <c r="T428" s="101"/>
      <c r="U428" s="101"/>
      <c r="V428" s="101"/>
      <c r="W428" s="101"/>
      <c r="X428" s="101"/>
      <c r="Y428" s="101"/>
      <c r="Z428" s="101"/>
      <c r="AA428" s="101"/>
      <c r="AB428" s="101"/>
    </row>
    <row r="429">
      <c r="A429" s="104" t="s">
        <v>566</v>
      </c>
      <c r="B429" s="105" t="str">
        <f>IFERROR(VLOOKUP(A429,'Salary Calculation'!A428:F1425,2,0),"")</f>
        <v/>
      </c>
      <c r="C429" s="105" t="str">
        <f>IFERROR(VLOOKUP(A429,'Salary Calculation'!$A$2:$V$999,3,0),"")</f>
        <v/>
      </c>
      <c r="D429" s="105" t="str">
        <f>IFERROR(VLOOKUP(A429,'Salary Calculation'!$A$2:$V$999,6,0),"")</f>
        <v/>
      </c>
      <c r="E429" s="105" t="str">
        <f>IFERROR(VLOOKUP(A429,'Salary Calculation'!$A$2:$V$999,10,0),"")</f>
        <v/>
      </c>
      <c r="F429" s="101"/>
      <c r="G429" s="106" t="str">
        <f>IFERROR(VLOOKUP(A429,'Salary Calculation'!$A$2:$V$999,7,0),"")</f>
        <v/>
      </c>
      <c r="H429" s="100"/>
      <c r="I429" s="101"/>
      <c r="J429" s="101"/>
      <c r="K429" s="101"/>
      <c r="L429" s="101"/>
      <c r="M429" s="101"/>
      <c r="N429" s="101"/>
      <c r="O429" s="101"/>
      <c r="P429" s="101"/>
      <c r="Q429" s="101"/>
      <c r="R429" s="101"/>
      <c r="S429" s="101"/>
      <c r="T429" s="101"/>
      <c r="U429" s="101"/>
      <c r="V429" s="101"/>
      <c r="W429" s="101"/>
      <c r="X429" s="101"/>
      <c r="Y429" s="101"/>
      <c r="Z429" s="101"/>
      <c r="AA429" s="101"/>
      <c r="AB429" s="101"/>
    </row>
    <row r="430">
      <c r="A430" s="104" t="s">
        <v>567</v>
      </c>
      <c r="B430" s="105" t="str">
        <f>IFERROR(VLOOKUP(A430,'Salary Calculation'!A429:F1426,2,0),"")</f>
        <v/>
      </c>
      <c r="C430" s="105" t="str">
        <f>IFERROR(VLOOKUP(A430,'Salary Calculation'!$A$2:$V$999,3,0),"")</f>
        <v/>
      </c>
      <c r="D430" s="105" t="str">
        <f>IFERROR(VLOOKUP(A430,'Salary Calculation'!$A$2:$V$999,6,0),"")</f>
        <v/>
      </c>
      <c r="E430" s="105" t="str">
        <f>IFERROR(VLOOKUP(A430,'Salary Calculation'!$A$2:$V$999,10,0),"")</f>
        <v/>
      </c>
      <c r="F430" s="101"/>
      <c r="G430" s="106" t="str">
        <f>IFERROR(VLOOKUP(A430,'Salary Calculation'!$A$2:$V$999,7,0),"")</f>
        <v/>
      </c>
      <c r="H430" s="100"/>
      <c r="I430" s="101"/>
      <c r="J430" s="101"/>
      <c r="K430" s="101"/>
      <c r="L430" s="101"/>
      <c r="M430" s="101"/>
      <c r="N430" s="101"/>
      <c r="O430" s="101"/>
      <c r="P430" s="101"/>
      <c r="Q430" s="101"/>
      <c r="R430" s="101"/>
      <c r="S430" s="101"/>
      <c r="T430" s="101"/>
      <c r="U430" s="101"/>
      <c r="V430" s="101"/>
      <c r="W430" s="101"/>
      <c r="X430" s="101"/>
      <c r="Y430" s="101"/>
      <c r="Z430" s="101"/>
      <c r="AA430" s="101"/>
      <c r="AB430" s="101"/>
    </row>
    <row r="431">
      <c r="A431" s="104" t="s">
        <v>568</v>
      </c>
      <c r="B431" s="105" t="str">
        <f>IFERROR(VLOOKUP(A431,'Salary Calculation'!A430:F1427,2,0),"")</f>
        <v/>
      </c>
      <c r="C431" s="105" t="str">
        <f>IFERROR(VLOOKUP(A431,'Salary Calculation'!$A$2:$V$999,3,0),"")</f>
        <v/>
      </c>
      <c r="D431" s="105" t="str">
        <f>IFERROR(VLOOKUP(A431,'Salary Calculation'!$A$2:$V$999,6,0),"")</f>
        <v/>
      </c>
      <c r="E431" s="105" t="str">
        <f>IFERROR(VLOOKUP(A431,'Salary Calculation'!$A$2:$V$999,10,0),"")</f>
        <v/>
      </c>
      <c r="F431" s="101"/>
      <c r="G431" s="106" t="str">
        <f>IFERROR(VLOOKUP(A431,'Salary Calculation'!$A$2:$V$999,7,0),"")</f>
        <v/>
      </c>
      <c r="H431" s="100"/>
      <c r="I431" s="101"/>
      <c r="J431" s="101"/>
      <c r="K431" s="101"/>
      <c r="L431" s="101"/>
      <c r="M431" s="101"/>
      <c r="N431" s="101"/>
      <c r="O431" s="101"/>
      <c r="P431" s="101"/>
      <c r="Q431" s="101"/>
      <c r="R431" s="101"/>
      <c r="S431" s="101"/>
      <c r="T431" s="101"/>
      <c r="U431" s="101"/>
      <c r="V431" s="101"/>
      <c r="W431" s="101"/>
      <c r="X431" s="101"/>
      <c r="Y431" s="101"/>
      <c r="Z431" s="101"/>
      <c r="AA431" s="101"/>
      <c r="AB431" s="101"/>
    </row>
    <row r="432">
      <c r="A432" s="104" t="s">
        <v>569</v>
      </c>
      <c r="B432" s="105" t="str">
        <f>IFERROR(VLOOKUP(A432,'Salary Calculation'!A431:F1428,2,0),"")</f>
        <v/>
      </c>
      <c r="C432" s="105" t="str">
        <f>IFERROR(VLOOKUP(A432,'Salary Calculation'!$A$2:$V$999,3,0),"")</f>
        <v/>
      </c>
      <c r="D432" s="105" t="str">
        <f>IFERROR(VLOOKUP(A432,'Salary Calculation'!$A$2:$V$999,6,0),"")</f>
        <v/>
      </c>
      <c r="E432" s="105" t="str">
        <f>IFERROR(VLOOKUP(A432,'Salary Calculation'!$A$2:$V$999,10,0),"")</f>
        <v/>
      </c>
      <c r="F432" s="101"/>
      <c r="G432" s="106" t="str">
        <f>IFERROR(VLOOKUP(A432,'Salary Calculation'!$A$2:$V$999,7,0),"")</f>
        <v/>
      </c>
      <c r="H432" s="100"/>
      <c r="I432" s="101"/>
      <c r="J432" s="101"/>
      <c r="K432" s="101"/>
      <c r="L432" s="101"/>
      <c r="M432" s="101"/>
      <c r="N432" s="101"/>
      <c r="O432" s="101"/>
      <c r="P432" s="101"/>
      <c r="Q432" s="101"/>
      <c r="R432" s="101"/>
      <c r="S432" s="101"/>
      <c r="T432" s="101"/>
      <c r="U432" s="101"/>
      <c r="V432" s="101"/>
      <c r="W432" s="101"/>
      <c r="X432" s="101"/>
      <c r="Y432" s="101"/>
      <c r="Z432" s="101"/>
      <c r="AA432" s="101"/>
      <c r="AB432" s="101"/>
    </row>
    <row r="433">
      <c r="A433" s="104" t="s">
        <v>570</v>
      </c>
      <c r="B433" s="105" t="str">
        <f>IFERROR(VLOOKUP(A433,'Salary Calculation'!A432:F1429,2,0),"")</f>
        <v/>
      </c>
      <c r="C433" s="105" t="str">
        <f>IFERROR(VLOOKUP(A433,'Salary Calculation'!$A$2:$V$999,3,0),"")</f>
        <v/>
      </c>
      <c r="D433" s="105" t="str">
        <f>IFERROR(VLOOKUP(A433,'Salary Calculation'!$A$2:$V$999,6,0),"")</f>
        <v/>
      </c>
      <c r="E433" s="105" t="str">
        <f>IFERROR(VLOOKUP(A433,'Salary Calculation'!$A$2:$V$999,10,0),"")</f>
        <v/>
      </c>
      <c r="F433" s="101"/>
      <c r="G433" s="106" t="str">
        <f>IFERROR(VLOOKUP(A433,'Salary Calculation'!$A$2:$V$999,7,0),"")</f>
        <v/>
      </c>
      <c r="H433" s="100"/>
      <c r="I433" s="101"/>
      <c r="J433" s="101"/>
      <c r="K433" s="101"/>
      <c r="L433" s="101"/>
      <c r="M433" s="101"/>
      <c r="N433" s="101"/>
      <c r="O433" s="101"/>
      <c r="P433" s="101"/>
      <c r="Q433" s="101"/>
      <c r="R433" s="101"/>
      <c r="S433" s="101"/>
      <c r="T433" s="101"/>
      <c r="U433" s="101"/>
      <c r="V433" s="101"/>
      <c r="W433" s="101"/>
      <c r="X433" s="101"/>
      <c r="Y433" s="101"/>
      <c r="Z433" s="101"/>
      <c r="AA433" s="101"/>
      <c r="AB433" s="101"/>
    </row>
    <row r="434">
      <c r="A434" s="104" t="s">
        <v>571</v>
      </c>
      <c r="B434" s="105" t="str">
        <f>IFERROR(VLOOKUP(A434,'Salary Calculation'!A433:F1430,2,0),"")</f>
        <v/>
      </c>
      <c r="C434" s="105" t="str">
        <f>IFERROR(VLOOKUP(A434,'Salary Calculation'!$A$2:$V$999,3,0),"")</f>
        <v/>
      </c>
      <c r="D434" s="105" t="str">
        <f>IFERROR(VLOOKUP(A434,'Salary Calculation'!$A$2:$V$999,6,0),"")</f>
        <v/>
      </c>
      <c r="E434" s="105" t="str">
        <f>IFERROR(VLOOKUP(A434,'Salary Calculation'!$A$2:$V$999,10,0),"")</f>
        <v/>
      </c>
      <c r="F434" s="101"/>
      <c r="G434" s="106" t="str">
        <f>IFERROR(VLOOKUP(A434,'Salary Calculation'!$A$2:$V$999,7,0),"")</f>
        <v/>
      </c>
      <c r="H434" s="100"/>
      <c r="I434" s="101"/>
      <c r="J434" s="101"/>
      <c r="K434" s="101"/>
      <c r="L434" s="101"/>
      <c r="M434" s="101"/>
      <c r="N434" s="101"/>
      <c r="O434" s="101"/>
      <c r="P434" s="101"/>
      <c r="Q434" s="101"/>
      <c r="R434" s="101"/>
      <c r="S434" s="101"/>
      <c r="T434" s="101"/>
      <c r="U434" s="101"/>
      <c r="V434" s="101"/>
      <c r="W434" s="101"/>
      <c r="X434" s="101"/>
      <c r="Y434" s="101"/>
      <c r="Z434" s="101"/>
      <c r="AA434" s="101"/>
      <c r="AB434" s="101"/>
    </row>
    <row r="435">
      <c r="A435" s="104" t="s">
        <v>572</v>
      </c>
      <c r="B435" s="105" t="str">
        <f>IFERROR(VLOOKUP(A435,'Salary Calculation'!A434:F1431,2,0),"")</f>
        <v/>
      </c>
      <c r="C435" s="105" t="str">
        <f>IFERROR(VLOOKUP(A435,'Salary Calculation'!$A$2:$V$999,3,0),"")</f>
        <v/>
      </c>
      <c r="D435" s="105" t="str">
        <f>IFERROR(VLOOKUP(A435,'Salary Calculation'!$A$2:$V$999,6,0),"")</f>
        <v/>
      </c>
      <c r="E435" s="105" t="str">
        <f>IFERROR(VLOOKUP(A435,'Salary Calculation'!$A$2:$V$999,10,0),"")</f>
        <v/>
      </c>
      <c r="F435" s="101"/>
      <c r="G435" s="106" t="str">
        <f>IFERROR(VLOOKUP(A435,'Salary Calculation'!$A$2:$V$999,7,0),"")</f>
        <v/>
      </c>
      <c r="H435" s="100"/>
      <c r="I435" s="101"/>
      <c r="J435" s="101"/>
      <c r="K435" s="101"/>
      <c r="L435" s="101"/>
      <c r="M435" s="101"/>
      <c r="N435" s="101"/>
      <c r="O435" s="101"/>
      <c r="P435" s="101"/>
      <c r="Q435" s="101"/>
      <c r="R435" s="101"/>
      <c r="S435" s="101"/>
      <c r="T435" s="101"/>
      <c r="U435" s="101"/>
      <c r="V435" s="101"/>
      <c r="W435" s="101"/>
      <c r="X435" s="101"/>
      <c r="Y435" s="101"/>
      <c r="Z435" s="101"/>
      <c r="AA435" s="101"/>
      <c r="AB435" s="101"/>
    </row>
    <row r="436">
      <c r="A436" s="104" t="s">
        <v>573</v>
      </c>
      <c r="B436" s="105" t="str">
        <f>IFERROR(VLOOKUP(A436,'Salary Calculation'!A435:F1432,2,0),"")</f>
        <v/>
      </c>
      <c r="C436" s="105" t="str">
        <f>IFERROR(VLOOKUP(A436,'Salary Calculation'!$A$2:$V$999,3,0),"")</f>
        <v/>
      </c>
      <c r="D436" s="105" t="str">
        <f>IFERROR(VLOOKUP(A436,'Salary Calculation'!$A$2:$V$999,6,0),"")</f>
        <v/>
      </c>
      <c r="E436" s="105" t="str">
        <f>IFERROR(VLOOKUP(A436,'Salary Calculation'!$A$2:$V$999,10,0),"")</f>
        <v/>
      </c>
      <c r="F436" s="101"/>
      <c r="G436" s="106" t="str">
        <f>IFERROR(VLOOKUP(A436,'Salary Calculation'!$A$2:$V$999,7,0),"")</f>
        <v/>
      </c>
      <c r="H436" s="100"/>
      <c r="I436" s="101"/>
      <c r="J436" s="101"/>
      <c r="K436" s="101"/>
      <c r="L436" s="101"/>
      <c r="M436" s="101"/>
      <c r="N436" s="101"/>
      <c r="O436" s="101"/>
      <c r="P436" s="101"/>
      <c r="Q436" s="101"/>
      <c r="R436" s="101"/>
      <c r="S436" s="101"/>
      <c r="T436" s="101"/>
      <c r="U436" s="101"/>
      <c r="V436" s="101"/>
      <c r="W436" s="101"/>
      <c r="X436" s="101"/>
      <c r="Y436" s="101"/>
      <c r="Z436" s="101"/>
      <c r="AA436" s="101"/>
      <c r="AB436" s="101"/>
    </row>
    <row r="437">
      <c r="A437" s="104" t="s">
        <v>574</v>
      </c>
      <c r="B437" s="105" t="str">
        <f>IFERROR(VLOOKUP(A437,'Salary Calculation'!A436:F1433,2,0),"")</f>
        <v/>
      </c>
      <c r="C437" s="105" t="str">
        <f>IFERROR(VLOOKUP(A437,'Salary Calculation'!$A$2:$V$999,3,0),"")</f>
        <v/>
      </c>
      <c r="D437" s="105" t="str">
        <f>IFERROR(VLOOKUP(A437,'Salary Calculation'!$A$2:$V$999,6,0),"")</f>
        <v/>
      </c>
      <c r="E437" s="105" t="str">
        <f>IFERROR(VLOOKUP(A437,'Salary Calculation'!$A$2:$V$999,10,0),"")</f>
        <v/>
      </c>
      <c r="F437" s="101"/>
      <c r="G437" s="106" t="str">
        <f>IFERROR(VLOOKUP(A437,'Salary Calculation'!$A$2:$V$999,7,0),"")</f>
        <v/>
      </c>
      <c r="H437" s="100"/>
      <c r="I437" s="101"/>
      <c r="J437" s="101"/>
      <c r="K437" s="101"/>
      <c r="L437" s="101"/>
      <c r="M437" s="101"/>
      <c r="N437" s="101"/>
      <c r="O437" s="101"/>
      <c r="P437" s="101"/>
      <c r="Q437" s="101"/>
      <c r="R437" s="101"/>
      <c r="S437" s="101"/>
      <c r="T437" s="101"/>
      <c r="U437" s="101"/>
      <c r="V437" s="101"/>
      <c r="W437" s="101"/>
      <c r="X437" s="101"/>
      <c r="Y437" s="101"/>
      <c r="Z437" s="101"/>
      <c r="AA437" s="101"/>
      <c r="AB437" s="101"/>
    </row>
    <row r="438">
      <c r="A438" s="104" t="s">
        <v>575</v>
      </c>
      <c r="B438" s="105" t="str">
        <f>IFERROR(VLOOKUP(A438,'Salary Calculation'!A437:F1434,2,0),"")</f>
        <v/>
      </c>
      <c r="C438" s="105" t="str">
        <f>IFERROR(VLOOKUP(A438,'Salary Calculation'!$A$2:$V$999,3,0),"")</f>
        <v/>
      </c>
      <c r="D438" s="105" t="str">
        <f>IFERROR(VLOOKUP(A438,'Salary Calculation'!$A$2:$V$999,6,0),"")</f>
        <v/>
      </c>
      <c r="E438" s="105" t="str">
        <f>IFERROR(VLOOKUP(A438,'Salary Calculation'!$A$2:$V$999,10,0),"")</f>
        <v/>
      </c>
      <c r="F438" s="101"/>
      <c r="G438" s="106" t="str">
        <f>IFERROR(VLOOKUP(A438,'Salary Calculation'!$A$2:$V$999,7,0),"")</f>
        <v/>
      </c>
      <c r="H438" s="100"/>
      <c r="I438" s="101"/>
      <c r="J438" s="101"/>
      <c r="K438" s="101"/>
      <c r="L438" s="101"/>
      <c r="M438" s="101"/>
      <c r="N438" s="101"/>
      <c r="O438" s="101"/>
      <c r="P438" s="101"/>
      <c r="Q438" s="101"/>
      <c r="R438" s="101"/>
      <c r="S438" s="101"/>
      <c r="T438" s="101"/>
      <c r="U438" s="101"/>
      <c r="V438" s="101"/>
      <c r="W438" s="101"/>
      <c r="X438" s="101"/>
      <c r="Y438" s="101"/>
      <c r="Z438" s="101"/>
      <c r="AA438" s="101"/>
      <c r="AB438" s="101"/>
    </row>
    <row r="439">
      <c r="A439" s="104" t="s">
        <v>576</v>
      </c>
      <c r="B439" s="105" t="str">
        <f>IFERROR(VLOOKUP(A439,'Salary Calculation'!A438:F1435,2,0),"")</f>
        <v/>
      </c>
      <c r="C439" s="105" t="str">
        <f>IFERROR(VLOOKUP(A439,'Salary Calculation'!$A$2:$V$999,3,0),"")</f>
        <v/>
      </c>
      <c r="D439" s="105" t="str">
        <f>IFERROR(VLOOKUP(A439,'Salary Calculation'!$A$2:$V$999,6,0),"")</f>
        <v/>
      </c>
      <c r="E439" s="105" t="str">
        <f>IFERROR(VLOOKUP(A439,'Salary Calculation'!$A$2:$V$999,10,0),"")</f>
        <v/>
      </c>
      <c r="F439" s="101"/>
      <c r="G439" s="106" t="str">
        <f>IFERROR(VLOOKUP(A439,'Salary Calculation'!$A$2:$V$999,7,0),"")</f>
        <v/>
      </c>
      <c r="H439" s="100"/>
      <c r="I439" s="101"/>
      <c r="J439" s="101"/>
      <c r="K439" s="101"/>
      <c r="L439" s="101"/>
      <c r="M439" s="101"/>
      <c r="N439" s="101"/>
      <c r="O439" s="101"/>
      <c r="P439" s="101"/>
      <c r="Q439" s="101"/>
      <c r="R439" s="101"/>
      <c r="S439" s="101"/>
      <c r="T439" s="101"/>
      <c r="U439" s="101"/>
      <c r="V439" s="101"/>
      <c r="W439" s="101"/>
      <c r="X439" s="101"/>
      <c r="Y439" s="101"/>
      <c r="Z439" s="101"/>
      <c r="AA439" s="101"/>
      <c r="AB439" s="101"/>
    </row>
    <row r="440">
      <c r="A440" s="104" t="s">
        <v>577</v>
      </c>
      <c r="B440" s="105" t="str">
        <f>IFERROR(VLOOKUP(A440,'Salary Calculation'!A439:F1436,2,0),"")</f>
        <v/>
      </c>
      <c r="C440" s="105" t="str">
        <f>IFERROR(VLOOKUP(A440,'Salary Calculation'!$A$2:$V$999,3,0),"")</f>
        <v/>
      </c>
      <c r="D440" s="105" t="str">
        <f>IFERROR(VLOOKUP(A440,'Salary Calculation'!$A$2:$V$999,6,0),"")</f>
        <v/>
      </c>
      <c r="E440" s="105" t="str">
        <f>IFERROR(VLOOKUP(A440,'Salary Calculation'!$A$2:$V$999,10,0),"")</f>
        <v/>
      </c>
      <c r="F440" s="101"/>
      <c r="G440" s="106" t="str">
        <f>IFERROR(VLOOKUP(A440,'Salary Calculation'!$A$2:$V$999,7,0),"")</f>
        <v/>
      </c>
      <c r="H440" s="100"/>
      <c r="I440" s="101"/>
      <c r="J440" s="101"/>
      <c r="K440" s="101"/>
      <c r="L440" s="101"/>
      <c r="M440" s="101"/>
      <c r="N440" s="101"/>
      <c r="O440" s="101"/>
      <c r="P440" s="101"/>
      <c r="Q440" s="101"/>
      <c r="R440" s="101"/>
      <c r="S440" s="101"/>
      <c r="T440" s="101"/>
      <c r="U440" s="101"/>
      <c r="V440" s="101"/>
      <c r="W440" s="101"/>
      <c r="X440" s="101"/>
      <c r="Y440" s="101"/>
      <c r="Z440" s="101"/>
      <c r="AA440" s="101"/>
      <c r="AB440" s="101"/>
    </row>
    <row r="441">
      <c r="A441" s="104" t="s">
        <v>578</v>
      </c>
      <c r="B441" s="105" t="str">
        <f>IFERROR(VLOOKUP(A441,'Salary Calculation'!A440:F1437,2,0),"")</f>
        <v/>
      </c>
      <c r="C441" s="105" t="str">
        <f>IFERROR(VLOOKUP(A441,'Salary Calculation'!$A$2:$V$999,3,0),"")</f>
        <v/>
      </c>
      <c r="D441" s="105" t="str">
        <f>IFERROR(VLOOKUP(A441,'Salary Calculation'!$A$2:$V$999,6,0),"")</f>
        <v/>
      </c>
      <c r="E441" s="105" t="str">
        <f>IFERROR(VLOOKUP(A441,'Salary Calculation'!$A$2:$V$999,10,0),"")</f>
        <v/>
      </c>
      <c r="F441" s="101"/>
      <c r="G441" s="106" t="str">
        <f>IFERROR(VLOOKUP(A441,'Salary Calculation'!$A$2:$V$999,7,0),"")</f>
        <v/>
      </c>
      <c r="H441" s="100"/>
      <c r="I441" s="101"/>
      <c r="J441" s="101"/>
      <c r="K441" s="101"/>
      <c r="L441" s="101"/>
      <c r="M441" s="101"/>
      <c r="N441" s="101"/>
      <c r="O441" s="101"/>
      <c r="P441" s="101"/>
      <c r="Q441" s="101"/>
      <c r="R441" s="101"/>
      <c r="S441" s="101"/>
      <c r="T441" s="101"/>
      <c r="U441" s="101"/>
      <c r="V441" s="101"/>
      <c r="W441" s="101"/>
      <c r="X441" s="101"/>
      <c r="Y441" s="101"/>
      <c r="Z441" s="101"/>
      <c r="AA441" s="101"/>
      <c r="AB441" s="101"/>
    </row>
    <row r="442">
      <c r="A442" s="104" t="s">
        <v>579</v>
      </c>
      <c r="B442" s="105" t="str">
        <f>IFERROR(VLOOKUP(A442,'Salary Calculation'!A441:F1438,2,0),"")</f>
        <v/>
      </c>
      <c r="C442" s="105" t="str">
        <f>IFERROR(VLOOKUP(A442,'Salary Calculation'!$A$2:$V$999,3,0),"")</f>
        <v/>
      </c>
      <c r="D442" s="105" t="str">
        <f>IFERROR(VLOOKUP(A442,'Salary Calculation'!$A$2:$V$999,6,0),"")</f>
        <v/>
      </c>
      <c r="E442" s="105" t="str">
        <f>IFERROR(VLOOKUP(A442,'Salary Calculation'!$A$2:$V$999,10,0),"")</f>
        <v/>
      </c>
      <c r="F442" s="101"/>
      <c r="G442" s="106" t="str">
        <f>IFERROR(VLOOKUP(A442,'Salary Calculation'!$A$2:$V$999,7,0),"")</f>
        <v/>
      </c>
      <c r="H442" s="100"/>
      <c r="I442" s="101"/>
      <c r="J442" s="101"/>
      <c r="K442" s="101"/>
      <c r="L442" s="101"/>
      <c r="M442" s="101"/>
      <c r="N442" s="101"/>
      <c r="O442" s="101"/>
      <c r="P442" s="101"/>
      <c r="Q442" s="101"/>
      <c r="R442" s="101"/>
      <c r="S442" s="101"/>
      <c r="T442" s="101"/>
      <c r="U442" s="101"/>
      <c r="V442" s="101"/>
      <c r="W442" s="101"/>
      <c r="X442" s="101"/>
      <c r="Y442" s="101"/>
      <c r="Z442" s="101"/>
      <c r="AA442" s="101"/>
      <c r="AB442" s="101"/>
    </row>
    <row r="443">
      <c r="A443" s="104" t="s">
        <v>580</v>
      </c>
      <c r="B443" s="105" t="str">
        <f>IFERROR(VLOOKUP(A443,'Salary Calculation'!A442:F1439,2,0),"")</f>
        <v/>
      </c>
      <c r="C443" s="105" t="str">
        <f>IFERROR(VLOOKUP(A443,'Salary Calculation'!$A$2:$V$999,3,0),"")</f>
        <v/>
      </c>
      <c r="D443" s="105" t="str">
        <f>IFERROR(VLOOKUP(A443,'Salary Calculation'!$A$2:$V$999,6,0),"")</f>
        <v/>
      </c>
      <c r="E443" s="105" t="str">
        <f>IFERROR(VLOOKUP(A443,'Salary Calculation'!$A$2:$V$999,10,0),"")</f>
        <v/>
      </c>
      <c r="F443" s="101"/>
      <c r="G443" s="106" t="str">
        <f>IFERROR(VLOOKUP(A443,'Salary Calculation'!$A$2:$V$999,7,0),"")</f>
        <v/>
      </c>
      <c r="H443" s="100"/>
      <c r="I443" s="101"/>
      <c r="J443" s="101"/>
      <c r="K443" s="101"/>
      <c r="L443" s="101"/>
      <c r="M443" s="101"/>
      <c r="N443" s="101"/>
      <c r="O443" s="101"/>
      <c r="P443" s="101"/>
      <c r="Q443" s="101"/>
      <c r="R443" s="101"/>
      <c r="S443" s="101"/>
      <c r="T443" s="101"/>
      <c r="U443" s="101"/>
      <c r="V443" s="101"/>
      <c r="W443" s="101"/>
      <c r="X443" s="101"/>
      <c r="Y443" s="101"/>
      <c r="Z443" s="101"/>
      <c r="AA443" s="101"/>
      <c r="AB443" s="101"/>
    </row>
    <row r="444">
      <c r="A444" s="104" t="s">
        <v>581</v>
      </c>
      <c r="B444" s="105" t="str">
        <f>IFERROR(VLOOKUP(A444,'Salary Calculation'!A443:F1440,2,0),"")</f>
        <v/>
      </c>
      <c r="C444" s="105" t="str">
        <f>IFERROR(VLOOKUP(A444,'Salary Calculation'!$A$2:$V$999,3,0),"")</f>
        <v/>
      </c>
      <c r="D444" s="105" t="str">
        <f>IFERROR(VLOOKUP(A444,'Salary Calculation'!$A$2:$V$999,6,0),"")</f>
        <v/>
      </c>
      <c r="E444" s="105" t="str">
        <f>IFERROR(VLOOKUP(A444,'Salary Calculation'!$A$2:$V$999,10,0),"")</f>
        <v/>
      </c>
      <c r="F444" s="101"/>
      <c r="G444" s="106" t="str">
        <f>IFERROR(VLOOKUP(A444,'Salary Calculation'!$A$2:$V$999,7,0),"")</f>
        <v/>
      </c>
      <c r="H444" s="100"/>
      <c r="I444" s="101"/>
      <c r="J444" s="101"/>
      <c r="K444" s="101"/>
      <c r="L444" s="101"/>
      <c r="M444" s="101"/>
      <c r="N444" s="101"/>
      <c r="O444" s="101"/>
      <c r="P444" s="101"/>
      <c r="Q444" s="101"/>
      <c r="R444" s="101"/>
      <c r="S444" s="101"/>
      <c r="T444" s="101"/>
      <c r="U444" s="101"/>
      <c r="V444" s="101"/>
      <c r="W444" s="101"/>
      <c r="X444" s="101"/>
      <c r="Y444" s="101"/>
      <c r="Z444" s="101"/>
      <c r="AA444" s="101"/>
      <c r="AB444" s="101"/>
    </row>
    <row r="445">
      <c r="A445" s="104" t="s">
        <v>582</v>
      </c>
      <c r="B445" s="105" t="str">
        <f>IFERROR(VLOOKUP(A445,'Salary Calculation'!A444:F1441,2,0),"")</f>
        <v/>
      </c>
      <c r="C445" s="105" t="str">
        <f>IFERROR(VLOOKUP(A445,'Salary Calculation'!$A$2:$V$999,3,0),"")</f>
        <v/>
      </c>
      <c r="D445" s="105" t="str">
        <f>IFERROR(VLOOKUP(A445,'Salary Calculation'!$A$2:$V$999,6,0),"")</f>
        <v/>
      </c>
      <c r="E445" s="105" t="str">
        <f>IFERROR(VLOOKUP(A445,'Salary Calculation'!$A$2:$V$999,10,0),"")</f>
        <v/>
      </c>
      <c r="F445" s="101"/>
      <c r="G445" s="106" t="str">
        <f>IFERROR(VLOOKUP(A445,'Salary Calculation'!$A$2:$V$999,7,0),"")</f>
        <v/>
      </c>
      <c r="H445" s="100"/>
      <c r="I445" s="101"/>
      <c r="J445" s="101"/>
      <c r="K445" s="101"/>
      <c r="L445" s="101"/>
      <c r="M445" s="101"/>
      <c r="N445" s="101"/>
      <c r="O445" s="101"/>
      <c r="P445" s="101"/>
      <c r="Q445" s="101"/>
      <c r="R445" s="101"/>
      <c r="S445" s="101"/>
      <c r="T445" s="101"/>
      <c r="U445" s="101"/>
      <c r="V445" s="101"/>
      <c r="W445" s="101"/>
      <c r="X445" s="101"/>
      <c r="Y445" s="101"/>
      <c r="Z445" s="101"/>
      <c r="AA445" s="101"/>
      <c r="AB445" s="101"/>
    </row>
    <row r="446">
      <c r="A446" s="104" t="s">
        <v>583</v>
      </c>
      <c r="B446" s="105" t="str">
        <f>IFERROR(VLOOKUP(A446,'Salary Calculation'!A445:F1442,2,0),"")</f>
        <v/>
      </c>
      <c r="C446" s="105" t="str">
        <f>IFERROR(VLOOKUP(A446,'Salary Calculation'!$A$2:$V$999,3,0),"")</f>
        <v/>
      </c>
      <c r="D446" s="105" t="str">
        <f>IFERROR(VLOOKUP(A446,'Salary Calculation'!$A$2:$V$999,6,0),"")</f>
        <v/>
      </c>
      <c r="E446" s="105" t="str">
        <f>IFERROR(VLOOKUP(A446,'Salary Calculation'!$A$2:$V$999,10,0),"")</f>
        <v/>
      </c>
      <c r="F446" s="101"/>
      <c r="G446" s="106" t="str">
        <f>IFERROR(VLOOKUP(A446,'Salary Calculation'!$A$2:$V$999,7,0),"")</f>
        <v/>
      </c>
      <c r="H446" s="100"/>
      <c r="I446" s="101"/>
      <c r="J446" s="101"/>
      <c r="K446" s="101"/>
      <c r="L446" s="101"/>
      <c r="M446" s="101"/>
      <c r="N446" s="101"/>
      <c r="O446" s="101"/>
      <c r="P446" s="101"/>
      <c r="Q446" s="101"/>
      <c r="R446" s="101"/>
      <c r="S446" s="101"/>
      <c r="T446" s="101"/>
      <c r="U446" s="101"/>
      <c r="V446" s="101"/>
      <c r="W446" s="101"/>
      <c r="X446" s="101"/>
      <c r="Y446" s="101"/>
      <c r="Z446" s="101"/>
      <c r="AA446" s="101"/>
      <c r="AB446" s="101"/>
    </row>
    <row r="447">
      <c r="A447" s="104" t="s">
        <v>584</v>
      </c>
      <c r="B447" s="105" t="str">
        <f>IFERROR(VLOOKUP(A447,'Salary Calculation'!A446:F1443,2,0),"")</f>
        <v/>
      </c>
      <c r="C447" s="105" t="str">
        <f>IFERROR(VLOOKUP(A447,'Salary Calculation'!$A$2:$V$999,3,0),"")</f>
        <v/>
      </c>
      <c r="D447" s="105" t="str">
        <f>IFERROR(VLOOKUP(A447,'Salary Calculation'!$A$2:$V$999,6,0),"")</f>
        <v/>
      </c>
      <c r="E447" s="105" t="str">
        <f>IFERROR(VLOOKUP(A447,'Salary Calculation'!$A$2:$V$999,10,0),"")</f>
        <v/>
      </c>
      <c r="F447" s="101"/>
      <c r="G447" s="106" t="str">
        <f>IFERROR(VLOOKUP(A447,'Salary Calculation'!$A$2:$V$999,7,0),"")</f>
        <v/>
      </c>
      <c r="H447" s="100"/>
      <c r="I447" s="101"/>
      <c r="J447" s="101"/>
      <c r="K447" s="101"/>
      <c r="L447" s="101"/>
      <c r="M447" s="101"/>
      <c r="N447" s="101"/>
      <c r="O447" s="101"/>
      <c r="P447" s="101"/>
      <c r="Q447" s="101"/>
      <c r="R447" s="101"/>
      <c r="S447" s="101"/>
      <c r="T447" s="101"/>
      <c r="U447" s="101"/>
      <c r="V447" s="101"/>
      <c r="W447" s="101"/>
      <c r="X447" s="101"/>
      <c r="Y447" s="101"/>
      <c r="Z447" s="101"/>
      <c r="AA447" s="101"/>
      <c r="AB447" s="101"/>
    </row>
    <row r="448">
      <c r="A448" s="104" t="s">
        <v>585</v>
      </c>
      <c r="B448" s="105" t="str">
        <f>IFERROR(VLOOKUP(A448,'Salary Calculation'!A447:F1444,2,0),"")</f>
        <v/>
      </c>
      <c r="C448" s="105" t="str">
        <f>IFERROR(VLOOKUP(A448,'Salary Calculation'!$A$2:$V$999,3,0),"")</f>
        <v/>
      </c>
      <c r="D448" s="105" t="str">
        <f>IFERROR(VLOOKUP(A448,'Salary Calculation'!$A$2:$V$999,6,0),"")</f>
        <v/>
      </c>
      <c r="E448" s="105" t="str">
        <f>IFERROR(VLOOKUP(A448,'Salary Calculation'!$A$2:$V$999,10,0),"")</f>
        <v/>
      </c>
      <c r="F448" s="101"/>
      <c r="G448" s="106" t="str">
        <f>IFERROR(VLOOKUP(A448,'Salary Calculation'!$A$2:$V$999,7,0),"")</f>
        <v/>
      </c>
      <c r="H448" s="100"/>
      <c r="I448" s="101"/>
      <c r="J448" s="101"/>
      <c r="K448" s="101"/>
      <c r="L448" s="101"/>
      <c r="M448" s="101"/>
      <c r="N448" s="101"/>
      <c r="O448" s="101"/>
      <c r="P448" s="101"/>
      <c r="Q448" s="101"/>
      <c r="R448" s="101"/>
      <c r="S448" s="101"/>
      <c r="T448" s="101"/>
      <c r="U448" s="101"/>
      <c r="V448" s="101"/>
      <c r="W448" s="101"/>
      <c r="X448" s="101"/>
      <c r="Y448" s="101"/>
      <c r="Z448" s="101"/>
      <c r="AA448" s="101"/>
      <c r="AB448" s="101"/>
    </row>
    <row r="449">
      <c r="A449" s="104" t="s">
        <v>586</v>
      </c>
      <c r="B449" s="105" t="str">
        <f>IFERROR(VLOOKUP(A449,'Salary Calculation'!A448:F1445,2,0),"")</f>
        <v/>
      </c>
      <c r="C449" s="105" t="str">
        <f>IFERROR(VLOOKUP(A449,'Salary Calculation'!$A$2:$V$999,3,0),"")</f>
        <v/>
      </c>
      <c r="D449" s="105" t="str">
        <f>IFERROR(VLOOKUP(A449,'Salary Calculation'!$A$2:$V$999,6,0),"")</f>
        <v/>
      </c>
      <c r="E449" s="105" t="str">
        <f>IFERROR(VLOOKUP(A449,'Salary Calculation'!$A$2:$V$999,10,0),"")</f>
        <v/>
      </c>
      <c r="F449" s="101"/>
      <c r="G449" s="106" t="str">
        <f>IFERROR(VLOOKUP(A449,'Salary Calculation'!$A$2:$V$999,7,0),"")</f>
        <v/>
      </c>
      <c r="H449" s="100"/>
      <c r="I449" s="101"/>
      <c r="J449" s="101"/>
      <c r="K449" s="101"/>
      <c r="L449" s="101"/>
      <c r="M449" s="101"/>
      <c r="N449" s="101"/>
      <c r="O449" s="101"/>
      <c r="P449" s="101"/>
      <c r="Q449" s="101"/>
      <c r="R449" s="101"/>
      <c r="S449" s="101"/>
      <c r="T449" s="101"/>
      <c r="U449" s="101"/>
      <c r="V449" s="101"/>
      <c r="W449" s="101"/>
      <c r="X449" s="101"/>
      <c r="Y449" s="101"/>
      <c r="Z449" s="101"/>
      <c r="AA449" s="101"/>
      <c r="AB449" s="101"/>
    </row>
    <row r="450">
      <c r="A450" s="104" t="s">
        <v>587</v>
      </c>
      <c r="B450" s="105" t="str">
        <f>IFERROR(VLOOKUP(A450,'Salary Calculation'!A449:F1446,2,0),"")</f>
        <v/>
      </c>
      <c r="C450" s="105" t="str">
        <f>IFERROR(VLOOKUP(A450,'Salary Calculation'!$A$2:$V$999,3,0),"")</f>
        <v/>
      </c>
      <c r="D450" s="105" t="str">
        <f>IFERROR(VLOOKUP(A450,'Salary Calculation'!$A$2:$V$999,6,0),"")</f>
        <v/>
      </c>
      <c r="E450" s="105" t="str">
        <f>IFERROR(VLOOKUP(A450,'Salary Calculation'!$A$2:$V$999,10,0),"")</f>
        <v/>
      </c>
      <c r="F450" s="101"/>
      <c r="G450" s="106" t="str">
        <f>IFERROR(VLOOKUP(A450,'Salary Calculation'!$A$2:$V$999,7,0),"")</f>
        <v/>
      </c>
      <c r="H450" s="100"/>
      <c r="I450" s="101"/>
      <c r="J450" s="101"/>
      <c r="K450" s="101"/>
      <c r="L450" s="101"/>
      <c r="M450" s="101"/>
      <c r="N450" s="101"/>
      <c r="O450" s="101"/>
      <c r="P450" s="101"/>
      <c r="Q450" s="101"/>
      <c r="R450" s="101"/>
      <c r="S450" s="101"/>
      <c r="T450" s="101"/>
      <c r="U450" s="101"/>
      <c r="V450" s="101"/>
      <c r="W450" s="101"/>
      <c r="X450" s="101"/>
      <c r="Y450" s="101"/>
      <c r="Z450" s="101"/>
      <c r="AA450" s="101"/>
      <c r="AB450" s="101"/>
    </row>
    <row r="451">
      <c r="A451" s="104" t="s">
        <v>588</v>
      </c>
      <c r="B451" s="105" t="str">
        <f>IFERROR(VLOOKUP(A451,'Salary Calculation'!A450:F1447,2,0),"")</f>
        <v/>
      </c>
      <c r="C451" s="105" t="str">
        <f>IFERROR(VLOOKUP(A451,'Salary Calculation'!$A$2:$V$999,3,0),"")</f>
        <v/>
      </c>
      <c r="D451" s="105" t="str">
        <f>IFERROR(VLOOKUP(A451,'Salary Calculation'!$A$2:$V$999,6,0),"")</f>
        <v/>
      </c>
      <c r="E451" s="105" t="str">
        <f>IFERROR(VLOOKUP(A451,'Salary Calculation'!$A$2:$V$999,10,0),"")</f>
        <v/>
      </c>
      <c r="F451" s="101"/>
      <c r="G451" s="106" t="str">
        <f>IFERROR(VLOOKUP(A451,'Salary Calculation'!$A$2:$V$999,7,0),"")</f>
        <v/>
      </c>
      <c r="H451" s="100"/>
      <c r="I451" s="101"/>
      <c r="J451" s="101"/>
      <c r="K451" s="101"/>
      <c r="L451" s="101"/>
      <c r="M451" s="101"/>
      <c r="N451" s="101"/>
      <c r="O451" s="101"/>
      <c r="P451" s="101"/>
      <c r="Q451" s="101"/>
      <c r="R451" s="101"/>
      <c r="S451" s="101"/>
      <c r="T451" s="101"/>
      <c r="U451" s="101"/>
      <c r="V451" s="101"/>
      <c r="W451" s="101"/>
      <c r="X451" s="101"/>
      <c r="Y451" s="101"/>
      <c r="Z451" s="101"/>
      <c r="AA451" s="101"/>
      <c r="AB451" s="101"/>
    </row>
    <row r="452">
      <c r="A452" s="104" t="s">
        <v>589</v>
      </c>
      <c r="B452" s="105" t="str">
        <f>IFERROR(VLOOKUP(A452,'Salary Calculation'!A451:F1448,2,0),"")</f>
        <v/>
      </c>
      <c r="C452" s="105" t="str">
        <f>IFERROR(VLOOKUP(A452,'Salary Calculation'!$A$2:$V$999,3,0),"")</f>
        <v/>
      </c>
      <c r="D452" s="105" t="str">
        <f>IFERROR(VLOOKUP(A452,'Salary Calculation'!$A$2:$V$999,6,0),"")</f>
        <v/>
      </c>
      <c r="E452" s="105" t="str">
        <f>IFERROR(VLOOKUP(A452,'Salary Calculation'!$A$2:$V$999,10,0),"")</f>
        <v/>
      </c>
      <c r="F452" s="101"/>
      <c r="G452" s="106" t="str">
        <f>IFERROR(VLOOKUP(A452,'Salary Calculation'!$A$2:$V$999,7,0),"")</f>
        <v/>
      </c>
      <c r="H452" s="100"/>
      <c r="I452" s="101"/>
      <c r="J452" s="101"/>
      <c r="K452" s="101"/>
      <c r="L452" s="101"/>
      <c r="M452" s="101"/>
      <c r="N452" s="101"/>
      <c r="O452" s="101"/>
      <c r="P452" s="101"/>
      <c r="Q452" s="101"/>
      <c r="R452" s="101"/>
      <c r="S452" s="101"/>
      <c r="T452" s="101"/>
      <c r="U452" s="101"/>
      <c r="V452" s="101"/>
      <c r="W452" s="101"/>
      <c r="X452" s="101"/>
      <c r="Y452" s="101"/>
      <c r="Z452" s="101"/>
      <c r="AA452" s="101"/>
      <c r="AB452" s="101"/>
    </row>
    <row r="453">
      <c r="A453" s="104" t="s">
        <v>590</v>
      </c>
      <c r="B453" s="105" t="str">
        <f>IFERROR(VLOOKUP(A453,'Salary Calculation'!A452:F1449,2,0),"")</f>
        <v/>
      </c>
      <c r="C453" s="105" t="str">
        <f>IFERROR(VLOOKUP(A453,'Salary Calculation'!$A$2:$V$999,3,0),"")</f>
        <v/>
      </c>
      <c r="D453" s="105" t="str">
        <f>IFERROR(VLOOKUP(A453,'Salary Calculation'!$A$2:$V$999,6,0),"")</f>
        <v/>
      </c>
      <c r="E453" s="105" t="str">
        <f>IFERROR(VLOOKUP(A453,'Salary Calculation'!$A$2:$V$999,10,0),"")</f>
        <v/>
      </c>
      <c r="F453" s="101"/>
      <c r="G453" s="106" t="str">
        <f>IFERROR(VLOOKUP(A453,'Salary Calculation'!$A$2:$V$999,7,0),"")</f>
        <v/>
      </c>
      <c r="H453" s="100"/>
      <c r="I453" s="101"/>
      <c r="J453" s="101"/>
      <c r="K453" s="101"/>
      <c r="L453" s="101"/>
      <c r="M453" s="101"/>
      <c r="N453" s="101"/>
      <c r="O453" s="101"/>
      <c r="P453" s="101"/>
      <c r="Q453" s="101"/>
      <c r="R453" s="101"/>
      <c r="S453" s="101"/>
      <c r="T453" s="101"/>
      <c r="U453" s="101"/>
      <c r="V453" s="101"/>
      <c r="W453" s="101"/>
      <c r="X453" s="101"/>
      <c r="Y453" s="101"/>
      <c r="Z453" s="101"/>
      <c r="AA453" s="101"/>
      <c r="AB453" s="101"/>
    </row>
    <row r="454">
      <c r="A454" s="104" t="s">
        <v>591</v>
      </c>
      <c r="B454" s="105" t="str">
        <f>IFERROR(VLOOKUP(A454,'Salary Calculation'!A453:F1450,2,0),"")</f>
        <v/>
      </c>
      <c r="C454" s="105" t="str">
        <f>IFERROR(VLOOKUP(A454,'Salary Calculation'!$A$2:$V$999,3,0),"")</f>
        <v/>
      </c>
      <c r="D454" s="105" t="str">
        <f>IFERROR(VLOOKUP(A454,'Salary Calculation'!$A$2:$V$999,6,0),"")</f>
        <v/>
      </c>
      <c r="E454" s="105" t="str">
        <f>IFERROR(VLOOKUP(A454,'Salary Calculation'!$A$2:$V$999,10,0),"")</f>
        <v/>
      </c>
      <c r="F454" s="101"/>
      <c r="G454" s="106" t="str">
        <f>IFERROR(VLOOKUP(A454,'Salary Calculation'!$A$2:$V$999,7,0),"")</f>
        <v/>
      </c>
      <c r="H454" s="100"/>
      <c r="I454" s="101"/>
      <c r="J454" s="101"/>
      <c r="K454" s="101"/>
      <c r="L454" s="101"/>
      <c r="M454" s="101"/>
      <c r="N454" s="101"/>
      <c r="O454" s="101"/>
      <c r="P454" s="101"/>
      <c r="Q454" s="101"/>
      <c r="R454" s="101"/>
      <c r="S454" s="101"/>
      <c r="T454" s="101"/>
      <c r="U454" s="101"/>
      <c r="V454" s="101"/>
      <c r="W454" s="101"/>
      <c r="X454" s="101"/>
      <c r="Y454" s="101"/>
      <c r="Z454" s="101"/>
      <c r="AA454" s="101"/>
      <c r="AB454" s="101"/>
    </row>
    <row r="455">
      <c r="A455" s="104" t="s">
        <v>592</v>
      </c>
      <c r="B455" s="105" t="str">
        <f>IFERROR(VLOOKUP(A455,'Salary Calculation'!A454:F1451,2,0),"")</f>
        <v/>
      </c>
      <c r="C455" s="105" t="str">
        <f>IFERROR(VLOOKUP(A455,'Salary Calculation'!$A$2:$V$999,3,0),"")</f>
        <v/>
      </c>
      <c r="D455" s="105" t="str">
        <f>IFERROR(VLOOKUP(A455,'Salary Calculation'!$A$2:$V$999,6,0),"")</f>
        <v/>
      </c>
      <c r="E455" s="105" t="str">
        <f>IFERROR(VLOOKUP(A455,'Salary Calculation'!$A$2:$V$999,10,0),"")</f>
        <v/>
      </c>
      <c r="F455" s="101"/>
      <c r="G455" s="106" t="str">
        <f>IFERROR(VLOOKUP(A455,'Salary Calculation'!$A$2:$V$999,7,0),"")</f>
        <v/>
      </c>
      <c r="H455" s="100"/>
      <c r="I455" s="101"/>
      <c r="J455" s="101"/>
      <c r="K455" s="101"/>
      <c r="L455" s="101"/>
      <c r="M455" s="101"/>
      <c r="N455" s="101"/>
      <c r="O455" s="101"/>
      <c r="P455" s="101"/>
      <c r="Q455" s="101"/>
      <c r="R455" s="101"/>
      <c r="S455" s="101"/>
      <c r="T455" s="101"/>
      <c r="U455" s="101"/>
      <c r="V455" s="101"/>
      <c r="W455" s="101"/>
      <c r="X455" s="101"/>
      <c r="Y455" s="101"/>
      <c r="Z455" s="101"/>
      <c r="AA455" s="101"/>
      <c r="AB455" s="101"/>
    </row>
    <row r="456">
      <c r="A456" s="104" t="s">
        <v>593</v>
      </c>
      <c r="B456" s="105" t="str">
        <f>IFERROR(VLOOKUP(A456,'Salary Calculation'!A455:F1452,2,0),"")</f>
        <v/>
      </c>
      <c r="C456" s="105" t="str">
        <f>IFERROR(VLOOKUP(A456,'Salary Calculation'!$A$2:$V$999,3,0),"")</f>
        <v/>
      </c>
      <c r="D456" s="105" t="str">
        <f>IFERROR(VLOOKUP(A456,'Salary Calculation'!$A$2:$V$999,6,0),"")</f>
        <v/>
      </c>
      <c r="E456" s="105" t="str">
        <f>IFERROR(VLOOKUP(A456,'Salary Calculation'!$A$2:$V$999,10,0),"")</f>
        <v/>
      </c>
      <c r="F456" s="101"/>
      <c r="G456" s="106" t="str">
        <f>IFERROR(VLOOKUP(A456,'Salary Calculation'!$A$2:$V$999,7,0),"")</f>
        <v/>
      </c>
      <c r="H456" s="100"/>
      <c r="I456" s="101"/>
      <c r="J456" s="101"/>
      <c r="K456" s="101"/>
      <c r="L456" s="101"/>
      <c r="M456" s="101"/>
      <c r="N456" s="101"/>
      <c r="O456" s="101"/>
      <c r="P456" s="101"/>
      <c r="Q456" s="101"/>
      <c r="R456" s="101"/>
      <c r="S456" s="101"/>
      <c r="T456" s="101"/>
      <c r="U456" s="101"/>
      <c r="V456" s="101"/>
      <c r="W456" s="101"/>
      <c r="X456" s="101"/>
      <c r="Y456" s="101"/>
      <c r="Z456" s="101"/>
      <c r="AA456" s="101"/>
      <c r="AB456" s="101"/>
    </row>
    <row r="457">
      <c r="A457" s="104" t="s">
        <v>594</v>
      </c>
      <c r="B457" s="105" t="str">
        <f>IFERROR(VLOOKUP(A457,'Salary Calculation'!A456:F1453,2,0),"")</f>
        <v/>
      </c>
      <c r="C457" s="105" t="str">
        <f>IFERROR(VLOOKUP(A457,'Salary Calculation'!$A$2:$V$999,3,0),"")</f>
        <v/>
      </c>
      <c r="D457" s="105" t="str">
        <f>IFERROR(VLOOKUP(A457,'Salary Calculation'!$A$2:$V$999,6,0),"")</f>
        <v/>
      </c>
      <c r="E457" s="105" t="str">
        <f>IFERROR(VLOOKUP(A457,'Salary Calculation'!$A$2:$V$999,10,0),"")</f>
        <v/>
      </c>
      <c r="F457" s="101"/>
      <c r="G457" s="106" t="str">
        <f>IFERROR(VLOOKUP(A457,'Salary Calculation'!$A$2:$V$999,7,0),"")</f>
        <v/>
      </c>
      <c r="H457" s="100"/>
      <c r="I457" s="101"/>
      <c r="J457" s="101"/>
      <c r="K457" s="101"/>
      <c r="L457" s="101"/>
      <c r="M457" s="101"/>
      <c r="N457" s="101"/>
      <c r="O457" s="101"/>
      <c r="P457" s="101"/>
      <c r="Q457" s="101"/>
      <c r="R457" s="101"/>
      <c r="S457" s="101"/>
      <c r="T457" s="101"/>
      <c r="U457" s="101"/>
      <c r="V457" s="101"/>
      <c r="W457" s="101"/>
      <c r="X457" s="101"/>
      <c r="Y457" s="101"/>
      <c r="Z457" s="101"/>
      <c r="AA457" s="101"/>
      <c r="AB457" s="101"/>
    </row>
    <row r="458">
      <c r="A458" s="104" t="s">
        <v>595</v>
      </c>
      <c r="B458" s="105" t="str">
        <f>IFERROR(VLOOKUP(A458,'Salary Calculation'!A457:F1454,2,0),"")</f>
        <v/>
      </c>
      <c r="C458" s="105" t="str">
        <f>IFERROR(VLOOKUP(A458,'Salary Calculation'!$A$2:$V$999,3,0),"")</f>
        <v/>
      </c>
      <c r="D458" s="105" t="str">
        <f>IFERROR(VLOOKUP(A458,'Salary Calculation'!$A$2:$V$999,6,0),"")</f>
        <v/>
      </c>
      <c r="E458" s="105" t="str">
        <f>IFERROR(VLOOKUP(A458,'Salary Calculation'!$A$2:$V$999,10,0),"")</f>
        <v/>
      </c>
      <c r="F458" s="101"/>
      <c r="G458" s="106" t="str">
        <f>IFERROR(VLOOKUP(A458,'Salary Calculation'!$A$2:$V$999,7,0),"")</f>
        <v/>
      </c>
      <c r="H458" s="100"/>
      <c r="I458" s="101"/>
      <c r="J458" s="101"/>
      <c r="K458" s="101"/>
      <c r="L458" s="101"/>
      <c r="M458" s="101"/>
      <c r="N458" s="101"/>
      <c r="O458" s="101"/>
      <c r="P458" s="101"/>
      <c r="Q458" s="101"/>
      <c r="R458" s="101"/>
      <c r="S458" s="101"/>
      <c r="T458" s="101"/>
      <c r="U458" s="101"/>
      <c r="V458" s="101"/>
      <c r="W458" s="101"/>
      <c r="X458" s="101"/>
      <c r="Y458" s="101"/>
      <c r="Z458" s="101"/>
      <c r="AA458" s="101"/>
      <c r="AB458" s="101"/>
    </row>
    <row r="459">
      <c r="A459" s="104" t="s">
        <v>596</v>
      </c>
      <c r="B459" s="105" t="str">
        <f>IFERROR(VLOOKUP(A459,'Salary Calculation'!A458:F1455,2,0),"")</f>
        <v/>
      </c>
      <c r="C459" s="105" t="str">
        <f>IFERROR(VLOOKUP(A459,'Salary Calculation'!$A$2:$V$999,3,0),"")</f>
        <v/>
      </c>
      <c r="D459" s="105" t="str">
        <f>IFERROR(VLOOKUP(A459,'Salary Calculation'!$A$2:$V$999,6,0),"")</f>
        <v/>
      </c>
      <c r="E459" s="105" t="str">
        <f>IFERROR(VLOOKUP(A459,'Salary Calculation'!$A$2:$V$999,10,0),"")</f>
        <v/>
      </c>
      <c r="F459" s="101"/>
      <c r="G459" s="106" t="str">
        <f>IFERROR(VLOOKUP(A459,'Salary Calculation'!$A$2:$V$999,7,0),"")</f>
        <v/>
      </c>
      <c r="H459" s="100"/>
      <c r="I459" s="101"/>
      <c r="J459" s="101"/>
      <c r="K459" s="101"/>
      <c r="L459" s="101"/>
      <c r="M459" s="101"/>
      <c r="N459" s="101"/>
      <c r="O459" s="101"/>
      <c r="P459" s="101"/>
      <c r="Q459" s="101"/>
      <c r="R459" s="101"/>
      <c r="S459" s="101"/>
      <c r="T459" s="101"/>
      <c r="U459" s="101"/>
      <c r="V459" s="101"/>
      <c r="W459" s="101"/>
      <c r="X459" s="101"/>
      <c r="Y459" s="101"/>
      <c r="Z459" s="101"/>
      <c r="AA459" s="101"/>
      <c r="AB459" s="101"/>
    </row>
    <row r="460">
      <c r="A460" s="104" t="s">
        <v>597</v>
      </c>
      <c r="B460" s="105" t="str">
        <f>IFERROR(VLOOKUP(A460,'Salary Calculation'!A459:F1456,2,0),"")</f>
        <v/>
      </c>
      <c r="C460" s="105" t="str">
        <f>IFERROR(VLOOKUP(A460,'Salary Calculation'!$A$2:$V$999,3,0),"")</f>
        <v/>
      </c>
      <c r="D460" s="105" t="str">
        <f>IFERROR(VLOOKUP(A460,'Salary Calculation'!$A$2:$V$999,6,0),"")</f>
        <v/>
      </c>
      <c r="E460" s="105" t="str">
        <f>IFERROR(VLOOKUP(A460,'Salary Calculation'!$A$2:$V$999,10,0),"")</f>
        <v/>
      </c>
      <c r="F460" s="101"/>
      <c r="G460" s="106" t="str">
        <f>IFERROR(VLOOKUP(A460,'Salary Calculation'!$A$2:$V$999,7,0),"")</f>
        <v/>
      </c>
      <c r="H460" s="100"/>
      <c r="I460" s="101"/>
      <c r="J460" s="101"/>
      <c r="K460" s="101"/>
      <c r="L460" s="101"/>
      <c r="M460" s="101"/>
      <c r="N460" s="101"/>
      <c r="O460" s="101"/>
      <c r="P460" s="101"/>
      <c r="Q460" s="101"/>
      <c r="R460" s="101"/>
      <c r="S460" s="101"/>
      <c r="T460" s="101"/>
      <c r="U460" s="101"/>
      <c r="V460" s="101"/>
      <c r="W460" s="101"/>
      <c r="X460" s="101"/>
      <c r="Y460" s="101"/>
      <c r="Z460" s="101"/>
      <c r="AA460" s="101"/>
      <c r="AB460" s="101"/>
    </row>
    <row r="461">
      <c r="A461" s="104" t="s">
        <v>598</v>
      </c>
      <c r="B461" s="105" t="str">
        <f>IFERROR(VLOOKUP(A461,'Salary Calculation'!A460:F1457,2,0),"")</f>
        <v/>
      </c>
      <c r="C461" s="105" t="str">
        <f>IFERROR(VLOOKUP(A461,'Salary Calculation'!$A$2:$V$999,3,0),"")</f>
        <v/>
      </c>
      <c r="D461" s="105" t="str">
        <f>IFERROR(VLOOKUP(A461,'Salary Calculation'!$A$2:$V$999,6,0),"")</f>
        <v/>
      </c>
      <c r="E461" s="105" t="str">
        <f>IFERROR(VLOOKUP(A461,'Salary Calculation'!$A$2:$V$999,10,0),"")</f>
        <v/>
      </c>
      <c r="F461" s="101"/>
      <c r="G461" s="106" t="str">
        <f>IFERROR(VLOOKUP(A461,'Salary Calculation'!$A$2:$V$999,7,0),"")</f>
        <v/>
      </c>
      <c r="H461" s="100"/>
      <c r="I461" s="101"/>
      <c r="J461" s="101"/>
      <c r="K461" s="101"/>
      <c r="L461" s="101"/>
      <c r="M461" s="101"/>
      <c r="N461" s="101"/>
      <c r="O461" s="101"/>
      <c r="P461" s="101"/>
      <c r="Q461" s="101"/>
      <c r="R461" s="101"/>
      <c r="S461" s="101"/>
      <c r="T461" s="101"/>
      <c r="U461" s="101"/>
      <c r="V461" s="101"/>
      <c r="W461" s="101"/>
      <c r="X461" s="101"/>
      <c r="Y461" s="101"/>
      <c r="Z461" s="101"/>
      <c r="AA461" s="101"/>
      <c r="AB461" s="101"/>
    </row>
    <row r="462">
      <c r="A462" s="104" t="s">
        <v>599</v>
      </c>
      <c r="B462" s="105" t="str">
        <f>IFERROR(VLOOKUP(A462,'Salary Calculation'!A461:F1458,2,0),"")</f>
        <v/>
      </c>
      <c r="C462" s="105" t="str">
        <f>IFERROR(VLOOKUP(A462,'Salary Calculation'!$A$2:$V$999,3,0),"")</f>
        <v/>
      </c>
      <c r="D462" s="105" t="str">
        <f>IFERROR(VLOOKUP(A462,'Salary Calculation'!$A$2:$V$999,6,0),"")</f>
        <v/>
      </c>
      <c r="E462" s="105" t="str">
        <f>IFERROR(VLOOKUP(A462,'Salary Calculation'!$A$2:$V$999,10,0),"")</f>
        <v/>
      </c>
      <c r="F462" s="101"/>
      <c r="G462" s="106" t="str">
        <f>IFERROR(VLOOKUP(A462,'Salary Calculation'!$A$2:$V$999,7,0),"")</f>
        <v/>
      </c>
      <c r="H462" s="100"/>
      <c r="I462" s="101"/>
      <c r="J462" s="101"/>
      <c r="K462" s="101"/>
      <c r="L462" s="101"/>
      <c r="M462" s="101"/>
      <c r="N462" s="101"/>
      <c r="O462" s="101"/>
      <c r="P462" s="101"/>
      <c r="Q462" s="101"/>
      <c r="R462" s="101"/>
      <c r="S462" s="101"/>
      <c r="T462" s="101"/>
      <c r="U462" s="101"/>
      <c r="V462" s="101"/>
      <c r="W462" s="101"/>
      <c r="X462" s="101"/>
      <c r="Y462" s="101"/>
      <c r="Z462" s="101"/>
      <c r="AA462" s="101"/>
      <c r="AB462" s="101"/>
    </row>
    <row r="463">
      <c r="A463" s="104" t="s">
        <v>600</v>
      </c>
      <c r="B463" s="105" t="str">
        <f>IFERROR(VLOOKUP(A463,'Salary Calculation'!A462:F1459,2,0),"")</f>
        <v/>
      </c>
      <c r="C463" s="105" t="str">
        <f>IFERROR(VLOOKUP(A463,'Salary Calculation'!$A$2:$V$999,3,0),"")</f>
        <v/>
      </c>
      <c r="D463" s="105" t="str">
        <f>IFERROR(VLOOKUP(A463,'Salary Calculation'!$A$2:$V$999,6,0),"")</f>
        <v/>
      </c>
      <c r="E463" s="105" t="str">
        <f>IFERROR(VLOOKUP(A463,'Salary Calculation'!$A$2:$V$999,10,0),"")</f>
        <v/>
      </c>
      <c r="F463" s="101"/>
      <c r="G463" s="106" t="str">
        <f>IFERROR(VLOOKUP(A463,'Salary Calculation'!$A$2:$V$999,7,0),"")</f>
        <v/>
      </c>
      <c r="H463" s="100"/>
      <c r="I463" s="101"/>
      <c r="J463" s="101"/>
      <c r="K463" s="101"/>
      <c r="L463" s="101"/>
      <c r="M463" s="101"/>
      <c r="N463" s="101"/>
      <c r="O463" s="101"/>
      <c r="P463" s="101"/>
      <c r="Q463" s="101"/>
      <c r="R463" s="101"/>
      <c r="S463" s="101"/>
      <c r="T463" s="101"/>
      <c r="U463" s="101"/>
      <c r="V463" s="101"/>
      <c r="W463" s="101"/>
      <c r="X463" s="101"/>
      <c r="Y463" s="101"/>
      <c r="Z463" s="101"/>
      <c r="AA463" s="101"/>
      <c r="AB463" s="101"/>
    </row>
    <row r="464">
      <c r="A464" s="104" t="s">
        <v>601</v>
      </c>
      <c r="B464" s="105" t="str">
        <f>IFERROR(VLOOKUP(A464,'Salary Calculation'!A463:F1460,2,0),"")</f>
        <v/>
      </c>
      <c r="C464" s="105" t="str">
        <f>IFERROR(VLOOKUP(A464,'Salary Calculation'!$A$2:$V$999,3,0),"")</f>
        <v/>
      </c>
      <c r="D464" s="105" t="str">
        <f>IFERROR(VLOOKUP(A464,'Salary Calculation'!$A$2:$V$999,6,0),"")</f>
        <v/>
      </c>
      <c r="E464" s="105" t="str">
        <f>IFERROR(VLOOKUP(A464,'Salary Calculation'!$A$2:$V$999,10,0),"")</f>
        <v/>
      </c>
      <c r="F464" s="101"/>
      <c r="G464" s="106" t="str">
        <f>IFERROR(VLOOKUP(A464,'Salary Calculation'!$A$2:$V$999,7,0),"")</f>
        <v/>
      </c>
      <c r="H464" s="100"/>
      <c r="I464" s="101"/>
      <c r="J464" s="101"/>
      <c r="K464" s="101"/>
      <c r="L464" s="101"/>
      <c r="M464" s="101"/>
      <c r="N464" s="101"/>
      <c r="O464" s="101"/>
      <c r="P464" s="101"/>
      <c r="Q464" s="101"/>
      <c r="R464" s="101"/>
      <c r="S464" s="101"/>
      <c r="T464" s="101"/>
      <c r="U464" s="101"/>
      <c r="V464" s="101"/>
      <c r="W464" s="101"/>
      <c r="X464" s="101"/>
      <c r="Y464" s="101"/>
      <c r="Z464" s="101"/>
      <c r="AA464" s="101"/>
      <c r="AB464" s="101"/>
    </row>
    <row r="465">
      <c r="A465" s="104" t="s">
        <v>602</v>
      </c>
      <c r="B465" s="105" t="str">
        <f>IFERROR(VLOOKUP(A465,'Salary Calculation'!A464:F1461,2,0),"")</f>
        <v/>
      </c>
      <c r="C465" s="105" t="str">
        <f>IFERROR(VLOOKUP(A465,'Salary Calculation'!$A$2:$V$999,3,0),"")</f>
        <v/>
      </c>
      <c r="D465" s="105" t="str">
        <f>IFERROR(VLOOKUP(A465,'Salary Calculation'!$A$2:$V$999,6,0),"")</f>
        <v/>
      </c>
      <c r="E465" s="105" t="str">
        <f>IFERROR(VLOOKUP(A465,'Salary Calculation'!$A$2:$V$999,10,0),"")</f>
        <v/>
      </c>
      <c r="F465" s="101"/>
      <c r="G465" s="106" t="str">
        <f>IFERROR(VLOOKUP(A465,'Salary Calculation'!$A$2:$V$999,7,0),"")</f>
        <v/>
      </c>
      <c r="H465" s="100"/>
      <c r="I465" s="101"/>
      <c r="J465" s="101"/>
      <c r="K465" s="101"/>
      <c r="L465" s="101"/>
      <c r="M465" s="101"/>
      <c r="N465" s="101"/>
      <c r="O465" s="101"/>
      <c r="P465" s="101"/>
      <c r="Q465" s="101"/>
      <c r="R465" s="101"/>
      <c r="S465" s="101"/>
      <c r="T465" s="101"/>
      <c r="U465" s="101"/>
      <c r="V465" s="101"/>
      <c r="W465" s="101"/>
      <c r="X465" s="101"/>
      <c r="Y465" s="101"/>
      <c r="Z465" s="101"/>
      <c r="AA465" s="101"/>
      <c r="AB465" s="101"/>
    </row>
    <row r="466">
      <c r="A466" s="104" t="s">
        <v>603</v>
      </c>
      <c r="B466" s="105" t="str">
        <f>IFERROR(VLOOKUP(A466,'Salary Calculation'!A465:F1462,2,0),"")</f>
        <v/>
      </c>
      <c r="C466" s="105" t="str">
        <f>IFERROR(VLOOKUP(A466,'Salary Calculation'!$A$2:$V$999,3,0),"")</f>
        <v/>
      </c>
      <c r="D466" s="105" t="str">
        <f>IFERROR(VLOOKUP(A466,'Salary Calculation'!$A$2:$V$999,6,0),"")</f>
        <v/>
      </c>
      <c r="E466" s="105" t="str">
        <f>IFERROR(VLOOKUP(A466,'Salary Calculation'!$A$2:$V$999,10,0),"")</f>
        <v/>
      </c>
      <c r="F466" s="101"/>
      <c r="G466" s="106" t="str">
        <f>IFERROR(VLOOKUP(A466,'Salary Calculation'!$A$2:$V$999,7,0),"")</f>
        <v/>
      </c>
      <c r="H466" s="100"/>
      <c r="I466" s="101"/>
      <c r="J466" s="101"/>
      <c r="K466" s="101"/>
      <c r="L466" s="101"/>
      <c r="M466" s="101"/>
      <c r="N466" s="101"/>
      <c r="O466" s="101"/>
      <c r="P466" s="101"/>
      <c r="Q466" s="101"/>
      <c r="R466" s="101"/>
      <c r="S466" s="101"/>
      <c r="T466" s="101"/>
      <c r="U466" s="101"/>
      <c r="V466" s="101"/>
      <c r="W466" s="101"/>
      <c r="X466" s="101"/>
      <c r="Y466" s="101"/>
      <c r="Z466" s="101"/>
      <c r="AA466" s="101"/>
      <c r="AB466" s="101"/>
    </row>
    <row r="467">
      <c r="A467" s="104" t="s">
        <v>604</v>
      </c>
      <c r="B467" s="105" t="str">
        <f>IFERROR(VLOOKUP(A467,'Salary Calculation'!A466:F1463,2,0),"")</f>
        <v/>
      </c>
      <c r="C467" s="105" t="str">
        <f>IFERROR(VLOOKUP(A467,'Salary Calculation'!$A$2:$V$999,3,0),"")</f>
        <v/>
      </c>
      <c r="D467" s="105" t="str">
        <f>IFERROR(VLOOKUP(A467,'Salary Calculation'!$A$2:$V$999,6,0),"")</f>
        <v/>
      </c>
      <c r="E467" s="105" t="str">
        <f>IFERROR(VLOOKUP(A467,'Salary Calculation'!$A$2:$V$999,10,0),"")</f>
        <v/>
      </c>
      <c r="F467" s="101"/>
      <c r="G467" s="106" t="str">
        <f>IFERROR(VLOOKUP(A467,'Salary Calculation'!$A$2:$V$999,7,0),"")</f>
        <v/>
      </c>
      <c r="H467" s="100"/>
      <c r="I467" s="101"/>
      <c r="J467" s="101"/>
      <c r="K467" s="101"/>
      <c r="L467" s="101"/>
      <c r="M467" s="101"/>
      <c r="N467" s="101"/>
      <c r="O467" s="101"/>
      <c r="P467" s="101"/>
      <c r="Q467" s="101"/>
      <c r="R467" s="101"/>
      <c r="S467" s="101"/>
      <c r="T467" s="101"/>
      <c r="U467" s="101"/>
      <c r="V467" s="101"/>
      <c r="W467" s="101"/>
      <c r="X467" s="101"/>
      <c r="Y467" s="101"/>
      <c r="Z467" s="101"/>
      <c r="AA467" s="101"/>
      <c r="AB467" s="101"/>
    </row>
    <row r="468">
      <c r="A468" s="104" t="s">
        <v>605</v>
      </c>
      <c r="B468" s="105" t="str">
        <f>IFERROR(VLOOKUP(A468,'Salary Calculation'!A467:F1464,2,0),"")</f>
        <v/>
      </c>
      <c r="C468" s="105" t="str">
        <f>IFERROR(VLOOKUP(A468,'Salary Calculation'!$A$2:$V$999,3,0),"")</f>
        <v/>
      </c>
      <c r="D468" s="105" t="str">
        <f>IFERROR(VLOOKUP(A468,'Salary Calculation'!$A$2:$V$999,6,0),"")</f>
        <v/>
      </c>
      <c r="E468" s="105" t="str">
        <f>IFERROR(VLOOKUP(A468,'Salary Calculation'!$A$2:$V$999,10,0),"")</f>
        <v/>
      </c>
      <c r="F468" s="101"/>
      <c r="G468" s="106" t="str">
        <f>IFERROR(VLOOKUP(A468,'Salary Calculation'!$A$2:$V$999,7,0),"")</f>
        <v/>
      </c>
      <c r="H468" s="100"/>
      <c r="I468" s="101"/>
      <c r="J468" s="101"/>
      <c r="K468" s="101"/>
      <c r="L468" s="101"/>
      <c r="M468" s="101"/>
      <c r="N468" s="101"/>
      <c r="O468" s="101"/>
      <c r="P468" s="101"/>
      <c r="Q468" s="101"/>
      <c r="R468" s="101"/>
      <c r="S468" s="101"/>
      <c r="T468" s="101"/>
      <c r="U468" s="101"/>
      <c r="V468" s="101"/>
      <c r="W468" s="101"/>
      <c r="X468" s="101"/>
      <c r="Y468" s="101"/>
      <c r="Z468" s="101"/>
      <c r="AA468" s="101"/>
      <c r="AB468" s="101"/>
    </row>
    <row r="469">
      <c r="A469" s="104" t="s">
        <v>606</v>
      </c>
      <c r="B469" s="105" t="str">
        <f>IFERROR(VLOOKUP(A469,'Salary Calculation'!A468:F1465,2,0),"")</f>
        <v/>
      </c>
      <c r="C469" s="105" t="str">
        <f>IFERROR(VLOOKUP(A469,'Salary Calculation'!$A$2:$V$999,3,0),"")</f>
        <v/>
      </c>
      <c r="D469" s="105" t="str">
        <f>IFERROR(VLOOKUP(A469,'Salary Calculation'!$A$2:$V$999,6,0),"")</f>
        <v/>
      </c>
      <c r="E469" s="105" t="str">
        <f>IFERROR(VLOOKUP(A469,'Salary Calculation'!$A$2:$V$999,10,0),"")</f>
        <v/>
      </c>
      <c r="F469" s="101"/>
      <c r="G469" s="106" t="str">
        <f>IFERROR(VLOOKUP(A469,'Salary Calculation'!$A$2:$V$999,7,0),"")</f>
        <v/>
      </c>
      <c r="H469" s="100"/>
      <c r="I469" s="101"/>
      <c r="J469" s="101"/>
      <c r="K469" s="101"/>
      <c r="L469" s="101"/>
      <c r="M469" s="101"/>
      <c r="N469" s="101"/>
      <c r="O469" s="101"/>
      <c r="P469" s="101"/>
      <c r="Q469" s="101"/>
      <c r="R469" s="101"/>
      <c r="S469" s="101"/>
      <c r="T469" s="101"/>
      <c r="U469" s="101"/>
      <c r="V469" s="101"/>
      <c r="W469" s="101"/>
      <c r="X469" s="101"/>
      <c r="Y469" s="101"/>
      <c r="Z469" s="101"/>
      <c r="AA469" s="101"/>
      <c r="AB469" s="101"/>
    </row>
    <row r="470">
      <c r="A470" s="104" t="s">
        <v>607</v>
      </c>
      <c r="B470" s="105" t="str">
        <f>IFERROR(VLOOKUP(A470,'Salary Calculation'!A469:F1466,2,0),"")</f>
        <v/>
      </c>
      <c r="C470" s="105" t="str">
        <f>IFERROR(VLOOKUP(A470,'Salary Calculation'!$A$2:$V$999,3,0),"")</f>
        <v/>
      </c>
      <c r="D470" s="105" t="str">
        <f>IFERROR(VLOOKUP(A470,'Salary Calculation'!$A$2:$V$999,6,0),"")</f>
        <v/>
      </c>
      <c r="E470" s="105" t="str">
        <f>IFERROR(VLOOKUP(A470,'Salary Calculation'!$A$2:$V$999,10,0),"")</f>
        <v/>
      </c>
      <c r="F470" s="101"/>
      <c r="G470" s="106" t="str">
        <f>IFERROR(VLOOKUP(A470,'Salary Calculation'!$A$2:$V$999,7,0),"")</f>
        <v/>
      </c>
      <c r="H470" s="100"/>
      <c r="I470" s="101"/>
      <c r="J470" s="101"/>
      <c r="K470" s="101"/>
      <c r="L470" s="101"/>
      <c r="M470" s="101"/>
      <c r="N470" s="101"/>
      <c r="O470" s="101"/>
      <c r="P470" s="101"/>
      <c r="Q470" s="101"/>
      <c r="R470" s="101"/>
      <c r="S470" s="101"/>
      <c r="T470" s="101"/>
      <c r="U470" s="101"/>
      <c r="V470" s="101"/>
      <c r="W470" s="101"/>
      <c r="X470" s="101"/>
      <c r="Y470" s="101"/>
      <c r="Z470" s="101"/>
      <c r="AA470" s="101"/>
      <c r="AB470" s="101"/>
    </row>
    <row r="471">
      <c r="A471" s="104" t="s">
        <v>608</v>
      </c>
      <c r="B471" s="105" t="str">
        <f>IFERROR(VLOOKUP(A471,'Salary Calculation'!A470:F1467,2,0),"")</f>
        <v/>
      </c>
      <c r="C471" s="105" t="str">
        <f>IFERROR(VLOOKUP(A471,'Salary Calculation'!$A$2:$V$999,3,0),"")</f>
        <v/>
      </c>
      <c r="D471" s="105" t="str">
        <f>IFERROR(VLOOKUP(A471,'Salary Calculation'!$A$2:$V$999,6,0),"")</f>
        <v/>
      </c>
      <c r="E471" s="105" t="str">
        <f>IFERROR(VLOOKUP(A471,'Salary Calculation'!$A$2:$V$999,10,0),"")</f>
        <v/>
      </c>
      <c r="F471" s="101"/>
      <c r="G471" s="106" t="str">
        <f>IFERROR(VLOOKUP(A471,'Salary Calculation'!$A$2:$V$999,7,0),"")</f>
        <v/>
      </c>
      <c r="H471" s="100"/>
      <c r="I471" s="101"/>
      <c r="J471" s="101"/>
      <c r="K471" s="101"/>
      <c r="L471" s="101"/>
      <c r="M471" s="101"/>
      <c r="N471" s="101"/>
      <c r="O471" s="101"/>
      <c r="P471" s="101"/>
      <c r="Q471" s="101"/>
      <c r="R471" s="101"/>
      <c r="S471" s="101"/>
      <c r="T471" s="101"/>
      <c r="U471" s="101"/>
      <c r="V471" s="101"/>
      <c r="W471" s="101"/>
      <c r="X471" s="101"/>
      <c r="Y471" s="101"/>
      <c r="Z471" s="101"/>
      <c r="AA471" s="101"/>
      <c r="AB471" s="101"/>
    </row>
    <row r="472">
      <c r="A472" s="104" t="s">
        <v>609</v>
      </c>
      <c r="B472" s="105" t="str">
        <f>IFERROR(VLOOKUP(A472,'Salary Calculation'!A471:F1468,2,0),"")</f>
        <v/>
      </c>
      <c r="C472" s="105" t="str">
        <f>IFERROR(VLOOKUP(A472,'Salary Calculation'!$A$2:$V$999,3,0),"")</f>
        <v/>
      </c>
      <c r="D472" s="105" t="str">
        <f>IFERROR(VLOOKUP(A472,'Salary Calculation'!$A$2:$V$999,6,0),"")</f>
        <v/>
      </c>
      <c r="E472" s="105" t="str">
        <f>IFERROR(VLOOKUP(A472,'Salary Calculation'!$A$2:$V$999,10,0),"")</f>
        <v/>
      </c>
      <c r="F472" s="101"/>
      <c r="G472" s="106" t="str">
        <f>IFERROR(VLOOKUP(A472,'Salary Calculation'!$A$2:$V$999,7,0),"")</f>
        <v/>
      </c>
      <c r="H472" s="100"/>
      <c r="I472" s="101"/>
      <c r="J472" s="101"/>
      <c r="K472" s="101"/>
      <c r="L472" s="101"/>
      <c r="M472" s="101"/>
      <c r="N472" s="101"/>
      <c r="O472" s="101"/>
      <c r="P472" s="101"/>
      <c r="Q472" s="101"/>
      <c r="R472" s="101"/>
      <c r="S472" s="101"/>
      <c r="T472" s="101"/>
      <c r="U472" s="101"/>
      <c r="V472" s="101"/>
      <c r="W472" s="101"/>
      <c r="X472" s="101"/>
      <c r="Y472" s="101"/>
      <c r="Z472" s="101"/>
      <c r="AA472" s="101"/>
      <c r="AB472" s="101"/>
    </row>
    <row r="473">
      <c r="A473" s="104" t="s">
        <v>610</v>
      </c>
      <c r="B473" s="105" t="str">
        <f>IFERROR(VLOOKUP(A473,'Salary Calculation'!A472:F1469,2,0),"")</f>
        <v/>
      </c>
      <c r="C473" s="105" t="str">
        <f>IFERROR(VLOOKUP(A473,'Salary Calculation'!$A$2:$V$999,3,0),"")</f>
        <v/>
      </c>
      <c r="D473" s="105" t="str">
        <f>IFERROR(VLOOKUP(A473,'Salary Calculation'!$A$2:$V$999,6,0),"")</f>
        <v/>
      </c>
      <c r="E473" s="105" t="str">
        <f>IFERROR(VLOOKUP(A473,'Salary Calculation'!$A$2:$V$999,10,0),"")</f>
        <v/>
      </c>
      <c r="F473" s="101"/>
      <c r="G473" s="106" t="str">
        <f>IFERROR(VLOOKUP(A473,'Salary Calculation'!$A$2:$V$999,7,0),"")</f>
        <v/>
      </c>
      <c r="H473" s="100"/>
      <c r="I473" s="101"/>
      <c r="J473" s="101"/>
      <c r="K473" s="101"/>
      <c r="L473" s="101"/>
      <c r="M473" s="101"/>
      <c r="N473" s="101"/>
      <c r="O473" s="101"/>
      <c r="P473" s="101"/>
      <c r="Q473" s="101"/>
      <c r="R473" s="101"/>
      <c r="S473" s="101"/>
      <c r="T473" s="101"/>
      <c r="U473" s="101"/>
      <c r="V473" s="101"/>
      <c r="W473" s="101"/>
      <c r="X473" s="101"/>
      <c r="Y473" s="101"/>
      <c r="Z473" s="101"/>
      <c r="AA473" s="101"/>
      <c r="AB473" s="101"/>
    </row>
    <row r="474">
      <c r="A474" s="104" t="s">
        <v>611</v>
      </c>
      <c r="B474" s="105" t="str">
        <f>IFERROR(VLOOKUP(A474,'Salary Calculation'!A473:F1470,2,0),"")</f>
        <v/>
      </c>
      <c r="C474" s="105" t="str">
        <f>IFERROR(VLOOKUP(A474,'Salary Calculation'!$A$2:$V$999,3,0),"")</f>
        <v/>
      </c>
      <c r="D474" s="105" t="str">
        <f>IFERROR(VLOOKUP(A474,'Salary Calculation'!$A$2:$V$999,6,0),"")</f>
        <v/>
      </c>
      <c r="E474" s="105" t="str">
        <f>IFERROR(VLOOKUP(A474,'Salary Calculation'!$A$2:$V$999,10,0),"")</f>
        <v/>
      </c>
      <c r="F474" s="101"/>
      <c r="G474" s="106" t="str">
        <f>IFERROR(VLOOKUP(A474,'Salary Calculation'!$A$2:$V$999,7,0),"")</f>
        <v/>
      </c>
      <c r="H474" s="100"/>
      <c r="I474" s="101"/>
      <c r="J474" s="101"/>
      <c r="K474" s="101"/>
      <c r="L474" s="101"/>
      <c r="M474" s="101"/>
      <c r="N474" s="101"/>
      <c r="O474" s="101"/>
      <c r="P474" s="101"/>
      <c r="Q474" s="101"/>
      <c r="R474" s="101"/>
      <c r="S474" s="101"/>
      <c r="T474" s="101"/>
      <c r="U474" s="101"/>
      <c r="V474" s="101"/>
      <c r="W474" s="101"/>
      <c r="X474" s="101"/>
      <c r="Y474" s="101"/>
      <c r="Z474" s="101"/>
      <c r="AA474" s="101"/>
      <c r="AB474" s="101"/>
    </row>
    <row r="475">
      <c r="A475" s="104" t="s">
        <v>612</v>
      </c>
      <c r="B475" s="105" t="str">
        <f>IFERROR(VLOOKUP(A475,'Salary Calculation'!A474:F1471,2,0),"")</f>
        <v/>
      </c>
      <c r="C475" s="105" t="str">
        <f>IFERROR(VLOOKUP(A475,'Salary Calculation'!$A$2:$V$999,3,0),"")</f>
        <v/>
      </c>
      <c r="D475" s="105" t="str">
        <f>IFERROR(VLOOKUP(A475,'Salary Calculation'!$A$2:$V$999,6,0),"")</f>
        <v/>
      </c>
      <c r="E475" s="105" t="str">
        <f>IFERROR(VLOOKUP(A475,'Salary Calculation'!$A$2:$V$999,10,0),"")</f>
        <v/>
      </c>
      <c r="F475" s="101"/>
      <c r="G475" s="106" t="str">
        <f>IFERROR(VLOOKUP(A475,'Salary Calculation'!$A$2:$V$999,7,0),"")</f>
        <v/>
      </c>
      <c r="H475" s="100"/>
      <c r="I475" s="101"/>
      <c r="J475" s="101"/>
      <c r="K475" s="101"/>
      <c r="L475" s="101"/>
      <c r="M475" s="101"/>
      <c r="N475" s="101"/>
      <c r="O475" s="101"/>
      <c r="P475" s="101"/>
      <c r="Q475" s="101"/>
      <c r="R475" s="101"/>
      <c r="S475" s="101"/>
      <c r="T475" s="101"/>
      <c r="U475" s="101"/>
      <c r="V475" s="101"/>
      <c r="W475" s="101"/>
      <c r="X475" s="101"/>
      <c r="Y475" s="101"/>
      <c r="Z475" s="101"/>
      <c r="AA475" s="101"/>
      <c r="AB475" s="101"/>
    </row>
    <row r="476">
      <c r="A476" s="104" t="s">
        <v>613</v>
      </c>
      <c r="B476" s="105" t="str">
        <f>IFERROR(VLOOKUP(A476,'Salary Calculation'!A475:F1472,2,0),"")</f>
        <v/>
      </c>
      <c r="C476" s="105" t="str">
        <f>IFERROR(VLOOKUP(A476,'Salary Calculation'!$A$2:$V$999,3,0),"")</f>
        <v/>
      </c>
      <c r="D476" s="105" t="str">
        <f>IFERROR(VLOOKUP(A476,'Salary Calculation'!$A$2:$V$999,6,0),"")</f>
        <v/>
      </c>
      <c r="E476" s="105" t="str">
        <f>IFERROR(VLOOKUP(A476,'Salary Calculation'!$A$2:$V$999,10,0),"")</f>
        <v/>
      </c>
      <c r="F476" s="101"/>
      <c r="G476" s="106" t="str">
        <f>IFERROR(VLOOKUP(A476,'Salary Calculation'!$A$2:$V$999,7,0),"")</f>
        <v/>
      </c>
      <c r="H476" s="100"/>
      <c r="I476" s="101"/>
      <c r="J476" s="101"/>
      <c r="K476" s="101"/>
      <c r="L476" s="101"/>
      <c r="M476" s="101"/>
      <c r="N476" s="101"/>
      <c r="O476" s="101"/>
      <c r="P476" s="101"/>
      <c r="Q476" s="101"/>
      <c r="R476" s="101"/>
      <c r="S476" s="101"/>
      <c r="T476" s="101"/>
      <c r="U476" s="101"/>
      <c r="V476" s="101"/>
      <c r="W476" s="101"/>
      <c r="X476" s="101"/>
      <c r="Y476" s="101"/>
      <c r="Z476" s="101"/>
      <c r="AA476" s="101"/>
      <c r="AB476" s="101"/>
    </row>
    <row r="477">
      <c r="A477" s="104" t="s">
        <v>614</v>
      </c>
      <c r="B477" s="105" t="str">
        <f>IFERROR(VLOOKUP(A477,'Salary Calculation'!A476:F1473,2,0),"")</f>
        <v/>
      </c>
      <c r="C477" s="105" t="str">
        <f>IFERROR(VLOOKUP(A477,'Salary Calculation'!$A$2:$V$999,3,0),"")</f>
        <v/>
      </c>
      <c r="D477" s="105" t="str">
        <f>IFERROR(VLOOKUP(A477,'Salary Calculation'!$A$2:$V$999,6,0),"")</f>
        <v/>
      </c>
      <c r="E477" s="105" t="str">
        <f>IFERROR(VLOOKUP(A477,'Salary Calculation'!$A$2:$V$999,10,0),"")</f>
        <v/>
      </c>
      <c r="F477" s="101"/>
      <c r="G477" s="106" t="str">
        <f>IFERROR(VLOOKUP(A477,'Salary Calculation'!$A$2:$V$999,7,0),"")</f>
        <v/>
      </c>
      <c r="H477" s="100"/>
      <c r="I477" s="101"/>
      <c r="J477" s="101"/>
      <c r="K477" s="101"/>
      <c r="L477" s="101"/>
      <c r="M477" s="101"/>
      <c r="N477" s="101"/>
      <c r="O477" s="101"/>
      <c r="P477" s="101"/>
      <c r="Q477" s="101"/>
      <c r="R477" s="101"/>
      <c r="S477" s="101"/>
      <c r="T477" s="101"/>
      <c r="U477" s="101"/>
      <c r="V477" s="101"/>
      <c r="W477" s="101"/>
      <c r="X477" s="101"/>
      <c r="Y477" s="101"/>
      <c r="Z477" s="101"/>
      <c r="AA477" s="101"/>
      <c r="AB477" s="101"/>
    </row>
    <row r="478">
      <c r="A478" s="104" t="s">
        <v>615</v>
      </c>
      <c r="B478" s="105" t="str">
        <f>IFERROR(VLOOKUP(A478,'Salary Calculation'!A477:F1474,2,0),"")</f>
        <v/>
      </c>
      <c r="C478" s="105" t="str">
        <f>IFERROR(VLOOKUP(A478,'Salary Calculation'!$A$2:$V$999,3,0),"")</f>
        <v/>
      </c>
      <c r="D478" s="105" t="str">
        <f>IFERROR(VLOOKUP(A478,'Salary Calculation'!$A$2:$V$999,6,0),"")</f>
        <v/>
      </c>
      <c r="E478" s="105" t="str">
        <f>IFERROR(VLOOKUP(A478,'Salary Calculation'!$A$2:$V$999,10,0),"")</f>
        <v/>
      </c>
      <c r="F478" s="101"/>
      <c r="G478" s="106" t="str">
        <f>IFERROR(VLOOKUP(A478,'Salary Calculation'!$A$2:$V$999,7,0),"")</f>
        <v/>
      </c>
      <c r="H478" s="100"/>
      <c r="I478" s="101"/>
      <c r="J478" s="101"/>
      <c r="K478" s="101"/>
      <c r="L478" s="101"/>
      <c r="M478" s="101"/>
      <c r="N478" s="101"/>
      <c r="O478" s="101"/>
      <c r="P478" s="101"/>
      <c r="Q478" s="101"/>
      <c r="R478" s="101"/>
      <c r="S478" s="101"/>
      <c r="T478" s="101"/>
      <c r="U478" s="101"/>
      <c r="V478" s="101"/>
      <c r="W478" s="101"/>
      <c r="X478" s="101"/>
      <c r="Y478" s="101"/>
      <c r="Z478" s="101"/>
      <c r="AA478" s="101"/>
      <c r="AB478" s="101"/>
    </row>
    <row r="479">
      <c r="A479" s="104" t="s">
        <v>616</v>
      </c>
      <c r="B479" s="105" t="str">
        <f>IFERROR(VLOOKUP(A479,'Salary Calculation'!A478:F1475,2,0),"")</f>
        <v/>
      </c>
      <c r="C479" s="105" t="str">
        <f>IFERROR(VLOOKUP(A479,'Salary Calculation'!$A$2:$V$999,3,0),"")</f>
        <v/>
      </c>
      <c r="D479" s="105" t="str">
        <f>IFERROR(VLOOKUP(A479,'Salary Calculation'!$A$2:$V$999,6,0),"")</f>
        <v/>
      </c>
      <c r="E479" s="105" t="str">
        <f>IFERROR(VLOOKUP(A479,'Salary Calculation'!$A$2:$V$999,10,0),"")</f>
        <v/>
      </c>
      <c r="F479" s="101"/>
      <c r="G479" s="106" t="str">
        <f>IFERROR(VLOOKUP(A479,'Salary Calculation'!$A$2:$V$999,7,0),"")</f>
        <v/>
      </c>
      <c r="H479" s="100"/>
      <c r="I479" s="101"/>
      <c r="J479" s="101"/>
      <c r="K479" s="101"/>
      <c r="L479" s="101"/>
      <c r="M479" s="101"/>
      <c r="N479" s="101"/>
      <c r="O479" s="101"/>
      <c r="P479" s="101"/>
      <c r="Q479" s="101"/>
      <c r="R479" s="101"/>
      <c r="S479" s="101"/>
      <c r="T479" s="101"/>
      <c r="U479" s="101"/>
      <c r="V479" s="101"/>
      <c r="W479" s="101"/>
      <c r="X479" s="101"/>
      <c r="Y479" s="101"/>
      <c r="Z479" s="101"/>
      <c r="AA479" s="101"/>
      <c r="AB479" s="101"/>
    </row>
    <row r="480">
      <c r="A480" s="104" t="s">
        <v>617</v>
      </c>
      <c r="B480" s="105" t="str">
        <f>IFERROR(VLOOKUP(A480,'Salary Calculation'!A479:F1476,2,0),"")</f>
        <v/>
      </c>
      <c r="C480" s="105" t="str">
        <f>IFERROR(VLOOKUP(A480,'Salary Calculation'!$A$2:$V$999,3,0),"")</f>
        <v/>
      </c>
      <c r="D480" s="105" t="str">
        <f>IFERROR(VLOOKUP(A480,'Salary Calculation'!$A$2:$V$999,6,0),"")</f>
        <v/>
      </c>
      <c r="E480" s="105" t="str">
        <f>IFERROR(VLOOKUP(A480,'Salary Calculation'!$A$2:$V$999,10,0),"")</f>
        <v/>
      </c>
      <c r="F480" s="101"/>
      <c r="G480" s="106" t="str">
        <f>IFERROR(VLOOKUP(A480,'Salary Calculation'!$A$2:$V$999,7,0),"")</f>
        <v/>
      </c>
      <c r="H480" s="100"/>
      <c r="I480" s="101"/>
      <c r="J480" s="101"/>
      <c r="K480" s="101"/>
      <c r="L480" s="101"/>
      <c r="M480" s="101"/>
      <c r="N480" s="101"/>
      <c r="O480" s="101"/>
      <c r="P480" s="101"/>
      <c r="Q480" s="101"/>
      <c r="R480" s="101"/>
      <c r="S480" s="101"/>
      <c r="T480" s="101"/>
      <c r="U480" s="101"/>
      <c r="V480" s="101"/>
      <c r="W480" s="101"/>
      <c r="X480" s="101"/>
      <c r="Y480" s="101"/>
      <c r="Z480" s="101"/>
      <c r="AA480" s="101"/>
      <c r="AB480" s="101"/>
    </row>
    <row r="481">
      <c r="A481" s="104" t="s">
        <v>618</v>
      </c>
      <c r="B481" s="105" t="str">
        <f>IFERROR(VLOOKUP(A481,'Salary Calculation'!A480:F1477,2,0),"")</f>
        <v/>
      </c>
      <c r="C481" s="105" t="str">
        <f>IFERROR(VLOOKUP(A481,'Salary Calculation'!$A$2:$V$999,3,0),"")</f>
        <v/>
      </c>
      <c r="D481" s="105" t="str">
        <f>IFERROR(VLOOKUP(A481,'Salary Calculation'!$A$2:$V$999,6,0),"")</f>
        <v/>
      </c>
      <c r="E481" s="105" t="str">
        <f>IFERROR(VLOOKUP(A481,'Salary Calculation'!$A$2:$V$999,10,0),"")</f>
        <v/>
      </c>
      <c r="F481" s="101"/>
      <c r="G481" s="106" t="str">
        <f>IFERROR(VLOOKUP(A481,'Salary Calculation'!$A$2:$V$999,7,0),"")</f>
        <v/>
      </c>
      <c r="H481" s="100"/>
      <c r="I481" s="101"/>
      <c r="J481" s="101"/>
      <c r="K481" s="101"/>
      <c r="L481" s="101"/>
      <c r="M481" s="101"/>
      <c r="N481" s="101"/>
      <c r="O481" s="101"/>
      <c r="P481" s="101"/>
      <c r="Q481" s="101"/>
      <c r="R481" s="101"/>
      <c r="S481" s="101"/>
      <c r="T481" s="101"/>
      <c r="U481" s="101"/>
      <c r="V481" s="101"/>
      <c r="W481" s="101"/>
      <c r="X481" s="101"/>
      <c r="Y481" s="101"/>
      <c r="Z481" s="101"/>
      <c r="AA481" s="101"/>
      <c r="AB481" s="101"/>
    </row>
    <row r="482">
      <c r="A482" s="104" t="s">
        <v>619</v>
      </c>
      <c r="B482" s="105" t="str">
        <f>IFERROR(VLOOKUP(A482,'Salary Calculation'!A481:F1478,2,0),"")</f>
        <v/>
      </c>
      <c r="C482" s="105" t="str">
        <f>IFERROR(VLOOKUP(A482,'Salary Calculation'!$A$2:$V$999,3,0),"")</f>
        <v/>
      </c>
      <c r="D482" s="105" t="str">
        <f>IFERROR(VLOOKUP(A482,'Salary Calculation'!$A$2:$V$999,6,0),"")</f>
        <v/>
      </c>
      <c r="E482" s="105" t="str">
        <f>IFERROR(VLOOKUP(A482,'Salary Calculation'!$A$2:$V$999,10,0),"")</f>
        <v/>
      </c>
      <c r="F482" s="101"/>
      <c r="G482" s="106" t="str">
        <f>IFERROR(VLOOKUP(A482,'Salary Calculation'!$A$2:$V$999,7,0),"")</f>
        <v/>
      </c>
      <c r="H482" s="100"/>
      <c r="I482" s="101"/>
      <c r="J482" s="101"/>
      <c r="K482" s="101"/>
      <c r="L482" s="101"/>
      <c r="M482" s="101"/>
      <c r="N482" s="101"/>
      <c r="O482" s="101"/>
      <c r="P482" s="101"/>
      <c r="Q482" s="101"/>
      <c r="R482" s="101"/>
      <c r="S482" s="101"/>
      <c r="T482" s="101"/>
      <c r="U482" s="101"/>
      <c r="V482" s="101"/>
      <c r="W482" s="101"/>
      <c r="X482" s="101"/>
      <c r="Y482" s="101"/>
      <c r="Z482" s="101"/>
      <c r="AA482" s="101"/>
      <c r="AB482" s="101"/>
    </row>
    <row r="483">
      <c r="A483" s="104" t="s">
        <v>620</v>
      </c>
      <c r="B483" s="105" t="str">
        <f>IFERROR(VLOOKUP(A483,'Salary Calculation'!A482:F1479,2,0),"")</f>
        <v/>
      </c>
      <c r="C483" s="105" t="str">
        <f>IFERROR(VLOOKUP(A483,'Salary Calculation'!$A$2:$V$999,3,0),"")</f>
        <v/>
      </c>
      <c r="D483" s="105" t="str">
        <f>IFERROR(VLOOKUP(A483,'Salary Calculation'!$A$2:$V$999,6,0),"")</f>
        <v/>
      </c>
      <c r="E483" s="105" t="str">
        <f>IFERROR(VLOOKUP(A483,'Salary Calculation'!$A$2:$V$999,10,0),"")</f>
        <v/>
      </c>
      <c r="F483" s="101"/>
      <c r="G483" s="106" t="str">
        <f>IFERROR(VLOOKUP(A483,'Salary Calculation'!$A$2:$V$999,7,0),"")</f>
        <v/>
      </c>
      <c r="H483" s="100"/>
      <c r="I483" s="101"/>
      <c r="J483" s="101"/>
      <c r="K483" s="101"/>
      <c r="L483" s="101"/>
      <c r="M483" s="101"/>
      <c r="N483" s="101"/>
      <c r="O483" s="101"/>
      <c r="P483" s="101"/>
      <c r="Q483" s="101"/>
      <c r="R483" s="101"/>
      <c r="S483" s="101"/>
      <c r="T483" s="101"/>
      <c r="U483" s="101"/>
      <c r="V483" s="101"/>
      <c r="W483" s="101"/>
      <c r="X483" s="101"/>
      <c r="Y483" s="101"/>
      <c r="Z483" s="101"/>
      <c r="AA483" s="101"/>
      <c r="AB483" s="101"/>
    </row>
    <row r="484">
      <c r="A484" s="104" t="s">
        <v>621</v>
      </c>
      <c r="B484" s="105" t="str">
        <f>IFERROR(VLOOKUP(A484,'Salary Calculation'!A483:F1480,2,0),"")</f>
        <v/>
      </c>
      <c r="C484" s="105" t="str">
        <f>IFERROR(VLOOKUP(A484,'Salary Calculation'!$A$2:$V$999,3,0),"")</f>
        <v/>
      </c>
      <c r="D484" s="105" t="str">
        <f>IFERROR(VLOOKUP(A484,'Salary Calculation'!$A$2:$V$999,6,0),"")</f>
        <v/>
      </c>
      <c r="E484" s="105" t="str">
        <f>IFERROR(VLOOKUP(A484,'Salary Calculation'!$A$2:$V$999,10,0),"")</f>
        <v/>
      </c>
      <c r="F484" s="101"/>
      <c r="G484" s="106" t="str">
        <f>IFERROR(VLOOKUP(A484,'Salary Calculation'!$A$2:$V$999,7,0),"")</f>
        <v/>
      </c>
      <c r="H484" s="100"/>
      <c r="I484" s="101"/>
      <c r="J484" s="101"/>
      <c r="K484" s="101"/>
      <c r="L484" s="101"/>
      <c r="M484" s="101"/>
      <c r="N484" s="101"/>
      <c r="O484" s="101"/>
      <c r="P484" s="101"/>
      <c r="Q484" s="101"/>
      <c r="R484" s="101"/>
      <c r="S484" s="101"/>
      <c r="T484" s="101"/>
      <c r="U484" s="101"/>
      <c r="V484" s="101"/>
      <c r="W484" s="101"/>
      <c r="X484" s="101"/>
      <c r="Y484" s="101"/>
      <c r="Z484" s="101"/>
      <c r="AA484" s="101"/>
      <c r="AB484" s="101"/>
    </row>
    <row r="485">
      <c r="A485" s="104" t="s">
        <v>622</v>
      </c>
      <c r="B485" s="105" t="str">
        <f>IFERROR(VLOOKUP(A485,'Salary Calculation'!A484:F1481,2,0),"")</f>
        <v/>
      </c>
      <c r="C485" s="105" t="str">
        <f>IFERROR(VLOOKUP(A485,'Salary Calculation'!$A$2:$V$999,3,0),"")</f>
        <v/>
      </c>
      <c r="D485" s="105" t="str">
        <f>IFERROR(VLOOKUP(A485,'Salary Calculation'!$A$2:$V$999,6,0),"")</f>
        <v/>
      </c>
      <c r="E485" s="105" t="str">
        <f>IFERROR(VLOOKUP(A485,'Salary Calculation'!$A$2:$V$999,10,0),"")</f>
        <v/>
      </c>
      <c r="F485" s="101"/>
      <c r="G485" s="106" t="str">
        <f>IFERROR(VLOOKUP(A485,'Salary Calculation'!$A$2:$V$999,7,0),"")</f>
        <v/>
      </c>
      <c r="H485" s="100"/>
      <c r="I485" s="101"/>
      <c r="J485" s="101"/>
      <c r="K485" s="101"/>
      <c r="L485" s="101"/>
      <c r="M485" s="101"/>
      <c r="N485" s="101"/>
      <c r="O485" s="101"/>
      <c r="P485" s="101"/>
      <c r="Q485" s="101"/>
      <c r="R485" s="101"/>
      <c r="S485" s="101"/>
      <c r="T485" s="101"/>
      <c r="U485" s="101"/>
      <c r="V485" s="101"/>
      <c r="W485" s="101"/>
      <c r="X485" s="101"/>
      <c r="Y485" s="101"/>
      <c r="Z485" s="101"/>
      <c r="AA485" s="101"/>
      <c r="AB485" s="101"/>
    </row>
    <row r="486">
      <c r="A486" s="104" t="s">
        <v>623</v>
      </c>
      <c r="B486" s="105" t="str">
        <f>IFERROR(VLOOKUP(A486,'Salary Calculation'!A485:F1482,2,0),"")</f>
        <v/>
      </c>
      <c r="C486" s="105" t="str">
        <f>IFERROR(VLOOKUP(A486,'Salary Calculation'!$A$2:$V$999,3,0),"")</f>
        <v/>
      </c>
      <c r="D486" s="105" t="str">
        <f>IFERROR(VLOOKUP(A486,'Salary Calculation'!$A$2:$V$999,6,0),"")</f>
        <v/>
      </c>
      <c r="E486" s="105" t="str">
        <f>IFERROR(VLOOKUP(A486,'Salary Calculation'!$A$2:$V$999,10,0),"")</f>
        <v/>
      </c>
      <c r="F486" s="101"/>
      <c r="G486" s="106" t="str">
        <f>IFERROR(VLOOKUP(A486,'Salary Calculation'!$A$2:$V$999,7,0),"")</f>
        <v/>
      </c>
      <c r="H486" s="100"/>
      <c r="I486" s="101"/>
      <c r="J486" s="101"/>
      <c r="K486" s="101"/>
      <c r="L486" s="101"/>
      <c r="M486" s="101"/>
      <c r="N486" s="101"/>
      <c r="O486" s="101"/>
      <c r="P486" s="101"/>
      <c r="Q486" s="101"/>
      <c r="R486" s="101"/>
      <c r="S486" s="101"/>
      <c r="T486" s="101"/>
      <c r="U486" s="101"/>
      <c r="V486" s="101"/>
      <c r="W486" s="101"/>
      <c r="X486" s="101"/>
      <c r="Y486" s="101"/>
      <c r="Z486" s="101"/>
      <c r="AA486" s="101"/>
      <c r="AB486" s="101"/>
    </row>
    <row r="487">
      <c r="A487" s="104" t="s">
        <v>624</v>
      </c>
      <c r="B487" s="105" t="str">
        <f>IFERROR(VLOOKUP(A487,'Salary Calculation'!A486:F1483,2,0),"")</f>
        <v/>
      </c>
      <c r="C487" s="105" t="str">
        <f>IFERROR(VLOOKUP(A487,'Salary Calculation'!$A$2:$V$999,3,0),"")</f>
        <v/>
      </c>
      <c r="D487" s="105" t="str">
        <f>IFERROR(VLOOKUP(A487,'Salary Calculation'!$A$2:$V$999,6,0),"")</f>
        <v/>
      </c>
      <c r="E487" s="105" t="str">
        <f>IFERROR(VLOOKUP(A487,'Salary Calculation'!$A$2:$V$999,10,0),"")</f>
        <v/>
      </c>
      <c r="F487" s="101"/>
      <c r="G487" s="106" t="str">
        <f>IFERROR(VLOOKUP(A487,'Salary Calculation'!$A$2:$V$999,7,0),"")</f>
        <v/>
      </c>
      <c r="H487" s="100"/>
      <c r="I487" s="101"/>
      <c r="J487" s="101"/>
      <c r="K487" s="101"/>
      <c r="L487" s="101"/>
      <c r="M487" s="101"/>
      <c r="N487" s="101"/>
      <c r="O487" s="101"/>
      <c r="P487" s="101"/>
      <c r="Q487" s="101"/>
      <c r="R487" s="101"/>
      <c r="S487" s="101"/>
      <c r="T487" s="101"/>
      <c r="U487" s="101"/>
      <c r="V487" s="101"/>
      <c r="W487" s="101"/>
      <c r="X487" s="101"/>
      <c r="Y487" s="101"/>
      <c r="Z487" s="101"/>
      <c r="AA487" s="101"/>
      <c r="AB487" s="101"/>
    </row>
    <row r="488">
      <c r="A488" s="104" t="s">
        <v>625</v>
      </c>
      <c r="B488" s="105" t="str">
        <f>IFERROR(VLOOKUP(A488,'Salary Calculation'!A487:F1484,2,0),"")</f>
        <v/>
      </c>
      <c r="C488" s="105" t="str">
        <f>IFERROR(VLOOKUP(A488,'Salary Calculation'!$A$2:$V$999,3,0),"")</f>
        <v/>
      </c>
      <c r="D488" s="105" t="str">
        <f>IFERROR(VLOOKUP(A488,'Salary Calculation'!$A$2:$V$999,6,0),"")</f>
        <v/>
      </c>
      <c r="E488" s="105" t="str">
        <f>IFERROR(VLOOKUP(A488,'Salary Calculation'!$A$2:$V$999,10,0),"")</f>
        <v/>
      </c>
      <c r="F488" s="101"/>
      <c r="G488" s="106" t="str">
        <f>IFERROR(VLOOKUP(A488,'Salary Calculation'!$A$2:$V$999,7,0),"")</f>
        <v/>
      </c>
      <c r="H488" s="100"/>
      <c r="I488" s="101"/>
      <c r="J488" s="101"/>
      <c r="K488" s="101"/>
      <c r="L488" s="101"/>
      <c r="M488" s="101"/>
      <c r="N488" s="101"/>
      <c r="O488" s="101"/>
      <c r="P488" s="101"/>
      <c r="Q488" s="101"/>
      <c r="R488" s="101"/>
      <c r="S488" s="101"/>
      <c r="T488" s="101"/>
      <c r="U488" s="101"/>
      <c r="V488" s="101"/>
      <c r="W488" s="101"/>
      <c r="X488" s="101"/>
      <c r="Y488" s="101"/>
      <c r="Z488" s="101"/>
      <c r="AA488" s="101"/>
      <c r="AB488" s="101"/>
    </row>
    <row r="489">
      <c r="A489" s="104" t="s">
        <v>626</v>
      </c>
      <c r="B489" s="105" t="str">
        <f>IFERROR(VLOOKUP(A489,'Salary Calculation'!A488:F1485,2,0),"")</f>
        <v/>
      </c>
      <c r="C489" s="105" t="str">
        <f>IFERROR(VLOOKUP(A489,'Salary Calculation'!$A$2:$V$999,3,0),"")</f>
        <v/>
      </c>
      <c r="D489" s="105" t="str">
        <f>IFERROR(VLOOKUP(A489,'Salary Calculation'!$A$2:$V$999,6,0),"")</f>
        <v/>
      </c>
      <c r="E489" s="105" t="str">
        <f>IFERROR(VLOOKUP(A489,'Salary Calculation'!$A$2:$V$999,10,0),"")</f>
        <v/>
      </c>
      <c r="F489" s="101"/>
      <c r="G489" s="106" t="str">
        <f>IFERROR(VLOOKUP(A489,'Salary Calculation'!$A$2:$V$999,7,0),"")</f>
        <v/>
      </c>
      <c r="H489" s="100"/>
      <c r="I489" s="101"/>
      <c r="J489" s="101"/>
      <c r="K489" s="101"/>
      <c r="L489" s="101"/>
      <c r="M489" s="101"/>
      <c r="N489" s="101"/>
      <c r="O489" s="101"/>
      <c r="P489" s="101"/>
      <c r="Q489" s="101"/>
      <c r="R489" s="101"/>
      <c r="S489" s="101"/>
      <c r="T489" s="101"/>
      <c r="U489" s="101"/>
      <c r="V489" s="101"/>
      <c r="W489" s="101"/>
      <c r="X489" s="101"/>
      <c r="Y489" s="101"/>
      <c r="Z489" s="101"/>
      <c r="AA489" s="101"/>
      <c r="AB489" s="101"/>
    </row>
    <row r="490">
      <c r="A490" s="104" t="s">
        <v>627</v>
      </c>
      <c r="B490" s="105" t="str">
        <f>IFERROR(VLOOKUP(A490,'Salary Calculation'!A489:F1486,2,0),"")</f>
        <v/>
      </c>
      <c r="C490" s="105" t="str">
        <f>IFERROR(VLOOKUP(A490,'Salary Calculation'!$A$2:$V$999,3,0),"")</f>
        <v/>
      </c>
      <c r="D490" s="105" t="str">
        <f>IFERROR(VLOOKUP(A490,'Salary Calculation'!$A$2:$V$999,6,0),"")</f>
        <v/>
      </c>
      <c r="E490" s="105" t="str">
        <f>IFERROR(VLOOKUP(A490,'Salary Calculation'!$A$2:$V$999,10,0),"")</f>
        <v/>
      </c>
      <c r="F490" s="101"/>
      <c r="G490" s="106" t="str">
        <f>IFERROR(VLOOKUP(A490,'Salary Calculation'!$A$2:$V$999,7,0),"")</f>
        <v/>
      </c>
      <c r="H490" s="100"/>
      <c r="I490" s="101"/>
      <c r="J490" s="101"/>
      <c r="K490" s="101"/>
      <c r="L490" s="101"/>
      <c r="M490" s="101"/>
      <c r="N490" s="101"/>
      <c r="O490" s="101"/>
      <c r="P490" s="101"/>
      <c r="Q490" s="101"/>
      <c r="R490" s="101"/>
      <c r="S490" s="101"/>
      <c r="T490" s="101"/>
      <c r="U490" s="101"/>
      <c r="V490" s="101"/>
      <c r="W490" s="101"/>
      <c r="X490" s="101"/>
      <c r="Y490" s="101"/>
      <c r="Z490" s="101"/>
      <c r="AA490" s="101"/>
      <c r="AB490" s="101"/>
    </row>
    <row r="491">
      <c r="A491" s="104" t="s">
        <v>628</v>
      </c>
      <c r="B491" s="105" t="str">
        <f>IFERROR(VLOOKUP(A491,'Salary Calculation'!A490:F1487,2,0),"")</f>
        <v/>
      </c>
      <c r="C491" s="105" t="str">
        <f>IFERROR(VLOOKUP(A491,'Salary Calculation'!$A$2:$V$999,3,0),"")</f>
        <v/>
      </c>
      <c r="D491" s="105" t="str">
        <f>IFERROR(VLOOKUP(A491,'Salary Calculation'!$A$2:$V$999,6,0),"")</f>
        <v/>
      </c>
      <c r="E491" s="105" t="str">
        <f>IFERROR(VLOOKUP(A491,'Salary Calculation'!$A$2:$V$999,10,0),"")</f>
        <v/>
      </c>
      <c r="F491" s="101"/>
      <c r="G491" s="106" t="str">
        <f>IFERROR(VLOOKUP(A491,'Salary Calculation'!$A$2:$V$999,7,0),"")</f>
        <v/>
      </c>
      <c r="H491" s="100"/>
      <c r="I491" s="101"/>
      <c r="J491" s="101"/>
      <c r="K491" s="101"/>
      <c r="L491" s="101"/>
      <c r="M491" s="101"/>
      <c r="N491" s="101"/>
      <c r="O491" s="101"/>
      <c r="P491" s="101"/>
      <c r="Q491" s="101"/>
      <c r="R491" s="101"/>
      <c r="S491" s="101"/>
      <c r="T491" s="101"/>
      <c r="U491" s="101"/>
      <c r="V491" s="101"/>
      <c r="W491" s="101"/>
      <c r="X491" s="101"/>
      <c r="Y491" s="101"/>
      <c r="Z491" s="101"/>
      <c r="AA491" s="101"/>
      <c r="AB491" s="101"/>
    </row>
    <row r="492">
      <c r="A492" s="104" t="s">
        <v>629</v>
      </c>
      <c r="B492" s="105" t="str">
        <f>IFERROR(VLOOKUP(A492,'Salary Calculation'!A491:F1488,2,0),"")</f>
        <v/>
      </c>
      <c r="C492" s="105" t="str">
        <f>IFERROR(VLOOKUP(A492,'Salary Calculation'!$A$2:$V$999,3,0),"")</f>
        <v/>
      </c>
      <c r="D492" s="105" t="str">
        <f>IFERROR(VLOOKUP(A492,'Salary Calculation'!$A$2:$V$999,6,0),"")</f>
        <v/>
      </c>
      <c r="E492" s="105" t="str">
        <f>IFERROR(VLOOKUP(A492,'Salary Calculation'!$A$2:$V$999,10,0),"")</f>
        <v/>
      </c>
      <c r="F492" s="101"/>
      <c r="G492" s="106" t="str">
        <f>IFERROR(VLOOKUP(A492,'Salary Calculation'!$A$2:$V$999,7,0),"")</f>
        <v/>
      </c>
      <c r="H492" s="100"/>
      <c r="I492" s="101"/>
      <c r="J492" s="101"/>
      <c r="K492" s="101"/>
      <c r="L492" s="101"/>
      <c r="M492" s="101"/>
      <c r="N492" s="101"/>
      <c r="O492" s="101"/>
      <c r="P492" s="101"/>
      <c r="Q492" s="101"/>
      <c r="R492" s="101"/>
      <c r="S492" s="101"/>
      <c r="T492" s="101"/>
      <c r="U492" s="101"/>
      <c r="V492" s="101"/>
      <c r="W492" s="101"/>
      <c r="X492" s="101"/>
      <c r="Y492" s="101"/>
      <c r="Z492" s="101"/>
      <c r="AA492" s="101"/>
      <c r="AB492" s="101"/>
    </row>
    <row r="493">
      <c r="A493" s="104" t="s">
        <v>630</v>
      </c>
      <c r="B493" s="105" t="str">
        <f>IFERROR(VLOOKUP(A493,'Salary Calculation'!A492:F1489,2,0),"")</f>
        <v/>
      </c>
      <c r="C493" s="105" t="str">
        <f>IFERROR(VLOOKUP(A493,'Salary Calculation'!$A$2:$V$999,3,0),"")</f>
        <v/>
      </c>
      <c r="D493" s="105" t="str">
        <f>IFERROR(VLOOKUP(A493,'Salary Calculation'!$A$2:$V$999,6,0),"")</f>
        <v/>
      </c>
      <c r="E493" s="105" t="str">
        <f>IFERROR(VLOOKUP(A493,'Salary Calculation'!$A$2:$V$999,10,0),"")</f>
        <v/>
      </c>
      <c r="F493" s="101"/>
      <c r="G493" s="106" t="str">
        <f>IFERROR(VLOOKUP(A493,'Salary Calculation'!$A$2:$V$999,7,0),"")</f>
        <v/>
      </c>
      <c r="H493" s="100"/>
      <c r="I493" s="101"/>
      <c r="J493" s="101"/>
      <c r="K493" s="101"/>
      <c r="L493" s="101"/>
      <c r="M493" s="101"/>
      <c r="N493" s="101"/>
      <c r="O493" s="101"/>
      <c r="P493" s="101"/>
      <c r="Q493" s="101"/>
      <c r="R493" s="101"/>
      <c r="S493" s="101"/>
      <c r="T493" s="101"/>
      <c r="U493" s="101"/>
      <c r="V493" s="101"/>
      <c r="W493" s="101"/>
      <c r="X493" s="101"/>
      <c r="Y493" s="101"/>
      <c r="Z493" s="101"/>
      <c r="AA493" s="101"/>
      <c r="AB493" s="101"/>
    </row>
    <row r="494">
      <c r="A494" s="104" t="s">
        <v>631</v>
      </c>
      <c r="B494" s="105" t="str">
        <f>IFERROR(VLOOKUP(A494,'Salary Calculation'!A493:F1490,2,0),"")</f>
        <v/>
      </c>
      <c r="C494" s="105" t="str">
        <f>IFERROR(VLOOKUP(A494,'Salary Calculation'!$A$2:$V$999,3,0),"")</f>
        <v/>
      </c>
      <c r="D494" s="105" t="str">
        <f>IFERROR(VLOOKUP(A494,'Salary Calculation'!$A$2:$V$999,6,0),"")</f>
        <v/>
      </c>
      <c r="E494" s="105" t="str">
        <f>IFERROR(VLOOKUP(A494,'Salary Calculation'!$A$2:$V$999,10,0),"")</f>
        <v/>
      </c>
      <c r="F494" s="101"/>
      <c r="G494" s="106" t="str">
        <f>IFERROR(VLOOKUP(A494,'Salary Calculation'!$A$2:$V$999,7,0),"")</f>
        <v/>
      </c>
      <c r="H494" s="100"/>
      <c r="I494" s="101"/>
      <c r="J494" s="101"/>
      <c r="K494" s="101"/>
      <c r="L494" s="101"/>
      <c r="M494" s="101"/>
      <c r="N494" s="101"/>
      <c r="O494" s="101"/>
      <c r="P494" s="101"/>
      <c r="Q494" s="101"/>
      <c r="R494" s="101"/>
      <c r="S494" s="101"/>
      <c r="T494" s="101"/>
      <c r="U494" s="101"/>
      <c r="V494" s="101"/>
      <c r="W494" s="101"/>
      <c r="X494" s="101"/>
      <c r="Y494" s="101"/>
      <c r="Z494" s="101"/>
      <c r="AA494" s="101"/>
      <c r="AB494" s="101"/>
    </row>
    <row r="495">
      <c r="A495" s="104" t="s">
        <v>632</v>
      </c>
      <c r="B495" s="105" t="str">
        <f>IFERROR(VLOOKUP(A495,'Salary Calculation'!A494:F1491,2,0),"")</f>
        <v/>
      </c>
      <c r="C495" s="105" t="str">
        <f>IFERROR(VLOOKUP(A495,'Salary Calculation'!$A$2:$V$999,3,0),"")</f>
        <v/>
      </c>
      <c r="D495" s="105" t="str">
        <f>IFERROR(VLOOKUP(A495,'Salary Calculation'!$A$2:$V$999,6,0),"")</f>
        <v/>
      </c>
      <c r="E495" s="105" t="str">
        <f>IFERROR(VLOOKUP(A495,'Salary Calculation'!$A$2:$V$999,10,0),"")</f>
        <v/>
      </c>
      <c r="F495" s="101"/>
      <c r="G495" s="106" t="str">
        <f>IFERROR(VLOOKUP(A495,'Salary Calculation'!$A$2:$V$999,7,0),"")</f>
        <v/>
      </c>
      <c r="H495" s="100"/>
      <c r="I495" s="101"/>
      <c r="J495" s="101"/>
      <c r="K495" s="101"/>
      <c r="L495" s="101"/>
      <c r="M495" s="101"/>
      <c r="N495" s="101"/>
      <c r="O495" s="101"/>
      <c r="P495" s="101"/>
      <c r="Q495" s="101"/>
      <c r="R495" s="101"/>
      <c r="S495" s="101"/>
      <c r="T495" s="101"/>
      <c r="U495" s="101"/>
      <c r="V495" s="101"/>
      <c r="W495" s="101"/>
      <c r="X495" s="101"/>
      <c r="Y495" s="101"/>
      <c r="Z495" s="101"/>
      <c r="AA495" s="101"/>
      <c r="AB495" s="101"/>
    </row>
    <row r="496">
      <c r="A496" s="104" t="s">
        <v>633</v>
      </c>
      <c r="B496" s="105" t="str">
        <f>IFERROR(VLOOKUP(A496,'Salary Calculation'!A495:F1492,2,0),"")</f>
        <v/>
      </c>
      <c r="C496" s="105" t="str">
        <f>IFERROR(VLOOKUP(A496,'Salary Calculation'!$A$2:$V$999,3,0),"")</f>
        <v/>
      </c>
      <c r="D496" s="105" t="str">
        <f>IFERROR(VLOOKUP(A496,'Salary Calculation'!$A$2:$V$999,6,0),"")</f>
        <v/>
      </c>
      <c r="E496" s="105" t="str">
        <f>IFERROR(VLOOKUP(A496,'Salary Calculation'!$A$2:$V$999,10,0),"")</f>
        <v/>
      </c>
      <c r="F496" s="101"/>
      <c r="G496" s="106" t="str">
        <f>IFERROR(VLOOKUP(A496,'Salary Calculation'!$A$2:$V$999,7,0),"")</f>
        <v/>
      </c>
      <c r="H496" s="100"/>
      <c r="I496" s="101"/>
      <c r="J496" s="101"/>
      <c r="K496" s="101"/>
      <c r="L496" s="101"/>
      <c r="M496" s="101"/>
      <c r="N496" s="101"/>
      <c r="O496" s="101"/>
      <c r="P496" s="101"/>
      <c r="Q496" s="101"/>
      <c r="R496" s="101"/>
      <c r="S496" s="101"/>
      <c r="T496" s="101"/>
      <c r="U496" s="101"/>
      <c r="V496" s="101"/>
      <c r="W496" s="101"/>
      <c r="X496" s="101"/>
      <c r="Y496" s="101"/>
      <c r="Z496" s="101"/>
      <c r="AA496" s="101"/>
      <c r="AB496" s="101"/>
    </row>
    <row r="497">
      <c r="A497" s="104" t="s">
        <v>634</v>
      </c>
      <c r="B497" s="105" t="str">
        <f>IFERROR(VLOOKUP(A497,'Salary Calculation'!A496:F1493,2,0),"")</f>
        <v/>
      </c>
      <c r="C497" s="105" t="str">
        <f>IFERROR(VLOOKUP(A497,'Salary Calculation'!$A$2:$V$999,3,0),"")</f>
        <v/>
      </c>
      <c r="D497" s="105" t="str">
        <f>IFERROR(VLOOKUP(A497,'Salary Calculation'!$A$2:$V$999,6,0),"")</f>
        <v/>
      </c>
      <c r="E497" s="105" t="str">
        <f>IFERROR(VLOOKUP(A497,'Salary Calculation'!$A$2:$V$999,10,0),"")</f>
        <v/>
      </c>
      <c r="F497" s="101"/>
      <c r="G497" s="106" t="str">
        <f>IFERROR(VLOOKUP(A497,'Salary Calculation'!$A$2:$V$999,7,0),"")</f>
        <v/>
      </c>
      <c r="H497" s="100"/>
      <c r="I497" s="101"/>
      <c r="J497" s="101"/>
      <c r="K497" s="101"/>
      <c r="L497" s="101"/>
      <c r="M497" s="101"/>
      <c r="N497" s="101"/>
      <c r="O497" s="101"/>
      <c r="P497" s="101"/>
      <c r="Q497" s="101"/>
      <c r="R497" s="101"/>
      <c r="S497" s="101"/>
      <c r="T497" s="101"/>
      <c r="U497" s="101"/>
      <c r="V497" s="101"/>
      <c r="W497" s="101"/>
      <c r="X497" s="101"/>
      <c r="Y497" s="101"/>
      <c r="Z497" s="101"/>
      <c r="AA497" s="101"/>
      <c r="AB497" s="101"/>
    </row>
    <row r="498">
      <c r="A498" s="104" t="s">
        <v>635</v>
      </c>
      <c r="B498" s="105" t="str">
        <f>IFERROR(VLOOKUP(A498,'Salary Calculation'!A497:F1494,2,0),"")</f>
        <v/>
      </c>
      <c r="C498" s="105" t="str">
        <f>IFERROR(VLOOKUP(A498,'Salary Calculation'!$A$2:$V$999,3,0),"")</f>
        <v/>
      </c>
      <c r="D498" s="105" t="str">
        <f>IFERROR(VLOOKUP(A498,'Salary Calculation'!$A$2:$V$999,6,0),"")</f>
        <v/>
      </c>
      <c r="E498" s="105" t="str">
        <f>IFERROR(VLOOKUP(A498,'Salary Calculation'!$A$2:$V$999,10,0),"")</f>
        <v/>
      </c>
      <c r="F498" s="101"/>
      <c r="G498" s="106" t="str">
        <f>IFERROR(VLOOKUP(A498,'Salary Calculation'!$A$2:$V$999,7,0),"")</f>
        <v/>
      </c>
      <c r="H498" s="100"/>
      <c r="I498" s="101"/>
      <c r="J498" s="101"/>
      <c r="K498" s="101"/>
      <c r="L498" s="101"/>
      <c r="M498" s="101"/>
      <c r="N498" s="101"/>
      <c r="O498" s="101"/>
      <c r="P498" s="101"/>
      <c r="Q498" s="101"/>
      <c r="R498" s="101"/>
      <c r="S498" s="101"/>
      <c r="T498" s="101"/>
      <c r="U498" s="101"/>
      <c r="V498" s="101"/>
      <c r="W498" s="101"/>
      <c r="X498" s="101"/>
      <c r="Y498" s="101"/>
      <c r="Z498" s="101"/>
      <c r="AA498" s="101"/>
      <c r="AB498" s="101"/>
    </row>
    <row r="499">
      <c r="A499" s="104" t="s">
        <v>636</v>
      </c>
      <c r="B499" s="105" t="str">
        <f>IFERROR(VLOOKUP(A499,'Salary Calculation'!A498:F1495,2,0),"")</f>
        <v/>
      </c>
      <c r="C499" s="105" t="str">
        <f>IFERROR(VLOOKUP(A499,'Salary Calculation'!$A$2:$V$999,3,0),"")</f>
        <v/>
      </c>
      <c r="D499" s="105" t="str">
        <f>IFERROR(VLOOKUP(A499,'Salary Calculation'!$A$2:$V$999,6,0),"")</f>
        <v/>
      </c>
      <c r="E499" s="105" t="str">
        <f>IFERROR(VLOOKUP(A499,'Salary Calculation'!$A$2:$V$999,10,0),"")</f>
        <v/>
      </c>
      <c r="F499" s="101"/>
      <c r="G499" s="106" t="str">
        <f>IFERROR(VLOOKUP(A499,'Salary Calculation'!$A$2:$V$999,7,0),"")</f>
        <v/>
      </c>
      <c r="H499" s="100"/>
      <c r="I499" s="101"/>
      <c r="J499" s="101"/>
      <c r="K499" s="101"/>
      <c r="L499" s="101"/>
      <c r="M499" s="101"/>
      <c r="N499" s="101"/>
      <c r="O499" s="101"/>
      <c r="P499" s="101"/>
      <c r="Q499" s="101"/>
      <c r="R499" s="101"/>
      <c r="S499" s="101"/>
      <c r="T499" s="101"/>
      <c r="U499" s="101"/>
      <c r="V499" s="101"/>
      <c r="W499" s="101"/>
      <c r="X499" s="101"/>
      <c r="Y499" s="101"/>
      <c r="Z499" s="101"/>
      <c r="AA499" s="101"/>
      <c r="AB499" s="101"/>
    </row>
    <row r="500">
      <c r="A500" s="104" t="s">
        <v>637</v>
      </c>
      <c r="B500" s="105" t="str">
        <f>IFERROR(VLOOKUP(A500,'Salary Calculation'!A499:F1496,2,0),"")</f>
        <v/>
      </c>
      <c r="C500" s="105" t="str">
        <f>IFERROR(VLOOKUP(A500,'Salary Calculation'!$A$2:$V$999,3,0),"")</f>
        <v/>
      </c>
      <c r="D500" s="105" t="str">
        <f>IFERROR(VLOOKUP(A500,'Salary Calculation'!$A$2:$V$999,6,0),"")</f>
        <v/>
      </c>
      <c r="E500" s="105" t="str">
        <f>IFERROR(VLOOKUP(A500,'Salary Calculation'!$A$2:$V$999,10,0),"")</f>
        <v/>
      </c>
      <c r="F500" s="101"/>
      <c r="G500" s="106" t="str">
        <f>IFERROR(VLOOKUP(A500,'Salary Calculation'!$A$2:$V$999,7,0),"")</f>
        <v/>
      </c>
      <c r="H500" s="100"/>
      <c r="I500" s="101"/>
      <c r="J500" s="101"/>
      <c r="K500" s="101"/>
      <c r="L500" s="101"/>
      <c r="M500" s="101"/>
      <c r="N500" s="101"/>
      <c r="O500" s="101"/>
      <c r="P500" s="101"/>
      <c r="Q500" s="101"/>
      <c r="R500" s="101"/>
      <c r="S500" s="101"/>
      <c r="T500" s="101"/>
      <c r="U500" s="101"/>
      <c r="V500" s="101"/>
      <c r="W500" s="101"/>
      <c r="X500" s="101"/>
      <c r="Y500" s="101"/>
      <c r="Z500" s="101"/>
      <c r="AA500" s="101"/>
      <c r="AB500" s="101"/>
    </row>
    <row r="501">
      <c r="A501" s="104" t="s">
        <v>638</v>
      </c>
      <c r="B501" s="105" t="str">
        <f>IFERROR(VLOOKUP(A501,'Salary Calculation'!A500:F1497,2,0),"")</f>
        <v/>
      </c>
      <c r="C501" s="105" t="str">
        <f>IFERROR(VLOOKUP(A501,'Salary Calculation'!$A$2:$V$999,3,0),"")</f>
        <v/>
      </c>
      <c r="D501" s="105" t="str">
        <f>IFERROR(VLOOKUP(A501,'Salary Calculation'!$A$2:$V$999,6,0),"")</f>
        <v/>
      </c>
      <c r="E501" s="105" t="str">
        <f>IFERROR(VLOOKUP(A501,'Salary Calculation'!$A$2:$V$999,10,0),"")</f>
        <v/>
      </c>
      <c r="F501" s="101"/>
      <c r="G501" s="106" t="str">
        <f>IFERROR(VLOOKUP(A501,'Salary Calculation'!$A$2:$V$999,7,0),"")</f>
        <v/>
      </c>
      <c r="H501" s="100"/>
      <c r="I501" s="101"/>
      <c r="J501" s="101"/>
      <c r="K501" s="101"/>
      <c r="L501" s="101"/>
      <c r="M501" s="101"/>
      <c r="N501" s="101"/>
      <c r="O501" s="101"/>
      <c r="P501" s="101"/>
      <c r="Q501" s="101"/>
      <c r="R501" s="101"/>
      <c r="S501" s="101"/>
      <c r="T501" s="101"/>
      <c r="U501" s="101"/>
      <c r="V501" s="101"/>
      <c r="W501" s="101"/>
      <c r="X501" s="101"/>
      <c r="Y501" s="101"/>
      <c r="Z501" s="101"/>
      <c r="AA501" s="101"/>
      <c r="AB501" s="101"/>
    </row>
    <row r="502">
      <c r="A502" s="104" t="s">
        <v>639</v>
      </c>
      <c r="B502" s="105" t="str">
        <f>IFERROR(VLOOKUP(A502,'Salary Calculation'!A501:F1498,2,0),"")</f>
        <v/>
      </c>
      <c r="C502" s="105" t="str">
        <f>IFERROR(VLOOKUP(A502,'Salary Calculation'!$A$2:$V$999,3,0),"")</f>
        <v/>
      </c>
      <c r="D502" s="105" t="str">
        <f>IFERROR(VLOOKUP(A502,'Salary Calculation'!$A$2:$V$999,6,0),"")</f>
        <v/>
      </c>
      <c r="E502" s="105" t="str">
        <f>IFERROR(VLOOKUP(A502,'Salary Calculation'!$A$2:$V$999,10,0),"")</f>
        <v/>
      </c>
      <c r="F502" s="101"/>
      <c r="G502" s="106" t="str">
        <f>IFERROR(VLOOKUP(A502,'Salary Calculation'!$A$2:$V$999,7,0),"")</f>
        <v/>
      </c>
      <c r="H502" s="100"/>
      <c r="I502" s="101"/>
      <c r="J502" s="101"/>
      <c r="K502" s="101"/>
      <c r="L502" s="101"/>
      <c r="M502" s="101"/>
      <c r="N502" s="101"/>
      <c r="O502" s="101"/>
      <c r="P502" s="101"/>
      <c r="Q502" s="101"/>
      <c r="R502" s="101"/>
      <c r="S502" s="101"/>
      <c r="T502" s="101"/>
      <c r="U502" s="101"/>
      <c r="V502" s="101"/>
      <c r="W502" s="101"/>
      <c r="X502" s="101"/>
      <c r="Y502" s="101"/>
      <c r="Z502" s="101"/>
      <c r="AA502" s="101"/>
      <c r="AB502" s="101"/>
    </row>
    <row r="503">
      <c r="A503" s="104" t="s">
        <v>640</v>
      </c>
      <c r="B503" s="105" t="str">
        <f>IFERROR(VLOOKUP(A503,'Salary Calculation'!A502:F1499,2,0),"")</f>
        <v/>
      </c>
      <c r="C503" s="105" t="str">
        <f>IFERROR(VLOOKUP(A503,'Salary Calculation'!$A$2:$V$999,3,0),"")</f>
        <v/>
      </c>
      <c r="D503" s="105" t="str">
        <f>IFERROR(VLOOKUP(A503,'Salary Calculation'!$A$2:$V$999,6,0),"")</f>
        <v/>
      </c>
      <c r="E503" s="105" t="str">
        <f>IFERROR(VLOOKUP(A503,'Salary Calculation'!$A$2:$V$999,10,0),"")</f>
        <v/>
      </c>
      <c r="F503" s="101"/>
      <c r="G503" s="106" t="str">
        <f>IFERROR(VLOOKUP(A503,'Salary Calculation'!$A$2:$V$999,7,0),"")</f>
        <v/>
      </c>
      <c r="H503" s="100"/>
      <c r="I503" s="101"/>
      <c r="J503" s="101"/>
      <c r="K503" s="101"/>
      <c r="L503" s="101"/>
      <c r="M503" s="101"/>
      <c r="N503" s="101"/>
      <c r="O503" s="101"/>
      <c r="P503" s="101"/>
      <c r="Q503" s="101"/>
      <c r="R503" s="101"/>
      <c r="S503" s="101"/>
      <c r="T503" s="101"/>
      <c r="U503" s="101"/>
      <c r="V503" s="101"/>
      <c r="W503" s="101"/>
      <c r="X503" s="101"/>
      <c r="Y503" s="101"/>
      <c r="Z503" s="101"/>
      <c r="AA503" s="101"/>
      <c r="AB503" s="101"/>
    </row>
    <row r="504">
      <c r="A504" s="104" t="s">
        <v>641</v>
      </c>
      <c r="B504" s="105" t="str">
        <f>IFERROR(VLOOKUP(A504,'Salary Calculation'!A503:F1500,2,0),"")</f>
        <v/>
      </c>
      <c r="C504" s="105" t="str">
        <f>IFERROR(VLOOKUP(A504,'Salary Calculation'!$A$2:$V$999,3,0),"")</f>
        <v/>
      </c>
      <c r="D504" s="105" t="str">
        <f>IFERROR(VLOOKUP(A504,'Salary Calculation'!$A$2:$V$999,6,0),"")</f>
        <v/>
      </c>
      <c r="E504" s="105" t="str">
        <f>IFERROR(VLOOKUP(A504,'Salary Calculation'!$A$2:$V$999,10,0),"")</f>
        <v/>
      </c>
      <c r="F504" s="101"/>
      <c r="G504" s="106" t="str">
        <f>IFERROR(VLOOKUP(A504,'Salary Calculation'!$A$2:$V$999,7,0),"")</f>
        <v/>
      </c>
      <c r="H504" s="100"/>
      <c r="I504" s="101"/>
      <c r="J504" s="101"/>
      <c r="K504" s="101"/>
      <c r="L504" s="101"/>
      <c r="M504" s="101"/>
      <c r="N504" s="101"/>
      <c r="O504" s="101"/>
      <c r="P504" s="101"/>
      <c r="Q504" s="101"/>
      <c r="R504" s="101"/>
      <c r="S504" s="101"/>
      <c r="T504" s="101"/>
      <c r="U504" s="101"/>
      <c r="V504" s="101"/>
      <c r="W504" s="101"/>
      <c r="X504" s="101"/>
      <c r="Y504" s="101"/>
      <c r="Z504" s="101"/>
      <c r="AA504" s="101"/>
      <c r="AB504" s="101"/>
    </row>
    <row r="505">
      <c r="A505" s="104" t="s">
        <v>642</v>
      </c>
      <c r="B505" s="105" t="str">
        <f>IFERROR(VLOOKUP(A505,'Salary Calculation'!A504:F1501,2,0),"")</f>
        <v/>
      </c>
      <c r="C505" s="105" t="str">
        <f>IFERROR(VLOOKUP(A505,'Salary Calculation'!$A$2:$V$999,3,0),"")</f>
        <v/>
      </c>
      <c r="D505" s="105" t="str">
        <f>IFERROR(VLOOKUP(A505,'Salary Calculation'!$A$2:$V$999,6,0),"")</f>
        <v/>
      </c>
      <c r="E505" s="105" t="str">
        <f>IFERROR(VLOOKUP(A505,'Salary Calculation'!$A$2:$V$999,10,0),"")</f>
        <v/>
      </c>
      <c r="F505" s="101"/>
      <c r="G505" s="106" t="str">
        <f>IFERROR(VLOOKUP(A505,'Salary Calculation'!$A$2:$V$999,7,0),"")</f>
        <v/>
      </c>
      <c r="H505" s="100"/>
      <c r="I505" s="101"/>
      <c r="J505" s="101"/>
      <c r="K505" s="101"/>
      <c r="L505" s="101"/>
      <c r="M505" s="101"/>
      <c r="N505" s="101"/>
      <c r="O505" s="101"/>
      <c r="P505" s="101"/>
      <c r="Q505" s="101"/>
      <c r="R505" s="101"/>
      <c r="S505" s="101"/>
      <c r="T505" s="101"/>
      <c r="U505" s="101"/>
      <c r="V505" s="101"/>
      <c r="W505" s="101"/>
      <c r="X505" s="101"/>
      <c r="Y505" s="101"/>
      <c r="Z505" s="101"/>
      <c r="AA505" s="101"/>
      <c r="AB505" s="101"/>
    </row>
    <row r="506">
      <c r="A506" s="104" t="s">
        <v>643</v>
      </c>
      <c r="B506" s="105" t="str">
        <f>IFERROR(VLOOKUP(A506,'Salary Calculation'!A505:F1502,2,0),"")</f>
        <v/>
      </c>
      <c r="C506" s="105" t="str">
        <f>IFERROR(VLOOKUP(A506,'Salary Calculation'!$A$2:$V$999,3,0),"")</f>
        <v/>
      </c>
      <c r="D506" s="105" t="str">
        <f>IFERROR(VLOOKUP(A506,'Salary Calculation'!$A$2:$V$999,6,0),"")</f>
        <v/>
      </c>
      <c r="E506" s="105" t="str">
        <f>IFERROR(VLOOKUP(A506,'Salary Calculation'!$A$2:$V$999,10,0),"")</f>
        <v/>
      </c>
      <c r="F506" s="101"/>
      <c r="G506" s="106" t="str">
        <f>IFERROR(VLOOKUP(A506,'Salary Calculation'!$A$2:$V$999,7,0),"")</f>
        <v/>
      </c>
      <c r="H506" s="100"/>
      <c r="I506" s="101"/>
      <c r="J506" s="101"/>
      <c r="K506" s="101"/>
      <c r="L506" s="101"/>
      <c r="M506" s="101"/>
      <c r="N506" s="101"/>
      <c r="O506" s="101"/>
      <c r="P506" s="101"/>
      <c r="Q506" s="101"/>
      <c r="R506" s="101"/>
      <c r="S506" s="101"/>
      <c r="T506" s="101"/>
      <c r="U506" s="101"/>
      <c r="V506" s="101"/>
      <c r="W506" s="101"/>
      <c r="X506" s="101"/>
      <c r="Y506" s="101"/>
      <c r="Z506" s="101"/>
      <c r="AA506" s="101"/>
      <c r="AB506" s="101"/>
    </row>
    <row r="507">
      <c r="A507" s="104" t="s">
        <v>644</v>
      </c>
      <c r="B507" s="105" t="str">
        <f>IFERROR(VLOOKUP(A507,'Salary Calculation'!A506:F1503,2,0),"")</f>
        <v/>
      </c>
      <c r="C507" s="105" t="str">
        <f>IFERROR(VLOOKUP(A507,'Salary Calculation'!$A$2:$V$999,3,0),"")</f>
        <v/>
      </c>
      <c r="D507" s="105" t="str">
        <f>IFERROR(VLOOKUP(A507,'Salary Calculation'!$A$2:$V$999,6,0),"")</f>
        <v/>
      </c>
      <c r="E507" s="105" t="str">
        <f>IFERROR(VLOOKUP(A507,'Salary Calculation'!$A$2:$V$999,10,0),"")</f>
        <v/>
      </c>
      <c r="F507" s="101"/>
      <c r="G507" s="106" t="str">
        <f>IFERROR(VLOOKUP(A507,'Salary Calculation'!$A$2:$V$999,7,0),"")</f>
        <v/>
      </c>
      <c r="H507" s="100"/>
      <c r="I507" s="101"/>
      <c r="J507" s="101"/>
      <c r="K507" s="101"/>
      <c r="L507" s="101"/>
      <c r="M507" s="101"/>
      <c r="N507" s="101"/>
      <c r="O507" s="101"/>
      <c r="P507" s="101"/>
      <c r="Q507" s="101"/>
      <c r="R507" s="101"/>
      <c r="S507" s="101"/>
      <c r="T507" s="101"/>
      <c r="U507" s="101"/>
      <c r="V507" s="101"/>
      <c r="W507" s="101"/>
      <c r="X507" s="101"/>
      <c r="Y507" s="101"/>
      <c r="Z507" s="101"/>
      <c r="AA507" s="101"/>
      <c r="AB507" s="101"/>
    </row>
    <row r="508">
      <c r="A508" s="104" t="s">
        <v>645</v>
      </c>
      <c r="B508" s="105" t="str">
        <f>IFERROR(VLOOKUP(A508,'Salary Calculation'!A507:F1504,2,0),"")</f>
        <v/>
      </c>
      <c r="C508" s="105" t="str">
        <f>IFERROR(VLOOKUP(A508,'Salary Calculation'!$A$2:$V$999,3,0),"")</f>
        <v/>
      </c>
      <c r="D508" s="105" t="str">
        <f>IFERROR(VLOOKUP(A508,'Salary Calculation'!$A$2:$V$999,6,0),"")</f>
        <v/>
      </c>
      <c r="E508" s="105" t="str">
        <f>IFERROR(VLOOKUP(A508,'Salary Calculation'!$A$2:$V$999,10,0),"")</f>
        <v/>
      </c>
      <c r="F508" s="101"/>
      <c r="G508" s="106" t="str">
        <f>IFERROR(VLOOKUP(A508,'Salary Calculation'!$A$2:$V$999,7,0),"")</f>
        <v/>
      </c>
      <c r="H508" s="100"/>
      <c r="I508" s="101"/>
      <c r="J508" s="101"/>
      <c r="K508" s="101"/>
      <c r="L508" s="101"/>
      <c r="M508" s="101"/>
      <c r="N508" s="101"/>
      <c r="O508" s="101"/>
      <c r="P508" s="101"/>
      <c r="Q508" s="101"/>
      <c r="R508" s="101"/>
      <c r="S508" s="101"/>
      <c r="T508" s="101"/>
      <c r="U508" s="101"/>
      <c r="V508" s="101"/>
      <c r="W508" s="101"/>
      <c r="X508" s="101"/>
      <c r="Y508" s="101"/>
      <c r="Z508" s="101"/>
      <c r="AA508" s="101"/>
      <c r="AB508" s="101"/>
    </row>
    <row r="509">
      <c r="A509" s="104" t="s">
        <v>646</v>
      </c>
      <c r="B509" s="105" t="str">
        <f>IFERROR(VLOOKUP(A509,'Salary Calculation'!A508:F1505,2,0),"")</f>
        <v/>
      </c>
      <c r="C509" s="105" t="str">
        <f>IFERROR(VLOOKUP(A509,'Salary Calculation'!$A$2:$V$999,3,0),"")</f>
        <v/>
      </c>
      <c r="D509" s="105" t="str">
        <f>IFERROR(VLOOKUP(A509,'Salary Calculation'!$A$2:$V$999,6,0),"")</f>
        <v/>
      </c>
      <c r="E509" s="105" t="str">
        <f>IFERROR(VLOOKUP(A509,'Salary Calculation'!$A$2:$V$999,10,0),"")</f>
        <v/>
      </c>
      <c r="F509" s="101"/>
      <c r="G509" s="106" t="str">
        <f>IFERROR(VLOOKUP(A509,'Salary Calculation'!$A$2:$V$999,7,0),"")</f>
        <v/>
      </c>
      <c r="H509" s="100"/>
      <c r="I509" s="101"/>
      <c r="J509" s="101"/>
      <c r="K509" s="101"/>
      <c r="L509" s="101"/>
      <c r="M509" s="101"/>
      <c r="N509" s="101"/>
      <c r="O509" s="101"/>
      <c r="P509" s="101"/>
      <c r="Q509" s="101"/>
      <c r="R509" s="101"/>
      <c r="S509" s="101"/>
      <c r="T509" s="101"/>
      <c r="U509" s="101"/>
      <c r="V509" s="101"/>
      <c r="W509" s="101"/>
      <c r="X509" s="101"/>
      <c r="Y509" s="101"/>
      <c r="Z509" s="101"/>
      <c r="AA509" s="101"/>
      <c r="AB509" s="101"/>
    </row>
    <row r="510">
      <c r="A510" s="104" t="s">
        <v>647</v>
      </c>
      <c r="B510" s="105" t="str">
        <f>IFERROR(VLOOKUP(A510,'Salary Calculation'!A509:F1506,2,0),"")</f>
        <v/>
      </c>
      <c r="C510" s="105" t="str">
        <f>IFERROR(VLOOKUP(A510,'Salary Calculation'!$A$2:$V$999,3,0),"")</f>
        <v/>
      </c>
      <c r="D510" s="105" t="str">
        <f>IFERROR(VLOOKUP(A510,'Salary Calculation'!$A$2:$V$999,6,0),"")</f>
        <v/>
      </c>
      <c r="E510" s="105" t="str">
        <f>IFERROR(VLOOKUP(A510,'Salary Calculation'!$A$2:$V$999,10,0),"")</f>
        <v/>
      </c>
      <c r="F510" s="101"/>
      <c r="G510" s="106" t="str">
        <f>IFERROR(VLOOKUP(A510,'Salary Calculation'!$A$2:$V$999,7,0),"")</f>
        <v/>
      </c>
      <c r="H510" s="100"/>
      <c r="I510" s="101"/>
      <c r="J510" s="101"/>
      <c r="K510" s="101"/>
      <c r="L510" s="101"/>
      <c r="M510" s="101"/>
      <c r="N510" s="101"/>
      <c r="O510" s="101"/>
      <c r="P510" s="101"/>
      <c r="Q510" s="101"/>
      <c r="R510" s="101"/>
      <c r="S510" s="101"/>
      <c r="T510" s="101"/>
      <c r="U510" s="101"/>
      <c r="V510" s="101"/>
      <c r="W510" s="101"/>
      <c r="X510" s="101"/>
      <c r="Y510" s="101"/>
      <c r="Z510" s="101"/>
      <c r="AA510" s="101"/>
      <c r="AB510" s="101"/>
    </row>
    <row r="511">
      <c r="A511" s="104" t="s">
        <v>648</v>
      </c>
      <c r="B511" s="105" t="str">
        <f>IFERROR(VLOOKUP(A511,'Salary Calculation'!A510:F1507,2,0),"")</f>
        <v/>
      </c>
      <c r="C511" s="105" t="str">
        <f>IFERROR(VLOOKUP(A511,'Salary Calculation'!$A$2:$V$999,3,0),"")</f>
        <v/>
      </c>
      <c r="D511" s="105" t="str">
        <f>IFERROR(VLOOKUP(A511,'Salary Calculation'!$A$2:$V$999,6,0),"")</f>
        <v/>
      </c>
      <c r="E511" s="105" t="str">
        <f>IFERROR(VLOOKUP(A511,'Salary Calculation'!$A$2:$V$999,10,0),"")</f>
        <v/>
      </c>
      <c r="F511" s="101"/>
      <c r="G511" s="106" t="str">
        <f>IFERROR(VLOOKUP(A511,'Salary Calculation'!$A$2:$V$999,7,0),"")</f>
        <v/>
      </c>
      <c r="H511" s="100"/>
      <c r="I511" s="101"/>
      <c r="J511" s="101"/>
      <c r="K511" s="101"/>
      <c r="L511" s="101"/>
      <c r="M511" s="101"/>
      <c r="N511" s="101"/>
      <c r="O511" s="101"/>
      <c r="P511" s="101"/>
      <c r="Q511" s="101"/>
      <c r="R511" s="101"/>
      <c r="S511" s="101"/>
      <c r="T511" s="101"/>
      <c r="U511" s="101"/>
      <c r="V511" s="101"/>
      <c r="W511" s="101"/>
      <c r="X511" s="101"/>
      <c r="Y511" s="101"/>
      <c r="Z511" s="101"/>
      <c r="AA511" s="101"/>
      <c r="AB511" s="101"/>
    </row>
    <row r="512">
      <c r="A512" s="104" t="s">
        <v>649</v>
      </c>
      <c r="B512" s="105" t="str">
        <f>IFERROR(VLOOKUP(A512,'Salary Calculation'!A511:F1508,2,0),"")</f>
        <v/>
      </c>
      <c r="C512" s="105" t="str">
        <f>IFERROR(VLOOKUP(A512,'Salary Calculation'!$A$2:$V$999,3,0),"")</f>
        <v/>
      </c>
      <c r="D512" s="105" t="str">
        <f>IFERROR(VLOOKUP(A512,'Salary Calculation'!$A$2:$V$999,6,0),"")</f>
        <v/>
      </c>
      <c r="E512" s="105" t="str">
        <f>IFERROR(VLOOKUP(A512,'Salary Calculation'!$A$2:$V$999,10,0),"")</f>
        <v/>
      </c>
      <c r="F512" s="101"/>
      <c r="G512" s="106" t="str">
        <f>IFERROR(VLOOKUP(A512,'Salary Calculation'!$A$2:$V$999,7,0),"")</f>
        <v/>
      </c>
      <c r="H512" s="100"/>
      <c r="I512" s="101"/>
      <c r="J512" s="101"/>
      <c r="K512" s="101"/>
      <c r="L512" s="101"/>
      <c r="M512" s="101"/>
      <c r="N512" s="101"/>
      <c r="O512" s="101"/>
      <c r="P512" s="101"/>
      <c r="Q512" s="101"/>
      <c r="R512" s="101"/>
      <c r="S512" s="101"/>
      <c r="T512" s="101"/>
      <c r="U512" s="101"/>
      <c r="V512" s="101"/>
      <c r="W512" s="101"/>
      <c r="X512" s="101"/>
      <c r="Y512" s="101"/>
      <c r="Z512" s="101"/>
      <c r="AA512" s="101"/>
      <c r="AB512" s="101"/>
    </row>
    <row r="513">
      <c r="A513" s="104" t="s">
        <v>650</v>
      </c>
      <c r="B513" s="105" t="str">
        <f>IFERROR(VLOOKUP(A513,'Salary Calculation'!A512:F1509,2,0),"")</f>
        <v/>
      </c>
      <c r="C513" s="105" t="str">
        <f>IFERROR(VLOOKUP(A513,'Salary Calculation'!$A$2:$V$999,3,0),"")</f>
        <v/>
      </c>
      <c r="D513" s="105" t="str">
        <f>IFERROR(VLOOKUP(A513,'Salary Calculation'!$A$2:$V$999,6,0),"")</f>
        <v/>
      </c>
      <c r="E513" s="105" t="str">
        <f>IFERROR(VLOOKUP(A513,'Salary Calculation'!$A$2:$V$999,10,0),"")</f>
        <v/>
      </c>
      <c r="F513" s="101"/>
      <c r="G513" s="106" t="str">
        <f>IFERROR(VLOOKUP(A513,'Salary Calculation'!$A$2:$V$999,7,0),"")</f>
        <v/>
      </c>
      <c r="H513" s="100"/>
      <c r="I513" s="101"/>
      <c r="J513" s="101"/>
      <c r="K513" s="101"/>
      <c r="L513" s="101"/>
      <c r="M513" s="101"/>
      <c r="N513" s="101"/>
      <c r="O513" s="101"/>
      <c r="P513" s="101"/>
      <c r="Q513" s="101"/>
      <c r="R513" s="101"/>
      <c r="S513" s="101"/>
      <c r="T513" s="101"/>
      <c r="U513" s="101"/>
      <c r="V513" s="101"/>
      <c r="W513" s="101"/>
      <c r="X513" s="101"/>
      <c r="Y513" s="101"/>
      <c r="Z513" s="101"/>
      <c r="AA513" s="101"/>
      <c r="AB513" s="101"/>
    </row>
    <row r="514">
      <c r="A514" s="104" t="s">
        <v>651</v>
      </c>
      <c r="B514" s="105" t="str">
        <f>IFERROR(VLOOKUP(A514,'Salary Calculation'!A513:F1510,2,0),"")</f>
        <v/>
      </c>
      <c r="C514" s="105" t="str">
        <f>IFERROR(VLOOKUP(A514,'Salary Calculation'!$A$2:$V$999,3,0),"")</f>
        <v/>
      </c>
      <c r="D514" s="105" t="str">
        <f>IFERROR(VLOOKUP(A514,'Salary Calculation'!$A$2:$V$999,6,0),"")</f>
        <v/>
      </c>
      <c r="E514" s="105" t="str">
        <f>IFERROR(VLOOKUP(A514,'Salary Calculation'!$A$2:$V$999,10,0),"")</f>
        <v/>
      </c>
      <c r="F514" s="101"/>
      <c r="G514" s="106" t="str">
        <f>IFERROR(VLOOKUP(A514,'Salary Calculation'!$A$2:$V$999,7,0),"")</f>
        <v/>
      </c>
      <c r="H514" s="100"/>
      <c r="I514" s="101"/>
      <c r="J514" s="101"/>
      <c r="K514" s="101"/>
      <c r="L514" s="101"/>
      <c r="M514" s="101"/>
      <c r="N514" s="101"/>
      <c r="O514" s="101"/>
      <c r="P514" s="101"/>
      <c r="Q514" s="101"/>
      <c r="R514" s="101"/>
      <c r="S514" s="101"/>
      <c r="T514" s="101"/>
      <c r="U514" s="101"/>
      <c r="V514" s="101"/>
      <c r="W514" s="101"/>
      <c r="X514" s="101"/>
      <c r="Y514" s="101"/>
      <c r="Z514" s="101"/>
      <c r="AA514" s="101"/>
      <c r="AB514" s="101"/>
    </row>
    <row r="515">
      <c r="A515" s="104" t="s">
        <v>652</v>
      </c>
      <c r="B515" s="105" t="str">
        <f>IFERROR(VLOOKUP(A515,'Salary Calculation'!A514:F1511,2,0),"")</f>
        <v/>
      </c>
      <c r="C515" s="105" t="str">
        <f>IFERROR(VLOOKUP(A515,'Salary Calculation'!$A$2:$V$999,3,0),"")</f>
        <v/>
      </c>
      <c r="D515" s="105" t="str">
        <f>IFERROR(VLOOKUP(A515,'Salary Calculation'!$A$2:$V$999,6,0),"")</f>
        <v/>
      </c>
      <c r="E515" s="105" t="str">
        <f>IFERROR(VLOOKUP(A515,'Salary Calculation'!$A$2:$V$999,10,0),"")</f>
        <v/>
      </c>
      <c r="F515" s="101"/>
      <c r="G515" s="106" t="str">
        <f>IFERROR(VLOOKUP(A515,'Salary Calculation'!$A$2:$V$999,7,0),"")</f>
        <v/>
      </c>
      <c r="H515" s="100"/>
      <c r="I515" s="101"/>
      <c r="J515" s="101"/>
      <c r="K515" s="101"/>
      <c r="L515" s="101"/>
      <c r="M515" s="101"/>
      <c r="N515" s="101"/>
      <c r="O515" s="101"/>
      <c r="P515" s="101"/>
      <c r="Q515" s="101"/>
      <c r="R515" s="101"/>
      <c r="S515" s="101"/>
      <c r="T515" s="101"/>
      <c r="U515" s="101"/>
      <c r="V515" s="101"/>
      <c r="W515" s="101"/>
      <c r="X515" s="101"/>
      <c r="Y515" s="101"/>
      <c r="Z515" s="101"/>
      <c r="AA515" s="101"/>
      <c r="AB515" s="101"/>
    </row>
    <row r="516">
      <c r="A516" s="104" t="s">
        <v>653</v>
      </c>
      <c r="B516" s="105" t="str">
        <f>IFERROR(VLOOKUP(A516,'Salary Calculation'!A515:F1512,2,0),"")</f>
        <v/>
      </c>
      <c r="C516" s="105" t="str">
        <f>IFERROR(VLOOKUP(A516,'Salary Calculation'!$A$2:$V$999,3,0),"")</f>
        <v/>
      </c>
      <c r="D516" s="105" t="str">
        <f>IFERROR(VLOOKUP(A516,'Salary Calculation'!$A$2:$V$999,6,0),"")</f>
        <v/>
      </c>
      <c r="E516" s="105" t="str">
        <f>IFERROR(VLOOKUP(A516,'Salary Calculation'!$A$2:$V$999,10,0),"")</f>
        <v/>
      </c>
      <c r="F516" s="101"/>
      <c r="G516" s="106" t="str">
        <f>IFERROR(VLOOKUP(A516,'Salary Calculation'!$A$2:$V$999,7,0),"")</f>
        <v/>
      </c>
      <c r="H516" s="100"/>
      <c r="I516" s="101"/>
      <c r="J516" s="101"/>
      <c r="K516" s="101"/>
      <c r="L516" s="101"/>
      <c r="M516" s="101"/>
      <c r="N516" s="101"/>
      <c r="O516" s="101"/>
      <c r="P516" s="101"/>
      <c r="Q516" s="101"/>
      <c r="R516" s="101"/>
      <c r="S516" s="101"/>
      <c r="T516" s="101"/>
      <c r="U516" s="101"/>
      <c r="V516" s="101"/>
      <c r="W516" s="101"/>
      <c r="X516" s="101"/>
      <c r="Y516" s="101"/>
      <c r="Z516" s="101"/>
      <c r="AA516" s="101"/>
      <c r="AB516" s="101"/>
    </row>
    <row r="517">
      <c r="A517" s="104" t="s">
        <v>654</v>
      </c>
      <c r="B517" s="105" t="str">
        <f>IFERROR(VLOOKUP(A517,'Salary Calculation'!A516:F1513,2,0),"")</f>
        <v/>
      </c>
      <c r="C517" s="105" t="str">
        <f>IFERROR(VLOOKUP(A517,'Salary Calculation'!$A$2:$V$999,3,0),"")</f>
        <v/>
      </c>
      <c r="D517" s="105" t="str">
        <f>IFERROR(VLOOKUP(A517,'Salary Calculation'!$A$2:$V$999,6,0),"")</f>
        <v/>
      </c>
      <c r="E517" s="105" t="str">
        <f>IFERROR(VLOOKUP(A517,'Salary Calculation'!$A$2:$V$999,10,0),"")</f>
        <v/>
      </c>
      <c r="F517" s="101"/>
      <c r="G517" s="106" t="str">
        <f>IFERROR(VLOOKUP(A517,'Salary Calculation'!$A$2:$V$999,7,0),"")</f>
        <v/>
      </c>
      <c r="H517" s="100"/>
      <c r="I517" s="101"/>
      <c r="J517" s="101"/>
      <c r="K517" s="101"/>
      <c r="L517" s="101"/>
      <c r="M517" s="101"/>
      <c r="N517" s="101"/>
      <c r="O517" s="101"/>
      <c r="P517" s="101"/>
      <c r="Q517" s="101"/>
      <c r="R517" s="101"/>
      <c r="S517" s="101"/>
      <c r="T517" s="101"/>
      <c r="U517" s="101"/>
      <c r="V517" s="101"/>
      <c r="W517" s="101"/>
      <c r="X517" s="101"/>
      <c r="Y517" s="101"/>
      <c r="Z517" s="101"/>
      <c r="AA517" s="101"/>
      <c r="AB517" s="101"/>
    </row>
    <row r="518">
      <c r="A518" s="104" t="s">
        <v>655</v>
      </c>
      <c r="B518" s="105" t="str">
        <f>IFERROR(VLOOKUP(A518,'Salary Calculation'!A517:F1514,2,0),"")</f>
        <v/>
      </c>
      <c r="C518" s="105" t="str">
        <f>IFERROR(VLOOKUP(A518,'Salary Calculation'!$A$2:$V$999,3,0),"")</f>
        <v/>
      </c>
      <c r="D518" s="105" t="str">
        <f>IFERROR(VLOOKUP(A518,'Salary Calculation'!$A$2:$V$999,6,0),"")</f>
        <v/>
      </c>
      <c r="E518" s="105" t="str">
        <f>IFERROR(VLOOKUP(A518,'Salary Calculation'!$A$2:$V$999,10,0),"")</f>
        <v/>
      </c>
      <c r="F518" s="101"/>
      <c r="G518" s="106" t="str">
        <f>IFERROR(VLOOKUP(A518,'Salary Calculation'!$A$2:$V$999,7,0),"")</f>
        <v/>
      </c>
      <c r="H518" s="100"/>
      <c r="I518" s="101"/>
      <c r="J518" s="101"/>
      <c r="K518" s="101"/>
      <c r="L518" s="101"/>
      <c r="M518" s="101"/>
      <c r="N518" s="101"/>
      <c r="O518" s="101"/>
      <c r="P518" s="101"/>
      <c r="Q518" s="101"/>
      <c r="R518" s="101"/>
      <c r="S518" s="101"/>
      <c r="T518" s="101"/>
      <c r="U518" s="101"/>
      <c r="V518" s="101"/>
      <c r="W518" s="101"/>
      <c r="X518" s="101"/>
      <c r="Y518" s="101"/>
      <c r="Z518" s="101"/>
      <c r="AA518" s="101"/>
      <c r="AB518" s="101"/>
    </row>
    <row r="519">
      <c r="A519" s="104" t="s">
        <v>656</v>
      </c>
      <c r="B519" s="105" t="str">
        <f>IFERROR(VLOOKUP(A519,'Salary Calculation'!A518:F1515,2,0),"")</f>
        <v/>
      </c>
      <c r="C519" s="105" t="str">
        <f>IFERROR(VLOOKUP(A519,'Salary Calculation'!$A$2:$V$999,3,0),"")</f>
        <v/>
      </c>
      <c r="D519" s="105" t="str">
        <f>IFERROR(VLOOKUP(A519,'Salary Calculation'!$A$2:$V$999,6,0),"")</f>
        <v/>
      </c>
      <c r="E519" s="105" t="str">
        <f>IFERROR(VLOOKUP(A519,'Salary Calculation'!$A$2:$V$999,10,0),"")</f>
        <v/>
      </c>
      <c r="F519" s="101"/>
      <c r="G519" s="106" t="str">
        <f>IFERROR(VLOOKUP(A519,'Salary Calculation'!$A$2:$V$999,7,0),"")</f>
        <v/>
      </c>
      <c r="H519" s="100"/>
      <c r="I519" s="101"/>
      <c r="J519" s="101"/>
      <c r="K519" s="101"/>
      <c r="L519" s="101"/>
      <c r="M519" s="101"/>
      <c r="N519" s="101"/>
      <c r="O519" s="101"/>
      <c r="P519" s="101"/>
      <c r="Q519" s="101"/>
      <c r="R519" s="101"/>
      <c r="S519" s="101"/>
      <c r="T519" s="101"/>
      <c r="U519" s="101"/>
      <c r="V519" s="101"/>
      <c r="W519" s="101"/>
      <c r="X519" s="101"/>
      <c r="Y519" s="101"/>
      <c r="Z519" s="101"/>
      <c r="AA519" s="101"/>
      <c r="AB519" s="101"/>
    </row>
    <row r="520">
      <c r="A520" s="104" t="s">
        <v>657</v>
      </c>
      <c r="B520" s="105" t="str">
        <f>IFERROR(VLOOKUP(A520,'Salary Calculation'!A519:F1516,2,0),"")</f>
        <v/>
      </c>
      <c r="C520" s="105" t="str">
        <f>IFERROR(VLOOKUP(A520,'Salary Calculation'!$A$2:$V$999,3,0),"")</f>
        <v/>
      </c>
      <c r="D520" s="105" t="str">
        <f>IFERROR(VLOOKUP(A520,'Salary Calculation'!$A$2:$V$999,6,0),"")</f>
        <v/>
      </c>
      <c r="E520" s="105" t="str">
        <f>IFERROR(VLOOKUP(A520,'Salary Calculation'!$A$2:$V$999,10,0),"")</f>
        <v/>
      </c>
      <c r="F520" s="101"/>
      <c r="G520" s="106" t="str">
        <f>IFERROR(VLOOKUP(A520,'Salary Calculation'!$A$2:$V$999,7,0),"")</f>
        <v/>
      </c>
      <c r="H520" s="100"/>
      <c r="I520" s="101"/>
      <c r="J520" s="101"/>
      <c r="K520" s="101"/>
      <c r="L520" s="101"/>
      <c r="M520" s="101"/>
      <c r="N520" s="101"/>
      <c r="O520" s="101"/>
      <c r="P520" s="101"/>
      <c r="Q520" s="101"/>
      <c r="R520" s="101"/>
      <c r="S520" s="101"/>
      <c r="T520" s="101"/>
      <c r="U520" s="101"/>
      <c r="V520" s="101"/>
      <c r="W520" s="101"/>
      <c r="X520" s="101"/>
      <c r="Y520" s="101"/>
      <c r="Z520" s="101"/>
      <c r="AA520" s="101"/>
      <c r="AB520" s="101"/>
    </row>
    <row r="521">
      <c r="A521" s="104" t="s">
        <v>658</v>
      </c>
      <c r="B521" s="105" t="str">
        <f>IFERROR(VLOOKUP(A521,'Salary Calculation'!A520:F1517,2,0),"")</f>
        <v/>
      </c>
      <c r="C521" s="105" t="str">
        <f>IFERROR(VLOOKUP(A521,'Salary Calculation'!$A$2:$V$999,3,0),"")</f>
        <v/>
      </c>
      <c r="D521" s="105" t="str">
        <f>IFERROR(VLOOKUP(A521,'Salary Calculation'!$A$2:$V$999,6,0),"")</f>
        <v/>
      </c>
      <c r="E521" s="105" t="str">
        <f>IFERROR(VLOOKUP(A521,'Salary Calculation'!$A$2:$V$999,10,0),"")</f>
        <v/>
      </c>
      <c r="F521" s="101"/>
      <c r="G521" s="106" t="str">
        <f>IFERROR(VLOOKUP(A521,'Salary Calculation'!$A$2:$V$999,7,0),"")</f>
        <v/>
      </c>
      <c r="H521" s="100"/>
      <c r="I521" s="101"/>
      <c r="J521" s="101"/>
      <c r="K521" s="101"/>
      <c r="L521" s="101"/>
      <c r="M521" s="101"/>
      <c r="N521" s="101"/>
      <c r="O521" s="101"/>
      <c r="P521" s="101"/>
      <c r="Q521" s="101"/>
      <c r="R521" s="101"/>
      <c r="S521" s="101"/>
      <c r="T521" s="101"/>
      <c r="U521" s="101"/>
      <c r="V521" s="101"/>
      <c r="W521" s="101"/>
      <c r="X521" s="101"/>
      <c r="Y521" s="101"/>
      <c r="Z521" s="101"/>
      <c r="AA521" s="101"/>
      <c r="AB521" s="101"/>
    </row>
    <row r="522">
      <c r="A522" s="104" t="s">
        <v>659</v>
      </c>
      <c r="B522" s="105" t="str">
        <f>IFERROR(VLOOKUP(A522,'Salary Calculation'!A521:F1518,2,0),"")</f>
        <v/>
      </c>
      <c r="C522" s="105" t="str">
        <f>IFERROR(VLOOKUP(A522,'Salary Calculation'!$A$2:$V$999,3,0),"")</f>
        <v/>
      </c>
      <c r="D522" s="105" t="str">
        <f>IFERROR(VLOOKUP(A522,'Salary Calculation'!$A$2:$V$999,6,0),"")</f>
        <v/>
      </c>
      <c r="E522" s="105" t="str">
        <f>IFERROR(VLOOKUP(A522,'Salary Calculation'!$A$2:$V$999,10,0),"")</f>
        <v/>
      </c>
      <c r="F522" s="101"/>
      <c r="G522" s="106" t="str">
        <f>IFERROR(VLOOKUP(A522,'Salary Calculation'!$A$2:$V$999,7,0),"")</f>
        <v/>
      </c>
      <c r="H522" s="100"/>
      <c r="I522" s="101"/>
      <c r="J522" s="101"/>
      <c r="K522" s="101"/>
      <c r="L522" s="101"/>
      <c r="M522" s="101"/>
      <c r="N522" s="101"/>
      <c r="O522" s="101"/>
      <c r="P522" s="101"/>
      <c r="Q522" s="101"/>
      <c r="R522" s="101"/>
      <c r="S522" s="101"/>
      <c r="T522" s="101"/>
      <c r="U522" s="101"/>
      <c r="V522" s="101"/>
      <c r="W522" s="101"/>
      <c r="X522" s="101"/>
      <c r="Y522" s="101"/>
      <c r="Z522" s="101"/>
      <c r="AA522" s="101"/>
      <c r="AB522" s="101"/>
    </row>
    <row r="523">
      <c r="A523" s="104" t="s">
        <v>660</v>
      </c>
      <c r="B523" s="105" t="str">
        <f>IFERROR(VLOOKUP(A523,'Salary Calculation'!A522:F1519,2,0),"")</f>
        <v/>
      </c>
      <c r="C523" s="105" t="str">
        <f>IFERROR(VLOOKUP(A523,'Salary Calculation'!$A$2:$V$999,3,0),"")</f>
        <v/>
      </c>
      <c r="D523" s="105" t="str">
        <f>IFERROR(VLOOKUP(A523,'Salary Calculation'!$A$2:$V$999,6,0),"")</f>
        <v/>
      </c>
      <c r="E523" s="105" t="str">
        <f>IFERROR(VLOOKUP(A523,'Salary Calculation'!$A$2:$V$999,10,0),"")</f>
        <v/>
      </c>
      <c r="F523" s="101"/>
      <c r="G523" s="106" t="str">
        <f>IFERROR(VLOOKUP(A523,'Salary Calculation'!$A$2:$V$999,7,0),"")</f>
        <v/>
      </c>
      <c r="H523" s="100"/>
      <c r="I523" s="101"/>
      <c r="J523" s="101"/>
      <c r="K523" s="101"/>
      <c r="L523" s="101"/>
      <c r="M523" s="101"/>
      <c r="N523" s="101"/>
      <c r="O523" s="101"/>
      <c r="P523" s="101"/>
      <c r="Q523" s="101"/>
      <c r="R523" s="101"/>
      <c r="S523" s="101"/>
      <c r="T523" s="101"/>
      <c r="U523" s="101"/>
      <c r="V523" s="101"/>
      <c r="W523" s="101"/>
      <c r="X523" s="101"/>
      <c r="Y523" s="101"/>
      <c r="Z523" s="101"/>
      <c r="AA523" s="101"/>
      <c r="AB523" s="101"/>
    </row>
    <row r="524">
      <c r="A524" s="104" t="s">
        <v>661</v>
      </c>
      <c r="B524" s="105" t="str">
        <f>IFERROR(VLOOKUP(A524,'Salary Calculation'!A523:F1520,2,0),"")</f>
        <v/>
      </c>
      <c r="C524" s="105" t="str">
        <f>IFERROR(VLOOKUP(A524,'Salary Calculation'!$A$2:$V$999,3,0),"")</f>
        <v/>
      </c>
      <c r="D524" s="105" t="str">
        <f>IFERROR(VLOOKUP(A524,'Salary Calculation'!$A$2:$V$999,6,0),"")</f>
        <v/>
      </c>
      <c r="E524" s="105" t="str">
        <f>IFERROR(VLOOKUP(A524,'Salary Calculation'!$A$2:$V$999,10,0),"")</f>
        <v/>
      </c>
      <c r="F524" s="101"/>
      <c r="G524" s="106" t="str">
        <f>IFERROR(VLOOKUP(A524,'Salary Calculation'!$A$2:$V$999,7,0),"")</f>
        <v/>
      </c>
      <c r="H524" s="100"/>
      <c r="I524" s="101"/>
      <c r="J524" s="101"/>
      <c r="K524" s="101"/>
      <c r="L524" s="101"/>
      <c r="M524" s="101"/>
      <c r="N524" s="101"/>
      <c r="O524" s="101"/>
      <c r="P524" s="101"/>
      <c r="Q524" s="101"/>
      <c r="R524" s="101"/>
      <c r="S524" s="101"/>
      <c r="T524" s="101"/>
      <c r="U524" s="101"/>
      <c r="V524" s="101"/>
      <c r="W524" s="101"/>
      <c r="X524" s="101"/>
      <c r="Y524" s="101"/>
      <c r="Z524" s="101"/>
      <c r="AA524" s="101"/>
      <c r="AB524" s="101"/>
    </row>
    <row r="525">
      <c r="A525" s="104" t="s">
        <v>662</v>
      </c>
      <c r="B525" s="105" t="str">
        <f>IFERROR(VLOOKUP(A525,'Salary Calculation'!A524:F1521,2,0),"")</f>
        <v/>
      </c>
      <c r="C525" s="105" t="str">
        <f>IFERROR(VLOOKUP(A525,'Salary Calculation'!$A$2:$V$999,3,0),"")</f>
        <v/>
      </c>
      <c r="D525" s="105" t="str">
        <f>IFERROR(VLOOKUP(A525,'Salary Calculation'!$A$2:$V$999,6,0),"")</f>
        <v/>
      </c>
      <c r="E525" s="105" t="str">
        <f>IFERROR(VLOOKUP(A525,'Salary Calculation'!$A$2:$V$999,10,0),"")</f>
        <v/>
      </c>
      <c r="F525" s="101"/>
      <c r="G525" s="106" t="str">
        <f>IFERROR(VLOOKUP(A525,'Salary Calculation'!$A$2:$V$999,7,0),"")</f>
        <v/>
      </c>
      <c r="H525" s="100"/>
      <c r="I525" s="101"/>
      <c r="J525" s="101"/>
      <c r="K525" s="101"/>
      <c r="L525" s="101"/>
      <c r="M525" s="101"/>
      <c r="N525" s="101"/>
      <c r="O525" s="101"/>
      <c r="P525" s="101"/>
      <c r="Q525" s="101"/>
      <c r="R525" s="101"/>
      <c r="S525" s="101"/>
      <c r="T525" s="101"/>
      <c r="U525" s="101"/>
      <c r="V525" s="101"/>
      <c r="W525" s="101"/>
      <c r="X525" s="101"/>
      <c r="Y525" s="101"/>
      <c r="Z525" s="101"/>
      <c r="AA525" s="101"/>
      <c r="AB525" s="101"/>
    </row>
    <row r="526">
      <c r="A526" s="104" t="s">
        <v>663</v>
      </c>
      <c r="B526" s="105" t="str">
        <f>IFERROR(VLOOKUP(A526,'Salary Calculation'!A525:F1522,2,0),"")</f>
        <v/>
      </c>
      <c r="C526" s="105" t="str">
        <f>IFERROR(VLOOKUP(A526,'Salary Calculation'!$A$2:$V$999,3,0),"")</f>
        <v/>
      </c>
      <c r="D526" s="105" t="str">
        <f>IFERROR(VLOOKUP(A526,'Salary Calculation'!$A$2:$V$999,6,0),"")</f>
        <v/>
      </c>
      <c r="E526" s="105" t="str">
        <f>IFERROR(VLOOKUP(A526,'Salary Calculation'!$A$2:$V$999,10,0),"")</f>
        <v/>
      </c>
      <c r="F526" s="101"/>
      <c r="G526" s="106" t="str">
        <f>IFERROR(VLOOKUP(A526,'Salary Calculation'!$A$2:$V$999,7,0),"")</f>
        <v/>
      </c>
      <c r="H526" s="100"/>
      <c r="I526" s="101"/>
      <c r="J526" s="101"/>
      <c r="K526" s="101"/>
      <c r="L526" s="101"/>
      <c r="M526" s="101"/>
      <c r="N526" s="101"/>
      <c r="O526" s="101"/>
      <c r="P526" s="101"/>
      <c r="Q526" s="101"/>
      <c r="R526" s="101"/>
      <c r="S526" s="101"/>
      <c r="T526" s="101"/>
      <c r="U526" s="101"/>
      <c r="V526" s="101"/>
      <c r="W526" s="101"/>
      <c r="X526" s="101"/>
      <c r="Y526" s="101"/>
      <c r="Z526" s="101"/>
      <c r="AA526" s="101"/>
      <c r="AB526" s="101"/>
    </row>
    <row r="527">
      <c r="A527" s="104" t="s">
        <v>664</v>
      </c>
      <c r="B527" s="105" t="str">
        <f>IFERROR(VLOOKUP(A527,'Salary Calculation'!A526:F1523,2,0),"")</f>
        <v/>
      </c>
      <c r="C527" s="105" t="str">
        <f>IFERROR(VLOOKUP(A527,'Salary Calculation'!$A$2:$V$999,3,0),"")</f>
        <v/>
      </c>
      <c r="D527" s="105" t="str">
        <f>IFERROR(VLOOKUP(A527,'Salary Calculation'!$A$2:$V$999,6,0),"")</f>
        <v/>
      </c>
      <c r="E527" s="105" t="str">
        <f>IFERROR(VLOOKUP(A527,'Salary Calculation'!$A$2:$V$999,10,0),"")</f>
        <v/>
      </c>
      <c r="F527" s="101"/>
      <c r="G527" s="106" t="str">
        <f>IFERROR(VLOOKUP(A527,'Salary Calculation'!$A$2:$V$999,7,0),"")</f>
        <v/>
      </c>
      <c r="H527" s="100"/>
      <c r="I527" s="101"/>
      <c r="J527" s="101"/>
      <c r="K527" s="101"/>
      <c r="L527" s="101"/>
      <c r="M527" s="101"/>
      <c r="N527" s="101"/>
      <c r="O527" s="101"/>
      <c r="P527" s="101"/>
      <c r="Q527" s="101"/>
      <c r="R527" s="101"/>
      <c r="S527" s="101"/>
      <c r="T527" s="101"/>
      <c r="U527" s="101"/>
      <c r="V527" s="101"/>
      <c r="W527" s="101"/>
      <c r="X527" s="101"/>
      <c r="Y527" s="101"/>
      <c r="Z527" s="101"/>
      <c r="AA527" s="101"/>
      <c r="AB527" s="101"/>
    </row>
    <row r="528">
      <c r="A528" s="104" t="s">
        <v>665</v>
      </c>
      <c r="B528" s="105" t="str">
        <f>IFERROR(VLOOKUP(A528,'Salary Calculation'!A527:F1524,2,0),"")</f>
        <v/>
      </c>
      <c r="C528" s="105" t="str">
        <f>IFERROR(VLOOKUP(A528,'Salary Calculation'!$A$2:$V$999,3,0),"")</f>
        <v/>
      </c>
      <c r="D528" s="105" t="str">
        <f>IFERROR(VLOOKUP(A528,'Salary Calculation'!$A$2:$V$999,6,0),"")</f>
        <v/>
      </c>
      <c r="E528" s="105" t="str">
        <f>IFERROR(VLOOKUP(A528,'Salary Calculation'!$A$2:$V$999,10,0),"")</f>
        <v/>
      </c>
      <c r="F528" s="101"/>
      <c r="G528" s="106" t="str">
        <f>IFERROR(VLOOKUP(A528,'Salary Calculation'!$A$2:$V$999,7,0),"")</f>
        <v/>
      </c>
      <c r="H528" s="100"/>
      <c r="I528" s="101"/>
      <c r="J528" s="101"/>
      <c r="K528" s="101"/>
      <c r="L528" s="101"/>
      <c r="M528" s="101"/>
      <c r="N528" s="101"/>
      <c r="O528" s="101"/>
      <c r="P528" s="101"/>
      <c r="Q528" s="101"/>
      <c r="R528" s="101"/>
      <c r="S528" s="101"/>
      <c r="T528" s="101"/>
      <c r="U528" s="101"/>
      <c r="V528" s="101"/>
      <c r="W528" s="101"/>
      <c r="X528" s="101"/>
      <c r="Y528" s="101"/>
      <c r="Z528" s="101"/>
      <c r="AA528" s="101"/>
      <c r="AB528" s="101"/>
    </row>
    <row r="529">
      <c r="A529" s="104" t="s">
        <v>666</v>
      </c>
      <c r="B529" s="105" t="str">
        <f>IFERROR(VLOOKUP(A529,'Salary Calculation'!A528:F1525,2,0),"")</f>
        <v/>
      </c>
      <c r="C529" s="105" t="str">
        <f>IFERROR(VLOOKUP(A529,'Salary Calculation'!$A$2:$V$999,3,0),"")</f>
        <v/>
      </c>
      <c r="D529" s="105" t="str">
        <f>IFERROR(VLOOKUP(A529,'Salary Calculation'!$A$2:$V$999,6,0),"")</f>
        <v/>
      </c>
      <c r="E529" s="105" t="str">
        <f>IFERROR(VLOOKUP(A529,'Salary Calculation'!$A$2:$V$999,10,0),"")</f>
        <v/>
      </c>
      <c r="F529" s="101"/>
      <c r="G529" s="106" t="str">
        <f>IFERROR(VLOOKUP(A529,'Salary Calculation'!$A$2:$V$999,7,0),"")</f>
        <v/>
      </c>
      <c r="H529" s="100"/>
      <c r="I529" s="101"/>
      <c r="J529" s="101"/>
      <c r="K529" s="101"/>
      <c r="L529" s="101"/>
      <c r="M529" s="101"/>
      <c r="N529" s="101"/>
      <c r="O529" s="101"/>
      <c r="P529" s="101"/>
      <c r="Q529" s="101"/>
      <c r="R529" s="101"/>
      <c r="S529" s="101"/>
      <c r="T529" s="101"/>
      <c r="U529" s="101"/>
      <c r="V529" s="101"/>
      <c r="W529" s="101"/>
      <c r="X529" s="101"/>
      <c r="Y529" s="101"/>
      <c r="Z529" s="101"/>
      <c r="AA529" s="101"/>
      <c r="AB529" s="101"/>
    </row>
    <row r="530">
      <c r="A530" s="104" t="s">
        <v>667</v>
      </c>
      <c r="B530" s="105" t="str">
        <f>IFERROR(VLOOKUP(A530,'Salary Calculation'!A529:F1526,2,0),"")</f>
        <v/>
      </c>
      <c r="C530" s="105" t="str">
        <f>IFERROR(VLOOKUP(A530,'Salary Calculation'!$A$2:$V$999,3,0),"")</f>
        <v/>
      </c>
      <c r="D530" s="105" t="str">
        <f>IFERROR(VLOOKUP(A530,'Salary Calculation'!$A$2:$V$999,6,0),"")</f>
        <v/>
      </c>
      <c r="E530" s="105" t="str">
        <f>IFERROR(VLOOKUP(A530,'Salary Calculation'!$A$2:$V$999,10,0),"")</f>
        <v/>
      </c>
      <c r="F530" s="101"/>
      <c r="G530" s="106" t="str">
        <f>IFERROR(VLOOKUP(A530,'Salary Calculation'!$A$2:$V$999,7,0),"")</f>
        <v/>
      </c>
      <c r="H530" s="100"/>
      <c r="I530" s="101"/>
      <c r="J530" s="101"/>
      <c r="K530" s="101"/>
      <c r="L530" s="101"/>
      <c r="M530" s="101"/>
      <c r="N530" s="101"/>
      <c r="O530" s="101"/>
      <c r="P530" s="101"/>
      <c r="Q530" s="101"/>
      <c r="R530" s="101"/>
      <c r="S530" s="101"/>
      <c r="T530" s="101"/>
      <c r="U530" s="101"/>
      <c r="V530" s="101"/>
      <c r="W530" s="101"/>
      <c r="X530" s="101"/>
      <c r="Y530" s="101"/>
      <c r="Z530" s="101"/>
      <c r="AA530" s="101"/>
      <c r="AB530" s="101"/>
    </row>
    <row r="531">
      <c r="A531" s="104" t="s">
        <v>668</v>
      </c>
      <c r="B531" s="105" t="str">
        <f>IFERROR(VLOOKUP(A531,'Salary Calculation'!A530:F1527,2,0),"")</f>
        <v/>
      </c>
      <c r="C531" s="105" t="str">
        <f>IFERROR(VLOOKUP(A531,'Salary Calculation'!$A$2:$V$999,3,0),"")</f>
        <v/>
      </c>
      <c r="D531" s="105" t="str">
        <f>IFERROR(VLOOKUP(A531,'Salary Calculation'!$A$2:$V$999,6,0),"")</f>
        <v/>
      </c>
      <c r="E531" s="105" t="str">
        <f>IFERROR(VLOOKUP(A531,'Salary Calculation'!$A$2:$V$999,10,0),"")</f>
        <v/>
      </c>
      <c r="F531" s="101"/>
      <c r="G531" s="106" t="str">
        <f>IFERROR(VLOOKUP(A531,'Salary Calculation'!$A$2:$V$999,7,0),"")</f>
        <v/>
      </c>
      <c r="H531" s="100"/>
      <c r="I531" s="101"/>
      <c r="J531" s="101"/>
      <c r="K531" s="101"/>
      <c r="L531" s="101"/>
      <c r="M531" s="101"/>
      <c r="N531" s="101"/>
      <c r="O531" s="101"/>
      <c r="P531" s="101"/>
      <c r="Q531" s="101"/>
      <c r="R531" s="101"/>
      <c r="S531" s="101"/>
      <c r="T531" s="101"/>
      <c r="U531" s="101"/>
      <c r="V531" s="101"/>
      <c r="W531" s="101"/>
      <c r="X531" s="101"/>
      <c r="Y531" s="101"/>
      <c r="Z531" s="101"/>
      <c r="AA531" s="101"/>
      <c r="AB531" s="101"/>
    </row>
    <row r="532">
      <c r="A532" s="104" t="s">
        <v>669</v>
      </c>
      <c r="B532" s="105" t="str">
        <f>IFERROR(VLOOKUP(A532,'Salary Calculation'!A531:F1528,2,0),"")</f>
        <v/>
      </c>
      <c r="C532" s="105" t="str">
        <f>IFERROR(VLOOKUP(A532,'Salary Calculation'!$A$2:$V$999,3,0),"")</f>
        <v/>
      </c>
      <c r="D532" s="105" t="str">
        <f>IFERROR(VLOOKUP(A532,'Salary Calculation'!$A$2:$V$999,6,0),"")</f>
        <v/>
      </c>
      <c r="E532" s="105" t="str">
        <f>IFERROR(VLOOKUP(A532,'Salary Calculation'!$A$2:$V$999,10,0),"")</f>
        <v/>
      </c>
      <c r="F532" s="101"/>
      <c r="G532" s="106" t="str">
        <f>IFERROR(VLOOKUP(A532,'Salary Calculation'!$A$2:$V$999,7,0),"")</f>
        <v/>
      </c>
      <c r="H532" s="100"/>
      <c r="I532" s="101"/>
      <c r="J532" s="101"/>
      <c r="K532" s="101"/>
      <c r="L532" s="101"/>
      <c r="M532" s="101"/>
      <c r="N532" s="101"/>
      <c r="O532" s="101"/>
      <c r="P532" s="101"/>
      <c r="Q532" s="101"/>
      <c r="R532" s="101"/>
      <c r="S532" s="101"/>
      <c r="T532" s="101"/>
      <c r="U532" s="101"/>
      <c r="V532" s="101"/>
      <c r="W532" s="101"/>
      <c r="X532" s="101"/>
      <c r="Y532" s="101"/>
      <c r="Z532" s="101"/>
      <c r="AA532" s="101"/>
      <c r="AB532" s="101"/>
    </row>
    <row r="533">
      <c r="A533" s="104" t="s">
        <v>670</v>
      </c>
      <c r="B533" s="105" t="str">
        <f>IFERROR(VLOOKUP(A533,'Salary Calculation'!A532:F1529,2,0),"")</f>
        <v/>
      </c>
      <c r="C533" s="105" t="str">
        <f>IFERROR(VLOOKUP(A533,'Salary Calculation'!$A$2:$V$999,3,0),"")</f>
        <v/>
      </c>
      <c r="D533" s="105" t="str">
        <f>IFERROR(VLOOKUP(A533,'Salary Calculation'!$A$2:$V$999,6,0),"")</f>
        <v/>
      </c>
      <c r="E533" s="105" t="str">
        <f>IFERROR(VLOOKUP(A533,'Salary Calculation'!$A$2:$V$999,10,0),"")</f>
        <v/>
      </c>
      <c r="F533" s="101"/>
      <c r="G533" s="106" t="str">
        <f>IFERROR(VLOOKUP(A533,'Salary Calculation'!$A$2:$V$999,7,0),"")</f>
        <v/>
      </c>
      <c r="H533" s="100"/>
      <c r="I533" s="101"/>
      <c r="J533" s="101"/>
      <c r="K533" s="101"/>
      <c r="L533" s="101"/>
      <c r="M533" s="101"/>
      <c r="N533" s="101"/>
      <c r="O533" s="101"/>
      <c r="P533" s="101"/>
      <c r="Q533" s="101"/>
      <c r="R533" s="101"/>
      <c r="S533" s="101"/>
      <c r="T533" s="101"/>
      <c r="U533" s="101"/>
      <c r="V533" s="101"/>
      <c r="W533" s="101"/>
      <c r="X533" s="101"/>
      <c r="Y533" s="101"/>
      <c r="Z533" s="101"/>
      <c r="AA533" s="101"/>
      <c r="AB533" s="101"/>
    </row>
    <row r="534">
      <c r="A534" s="104" t="s">
        <v>671</v>
      </c>
      <c r="B534" s="105" t="str">
        <f>IFERROR(VLOOKUP(A534,'Salary Calculation'!A533:F1530,2,0),"")</f>
        <v/>
      </c>
      <c r="C534" s="105" t="str">
        <f>IFERROR(VLOOKUP(A534,'Salary Calculation'!$A$2:$V$999,3,0),"")</f>
        <v/>
      </c>
      <c r="D534" s="105" t="str">
        <f>IFERROR(VLOOKUP(A534,'Salary Calculation'!$A$2:$V$999,6,0),"")</f>
        <v/>
      </c>
      <c r="E534" s="105" t="str">
        <f>IFERROR(VLOOKUP(A534,'Salary Calculation'!$A$2:$V$999,10,0),"")</f>
        <v/>
      </c>
      <c r="F534" s="101"/>
      <c r="G534" s="106" t="str">
        <f>IFERROR(VLOOKUP(A534,'Salary Calculation'!$A$2:$V$999,7,0),"")</f>
        <v/>
      </c>
      <c r="H534" s="100"/>
      <c r="I534" s="101"/>
      <c r="J534" s="101"/>
      <c r="K534" s="101"/>
      <c r="L534" s="101"/>
      <c r="M534" s="101"/>
      <c r="N534" s="101"/>
      <c r="O534" s="101"/>
      <c r="P534" s="101"/>
      <c r="Q534" s="101"/>
      <c r="R534" s="101"/>
      <c r="S534" s="101"/>
      <c r="T534" s="101"/>
      <c r="U534" s="101"/>
      <c r="V534" s="101"/>
      <c r="W534" s="101"/>
      <c r="X534" s="101"/>
      <c r="Y534" s="101"/>
      <c r="Z534" s="101"/>
      <c r="AA534" s="101"/>
      <c r="AB534" s="101"/>
    </row>
    <row r="535">
      <c r="A535" s="104" t="s">
        <v>672</v>
      </c>
      <c r="B535" s="105" t="str">
        <f>IFERROR(VLOOKUP(A535,'Salary Calculation'!A534:F1531,2,0),"")</f>
        <v/>
      </c>
      <c r="C535" s="105" t="str">
        <f>IFERROR(VLOOKUP(A535,'Salary Calculation'!$A$2:$V$999,3,0),"")</f>
        <v/>
      </c>
      <c r="D535" s="105" t="str">
        <f>IFERROR(VLOOKUP(A535,'Salary Calculation'!$A$2:$V$999,6,0),"")</f>
        <v/>
      </c>
      <c r="E535" s="105" t="str">
        <f>IFERROR(VLOOKUP(A535,'Salary Calculation'!$A$2:$V$999,10,0),"")</f>
        <v/>
      </c>
      <c r="F535" s="101"/>
      <c r="G535" s="106" t="str">
        <f>IFERROR(VLOOKUP(A535,'Salary Calculation'!$A$2:$V$999,7,0),"")</f>
        <v/>
      </c>
      <c r="H535" s="100"/>
      <c r="I535" s="101"/>
      <c r="J535" s="101"/>
      <c r="K535" s="101"/>
      <c r="L535" s="101"/>
      <c r="M535" s="101"/>
      <c r="N535" s="101"/>
      <c r="O535" s="101"/>
      <c r="P535" s="101"/>
      <c r="Q535" s="101"/>
      <c r="R535" s="101"/>
      <c r="S535" s="101"/>
      <c r="T535" s="101"/>
      <c r="U535" s="101"/>
      <c r="V535" s="101"/>
      <c r="W535" s="101"/>
      <c r="X535" s="101"/>
      <c r="Y535" s="101"/>
      <c r="Z535" s="101"/>
      <c r="AA535" s="101"/>
      <c r="AB535" s="101"/>
    </row>
    <row r="536">
      <c r="A536" s="104" t="s">
        <v>673</v>
      </c>
      <c r="B536" s="105" t="str">
        <f>IFERROR(VLOOKUP(A536,'Salary Calculation'!A535:F1532,2,0),"")</f>
        <v/>
      </c>
      <c r="C536" s="105" t="str">
        <f>IFERROR(VLOOKUP(A536,'Salary Calculation'!$A$2:$V$999,3,0),"")</f>
        <v/>
      </c>
      <c r="D536" s="105" t="str">
        <f>IFERROR(VLOOKUP(A536,'Salary Calculation'!$A$2:$V$999,6,0),"")</f>
        <v/>
      </c>
      <c r="E536" s="105" t="str">
        <f>IFERROR(VLOOKUP(A536,'Salary Calculation'!$A$2:$V$999,10,0),"")</f>
        <v/>
      </c>
      <c r="F536" s="101"/>
      <c r="G536" s="106" t="str">
        <f>IFERROR(VLOOKUP(A536,'Salary Calculation'!$A$2:$V$999,7,0),"")</f>
        <v/>
      </c>
      <c r="H536" s="100"/>
      <c r="I536" s="101"/>
      <c r="J536" s="101"/>
      <c r="K536" s="101"/>
      <c r="L536" s="101"/>
      <c r="M536" s="101"/>
      <c r="N536" s="101"/>
      <c r="O536" s="101"/>
      <c r="P536" s="101"/>
      <c r="Q536" s="101"/>
      <c r="R536" s="101"/>
      <c r="S536" s="101"/>
      <c r="T536" s="101"/>
      <c r="U536" s="101"/>
      <c r="V536" s="101"/>
      <c r="W536" s="101"/>
      <c r="X536" s="101"/>
      <c r="Y536" s="101"/>
      <c r="Z536" s="101"/>
      <c r="AA536" s="101"/>
      <c r="AB536" s="101"/>
    </row>
    <row r="537">
      <c r="A537" s="104" t="s">
        <v>674</v>
      </c>
      <c r="B537" s="105" t="str">
        <f>IFERROR(VLOOKUP(A537,'Salary Calculation'!A536:F1533,2,0),"")</f>
        <v/>
      </c>
      <c r="C537" s="105" t="str">
        <f>IFERROR(VLOOKUP(A537,'Salary Calculation'!$A$2:$V$999,3,0),"")</f>
        <v/>
      </c>
      <c r="D537" s="105" t="str">
        <f>IFERROR(VLOOKUP(A537,'Salary Calculation'!$A$2:$V$999,6,0),"")</f>
        <v/>
      </c>
      <c r="E537" s="105" t="str">
        <f>IFERROR(VLOOKUP(A537,'Salary Calculation'!$A$2:$V$999,10,0),"")</f>
        <v/>
      </c>
      <c r="F537" s="101"/>
      <c r="G537" s="106" t="str">
        <f>IFERROR(VLOOKUP(A537,'Salary Calculation'!$A$2:$V$999,7,0),"")</f>
        <v/>
      </c>
      <c r="H537" s="100"/>
      <c r="I537" s="101"/>
      <c r="J537" s="101"/>
      <c r="K537" s="101"/>
      <c r="L537" s="101"/>
      <c r="M537" s="101"/>
      <c r="N537" s="101"/>
      <c r="O537" s="101"/>
      <c r="P537" s="101"/>
      <c r="Q537" s="101"/>
      <c r="R537" s="101"/>
      <c r="S537" s="101"/>
      <c r="T537" s="101"/>
      <c r="U537" s="101"/>
      <c r="V537" s="101"/>
      <c r="W537" s="101"/>
      <c r="X537" s="101"/>
      <c r="Y537" s="101"/>
      <c r="Z537" s="101"/>
      <c r="AA537" s="101"/>
      <c r="AB537" s="101"/>
    </row>
    <row r="538">
      <c r="A538" s="104" t="s">
        <v>675</v>
      </c>
      <c r="B538" s="105" t="str">
        <f>IFERROR(VLOOKUP(A538,'Salary Calculation'!A537:F1534,2,0),"")</f>
        <v/>
      </c>
      <c r="C538" s="105" t="str">
        <f>IFERROR(VLOOKUP(A538,'Salary Calculation'!$A$2:$V$999,3,0),"")</f>
        <v/>
      </c>
      <c r="D538" s="105" t="str">
        <f>IFERROR(VLOOKUP(A538,'Salary Calculation'!$A$2:$V$999,6,0),"")</f>
        <v/>
      </c>
      <c r="E538" s="105" t="str">
        <f>IFERROR(VLOOKUP(A538,'Salary Calculation'!$A$2:$V$999,10,0),"")</f>
        <v/>
      </c>
      <c r="F538" s="101"/>
      <c r="G538" s="106" t="str">
        <f>IFERROR(VLOOKUP(A538,'Salary Calculation'!$A$2:$V$999,7,0),"")</f>
        <v/>
      </c>
      <c r="H538" s="100"/>
      <c r="I538" s="101"/>
      <c r="J538" s="101"/>
      <c r="K538" s="101"/>
      <c r="L538" s="101"/>
      <c r="M538" s="101"/>
      <c r="N538" s="101"/>
      <c r="O538" s="101"/>
      <c r="P538" s="101"/>
      <c r="Q538" s="101"/>
      <c r="R538" s="101"/>
      <c r="S538" s="101"/>
      <c r="T538" s="101"/>
      <c r="U538" s="101"/>
      <c r="V538" s="101"/>
      <c r="W538" s="101"/>
      <c r="X538" s="101"/>
      <c r="Y538" s="101"/>
      <c r="Z538" s="101"/>
      <c r="AA538" s="101"/>
      <c r="AB538" s="101"/>
    </row>
    <row r="539">
      <c r="A539" s="104" t="s">
        <v>676</v>
      </c>
      <c r="B539" s="105" t="str">
        <f>IFERROR(VLOOKUP(A539,'Salary Calculation'!A538:F1535,2,0),"")</f>
        <v/>
      </c>
      <c r="C539" s="105" t="str">
        <f>IFERROR(VLOOKUP(A539,'Salary Calculation'!$A$2:$V$999,3,0),"")</f>
        <v/>
      </c>
      <c r="D539" s="105" t="str">
        <f>IFERROR(VLOOKUP(A539,'Salary Calculation'!$A$2:$V$999,6,0),"")</f>
        <v/>
      </c>
      <c r="E539" s="105" t="str">
        <f>IFERROR(VLOOKUP(A539,'Salary Calculation'!$A$2:$V$999,10,0),"")</f>
        <v/>
      </c>
      <c r="F539" s="101"/>
      <c r="G539" s="106" t="str">
        <f>IFERROR(VLOOKUP(A539,'Salary Calculation'!$A$2:$V$999,7,0),"")</f>
        <v/>
      </c>
      <c r="H539" s="100"/>
      <c r="I539" s="101"/>
      <c r="J539" s="101"/>
      <c r="K539" s="101"/>
      <c r="L539" s="101"/>
      <c r="M539" s="101"/>
      <c r="N539" s="101"/>
      <c r="O539" s="101"/>
      <c r="P539" s="101"/>
      <c r="Q539" s="101"/>
      <c r="R539" s="101"/>
      <c r="S539" s="101"/>
      <c r="T539" s="101"/>
      <c r="U539" s="101"/>
      <c r="V539" s="101"/>
      <c r="W539" s="101"/>
      <c r="X539" s="101"/>
      <c r="Y539" s="101"/>
      <c r="Z539" s="101"/>
      <c r="AA539" s="101"/>
      <c r="AB539" s="101"/>
    </row>
    <row r="540">
      <c r="A540" s="104" t="s">
        <v>677</v>
      </c>
      <c r="B540" s="105" t="str">
        <f>IFERROR(VLOOKUP(A540,'Salary Calculation'!A539:F1536,2,0),"")</f>
        <v/>
      </c>
      <c r="C540" s="105" t="str">
        <f>IFERROR(VLOOKUP(A540,'Salary Calculation'!$A$2:$V$999,3,0),"")</f>
        <v/>
      </c>
      <c r="D540" s="105" t="str">
        <f>IFERROR(VLOOKUP(A540,'Salary Calculation'!$A$2:$V$999,6,0),"")</f>
        <v/>
      </c>
      <c r="E540" s="105" t="str">
        <f>IFERROR(VLOOKUP(A540,'Salary Calculation'!$A$2:$V$999,10,0),"")</f>
        <v/>
      </c>
      <c r="F540" s="101"/>
      <c r="G540" s="106" t="str">
        <f>IFERROR(VLOOKUP(A540,'Salary Calculation'!$A$2:$V$999,7,0),"")</f>
        <v/>
      </c>
      <c r="H540" s="100"/>
      <c r="I540" s="101"/>
      <c r="J540" s="101"/>
      <c r="K540" s="101"/>
      <c r="L540" s="101"/>
      <c r="M540" s="101"/>
      <c r="N540" s="101"/>
      <c r="O540" s="101"/>
      <c r="P540" s="101"/>
      <c r="Q540" s="101"/>
      <c r="R540" s="101"/>
      <c r="S540" s="101"/>
      <c r="T540" s="101"/>
      <c r="U540" s="101"/>
      <c r="V540" s="101"/>
      <c r="W540" s="101"/>
      <c r="X540" s="101"/>
      <c r="Y540" s="101"/>
      <c r="Z540" s="101"/>
      <c r="AA540" s="101"/>
      <c r="AB540" s="101"/>
    </row>
    <row r="541">
      <c r="A541" s="104" t="s">
        <v>678</v>
      </c>
      <c r="B541" s="105" t="str">
        <f>IFERROR(VLOOKUP(A541,'Salary Calculation'!A540:F1537,2,0),"")</f>
        <v/>
      </c>
      <c r="C541" s="105" t="str">
        <f>IFERROR(VLOOKUP(A541,'Salary Calculation'!$A$2:$V$999,3,0),"")</f>
        <v/>
      </c>
      <c r="D541" s="105" t="str">
        <f>IFERROR(VLOOKUP(A541,'Salary Calculation'!$A$2:$V$999,6,0),"")</f>
        <v/>
      </c>
      <c r="E541" s="105" t="str">
        <f>IFERROR(VLOOKUP(A541,'Salary Calculation'!$A$2:$V$999,10,0),"")</f>
        <v/>
      </c>
      <c r="F541" s="101"/>
      <c r="G541" s="106" t="str">
        <f>IFERROR(VLOOKUP(A541,'Salary Calculation'!$A$2:$V$999,7,0),"")</f>
        <v/>
      </c>
      <c r="H541" s="100"/>
      <c r="I541" s="101"/>
      <c r="J541" s="101"/>
      <c r="K541" s="101"/>
      <c r="L541" s="101"/>
      <c r="M541" s="101"/>
      <c r="N541" s="101"/>
      <c r="O541" s="101"/>
      <c r="P541" s="101"/>
      <c r="Q541" s="101"/>
      <c r="R541" s="101"/>
      <c r="S541" s="101"/>
      <c r="T541" s="101"/>
      <c r="U541" s="101"/>
      <c r="V541" s="101"/>
      <c r="W541" s="101"/>
      <c r="X541" s="101"/>
      <c r="Y541" s="101"/>
      <c r="Z541" s="101"/>
      <c r="AA541" s="101"/>
      <c r="AB541" s="101"/>
    </row>
    <row r="542">
      <c r="A542" s="104" t="s">
        <v>679</v>
      </c>
      <c r="B542" s="105" t="str">
        <f>IFERROR(VLOOKUP(A542,'Salary Calculation'!A541:F1538,2,0),"")</f>
        <v/>
      </c>
      <c r="C542" s="105" t="str">
        <f>IFERROR(VLOOKUP(A542,'Salary Calculation'!$A$2:$V$999,3,0),"")</f>
        <v/>
      </c>
      <c r="D542" s="105" t="str">
        <f>IFERROR(VLOOKUP(A542,'Salary Calculation'!$A$2:$V$999,6,0),"")</f>
        <v/>
      </c>
      <c r="E542" s="105" t="str">
        <f>IFERROR(VLOOKUP(A542,'Salary Calculation'!$A$2:$V$999,10,0),"")</f>
        <v/>
      </c>
      <c r="F542" s="101"/>
      <c r="G542" s="106" t="str">
        <f>IFERROR(VLOOKUP(A542,'Salary Calculation'!$A$2:$V$999,7,0),"")</f>
        <v/>
      </c>
      <c r="H542" s="100"/>
      <c r="I542" s="101"/>
      <c r="J542" s="101"/>
      <c r="K542" s="101"/>
      <c r="L542" s="101"/>
      <c r="M542" s="101"/>
      <c r="N542" s="101"/>
      <c r="O542" s="101"/>
      <c r="P542" s="101"/>
      <c r="Q542" s="101"/>
      <c r="R542" s="101"/>
      <c r="S542" s="101"/>
      <c r="T542" s="101"/>
      <c r="U542" s="101"/>
      <c r="V542" s="101"/>
      <c r="W542" s="101"/>
      <c r="X542" s="101"/>
      <c r="Y542" s="101"/>
      <c r="Z542" s="101"/>
      <c r="AA542" s="101"/>
      <c r="AB542" s="101"/>
    </row>
    <row r="543">
      <c r="A543" s="104" t="s">
        <v>680</v>
      </c>
      <c r="B543" s="105" t="str">
        <f>IFERROR(VLOOKUP(A543,'Salary Calculation'!A542:F1539,2,0),"")</f>
        <v/>
      </c>
      <c r="C543" s="105" t="str">
        <f>IFERROR(VLOOKUP(A543,'Salary Calculation'!$A$2:$V$999,3,0),"")</f>
        <v/>
      </c>
      <c r="D543" s="105" t="str">
        <f>IFERROR(VLOOKUP(A543,'Salary Calculation'!$A$2:$V$999,6,0),"")</f>
        <v/>
      </c>
      <c r="E543" s="105" t="str">
        <f>IFERROR(VLOOKUP(A543,'Salary Calculation'!$A$2:$V$999,10,0),"")</f>
        <v/>
      </c>
      <c r="F543" s="101"/>
      <c r="G543" s="106" t="str">
        <f>IFERROR(VLOOKUP(A543,'Salary Calculation'!$A$2:$V$999,7,0),"")</f>
        <v/>
      </c>
      <c r="H543" s="100"/>
      <c r="I543" s="101"/>
      <c r="J543" s="101"/>
      <c r="K543" s="101"/>
      <c r="L543" s="101"/>
      <c r="M543" s="101"/>
      <c r="N543" s="101"/>
      <c r="O543" s="101"/>
      <c r="P543" s="101"/>
      <c r="Q543" s="101"/>
      <c r="R543" s="101"/>
      <c r="S543" s="101"/>
      <c r="T543" s="101"/>
      <c r="U543" s="101"/>
      <c r="V543" s="101"/>
      <c r="W543" s="101"/>
      <c r="X543" s="101"/>
      <c r="Y543" s="101"/>
      <c r="Z543" s="101"/>
      <c r="AA543" s="101"/>
      <c r="AB543" s="101"/>
    </row>
    <row r="544">
      <c r="A544" s="104" t="s">
        <v>681</v>
      </c>
      <c r="B544" s="105" t="str">
        <f>IFERROR(VLOOKUP(A544,'Salary Calculation'!A543:F1540,2,0),"")</f>
        <v/>
      </c>
      <c r="C544" s="105" t="str">
        <f>IFERROR(VLOOKUP(A544,'Salary Calculation'!$A$2:$V$999,3,0),"")</f>
        <v/>
      </c>
      <c r="D544" s="105" t="str">
        <f>IFERROR(VLOOKUP(A544,'Salary Calculation'!$A$2:$V$999,6,0),"")</f>
        <v/>
      </c>
      <c r="E544" s="105" t="str">
        <f>IFERROR(VLOOKUP(A544,'Salary Calculation'!$A$2:$V$999,10,0),"")</f>
        <v/>
      </c>
      <c r="F544" s="101"/>
      <c r="G544" s="106" t="str">
        <f>IFERROR(VLOOKUP(A544,'Salary Calculation'!$A$2:$V$999,7,0),"")</f>
        <v/>
      </c>
      <c r="H544" s="100"/>
      <c r="I544" s="101"/>
      <c r="J544" s="101"/>
      <c r="K544" s="101"/>
      <c r="L544" s="101"/>
      <c r="M544" s="101"/>
      <c r="N544" s="101"/>
      <c r="O544" s="101"/>
      <c r="P544" s="101"/>
      <c r="Q544" s="101"/>
      <c r="R544" s="101"/>
      <c r="S544" s="101"/>
      <c r="T544" s="101"/>
      <c r="U544" s="101"/>
      <c r="V544" s="101"/>
      <c r="W544" s="101"/>
      <c r="X544" s="101"/>
      <c r="Y544" s="101"/>
      <c r="Z544" s="101"/>
      <c r="AA544" s="101"/>
      <c r="AB544" s="101"/>
    </row>
    <row r="545">
      <c r="A545" s="104" t="s">
        <v>682</v>
      </c>
      <c r="B545" s="105" t="str">
        <f>IFERROR(VLOOKUP(A545,'Salary Calculation'!A544:F1541,2,0),"")</f>
        <v/>
      </c>
      <c r="C545" s="105" t="str">
        <f>IFERROR(VLOOKUP(A545,'Salary Calculation'!$A$2:$V$999,3,0),"")</f>
        <v/>
      </c>
      <c r="D545" s="105" t="str">
        <f>IFERROR(VLOOKUP(A545,'Salary Calculation'!$A$2:$V$999,6,0),"")</f>
        <v/>
      </c>
      <c r="E545" s="105" t="str">
        <f>IFERROR(VLOOKUP(A545,'Salary Calculation'!$A$2:$V$999,10,0),"")</f>
        <v/>
      </c>
      <c r="F545" s="101"/>
      <c r="G545" s="106" t="str">
        <f>IFERROR(VLOOKUP(A545,'Salary Calculation'!$A$2:$V$999,7,0),"")</f>
        <v/>
      </c>
      <c r="H545" s="100"/>
      <c r="I545" s="101"/>
      <c r="J545" s="101"/>
      <c r="K545" s="101"/>
      <c r="L545" s="101"/>
      <c r="M545" s="101"/>
      <c r="N545" s="101"/>
      <c r="O545" s="101"/>
      <c r="P545" s="101"/>
      <c r="Q545" s="101"/>
      <c r="R545" s="101"/>
      <c r="S545" s="101"/>
      <c r="T545" s="101"/>
      <c r="U545" s="101"/>
      <c r="V545" s="101"/>
      <c r="W545" s="101"/>
      <c r="X545" s="101"/>
      <c r="Y545" s="101"/>
      <c r="Z545" s="101"/>
      <c r="AA545" s="101"/>
      <c r="AB545" s="101"/>
    </row>
    <row r="546">
      <c r="A546" s="104" t="s">
        <v>683</v>
      </c>
      <c r="B546" s="105" t="str">
        <f>IFERROR(VLOOKUP(A546,'Salary Calculation'!A545:F1542,2,0),"")</f>
        <v/>
      </c>
      <c r="C546" s="105" t="str">
        <f>IFERROR(VLOOKUP(A546,'Salary Calculation'!$A$2:$V$999,3,0),"")</f>
        <v/>
      </c>
      <c r="D546" s="105" t="str">
        <f>IFERROR(VLOOKUP(A546,'Salary Calculation'!$A$2:$V$999,6,0),"")</f>
        <v/>
      </c>
      <c r="E546" s="105" t="str">
        <f>IFERROR(VLOOKUP(A546,'Salary Calculation'!$A$2:$V$999,10,0),"")</f>
        <v/>
      </c>
      <c r="F546" s="101"/>
      <c r="G546" s="106" t="str">
        <f>IFERROR(VLOOKUP(A546,'Salary Calculation'!$A$2:$V$999,7,0),"")</f>
        <v/>
      </c>
      <c r="H546" s="100"/>
      <c r="I546" s="101"/>
      <c r="J546" s="101"/>
      <c r="K546" s="101"/>
      <c r="L546" s="101"/>
      <c r="M546" s="101"/>
      <c r="N546" s="101"/>
      <c r="O546" s="101"/>
      <c r="P546" s="101"/>
      <c r="Q546" s="101"/>
      <c r="R546" s="101"/>
      <c r="S546" s="101"/>
      <c r="T546" s="101"/>
      <c r="U546" s="101"/>
      <c r="V546" s="101"/>
      <c r="W546" s="101"/>
      <c r="X546" s="101"/>
      <c r="Y546" s="101"/>
      <c r="Z546" s="101"/>
      <c r="AA546" s="101"/>
      <c r="AB546" s="101"/>
    </row>
    <row r="547">
      <c r="A547" s="104" t="s">
        <v>684</v>
      </c>
      <c r="B547" s="105" t="str">
        <f>IFERROR(VLOOKUP(A547,'Salary Calculation'!A546:F1543,2,0),"")</f>
        <v/>
      </c>
      <c r="C547" s="105" t="str">
        <f>IFERROR(VLOOKUP(A547,'Salary Calculation'!$A$2:$V$999,3,0),"")</f>
        <v/>
      </c>
      <c r="D547" s="105" t="str">
        <f>IFERROR(VLOOKUP(A547,'Salary Calculation'!$A$2:$V$999,6,0),"")</f>
        <v/>
      </c>
      <c r="E547" s="105" t="str">
        <f>IFERROR(VLOOKUP(A547,'Salary Calculation'!$A$2:$V$999,10,0),"")</f>
        <v/>
      </c>
      <c r="F547" s="101"/>
      <c r="G547" s="106" t="str">
        <f>IFERROR(VLOOKUP(A547,'Salary Calculation'!$A$2:$V$999,7,0),"")</f>
        <v/>
      </c>
      <c r="H547" s="100"/>
      <c r="I547" s="101"/>
      <c r="J547" s="101"/>
      <c r="K547" s="101"/>
      <c r="L547" s="101"/>
      <c r="M547" s="101"/>
      <c r="N547" s="101"/>
      <c r="O547" s="101"/>
      <c r="P547" s="101"/>
      <c r="Q547" s="101"/>
      <c r="R547" s="101"/>
      <c r="S547" s="101"/>
      <c r="T547" s="101"/>
      <c r="U547" s="101"/>
      <c r="V547" s="101"/>
      <c r="W547" s="101"/>
      <c r="X547" s="101"/>
      <c r="Y547" s="101"/>
      <c r="Z547" s="101"/>
      <c r="AA547" s="101"/>
      <c r="AB547" s="101"/>
    </row>
    <row r="548">
      <c r="A548" s="104" t="s">
        <v>685</v>
      </c>
      <c r="B548" s="105" t="str">
        <f>IFERROR(VLOOKUP(A548,'Salary Calculation'!A547:F1544,2,0),"")</f>
        <v/>
      </c>
      <c r="C548" s="105" t="str">
        <f>IFERROR(VLOOKUP(A548,'Salary Calculation'!$A$2:$V$999,3,0),"")</f>
        <v/>
      </c>
      <c r="D548" s="105" t="str">
        <f>IFERROR(VLOOKUP(A548,'Salary Calculation'!$A$2:$V$999,6,0),"")</f>
        <v/>
      </c>
      <c r="E548" s="105" t="str">
        <f>IFERROR(VLOOKUP(A548,'Salary Calculation'!$A$2:$V$999,10,0),"")</f>
        <v/>
      </c>
      <c r="F548" s="101"/>
      <c r="G548" s="106" t="str">
        <f>IFERROR(VLOOKUP(A548,'Salary Calculation'!$A$2:$V$999,7,0),"")</f>
        <v/>
      </c>
      <c r="H548" s="100"/>
      <c r="I548" s="101"/>
      <c r="J548" s="101"/>
      <c r="K548" s="101"/>
      <c r="L548" s="101"/>
      <c r="M548" s="101"/>
      <c r="N548" s="101"/>
      <c r="O548" s="101"/>
      <c r="P548" s="101"/>
      <c r="Q548" s="101"/>
      <c r="R548" s="101"/>
      <c r="S548" s="101"/>
      <c r="T548" s="101"/>
      <c r="U548" s="101"/>
      <c r="V548" s="101"/>
      <c r="W548" s="101"/>
      <c r="X548" s="101"/>
      <c r="Y548" s="101"/>
      <c r="Z548" s="101"/>
      <c r="AA548" s="101"/>
      <c r="AB548" s="101"/>
    </row>
    <row r="549">
      <c r="A549" s="104" t="s">
        <v>686</v>
      </c>
      <c r="B549" s="105" t="str">
        <f>IFERROR(VLOOKUP(A549,'Salary Calculation'!A548:F1545,2,0),"")</f>
        <v/>
      </c>
      <c r="C549" s="105" t="str">
        <f>IFERROR(VLOOKUP(A549,'Salary Calculation'!$A$2:$V$999,3,0),"")</f>
        <v/>
      </c>
      <c r="D549" s="105" t="str">
        <f>IFERROR(VLOOKUP(A549,'Salary Calculation'!$A$2:$V$999,6,0),"")</f>
        <v/>
      </c>
      <c r="E549" s="105" t="str">
        <f>IFERROR(VLOOKUP(A549,'Salary Calculation'!$A$2:$V$999,10,0),"")</f>
        <v/>
      </c>
      <c r="F549" s="101"/>
      <c r="G549" s="106" t="str">
        <f>IFERROR(VLOOKUP(A549,'Salary Calculation'!$A$2:$V$999,7,0),"")</f>
        <v/>
      </c>
      <c r="H549" s="100"/>
      <c r="I549" s="101"/>
      <c r="J549" s="101"/>
      <c r="K549" s="101"/>
      <c r="L549" s="101"/>
      <c r="M549" s="101"/>
      <c r="N549" s="101"/>
      <c r="O549" s="101"/>
      <c r="P549" s="101"/>
      <c r="Q549" s="101"/>
      <c r="R549" s="101"/>
      <c r="S549" s="101"/>
      <c r="T549" s="101"/>
      <c r="U549" s="101"/>
      <c r="V549" s="101"/>
      <c r="W549" s="101"/>
      <c r="X549" s="101"/>
      <c r="Y549" s="101"/>
      <c r="Z549" s="101"/>
      <c r="AA549" s="101"/>
      <c r="AB549" s="101"/>
    </row>
    <row r="550">
      <c r="A550" s="104" t="s">
        <v>687</v>
      </c>
      <c r="B550" s="105" t="str">
        <f>IFERROR(VLOOKUP(A550,'Salary Calculation'!A549:F1546,2,0),"")</f>
        <v/>
      </c>
      <c r="C550" s="105" t="str">
        <f>IFERROR(VLOOKUP(A550,'Salary Calculation'!$A$2:$V$999,3,0),"")</f>
        <v/>
      </c>
      <c r="D550" s="105" t="str">
        <f>IFERROR(VLOOKUP(A550,'Salary Calculation'!$A$2:$V$999,6,0),"")</f>
        <v/>
      </c>
      <c r="E550" s="105" t="str">
        <f>IFERROR(VLOOKUP(A550,'Salary Calculation'!$A$2:$V$999,10,0),"")</f>
        <v/>
      </c>
      <c r="F550" s="101"/>
      <c r="G550" s="106" t="str">
        <f>IFERROR(VLOOKUP(A550,'Salary Calculation'!$A$2:$V$999,7,0),"")</f>
        <v/>
      </c>
      <c r="H550" s="100"/>
      <c r="I550" s="101"/>
      <c r="J550" s="101"/>
      <c r="K550" s="101"/>
      <c r="L550" s="101"/>
      <c r="M550" s="101"/>
      <c r="N550" s="101"/>
      <c r="O550" s="101"/>
      <c r="P550" s="101"/>
      <c r="Q550" s="101"/>
      <c r="R550" s="101"/>
      <c r="S550" s="101"/>
      <c r="T550" s="101"/>
      <c r="U550" s="101"/>
      <c r="V550" s="101"/>
      <c r="W550" s="101"/>
      <c r="X550" s="101"/>
      <c r="Y550" s="101"/>
      <c r="Z550" s="101"/>
      <c r="AA550" s="101"/>
      <c r="AB550" s="101"/>
    </row>
    <row r="551">
      <c r="A551" s="104" t="s">
        <v>688</v>
      </c>
      <c r="B551" s="105" t="str">
        <f>IFERROR(VLOOKUP(A551,'Salary Calculation'!A550:F1547,2,0),"")</f>
        <v/>
      </c>
      <c r="C551" s="105" t="str">
        <f>IFERROR(VLOOKUP(A551,'Salary Calculation'!$A$2:$V$999,3,0),"")</f>
        <v/>
      </c>
      <c r="D551" s="105" t="str">
        <f>IFERROR(VLOOKUP(A551,'Salary Calculation'!$A$2:$V$999,6,0),"")</f>
        <v/>
      </c>
      <c r="E551" s="105" t="str">
        <f>IFERROR(VLOOKUP(A551,'Salary Calculation'!$A$2:$V$999,10,0),"")</f>
        <v/>
      </c>
      <c r="F551" s="101"/>
      <c r="G551" s="106" t="str">
        <f>IFERROR(VLOOKUP(A551,'Salary Calculation'!$A$2:$V$999,7,0),"")</f>
        <v/>
      </c>
      <c r="H551" s="100"/>
      <c r="I551" s="101"/>
      <c r="J551" s="101"/>
      <c r="K551" s="101"/>
      <c r="L551" s="101"/>
      <c r="M551" s="101"/>
      <c r="N551" s="101"/>
      <c r="O551" s="101"/>
      <c r="P551" s="101"/>
      <c r="Q551" s="101"/>
      <c r="R551" s="101"/>
      <c r="S551" s="101"/>
      <c r="T551" s="101"/>
      <c r="U551" s="101"/>
      <c r="V551" s="101"/>
      <c r="W551" s="101"/>
      <c r="X551" s="101"/>
      <c r="Y551" s="101"/>
      <c r="Z551" s="101"/>
      <c r="AA551" s="101"/>
      <c r="AB551" s="101"/>
    </row>
    <row r="552">
      <c r="A552" s="104" t="s">
        <v>689</v>
      </c>
      <c r="B552" s="105" t="str">
        <f>IFERROR(VLOOKUP(A552,'Salary Calculation'!A551:F1548,2,0),"")</f>
        <v/>
      </c>
      <c r="C552" s="105" t="str">
        <f>IFERROR(VLOOKUP(A552,'Salary Calculation'!$A$2:$V$999,3,0),"")</f>
        <v/>
      </c>
      <c r="D552" s="105" t="str">
        <f>IFERROR(VLOOKUP(A552,'Salary Calculation'!$A$2:$V$999,6,0),"")</f>
        <v/>
      </c>
      <c r="E552" s="105" t="str">
        <f>IFERROR(VLOOKUP(A552,'Salary Calculation'!$A$2:$V$999,10,0),"")</f>
        <v/>
      </c>
      <c r="F552" s="101"/>
      <c r="G552" s="106" t="str">
        <f>IFERROR(VLOOKUP(A552,'Salary Calculation'!$A$2:$V$999,7,0),"")</f>
        <v/>
      </c>
      <c r="H552" s="100"/>
      <c r="I552" s="101"/>
      <c r="J552" s="101"/>
      <c r="K552" s="101"/>
      <c r="L552" s="101"/>
      <c r="M552" s="101"/>
      <c r="N552" s="101"/>
      <c r="O552" s="101"/>
      <c r="P552" s="101"/>
      <c r="Q552" s="101"/>
      <c r="R552" s="101"/>
      <c r="S552" s="101"/>
      <c r="T552" s="101"/>
      <c r="U552" s="101"/>
      <c r="V552" s="101"/>
      <c r="W552" s="101"/>
      <c r="X552" s="101"/>
      <c r="Y552" s="101"/>
      <c r="Z552" s="101"/>
      <c r="AA552" s="101"/>
      <c r="AB552" s="101"/>
    </row>
    <row r="553">
      <c r="A553" s="104" t="s">
        <v>690</v>
      </c>
      <c r="B553" s="105" t="str">
        <f>IFERROR(VLOOKUP(A553,'Salary Calculation'!A552:F1549,2,0),"")</f>
        <v/>
      </c>
      <c r="C553" s="105" t="str">
        <f>IFERROR(VLOOKUP(A553,'Salary Calculation'!$A$2:$V$999,3,0),"")</f>
        <v/>
      </c>
      <c r="D553" s="105" t="str">
        <f>IFERROR(VLOOKUP(A553,'Salary Calculation'!$A$2:$V$999,6,0),"")</f>
        <v/>
      </c>
      <c r="E553" s="105" t="str">
        <f>IFERROR(VLOOKUP(A553,'Salary Calculation'!$A$2:$V$999,10,0),"")</f>
        <v/>
      </c>
      <c r="F553" s="101"/>
      <c r="G553" s="106" t="str">
        <f>IFERROR(VLOOKUP(A553,'Salary Calculation'!$A$2:$V$999,7,0),"")</f>
        <v/>
      </c>
      <c r="H553" s="100"/>
      <c r="I553" s="101"/>
      <c r="J553" s="101"/>
      <c r="K553" s="101"/>
      <c r="L553" s="101"/>
      <c r="M553" s="101"/>
      <c r="N553" s="101"/>
      <c r="O553" s="101"/>
      <c r="P553" s="101"/>
      <c r="Q553" s="101"/>
      <c r="R553" s="101"/>
      <c r="S553" s="101"/>
      <c r="T553" s="101"/>
      <c r="U553" s="101"/>
      <c r="V553" s="101"/>
      <c r="W553" s="101"/>
      <c r="X553" s="101"/>
      <c r="Y553" s="101"/>
      <c r="Z553" s="101"/>
      <c r="AA553" s="101"/>
      <c r="AB553" s="101"/>
    </row>
    <row r="554">
      <c r="A554" s="104" t="s">
        <v>691</v>
      </c>
      <c r="B554" s="105" t="str">
        <f>IFERROR(VLOOKUP(A554,'Salary Calculation'!A553:F1550,2,0),"")</f>
        <v/>
      </c>
      <c r="C554" s="105" t="str">
        <f>IFERROR(VLOOKUP(A554,'Salary Calculation'!$A$2:$V$999,3,0),"")</f>
        <v/>
      </c>
      <c r="D554" s="105" t="str">
        <f>IFERROR(VLOOKUP(A554,'Salary Calculation'!$A$2:$V$999,6,0),"")</f>
        <v/>
      </c>
      <c r="E554" s="105" t="str">
        <f>IFERROR(VLOOKUP(A554,'Salary Calculation'!$A$2:$V$999,10,0),"")</f>
        <v/>
      </c>
      <c r="F554" s="101"/>
      <c r="G554" s="106" t="str">
        <f>IFERROR(VLOOKUP(A554,'Salary Calculation'!$A$2:$V$999,7,0),"")</f>
        <v/>
      </c>
      <c r="H554" s="100"/>
      <c r="I554" s="101"/>
      <c r="J554" s="101"/>
      <c r="K554" s="101"/>
      <c r="L554" s="101"/>
      <c r="M554" s="101"/>
      <c r="N554" s="101"/>
      <c r="O554" s="101"/>
      <c r="P554" s="101"/>
      <c r="Q554" s="101"/>
      <c r="R554" s="101"/>
      <c r="S554" s="101"/>
      <c r="T554" s="101"/>
      <c r="U554" s="101"/>
      <c r="V554" s="101"/>
      <c r="W554" s="101"/>
      <c r="X554" s="101"/>
      <c r="Y554" s="101"/>
      <c r="Z554" s="101"/>
      <c r="AA554" s="101"/>
      <c r="AB554" s="101"/>
    </row>
    <row r="555">
      <c r="A555" s="104" t="s">
        <v>692</v>
      </c>
      <c r="B555" s="105" t="str">
        <f>IFERROR(VLOOKUP(A555,'Salary Calculation'!A554:F1551,2,0),"")</f>
        <v/>
      </c>
      <c r="C555" s="105" t="str">
        <f>IFERROR(VLOOKUP(A555,'Salary Calculation'!$A$2:$V$999,3,0),"")</f>
        <v/>
      </c>
      <c r="D555" s="105" t="str">
        <f>IFERROR(VLOOKUP(A555,'Salary Calculation'!$A$2:$V$999,6,0),"")</f>
        <v/>
      </c>
      <c r="E555" s="105" t="str">
        <f>IFERROR(VLOOKUP(A555,'Salary Calculation'!$A$2:$V$999,10,0),"")</f>
        <v/>
      </c>
      <c r="F555" s="101"/>
      <c r="G555" s="106" t="str">
        <f>IFERROR(VLOOKUP(A555,'Salary Calculation'!$A$2:$V$999,7,0),"")</f>
        <v/>
      </c>
      <c r="H555" s="100"/>
      <c r="I555" s="101"/>
      <c r="J555" s="101"/>
      <c r="K555" s="101"/>
      <c r="L555" s="101"/>
      <c r="M555" s="101"/>
      <c r="N555" s="101"/>
      <c r="O555" s="101"/>
      <c r="P555" s="101"/>
      <c r="Q555" s="101"/>
      <c r="R555" s="101"/>
      <c r="S555" s="101"/>
      <c r="T555" s="101"/>
      <c r="U555" s="101"/>
      <c r="V555" s="101"/>
      <c r="W555" s="101"/>
      <c r="X555" s="101"/>
      <c r="Y555" s="101"/>
      <c r="Z555" s="101"/>
      <c r="AA555" s="101"/>
      <c r="AB555" s="101"/>
    </row>
    <row r="556">
      <c r="A556" s="104" t="s">
        <v>693</v>
      </c>
      <c r="B556" s="105" t="str">
        <f>IFERROR(VLOOKUP(A556,'Salary Calculation'!A555:F1552,2,0),"")</f>
        <v/>
      </c>
      <c r="C556" s="105" t="str">
        <f>IFERROR(VLOOKUP(A556,'Salary Calculation'!$A$2:$V$999,3,0),"")</f>
        <v/>
      </c>
      <c r="D556" s="105" t="str">
        <f>IFERROR(VLOOKUP(A556,'Salary Calculation'!$A$2:$V$999,6,0),"")</f>
        <v/>
      </c>
      <c r="E556" s="105" t="str">
        <f>IFERROR(VLOOKUP(A556,'Salary Calculation'!$A$2:$V$999,10,0),"")</f>
        <v/>
      </c>
      <c r="F556" s="101"/>
      <c r="G556" s="106" t="str">
        <f>IFERROR(VLOOKUP(A556,'Salary Calculation'!$A$2:$V$999,7,0),"")</f>
        <v/>
      </c>
      <c r="H556" s="100"/>
      <c r="I556" s="101"/>
      <c r="J556" s="101"/>
      <c r="K556" s="101"/>
      <c r="L556" s="101"/>
      <c r="M556" s="101"/>
      <c r="N556" s="101"/>
      <c r="O556" s="101"/>
      <c r="P556" s="101"/>
      <c r="Q556" s="101"/>
      <c r="R556" s="101"/>
      <c r="S556" s="101"/>
      <c r="T556" s="101"/>
      <c r="U556" s="101"/>
      <c r="V556" s="101"/>
      <c r="W556" s="101"/>
      <c r="X556" s="101"/>
      <c r="Y556" s="101"/>
      <c r="Z556" s="101"/>
      <c r="AA556" s="101"/>
      <c r="AB556" s="101"/>
    </row>
    <row r="557">
      <c r="A557" s="104" t="s">
        <v>694</v>
      </c>
      <c r="B557" s="105" t="str">
        <f>IFERROR(VLOOKUP(A557,'Salary Calculation'!A556:F1553,2,0),"")</f>
        <v/>
      </c>
      <c r="C557" s="105" t="str">
        <f>IFERROR(VLOOKUP(A557,'Salary Calculation'!$A$2:$V$999,3,0),"")</f>
        <v/>
      </c>
      <c r="D557" s="105" t="str">
        <f>IFERROR(VLOOKUP(A557,'Salary Calculation'!$A$2:$V$999,6,0),"")</f>
        <v/>
      </c>
      <c r="E557" s="105" t="str">
        <f>IFERROR(VLOOKUP(A557,'Salary Calculation'!$A$2:$V$999,10,0),"")</f>
        <v/>
      </c>
      <c r="F557" s="101"/>
      <c r="G557" s="106" t="str">
        <f>IFERROR(VLOOKUP(A557,'Salary Calculation'!$A$2:$V$999,7,0),"")</f>
        <v/>
      </c>
      <c r="H557" s="100"/>
      <c r="I557" s="101"/>
      <c r="J557" s="101"/>
      <c r="K557" s="101"/>
      <c r="L557" s="101"/>
      <c r="M557" s="101"/>
      <c r="N557" s="101"/>
      <c r="O557" s="101"/>
      <c r="P557" s="101"/>
      <c r="Q557" s="101"/>
      <c r="R557" s="101"/>
      <c r="S557" s="101"/>
      <c r="T557" s="101"/>
      <c r="U557" s="101"/>
      <c r="V557" s="101"/>
      <c r="W557" s="101"/>
      <c r="X557" s="101"/>
      <c r="Y557" s="101"/>
      <c r="Z557" s="101"/>
      <c r="AA557" s="101"/>
      <c r="AB557" s="101"/>
    </row>
    <row r="558">
      <c r="A558" s="104" t="s">
        <v>695</v>
      </c>
      <c r="B558" s="105" t="str">
        <f>IFERROR(VLOOKUP(A558,'Salary Calculation'!A557:F1554,2,0),"")</f>
        <v/>
      </c>
      <c r="C558" s="105" t="str">
        <f>IFERROR(VLOOKUP(A558,'Salary Calculation'!$A$2:$V$999,3,0),"")</f>
        <v/>
      </c>
      <c r="D558" s="105" t="str">
        <f>IFERROR(VLOOKUP(A558,'Salary Calculation'!$A$2:$V$999,6,0),"")</f>
        <v/>
      </c>
      <c r="E558" s="105" t="str">
        <f>IFERROR(VLOOKUP(A558,'Salary Calculation'!$A$2:$V$999,10,0),"")</f>
        <v/>
      </c>
      <c r="F558" s="101"/>
      <c r="G558" s="106" t="str">
        <f>IFERROR(VLOOKUP(A558,'Salary Calculation'!$A$2:$V$999,7,0),"")</f>
        <v/>
      </c>
      <c r="H558" s="100"/>
      <c r="I558" s="101"/>
      <c r="J558" s="101"/>
      <c r="K558" s="101"/>
      <c r="L558" s="101"/>
      <c r="M558" s="101"/>
      <c r="N558" s="101"/>
      <c r="O558" s="101"/>
      <c r="P558" s="101"/>
      <c r="Q558" s="101"/>
      <c r="R558" s="101"/>
      <c r="S558" s="101"/>
      <c r="T558" s="101"/>
      <c r="U558" s="101"/>
      <c r="V558" s="101"/>
      <c r="W558" s="101"/>
      <c r="X558" s="101"/>
      <c r="Y558" s="101"/>
      <c r="Z558" s="101"/>
      <c r="AA558" s="101"/>
      <c r="AB558" s="101"/>
    </row>
    <row r="559">
      <c r="A559" s="104" t="s">
        <v>696</v>
      </c>
      <c r="B559" s="105" t="str">
        <f>IFERROR(VLOOKUP(A559,'Salary Calculation'!A558:F1555,2,0),"")</f>
        <v/>
      </c>
      <c r="C559" s="105" t="str">
        <f>IFERROR(VLOOKUP(A559,'Salary Calculation'!$A$2:$V$999,3,0),"")</f>
        <v/>
      </c>
      <c r="D559" s="105" t="str">
        <f>IFERROR(VLOOKUP(A559,'Salary Calculation'!$A$2:$V$999,6,0),"")</f>
        <v/>
      </c>
      <c r="E559" s="105" t="str">
        <f>IFERROR(VLOOKUP(A559,'Salary Calculation'!$A$2:$V$999,10,0),"")</f>
        <v/>
      </c>
      <c r="F559" s="101"/>
      <c r="G559" s="106" t="str">
        <f>IFERROR(VLOOKUP(A559,'Salary Calculation'!$A$2:$V$999,7,0),"")</f>
        <v/>
      </c>
      <c r="H559" s="100"/>
      <c r="I559" s="101"/>
      <c r="J559" s="101"/>
      <c r="K559" s="101"/>
      <c r="L559" s="101"/>
      <c r="M559" s="101"/>
      <c r="N559" s="101"/>
      <c r="O559" s="101"/>
      <c r="P559" s="101"/>
      <c r="Q559" s="101"/>
      <c r="R559" s="101"/>
      <c r="S559" s="101"/>
      <c r="T559" s="101"/>
      <c r="U559" s="101"/>
      <c r="V559" s="101"/>
      <c r="W559" s="101"/>
      <c r="X559" s="101"/>
      <c r="Y559" s="101"/>
      <c r="Z559" s="101"/>
      <c r="AA559" s="101"/>
      <c r="AB559" s="101"/>
    </row>
    <row r="560">
      <c r="A560" s="104" t="s">
        <v>697</v>
      </c>
      <c r="B560" s="105" t="str">
        <f>IFERROR(VLOOKUP(A560,'Salary Calculation'!A559:F1556,2,0),"")</f>
        <v/>
      </c>
      <c r="C560" s="105" t="str">
        <f>IFERROR(VLOOKUP(A560,'Salary Calculation'!$A$2:$V$999,3,0),"")</f>
        <v/>
      </c>
      <c r="D560" s="105" t="str">
        <f>IFERROR(VLOOKUP(A560,'Salary Calculation'!$A$2:$V$999,6,0),"")</f>
        <v/>
      </c>
      <c r="E560" s="105" t="str">
        <f>IFERROR(VLOOKUP(A560,'Salary Calculation'!$A$2:$V$999,10,0),"")</f>
        <v/>
      </c>
      <c r="F560" s="101"/>
      <c r="G560" s="106" t="str">
        <f>IFERROR(VLOOKUP(A560,'Salary Calculation'!$A$2:$V$999,7,0),"")</f>
        <v/>
      </c>
      <c r="H560" s="100"/>
      <c r="I560" s="101"/>
      <c r="J560" s="101"/>
      <c r="K560" s="101"/>
      <c r="L560" s="101"/>
      <c r="M560" s="101"/>
      <c r="N560" s="101"/>
      <c r="O560" s="101"/>
      <c r="P560" s="101"/>
      <c r="Q560" s="101"/>
      <c r="R560" s="101"/>
      <c r="S560" s="101"/>
      <c r="T560" s="101"/>
      <c r="U560" s="101"/>
      <c r="V560" s="101"/>
      <c r="W560" s="101"/>
      <c r="X560" s="101"/>
      <c r="Y560" s="101"/>
      <c r="Z560" s="101"/>
      <c r="AA560" s="101"/>
      <c r="AB560" s="101"/>
    </row>
    <row r="561">
      <c r="A561" s="104" t="s">
        <v>698</v>
      </c>
      <c r="B561" s="105" t="str">
        <f>IFERROR(VLOOKUP(A561,'Salary Calculation'!A560:F1557,2,0),"")</f>
        <v/>
      </c>
      <c r="C561" s="105" t="str">
        <f>IFERROR(VLOOKUP(A561,'Salary Calculation'!$A$2:$V$999,3,0),"")</f>
        <v/>
      </c>
      <c r="D561" s="105" t="str">
        <f>IFERROR(VLOOKUP(A561,'Salary Calculation'!$A$2:$V$999,6,0),"")</f>
        <v/>
      </c>
      <c r="E561" s="105" t="str">
        <f>IFERROR(VLOOKUP(A561,'Salary Calculation'!$A$2:$V$999,10,0),"")</f>
        <v/>
      </c>
      <c r="F561" s="101"/>
      <c r="G561" s="106" t="str">
        <f>IFERROR(VLOOKUP(A561,'Salary Calculation'!$A$2:$V$999,7,0),"")</f>
        <v/>
      </c>
      <c r="H561" s="100"/>
      <c r="I561" s="101"/>
      <c r="J561" s="101"/>
      <c r="K561" s="101"/>
      <c r="L561" s="101"/>
      <c r="M561" s="101"/>
      <c r="N561" s="101"/>
      <c r="O561" s="101"/>
      <c r="P561" s="101"/>
      <c r="Q561" s="101"/>
      <c r="R561" s="101"/>
      <c r="S561" s="101"/>
      <c r="T561" s="101"/>
      <c r="U561" s="101"/>
      <c r="V561" s="101"/>
      <c r="W561" s="101"/>
      <c r="X561" s="101"/>
      <c r="Y561" s="101"/>
      <c r="Z561" s="101"/>
      <c r="AA561" s="101"/>
      <c r="AB561" s="101"/>
    </row>
    <row r="562">
      <c r="A562" s="104" t="s">
        <v>699</v>
      </c>
      <c r="B562" s="105" t="str">
        <f>IFERROR(VLOOKUP(A562,'Salary Calculation'!A561:F1558,2,0),"")</f>
        <v/>
      </c>
      <c r="C562" s="105" t="str">
        <f>IFERROR(VLOOKUP(A562,'Salary Calculation'!$A$2:$V$999,3,0),"")</f>
        <v/>
      </c>
      <c r="D562" s="105" t="str">
        <f>IFERROR(VLOOKUP(A562,'Salary Calculation'!$A$2:$V$999,6,0),"")</f>
        <v/>
      </c>
      <c r="E562" s="105" t="str">
        <f>IFERROR(VLOOKUP(A562,'Salary Calculation'!$A$2:$V$999,10,0),"")</f>
        <v/>
      </c>
      <c r="F562" s="101"/>
      <c r="G562" s="106" t="str">
        <f>IFERROR(VLOOKUP(A562,'Salary Calculation'!$A$2:$V$999,7,0),"")</f>
        <v/>
      </c>
      <c r="H562" s="100"/>
      <c r="I562" s="101"/>
      <c r="J562" s="101"/>
      <c r="K562" s="101"/>
      <c r="L562" s="101"/>
      <c r="M562" s="101"/>
      <c r="N562" s="101"/>
      <c r="O562" s="101"/>
      <c r="P562" s="101"/>
      <c r="Q562" s="101"/>
      <c r="R562" s="101"/>
      <c r="S562" s="101"/>
      <c r="T562" s="101"/>
      <c r="U562" s="101"/>
      <c r="V562" s="101"/>
      <c r="W562" s="101"/>
      <c r="X562" s="101"/>
      <c r="Y562" s="101"/>
      <c r="Z562" s="101"/>
      <c r="AA562" s="101"/>
      <c r="AB562" s="101"/>
    </row>
    <row r="563">
      <c r="A563" s="104" t="s">
        <v>700</v>
      </c>
      <c r="B563" s="105" t="str">
        <f>IFERROR(VLOOKUP(A563,'Salary Calculation'!A562:F1559,2,0),"")</f>
        <v/>
      </c>
      <c r="C563" s="105" t="str">
        <f>IFERROR(VLOOKUP(A563,'Salary Calculation'!$A$2:$V$999,3,0),"")</f>
        <v/>
      </c>
      <c r="D563" s="105" t="str">
        <f>IFERROR(VLOOKUP(A563,'Salary Calculation'!$A$2:$V$999,6,0),"")</f>
        <v/>
      </c>
      <c r="E563" s="105" t="str">
        <f>IFERROR(VLOOKUP(A563,'Salary Calculation'!$A$2:$V$999,10,0),"")</f>
        <v/>
      </c>
      <c r="F563" s="101"/>
      <c r="G563" s="106" t="str">
        <f>IFERROR(VLOOKUP(A563,'Salary Calculation'!$A$2:$V$999,7,0),"")</f>
        <v/>
      </c>
      <c r="H563" s="100"/>
      <c r="I563" s="101"/>
      <c r="J563" s="101"/>
      <c r="K563" s="101"/>
      <c r="L563" s="101"/>
      <c r="M563" s="101"/>
      <c r="N563" s="101"/>
      <c r="O563" s="101"/>
      <c r="P563" s="101"/>
      <c r="Q563" s="101"/>
      <c r="R563" s="101"/>
      <c r="S563" s="101"/>
      <c r="T563" s="101"/>
      <c r="U563" s="101"/>
      <c r="V563" s="101"/>
      <c r="W563" s="101"/>
      <c r="X563" s="101"/>
      <c r="Y563" s="101"/>
      <c r="Z563" s="101"/>
      <c r="AA563" s="101"/>
      <c r="AB563" s="101"/>
    </row>
    <row r="564">
      <c r="A564" s="104" t="s">
        <v>701</v>
      </c>
      <c r="B564" s="105" t="str">
        <f>IFERROR(VLOOKUP(A564,'Salary Calculation'!A563:F1560,2,0),"")</f>
        <v/>
      </c>
      <c r="C564" s="105" t="str">
        <f>IFERROR(VLOOKUP(A564,'Salary Calculation'!$A$2:$V$999,3,0),"")</f>
        <v/>
      </c>
      <c r="D564" s="105" t="str">
        <f>IFERROR(VLOOKUP(A564,'Salary Calculation'!$A$2:$V$999,6,0),"")</f>
        <v/>
      </c>
      <c r="E564" s="105" t="str">
        <f>IFERROR(VLOOKUP(A564,'Salary Calculation'!$A$2:$V$999,10,0),"")</f>
        <v/>
      </c>
      <c r="F564" s="101"/>
      <c r="G564" s="106" t="str">
        <f>IFERROR(VLOOKUP(A564,'Salary Calculation'!$A$2:$V$999,7,0),"")</f>
        <v/>
      </c>
      <c r="H564" s="100"/>
      <c r="I564" s="101"/>
      <c r="J564" s="101"/>
      <c r="K564" s="101"/>
      <c r="L564" s="101"/>
      <c r="M564" s="101"/>
      <c r="N564" s="101"/>
      <c r="O564" s="101"/>
      <c r="P564" s="101"/>
      <c r="Q564" s="101"/>
      <c r="R564" s="101"/>
      <c r="S564" s="101"/>
      <c r="T564" s="101"/>
      <c r="U564" s="101"/>
      <c r="V564" s="101"/>
      <c r="W564" s="101"/>
      <c r="X564" s="101"/>
      <c r="Y564" s="101"/>
      <c r="Z564" s="101"/>
      <c r="AA564" s="101"/>
      <c r="AB564" s="101"/>
    </row>
    <row r="565">
      <c r="A565" s="104" t="s">
        <v>702</v>
      </c>
      <c r="B565" s="105" t="str">
        <f>IFERROR(VLOOKUP(A565,'Salary Calculation'!A564:F1561,2,0),"")</f>
        <v/>
      </c>
      <c r="C565" s="105" t="str">
        <f>IFERROR(VLOOKUP(A565,'Salary Calculation'!$A$2:$V$999,3,0),"")</f>
        <v/>
      </c>
      <c r="D565" s="105" t="str">
        <f>IFERROR(VLOOKUP(A565,'Salary Calculation'!$A$2:$V$999,6,0),"")</f>
        <v/>
      </c>
      <c r="E565" s="105" t="str">
        <f>IFERROR(VLOOKUP(A565,'Salary Calculation'!$A$2:$V$999,10,0),"")</f>
        <v/>
      </c>
      <c r="F565" s="101"/>
      <c r="G565" s="106" t="str">
        <f>IFERROR(VLOOKUP(A565,'Salary Calculation'!$A$2:$V$999,7,0),"")</f>
        <v/>
      </c>
      <c r="H565" s="100"/>
      <c r="I565" s="101"/>
      <c r="J565" s="101"/>
      <c r="K565" s="101"/>
      <c r="L565" s="101"/>
      <c r="M565" s="101"/>
      <c r="N565" s="101"/>
      <c r="O565" s="101"/>
      <c r="P565" s="101"/>
      <c r="Q565" s="101"/>
      <c r="R565" s="101"/>
      <c r="S565" s="101"/>
      <c r="T565" s="101"/>
      <c r="U565" s="101"/>
      <c r="V565" s="101"/>
      <c r="W565" s="101"/>
      <c r="X565" s="101"/>
      <c r="Y565" s="101"/>
      <c r="Z565" s="101"/>
      <c r="AA565" s="101"/>
      <c r="AB565" s="101"/>
    </row>
    <row r="566">
      <c r="A566" s="104" t="s">
        <v>703</v>
      </c>
      <c r="B566" s="105" t="str">
        <f>IFERROR(VLOOKUP(A566,'Salary Calculation'!A565:F1562,2,0),"")</f>
        <v/>
      </c>
      <c r="C566" s="105" t="str">
        <f>IFERROR(VLOOKUP(A566,'Salary Calculation'!$A$2:$V$999,3,0),"")</f>
        <v/>
      </c>
      <c r="D566" s="105" t="str">
        <f>IFERROR(VLOOKUP(A566,'Salary Calculation'!$A$2:$V$999,6,0),"")</f>
        <v/>
      </c>
      <c r="E566" s="105" t="str">
        <f>IFERROR(VLOOKUP(A566,'Salary Calculation'!$A$2:$V$999,10,0),"")</f>
        <v/>
      </c>
      <c r="F566" s="101"/>
      <c r="G566" s="106" t="str">
        <f>IFERROR(VLOOKUP(A566,'Salary Calculation'!$A$2:$V$999,7,0),"")</f>
        <v/>
      </c>
      <c r="H566" s="100"/>
      <c r="I566" s="101"/>
      <c r="J566" s="101"/>
      <c r="K566" s="101"/>
      <c r="L566" s="101"/>
      <c r="M566" s="101"/>
      <c r="N566" s="101"/>
      <c r="O566" s="101"/>
      <c r="P566" s="101"/>
      <c r="Q566" s="101"/>
      <c r="R566" s="101"/>
      <c r="S566" s="101"/>
      <c r="T566" s="101"/>
      <c r="U566" s="101"/>
      <c r="V566" s="101"/>
      <c r="W566" s="101"/>
      <c r="X566" s="101"/>
      <c r="Y566" s="101"/>
      <c r="Z566" s="101"/>
      <c r="AA566" s="101"/>
      <c r="AB566" s="101"/>
    </row>
    <row r="567">
      <c r="A567" s="104" t="s">
        <v>704</v>
      </c>
      <c r="B567" s="105" t="str">
        <f>IFERROR(VLOOKUP(A567,'Salary Calculation'!A566:F1563,2,0),"")</f>
        <v/>
      </c>
      <c r="C567" s="105" t="str">
        <f>IFERROR(VLOOKUP(A567,'Salary Calculation'!$A$2:$V$999,3,0),"")</f>
        <v/>
      </c>
      <c r="D567" s="105" t="str">
        <f>IFERROR(VLOOKUP(A567,'Salary Calculation'!$A$2:$V$999,6,0),"")</f>
        <v/>
      </c>
      <c r="E567" s="105" t="str">
        <f>IFERROR(VLOOKUP(A567,'Salary Calculation'!$A$2:$V$999,10,0),"")</f>
        <v/>
      </c>
      <c r="F567" s="101"/>
      <c r="G567" s="106" t="str">
        <f>IFERROR(VLOOKUP(A567,'Salary Calculation'!$A$2:$V$999,7,0),"")</f>
        <v/>
      </c>
      <c r="H567" s="100"/>
      <c r="I567" s="101"/>
      <c r="J567" s="101"/>
      <c r="K567" s="101"/>
      <c r="L567" s="101"/>
      <c r="M567" s="101"/>
      <c r="N567" s="101"/>
      <c r="O567" s="101"/>
      <c r="P567" s="101"/>
      <c r="Q567" s="101"/>
      <c r="R567" s="101"/>
      <c r="S567" s="101"/>
      <c r="T567" s="101"/>
      <c r="U567" s="101"/>
      <c r="V567" s="101"/>
      <c r="W567" s="101"/>
      <c r="X567" s="101"/>
      <c r="Y567" s="101"/>
      <c r="Z567" s="101"/>
      <c r="AA567" s="101"/>
      <c r="AB567" s="101"/>
    </row>
    <row r="568">
      <c r="A568" s="104" t="s">
        <v>705</v>
      </c>
      <c r="B568" s="105" t="str">
        <f>IFERROR(VLOOKUP(A568,'Salary Calculation'!A567:F1564,2,0),"")</f>
        <v/>
      </c>
      <c r="C568" s="105" t="str">
        <f>IFERROR(VLOOKUP(A568,'Salary Calculation'!$A$2:$V$999,3,0),"")</f>
        <v/>
      </c>
      <c r="D568" s="105" t="str">
        <f>IFERROR(VLOOKUP(A568,'Salary Calculation'!$A$2:$V$999,6,0),"")</f>
        <v/>
      </c>
      <c r="E568" s="105" t="str">
        <f>IFERROR(VLOOKUP(A568,'Salary Calculation'!$A$2:$V$999,10,0),"")</f>
        <v/>
      </c>
      <c r="F568" s="101"/>
      <c r="G568" s="106" t="str">
        <f>IFERROR(VLOOKUP(A568,'Salary Calculation'!$A$2:$V$999,7,0),"")</f>
        <v/>
      </c>
      <c r="H568" s="100"/>
      <c r="I568" s="101"/>
      <c r="J568" s="101"/>
      <c r="K568" s="101"/>
      <c r="L568" s="101"/>
      <c r="M568" s="101"/>
      <c r="N568" s="101"/>
      <c r="O568" s="101"/>
      <c r="P568" s="101"/>
      <c r="Q568" s="101"/>
      <c r="R568" s="101"/>
      <c r="S568" s="101"/>
      <c r="T568" s="101"/>
      <c r="U568" s="101"/>
      <c r="V568" s="101"/>
      <c r="W568" s="101"/>
      <c r="X568" s="101"/>
      <c r="Y568" s="101"/>
      <c r="Z568" s="101"/>
      <c r="AA568" s="101"/>
      <c r="AB568" s="101"/>
    </row>
    <row r="569">
      <c r="A569" s="104" t="s">
        <v>706</v>
      </c>
      <c r="B569" s="105" t="str">
        <f>IFERROR(VLOOKUP(A569,'Salary Calculation'!A568:F1565,2,0),"")</f>
        <v/>
      </c>
      <c r="C569" s="105" t="str">
        <f>IFERROR(VLOOKUP(A569,'Salary Calculation'!$A$2:$V$999,3,0),"")</f>
        <v/>
      </c>
      <c r="D569" s="105" t="str">
        <f>IFERROR(VLOOKUP(A569,'Salary Calculation'!$A$2:$V$999,6,0),"")</f>
        <v/>
      </c>
      <c r="E569" s="105" t="str">
        <f>IFERROR(VLOOKUP(A569,'Salary Calculation'!$A$2:$V$999,10,0),"")</f>
        <v/>
      </c>
      <c r="F569" s="101"/>
      <c r="G569" s="106" t="str">
        <f>IFERROR(VLOOKUP(A569,'Salary Calculation'!$A$2:$V$999,7,0),"")</f>
        <v/>
      </c>
      <c r="H569" s="100"/>
      <c r="I569" s="101"/>
      <c r="J569" s="101"/>
      <c r="K569" s="101"/>
      <c r="L569" s="101"/>
      <c r="M569" s="101"/>
      <c r="N569" s="101"/>
      <c r="O569" s="101"/>
      <c r="P569" s="101"/>
      <c r="Q569" s="101"/>
      <c r="R569" s="101"/>
      <c r="S569" s="101"/>
      <c r="T569" s="101"/>
      <c r="U569" s="101"/>
      <c r="V569" s="101"/>
      <c r="W569" s="101"/>
      <c r="X569" s="101"/>
      <c r="Y569" s="101"/>
      <c r="Z569" s="101"/>
      <c r="AA569" s="101"/>
      <c r="AB569" s="101"/>
    </row>
    <row r="570">
      <c r="A570" s="104" t="s">
        <v>707</v>
      </c>
      <c r="B570" s="105" t="str">
        <f>IFERROR(VLOOKUP(A570,'Salary Calculation'!A569:F1566,2,0),"")</f>
        <v/>
      </c>
      <c r="C570" s="105" t="str">
        <f>IFERROR(VLOOKUP(A570,'Salary Calculation'!$A$2:$V$999,3,0),"")</f>
        <v/>
      </c>
      <c r="D570" s="105" t="str">
        <f>IFERROR(VLOOKUP(A570,'Salary Calculation'!$A$2:$V$999,6,0),"")</f>
        <v/>
      </c>
      <c r="E570" s="105" t="str">
        <f>IFERROR(VLOOKUP(A570,'Salary Calculation'!$A$2:$V$999,10,0),"")</f>
        <v/>
      </c>
      <c r="F570" s="101"/>
      <c r="G570" s="106" t="str">
        <f>IFERROR(VLOOKUP(A570,'Salary Calculation'!$A$2:$V$999,7,0),"")</f>
        <v/>
      </c>
      <c r="H570" s="100"/>
      <c r="I570" s="101"/>
      <c r="J570" s="101"/>
      <c r="K570" s="101"/>
      <c r="L570" s="101"/>
      <c r="M570" s="101"/>
      <c r="N570" s="101"/>
      <c r="O570" s="101"/>
      <c r="P570" s="101"/>
      <c r="Q570" s="101"/>
      <c r="R570" s="101"/>
      <c r="S570" s="101"/>
      <c r="T570" s="101"/>
      <c r="U570" s="101"/>
      <c r="V570" s="101"/>
      <c r="W570" s="101"/>
      <c r="X570" s="101"/>
      <c r="Y570" s="101"/>
      <c r="Z570" s="101"/>
      <c r="AA570" s="101"/>
      <c r="AB570" s="101"/>
    </row>
    <row r="571">
      <c r="A571" s="104" t="s">
        <v>708</v>
      </c>
      <c r="B571" s="105" t="str">
        <f>IFERROR(VLOOKUP(A571,'Salary Calculation'!A570:F1567,2,0),"")</f>
        <v/>
      </c>
      <c r="C571" s="105" t="str">
        <f>IFERROR(VLOOKUP(A571,'Salary Calculation'!$A$2:$V$999,3,0),"")</f>
        <v/>
      </c>
      <c r="D571" s="105" t="str">
        <f>IFERROR(VLOOKUP(A571,'Salary Calculation'!$A$2:$V$999,6,0),"")</f>
        <v/>
      </c>
      <c r="E571" s="105" t="str">
        <f>IFERROR(VLOOKUP(A571,'Salary Calculation'!$A$2:$V$999,10,0),"")</f>
        <v/>
      </c>
      <c r="F571" s="101"/>
      <c r="G571" s="106" t="str">
        <f>IFERROR(VLOOKUP(A571,'Salary Calculation'!$A$2:$V$999,7,0),"")</f>
        <v/>
      </c>
      <c r="H571" s="100"/>
      <c r="I571" s="101"/>
      <c r="J571" s="101"/>
      <c r="K571" s="101"/>
      <c r="L571" s="101"/>
      <c r="M571" s="101"/>
      <c r="N571" s="101"/>
      <c r="O571" s="101"/>
      <c r="P571" s="101"/>
      <c r="Q571" s="101"/>
      <c r="R571" s="101"/>
      <c r="S571" s="101"/>
      <c r="T571" s="101"/>
      <c r="U571" s="101"/>
      <c r="V571" s="101"/>
      <c r="W571" s="101"/>
      <c r="X571" s="101"/>
      <c r="Y571" s="101"/>
      <c r="Z571" s="101"/>
      <c r="AA571" s="101"/>
      <c r="AB571" s="101"/>
    </row>
    <row r="572">
      <c r="A572" s="104" t="s">
        <v>709</v>
      </c>
      <c r="B572" s="105" t="str">
        <f>IFERROR(VLOOKUP(A572,'Salary Calculation'!A571:F1568,2,0),"")</f>
        <v/>
      </c>
      <c r="C572" s="105" t="str">
        <f>IFERROR(VLOOKUP(A572,'Salary Calculation'!$A$2:$V$999,3,0),"")</f>
        <v/>
      </c>
      <c r="D572" s="105" t="str">
        <f>IFERROR(VLOOKUP(A572,'Salary Calculation'!$A$2:$V$999,6,0),"")</f>
        <v/>
      </c>
      <c r="E572" s="105" t="str">
        <f>IFERROR(VLOOKUP(A572,'Salary Calculation'!$A$2:$V$999,10,0),"")</f>
        <v/>
      </c>
      <c r="F572" s="101"/>
      <c r="G572" s="106" t="str">
        <f>IFERROR(VLOOKUP(A572,'Salary Calculation'!$A$2:$V$999,7,0),"")</f>
        <v/>
      </c>
      <c r="H572" s="100"/>
      <c r="I572" s="101"/>
      <c r="J572" s="101"/>
      <c r="K572" s="101"/>
      <c r="L572" s="101"/>
      <c r="M572" s="101"/>
      <c r="N572" s="101"/>
      <c r="O572" s="101"/>
      <c r="P572" s="101"/>
      <c r="Q572" s="101"/>
      <c r="R572" s="101"/>
      <c r="S572" s="101"/>
      <c r="T572" s="101"/>
      <c r="U572" s="101"/>
      <c r="V572" s="101"/>
      <c r="W572" s="101"/>
      <c r="X572" s="101"/>
      <c r="Y572" s="101"/>
      <c r="Z572" s="101"/>
      <c r="AA572" s="101"/>
      <c r="AB572" s="101"/>
    </row>
    <row r="573">
      <c r="A573" s="104" t="s">
        <v>710</v>
      </c>
      <c r="B573" s="105" t="str">
        <f>IFERROR(VLOOKUP(A573,'Salary Calculation'!A572:F1569,2,0),"")</f>
        <v/>
      </c>
      <c r="C573" s="105" t="str">
        <f>IFERROR(VLOOKUP(A573,'Salary Calculation'!$A$2:$V$999,3,0),"")</f>
        <v/>
      </c>
      <c r="D573" s="105" t="str">
        <f>IFERROR(VLOOKUP(A573,'Salary Calculation'!$A$2:$V$999,6,0),"")</f>
        <v/>
      </c>
      <c r="E573" s="105" t="str">
        <f>IFERROR(VLOOKUP(A573,'Salary Calculation'!$A$2:$V$999,10,0),"")</f>
        <v/>
      </c>
      <c r="F573" s="101"/>
      <c r="G573" s="106" t="str">
        <f>IFERROR(VLOOKUP(A573,'Salary Calculation'!$A$2:$V$999,7,0),"")</f>
        <v/>
      </c>
      <c r="H573" s="100"/>
      <c r="I573" s="101"/>
      <c r="J573" s="101"/>
      <c r="K573" s="101"/>
      <c r="L573" s="101"/>
      <c r="M573" s="101"/>
      <c r="N573" s="101"/>
      <c r="O573" s="101"/>
      <c r="P573" s="101"/>
      <c r="Q573" s="101"/>
      <c r="R573" s="101"/>
      <c r="S573" s="101"/>
      <c r="T573" s="101"/>
      <c r="U573" s="101"/>
      <c r="V573" s="101"/>
      <c r="W573" s="101"/>
      <c r="X573" s="101"/>
      <c r="Y573" s="101"/>
      <c r="Z573" s="101"/>
      <c r="AA573" s="101"/>
      <c r="AB573" s="101"/>
    </row>
    <row r="574">
      <c r="A574" s="104" t="s">
        <v>711</v>
      </c>
      <c r="B574" s="105" t="str">
        <f>IFERROR(VLOOKUP(A574,'Salary Calculation'!A573:F1570,2,0),"")</f>
        <v/>
      </c>
      <c r="C574" s="105" t="str">
        <f>IFERROR(VLOOKUP(A574,'Salary Calculation'!$A$2:$V$999,3,0),"")</f>
        <v/>
      </c>
      <c r="D574" s="105" t="str">
        <f>IFERROR(VLOOKUP(A574,'Salary Calculation'!$A$2:$V$999,6,0),"")</f>
        <v/>
      </c>
      <c r="E574" s="105" t="str">
        <f>IFERROR(VLOOKUP(A574,'Salary Calculation'!$A$2:$V$999,10,0),"")</f>
        <v/>
      </c>
      <c r="F574" s="101"/>
      <c r="G574" s="106" t="str">
        <f>IFERROR(VLOOKUP(A574,'Salary Calculation'!$A$2:$V$999,7,0),"")</f>
        <v/>
      </c>
      <c r="H574" s="100"/>
      <c r="I574" s="101"/>
      <c r="J574" s="101"/>
      <c r="K574" s="101"/>
      <c r="L574" s="101"/>
      <c r="M574" s="101"/>
      <c r="N574" s="101"/>
      <c r="O574" s="101"/>
      <c r="P574" s="101"/>
      <c r="Q574" s="101"/>
      <c r="R574" s="101"/>
      <c r="S574" s="101"/>
      <c r="T574" s="101"/>
      <c r="U574" s="101"/>
      <c r="V574" s="101"/>
      <c r="W574" s="101"/>
      <c r="X574" s="101"/>
      <c r="Y574" s="101"/>
      <c r="Z574" s="101"/>
      <c r="AA574" s="101"/>
      <c r="AB574" s="101"/>
    </row>
    <row r="575">
      <c r="A575" s="104" t="s">
        <v>712</v>
      </c>
      <c r="B575" s="105" t="str">
        <f>IFERROR(VLOOKUP(A575,'Salary Calculation'!A574:F1571,2,0),"")</f>
        <v/>
      </c>
      <c r="C575" s="105" t="str">
        <f>IFERROR(VLOOKUP(A575,'Salary Calculation'!$A$2:$V$999,3,0),"")</f>
        <v/>
      </c>
      <c r="D575" s="105" t="str">
        <f>IFERROR(VLOOKUP(A575,'Salary Calculation'!$A$2:$V$999,6,0),"")</f>
        <v/>
      </c>
      <c r="E575" s="105" t="str">
        <f>IFERROR(VLOOKUP(A575,'Salary Calculation'!$A$2:$V$999,10,0),"")</f>
        <v/>
      </c>
      <c r="F575" s="101"/>
      <c r="G575" s="106" t="str">
        <f>IFERROR(VLOOKUP(A575,'Salary Calculation'!$A$2:$V$999,7,0),"")</f>
        <v/>
      </c>
      <c r="H575" s="100"/>
      <c r="I575" s="101"/>
      <c r="J575" s="101"/>
      <c r="K575" s="101"/>
      <c r="L575" s="101"/>
      <c r="M575" s="101"/>
      <c r="N575" s="101"/>
      <c r="O575" s="101"/>
      <c r="P575" s="101"/>
      <c r="Q575" s="101"/>
      <c r="R575" s="101"/>
      <c r="S575" s="101"/>
      <c r="T575" s="101"/>
      <c r="U575" s="101"/>
      <c r="V575" s="101"/>
      <c r="W575" s="101"/>
      <c r="X575" s="101"/>
      <c r="Y575" s="101"/>
      <c r="Z575" s="101"/>
      <c r="AA575" s="101"/>
      <c r="AB575" s="101"/>
    </row>
    <row r="576">
      <c r="A576" s="104" t="s">
        <v>713</v>
      </c>
      <c r="B576" s="105" t="str">
        <f>IFERROR(VLOOKUP(A576,'Salary Calculation'!A575:F1572,2,0),"")</f>
        <v/>
      </c>
      <c r="C576" s="105" t="str">
        <f>IFERROR(VLOOKUP(A576,'Salary Calculation'!$A$2:$V$999,3,0),"")</f>
        <v/>
      </c>
      <c r="D576" s="105" t="str">
        <f>IFERROR(VLOOKUP(A576,'Salary Calculation'!$A$2:$V$999,6,0),"")</f>
        <v/>
      </c>
      <c r="E576" s="105" t="str">
        <f>IFERROR(VLOOKUP(A576,'Salary Calculation'!$A$2:$V$999,10,0),"")</f>
        <v/>
      </c>
      <c r="F576" s="101"/>
      <c r="G576" s="106" t="str">
        <f>IFERROR(VLOOKUP(A576,'Salary Calculation'!$A$2:$V$999,7,0),"")</f>
        <v/>
      </c>
      <c r="H576" s="100"/>
      <c r="I576" s="101"/>
      <c r="J576" s="101"/>
      <c r="K576" s="101"/>
      <c r="L576" s="101"/>
      <c r="M576" s="101"/>
      <c r="N576" s="101"/>
      <c r="O576" s="101"/>
      <c r="P576" s="101"/>
      <c r="Q576" s="101"/>
      <c r="R576" s="101"/>
      <c r="S576" s="101"/>
      <c r="T576" s="101"/>
      <c r="U576" s="101"/>
      <c r="V576" s="101"/>
      <c r="W576" s="101"/>
      <c r="X576" s="101"/>
      <c r="Y576" s="101"/>
      <c r="Z576" s="101"/>
      <c r="AA576" s="101"/>
      <c r="AB576" s="101"/>
    </row>
    <row r="577">
      <c r="A577" s="104" t="s">
        <v>714</v>
      </c>
      <c r="B577" s="105" t="str">
        <f>IFERROR(VLOOKUP(A577,'Salary Calculation'!A576:F1573,2,0),"")</f>
        <v/>
      </c>
      <c r="C577" s="105" t="str">
        <f>IFERROR(VLOOKUP(A577,'Salary Calculation'!$A$2:$V$999,3,0),"")</f>
        <v/>
      </c>
      <c r="D577" s="105" t="str">
        <f>IFERROR(VLOOKUP(A577,'Salary Calculation'!$A$2:$V$999,6,0),"")</f>
        <v/>
      </c>
      <c r="E577" s="105" t="str">
        <f>IFERROR(VLOOKUP(A577,'Salary Calculation'!$A$2:$V$999,10,0),"")</f>
        <v/>
      </c>
      <c r="F577" s="101"/>
      <c r="G577" s="106" t="str">
        <f>IFERROR(VLOOKUP(A577,'Salary Calculation'!$A$2:$V$999,7,0),"")</f>
        <v/>
      </c>
      <c r="H577" s="100"/>
      <c r="I577" s="101"/>
      <c r="J577" s="101"/>
      <c r="K577" s="101"/>
      <c r="L577" s="101"/>
      <c r="M577" s="101"/>
      <c r="N577" s="101"/>
      <c r="O577" s="101"/>
      <c r="P577" s="101"/>
      <c r="Q577" s="101"/>
      <c r="R577" s="101"/>
      <c r="S577" s="101"/>
      <c r="T577" s="101"/>
      <c r="U577" s="101"/>
      <c r="V577" s="101"/>
      <c r="W577" s="101"/>
      <c r="X577" s="101"/>
      <c r="Y577" s="101"/>
      <c r="Z577" s="101"/>
      <c r="AA577" s="101"/>
      <c r="AB577" s="101"/>
    </row>
    <row r="578">
      <c r="A578" s="104" t="s">
        <v>715</v>
      </c>
      <c r="B578" s="105" t="str">
        <f>IFERROR(VLOOKUP(A578,'Salary Calculation'!A577:F1574,2,0),"")</f>
        <v/>
      </c>
      <c r="C578" s="105" t="str">
        <f>IFERROR(VLOOKUP(A578,'Salary Calculation'!$A$2:$V$999,3,0),"")</f>
        <v/>
      </c>
      <c r="D578" s="105" t="str">
        <f>IFERROR(VLOOKUP(A578,'Salary Calculation'!$A$2:$V$999,6,0),"")</f>
        <v/>
      </c>
      <c r="E578" s="105" t="str">
        <f>IFERROR(VLOOKUP(A578,'Salary Calculation'!$A$2:$V$999,10,0),"")</f>
        <v/>
      </c>
      <c r="F578" s="101"/>
      <c r="G578" s="106" t="str">
        <f>IFERROR(VLOOKUP(A578,'Salary Calculation'!$A$2:$V$999,7,0),"")</f>
        <v/>
      </c>
      <c r="H578" s="100"/>
      <c r="I578" s="101"/>
      <c r="J578" s="101"/>
      <c r="K578" s="101"/>
      <c r="L578" s="101"/>
      <c r="M578" s="101"/>
      <c r="N578" s="101"/>
      <c r="O578" s="101"/>
      <c r="P578" s="101"/>
      <c r="Q578" s="101"/>
      <c r="R578" s="101"/>
      <c r="S578" s="101"/>
      <c r="T578" s="101"/>
      <c r="U578" s="101"/>
      <c r="V578" s="101"/>
      <c r="W578" s="101"/>
      <c r="X578" s="101"/>
      <c r="Y578" s="101"/>
      <c r="Z578" s="101"/>
      <c r="AA578" s="101"/>
      <c r="AB578" s="101"/>
    </row>
    <row r="579">
      <c r="A579" s="104" t="s">
        <v>716</v>
      </c>
      <c r="B579" s="105" t="str">
        <f>IFERROR(VLOOKUP(A579,'Salary Calculation'!A578:F1575,2,0),"")</f>
        <v/>
      </c>
      <c r="C579" s="105" t="str">
        <f>IFERROR(VLOOKUP(A579,'Salary Calculation'!$A$2:$V$999,3,0),"")</f>
        <v/>
      </c>
      <c r="D579" s="105" t="str">
        <f>IFERROR(VLOOKUP(A579,'Salary Calculation'!$A$2:$V$999,6,0),"")</f>
        <v/>
      </c>
      <c r="E579" s="105" t="str">
        <f>IFERROR(VLOOKUP(A579,'Salary Calculation'!$A$2:$V$999,10,0),"")</f>
        <v/>
      </c>
      <c r="F579" s="101"/>
      <c r="G579" s="106" t="str">
        <f>IFERROR(VLOOKUP(A579,'Salary Calculation'!$A$2:$V$999,7,0),"")</f>
        <v/>
      </c>
      <c r="H579" s="100"/>
      <c r="I579" s="101"/>
      <c r="J579" s="101"/>
      <c r="K579" s="101"/>
      <c r="L579" s="101"/>
      <c r="M579" s="101"/>
      <c r="N579" s="101"/>
      <c r="O579" s="101"/>
      <c r="P579" s="101"/>
      <c r="Q579" s="101"/>
      <c r="R579" s="101"/>
      <c r="S579" s="101"/>
      <c r="T579" s="101"/>
      <c r="U579" s="101"/>
      <c r="V579" s="101"/>
      <c r="W579" s="101"/>
      <c r="X579" s="101"/>
      <c r="Y579" s="101"/>
      <c r="Z579" s="101"/>
      <c r="AA579" s="101"/>
      <c r="AB579" s="101"/>
    </row>
    <row r="580">
      <c r="A580" s="104" t="s">
        <v>717</v>
      </c>
      <c r="B580" s="105" t="str">
        <f>IFERROR(VLOOKUP(A580,'Salary Calculation'!A579:F1576,2,0),"")</f>
        <v/>
      </c>
      <c r="C580" s="105" t="str">
        <f>IFERROR(VLOOKUP(A580,'Salary Calculation'!$A$2:$V$999,3,0),"")</f>
        <v/>
      </c>
      <c r="D580" s="105" t="str">
        <f>IFERROR(VLOOKUP(A580,'Salary Calculation'!$A$2:$V$999,6,0),"")</f>
        <v/>
      </c>
      <c r="E580" s="105" t="str">
        <f>IFERROR(VLOOKUP(A580,'Salary Calculation'!$A$2:$V$999,10,0),"")</f>
        <v/>
      </c>
      <c r="F580" s="101"/>
      <c r="G580" s="106" t="str">
        <f>IFERROR(VLOOKUP(A580,'Salary Calculation'!$A$2:$V$999,7,0),"")</f>
        <v/>
      </c>
      <c r="H580" s="100"/>
      <c r="I580" s="101"/>
      <c r="J580" s="101"/>
      <c r="K580" s="101"/>
      <c r="L580" s="101"/>
      <c r="M580" s="101"/>
      <c r="N580" s="101"/>
      <c r="O580" s="101"/>
      <c r="P580" s="101"/>
      <c r="Q580" s="101"/>
      <c r="R580" s="101"/>
      <c r="S580" s="101"/>
      <c r="T580" s="101"/>
      <c r="U580" s="101"/>
      <c r="V580" s="101"/>
      <c r="W580" s="101"/>
      <c r="X580" s="101"/>
      <c r="Y580" s="101"/>
      <c r="Z580" s="101"/>
      <c r="AA580" s="101"/>
      <c r="AB580" s="101"/>
    </row>
    <row r="581">
      <c r="A581" s="104" t="s">
        <v>718</v>
      </c>
      <c r="B581" s="105" t="str">
        <f>IFERROR(VLOOKUP(A581,'Salary Calculation'!A580:F1577,2,0),"")</f>
        <v/>
      </c>
      <c r="C581" s="105" t="str">
        <f>IFERROR(VLOOKUP(A581,'Salary Calculation'!$A$2:$V$999,3,0),"")</f>
        <v/>
      </c>
      <c r="D581" s="105" t="str">
        <f>IFERROR(VLOOKUP(A581,'Salary Calculation'!$A$2:$V$999,6,0),"")</f>
        <v/>
      </c>
      <c r="E581" s="105" t="str">
        <f>IFERROR(VLOOKUP(A581,'Salary Calculation'!$A$2:$V$999,10,0),"")</f>
        <v/>
      </c>
      <c r="F581" s="101"/>
      <c r="G581" s="106" t="str">
        <f>IFERROR(VLOOKUP(A581,'Salary Calculation'!$A$2:$V$999,7,0),"")</f>
        <v/>
      </c>
      <c r="H581" s="100"/>
      <c r="I581" s="101"/>
      <c r="J581" s="101"/>
      <c r="K581" s="101"/>
      <c r="L581" s="101"/>
      <c r="M581" s="101"/>
      <c r="N581" s="101"/>
      <c r="O581" s="101"/>
      <c r="P581" s="101"/>
      <c r="Q581" s="101"/>
      <c r="R581" s="101"/>
      <c r="S581" s="101"/>
      <c r="T581" s="101"/>
      <c r="U581" s="101"/>
      <c r="V581" s="101"/>
      <c r="W581" s="101"/>
      <c r="X581" s="101"/>
      <c r="Y581" s="101"/>
      <c r="Z581" s="101"/>
      <c r="AA581" s="101"/>
      <c r="AB581" s="101"/>
    </row>
    <row r="582">
      <c r="A582" s="104" t="s">
        <v>719</v>
      </c>
      <c r="B582" s="105" t="str">
        <f>IFERROR(VLOOKUP(A582,'Salary Calculation'!A581:F1578,2,0),"")</f>
        <v/>
      </c>
      <c r="C582" s="105" t="str">
        <f>IFERROR(VLOOKUP(A582,'Salary Calculation'!$A$2:$V$999,3,0),"")</f>
        <v/>
      </c>
      <c r="D582" s="105" t="str">
        <f>IFERROR(VLOOKUP(A582,'Salary Calculation'!$A$2:$V$999,6,0),"")</f>
        <v/>
      </c>
      <c r="E582" s="105" t="str">
        <f>IFERROR(VLOOKUP(A582,'Salary Calculation'!$A$2:$V$999,10,0),"")</f>
        <v/>
      </c>
      <c r="F582" s="101"/>
      <c r="G582" s="106" t="str">
        <f>IFERROR(VLOOKUP(A582,'Salary Calculation'!$A$2:$V$999,7,0),"")</f>
        <v/>
      </c>
      <c r="H582" s="100"/>
      <c r="I582" s="101"/>
      <c r="J582" s="101"/>
      <c r="K582" s="101"/>
      <c r="L582" s="101"/>
      <c r="M582" s="101"/>
      <c r="N582" s="101"/>
      <c r="O582" s="101"/>
      <c r="P582" s="101"/>
      <c r="Q582" s="101"/>
      <c r="R582" s="101"/>
      <c r="S582" s="101"/>
      <c r="T582" s="101"/>
      <c r="U582" s="101"/>
      <c r="V582" s="101"/>
      <c r="W582" s="101"/>
      <c r="X582" s="101"/>
      <c r="Y582" s="101"/>
      <c r="Z582" s="101"/>
      <c r="AA582" s="101"/>
      <c r="AB582" s="101"/>
    </row>
    <row r="583">
      <c r="A583" s="104" t="s">
        <v>720</v>
      </c>
      <c r="B583" s="105" t="str">
        <f>IFERROR(VLOOKUP(A583,'Salary Calculation'!A582:F1579,2,0),"")</f>
        <v/>
      </c>
      <c r="C583" s="105" t="str">
        <f>IFERROR(VLOOKUP(A583,'Salary Calculation'!$A$2:$V$999,3,0),"")</f>
        <v/>
      </c>
      <c r="D583" s="105" t="str">
        <f>IFERROR(VLOOKUP(A583,'Salary Calculation'!$A$2:$V$999,6,0),"")</f>
        <v/>
      </c>
      <c r="E583" s="105" t="str">
        <f>IFERROR(VLOOKUP(A583,'Salary Calculation'!$A$2:$V$999,10,0),"")</f>
        <v/>
      </c>
      <c r="F583" s="101"/>
      <c r="G583" s="106" t="str">
        <f>IFERROR(VLOOKUP(A583,'Salary Calculation'!$A$2:$V$999,7,0),"")</f>
        <v/>
      </c>
      <c r="H583" s="100"/>
      <c r="I583" s="101"/>
      <c r="J583" s="101"/>
      <c r="K583" s="101"/>
      <c r="L583" s="101"/>
      <c r="M583" s="101"/>
      <c r="N583" s="101"/>
      <c r="O583" s="101"/>
      <c r="P583" s="101"/>
      <c r="Q583" s="101"/>
      <c r="R583" s="101"/>
      <c r="S583" s="101"/>
      <c r="T583" s="101"/>
      <c r="U583" s="101"/>
      <c r="V583" s="101"/>
      <c r="W583" s="101"/>
      <c r="X583" s="101"/>
      <c r="Y583" s="101"/>
      <c r="Z583" s="101"/>
      <c r="AA583" s="101"/>
      <c r="AB583" s="101"/>
    </row>
    <row r="584">
      <c r="A584" s="104" t="s">
        <v>721</v>
      </c>
      <c r="B584" s="105" t="str">
        <f>IFERROR(VLOOKUP(A584,'Salary Calculation'!A583:F1580,2,0),"")</f>
        <v/>
      </c>
      <c r="C584" s="105" t="str">
        <f>IFERROR(VLOOKUP(A584,'Salary Calculation'!$A$2:$V$999,3,0),"")</f>
        <v/>
      </c>
      <c r="D584" s="105" t="str">
        <f>IFERROR(VLOOKUP(A584,'Salary Calculation'!$A$2:$V$999,6,0),"")</f>
        <v/>
      </c>
      <c r="E584" s="105" t="str">
        <f>IFERROR(VLOOKUP(A584,'Salary Calculation'!$A$2:$V$999,10,0),"")</f>
        <v/>
      </c>
      <c r="F584" s="101"/>
      <c r="G584" s="106" t="str">
        <f>IFERROR(VLOOKUP(A584,'Salary Calculation'!$A$2:$V$999,7,0),"")</f>
        <v/>
      </c>
      <c r="H584" s="100"/>
      <c r="I584" s="101"/>
      <c r="J584" s="101"/>
      <c r="K584" s="101"/>
      <c r="L584" s="101"/>
      <c r="M584" s="101"/>
      <c r="N584" s="101"/>
      <c r="O584" s="101"/>
      <c r="P584" s="101"/>
      <c r="Q584" s="101"/>
      <c r="R584" s="101"/>
      <c r="S584" s="101"/>
      <c r="T584" s="101"/>
      <c r="U584" s="101"/>
      <c r="V584" s="101"/>
      <c r="W584" s="101"/>
      <c r="X584" s="101"/>
      <c r="Y584" s="101"/>
      <c r="Z584" s="101"/>
      <c r="AA584" s="101"/>
      <c r="AB584" s="101"/>
    </row>
    <row r="585">
      <c r="A585" s="104" t="s">
        <v>722</v>
      </c>
      <c r="B585" s="105" t="str">
        <f>IFERROR(VLOOKUP(A585,'Salary Calculation'!A584:F1581,2,0),"")</f>
        <v/>
      </c>
      <c r="C585" s="105" t="str">
        <f>IFERROR(VLOOKUP(A585,'Salary Calculation'!$A$2:$V$999,3,0),"")</f>
        <v/>
      </c>
      <c r="D585" s="105" t="str">
        <f>IFERROR(VLOOKUP(A585,'Salary Calculation'!$A$2:$V$999,6,0),"")</f>
        <v/>
      </c>
      <c r="E585" s="105" t="str">
        <f>IFERROR(VLOOKUP(A585,'Salary Calculation'!$A$2:$V$999,10,0),"")</f>
        <v/>
      </c>
      <c r="F585" s="101"/>
      <c r="G585" s="106" t="str">
        <f>IFERROR(VLOOKUP(A585,'Salary Calculation'!$A$2:$V$999,7,0),"")</f>
        <v/>
      </c>
      <c r="H585" s="100"/>
      <c r="I585" s="101"/>
      <c r="J585" s="101"/>
      <c r="K585" s="101"/>
      <c r="L585" s="101"/>
      <c r="M585" s="101"/>
      <c r="N585" s="101"/>
      <c r="O585" s="101"/>
      <c r="P585" s="101"/>
      <c r="Q585" s="101"/>
      <c r="R585" s="101"/>
      <c r="S585" s="101"/>
      <c r="T585" s="101"/>
      <c r="U585" s="101"/>
      <c r="V585" s="101"/>
      <c r="W585" s="101"/>
      <c r="X585" s="101"/>
      <c r="Y585" s="101"/>
      <c r="Z585" s="101"/>
      <c r="AA585" s="101"/>
      <c r="AB585" s="101"/>
    </row>
    <row r="586">
      <c r="A586" s="104" t="s">
        <v>723</v>
      </c>
      <c r="B586" s="105" t="str">
        <f>IFERROR(VLOOKUP(A586,'Salary Calculation'!A585:F1582,2,0),"")</f>
        <v/>
      </c>
      <c r="C586" s="105" t="str">
        <f>IFERROR(VLOOKUP(A586,'Salary Calculation'!$A$2:$V$999,3,0),"")</f>
        <v/>
      </c>
      <c r="D586" s="105" t="str">
        <f>IFERROR(VLOOKUP(A586,'Salary Calculation'!$A$2:$V$999,6,0),"")</f>
        <v/>
      </c>
      <c r="E586" s="105" t="str">
        <f>IFERROR(VLOOKUP(A586,'Salary Calculation'!$A$2:$V$999,10,0),"")</f>
        <v/>
      </c>
      <c r="F586" s="101"/>
      <c r="G586" s="106" t="str">
        <f>IFERROR(VLOOKUP(A586,'Salary Calculation'!$A$2:$V$999,7,0),"")</f>
        <v/>
      </c>
      <c r="H586" s="100"/>
      <c r="I586" s="101"/>
      <c r="J586" s="101"/>
      <c r="K586" s="101"/>
      <c r="L586" s="101"/>
      <c r="M586" s="101"/>
      <c r="N586" s="101"/>
      <c r="O586" s="101"/>
      <c r="P586" s="101"/>
      <c r="Q586" s="101"/>
      <c r="R586" s="101"/>
      <c r="S586" s="101"/>
      <c r="T586" s="101"/>
      <c r="U586" s="101"/>
      <c r="V586" s="101"/>
      <c r="W586" s="101"/>
      <c r="X586" s="101"/>
      <c r="Y586" s="101"/>
      <c r="Z586" s="101"/>
      <c r="AA586" s="101"/>
      <c r="AB586" s="101"/>
    </row>
    <row r="587">
      <c r="A587" s="104" t="s">
        <v>724</v>
      </c>
      <c r="B587" s="105" t="str">
        <f>IFERROR(VLOOKUP(A587,'Salary Calculation'!A586:F1583,2,0),"")</f>
        <v/>
      </c>
      <c r="C587" s="105" t="str">
        <f>IFERROR(VLOOKUP(A587,'Salary Calculation'!$A$2:$V$999,3,0),"")</f>
        <v/>
      </c>
      <c r="D587" s="105" t="str">
        <f>IFERROR(VLOOKUP(A587,'Salary Calculation'!$A$2:$V$999,6,0),"")</f>
        <v/>
      </c>
      <c r="E587" s="105" t="str">
        <f>IFERROR(VLOOKUP(A587,'Salary Calculation'!$A$2:$V$999,10,0),"")</f>
        <v/>
      </c>
      <c r="F587" s="101"/>
      <c r="G587" s="106" t="str">
        <f>IFERROR(VLOOKUP(A587,'Salary Calculation'!$A$2:$V$999,7,0),"")</f>
        <v/>
      </c>
      <c r="H587" s="100"/>
      <c r="I587" s="101"/>
      <c r="J587" s="101"/>
      <c r="K587" s="101"/>
      <c r="L587" s="101"/>
      <c r="M587" s="101"/>
      <c r="N587" s="101"/>
      <c r="O587" s="101"/>
      <c r="P587" s="101"/>
      <c r="Q587" s="101"/>
      <c r="R587" s="101"/>
      <c r="S587" s="101"/>
      <c r="T587" s="101"/>
      <c r="U587" s="101"/>
      <c r="V587" s="101"/>
      <c r="W587" s="101"/>
      <c r="X587" s="101"/>
      <c r="Y587" s="101"/>
      <c r="Z587" s="101"/>
      <c r="AA587" s="101"/>
      <c r="AB587" s="101"/>
    </row>
    <row r="588">
      <c r="A588" s="104" t="s">
        <v>725</v>
      </c>
      <c r="B588" s="105" t="str">
        <f>IFERROR(VLOOKUP(A588,'Salary Calculation'!A587:F1584,2,0),"")</f>
        <v/>
      </c>
      <c r="C588" s="105" t="str">
        <f>IFERROR(VLOOKUP(A588,'Salary Calculation'!$A$2:$V$999,3,0),"")</f>
        <v/>
      </c>
      <c r="D588" s="105" t="str">
        <f>IFERROR(VLOOKUP(A588,'Salary Calculation'!$A$2:$V$999,6,0),"")</f>
        <v/>
      </c>
      <c r="E588" s="105" t="str">
        <f>IFERROR(VLOOKUP(A588,'Salary Calculation'!$A$2:$V$999,10,0),"")</f>
        <v/>
      </c>
      <c r="F588" s="101"/>
      <c r="G588" s="106" t="str">
        <f>IFERROR(VLOOKUP(A588,'Salary Calculation'!$A$2:$V$999,7,0),"")</f>
        <v/>
      </c>
      <c r="H588" s="100"/>
      <c r="I588" s="101"/>
      <c r="J588" s="101"/>
      <c r="K588" s="101"/>
      <c r="L588" s="101"/>
      <c r="M588" s="101"/>
      <c r="N588" s="101"/>
      <c r="O588" s="101"/>
      <c r="P588" s="101"/>
      <c r="Q588" s="101"/>
      <c r="R588" s="101"/>
      <c r="S588" s="101"/>
      <c r="T588" s="101"/>
      <c r="U588" s="101"/>
      <c r="V588" s="101"/>
      <c r="W588" s="101"/>
      <c r="X588" s="101"/>
      <c r="Y588" s="101"/>
      <c r="Z588" s="101"/>
      <c r="AA588" s="101"/>
      <c r="AB588" s="101"/>
    </row>
    <row r="589">
      <c r="A589" s="104" t="s">
        <v>726</v>
      </c>
      <c r="B589" s="105" t="str">
        <f>IFERROR(VLOOKUP(A589,'Salary Calculation'!A588:F1585,2,0),"")</f>
        <v/>
      </c>
      <c r="C589" s="105" t="str">
        <f>IFERROR(VLOOKUP(A589,'Salary Calculation'!$A$2:$V$999,3,0),"")</f>
        <v/>
      </c>
      <c r="D589" s="105" t="str">
        <f>IFERROR(VLOOKUP(A589,'Salary Calculation'!$A$2:$V$999,6,0),"")</f>
        <v/>
      </c>
      <c r="E589" s="105" t="str">
        <f>IFERROR(VLOOKUP(A589,'Salary Calculation'!$A$2:$V$999,10,0),"")</f>
        <v/>
      </c>
      <c r="F589" s="101"/>
      <c r="G589" s="106" t="str">
        <f>IFERROR(VLOOKUP(A589,'Salary Calculation'!$A$2:$V$999,7,0),"")</f>
        <v/>
      </c>
      <c r="H589" s="100"/>
      <c r="I589" s="101"/>
      <c r="J589" s="101"/>
      <c r="K589" s="101"/>
      <c r="L589" s="101"/>
      <c r="M589" s="101"/>
      <c r="N589" s="101"/>
      <c r="O589" s="101"/>
      <c r="P589" s="101"/>
      <c r="Q589" s="101"/>
      <c r="R589" s="101"/>
      <c r="S589" s="101"/>
      <c r="T589" s="101"/>
      <c r="U589" s="101"/>
      <c r="V589" s="101"/>
      <c r="W589" s="101"/>
      <c r="X589" s="101"/>
      <c r="Y589" s="101"/>
      <c r="Z589" s="101"/>
      <c r="AA589" s="101"/>
      <c r="AB589" s="101"/>
    </row>
    <row r="590">
      <c r="A590" s="104" t="s">
        <v>727</v>
      </c>
      <c r="B590" s="105" t="str">
        <f>IFERROR(VLOOKUP(A590,'Salary Calculation'!A589:F1586,2,0),"")</f>
        <v/>
      </c>
      <c r="C590" s="105" t="str">
        <f>IFERROR(VLOOKUP(A590,'Salary Calculation'!$A$2:$V$999,3,0),"")</f>
        <v/>
      </c>
      <c r="D590" s="105" t="str">
        <f>IFERROR(VLOOKUP(A590,'Salary Calculation'!$A$2:$V$999,6,0),"")</f>
        <v/>
      </c>
      <c r="E590" s="105" t="str">
        <f>IFERROR(VLOOKUP(A590,'Salary Calculation'!$A$2:$V$999,10,0),"")</f>
        <v/>
      </c>
      <c r="F590" s="101"/>
      <c r="G590" s="106" t="str">
        <f>IFERROR(VLOOKUP(A590,'Salary Calculation'!$A$2:$V$999,7,0),"")</f>
        <v/>
      </c>
      <c r="H590" s="100"/>
      <c r="I590" s="101"/>
      <c r="J590" s="101"/>
      <c r="K590" s="101"/>
      <c r="L590" s="101"/>
      <c r="M590" s="101"/>
      <c r="N590" s="101"/>
      <c r="O590" s="101"/>
      <c r="P590" s="101"/>
      <c r="Q590" s="101"/>
      <c r="R590" s="101"/>
      <c r="S590" s="101"/>
      <c r="T590" s="101"/>
      <c r="U590" s="101"/>
      <c r="V590" s="101"/>
      <c r="W590" s="101"/>
      <c r="X590" s="101"/>
      <c r="Y590" s="101"/>
      <c r="Z590" s="101"/>
      <c r="AA590" s="101"/>
      <c r="AB590" s="101"/>
    </row>
    <row r="591">
      <c r="A591" s="104" t="s">
        <v>728</v>
      </c>
      <c r="B591" s="105" t="str">
        <f>IFERROR(VLOOKUP(A591,'Salary Calculation'!A590:F1587,2,0),"")</f>
        <v/>
      </c>
      <c r="C591" s="105" t="str">
        <f>IFERROR(VLOOKUP(A591,'Salary Calculation'!$A$2:$V$999,3,0),"")</f>
        <v/>
      </c>
      <c r="D591" s="105" t="str">
        <f>IFERROR(VLOOKUP(A591,'Salary Calculation'!$A$2:$V$999,6,0),"")</f>
        <v/>
      </c>
      <c r="E591" s="105" t="str">
        <f>IFERROR(VLOOKUP(A591,'Salary Calculation'!$A$2:$V$999,10,0),"")</f>
        <v/>
      </c>
      <c r="F591" s="101"/>
      <c r="G591" s="106" t="str">
        <f>IFERROR(VLOOKUP(A591,'Salary Calculation'!$A$2:$V$999,7,0),"")</f>
        <v/>
      </c>
      <c r="H591" s="100"/>
      <c r="I591" s="101"/>
      <c r="J591" s="101"/>
      <c r="K591" s="101"/>
      <c r="L591" s="101"/>
      <c r="M591" s="101"/>
      <c r="N591" s="101"/>
      <c r="O591" s="101"/>
      <c r="P591" s="101"/>
      <c r="Q591" s="101"/>
      <c r="R591" s="101"/>
      <c r="S591" s="101"/>
      <c r="T591" s="101"/>
      <c r="U591" s="101"/>
      <c r="V591" s="101"/>
      <c r="W591" s="101"/>
      <c r="X591" s="101"/>
      <c r="Y591" s="101"/>
      <c r="Z591" s="101"/>
      <c r="AA591" s="101"/>
      <c r="AB591" s="101"/>
    </row>
    <row r="592">
      <c r="A592" s="104" t="s">
        <v>729</v>
      </c>
      <c r="B592" s="105" t="str">
        <f>IFERROR(VLOOKUP(A592,'Salary Calculation'!A591:F1588,2,0),"")</f>
        <v/>
      </c>
      <c r="C592" s="105" t="str">
        <f>IFERROR(VLOOKUP(A592,'Salary Calculation'!$A$2:$V$999,3,0),"")</f>
        <v/>
      </c>
      <c r="D592" s="105" t="str">
        <f>IFERROR(VLOOKUP(A592,'Salary Calculation'!$A$2:$V$999,6,0),"")</f>
        <v/>
      </c>
      <c r="E592" s="105" t="str">
        <f>IFERROR(VLOOKUP(A592,'Salary Calculation'!$A$2:$V$999,10,0),"")</f>
        <v/>
      </c>
      <c r="F592" s="101"/>
      <c r="G592" s="106" t="str">
        <f>IFERROR(VLOOKUP(A592,'Salary Calculation'!$A$2:$V$999,7,0),"")</f>
        <v/>
      </c>
      <c r="H592" s="100"/>
      <c r="I592" s="101"/>
      <c r="J592" s="101"/>
      <c r="K592" s="101"/>
      <c r="L592" s="101"/>
      <c r="M592" s="101"/>
      <c r="N592" s="101"/>
      <c r="O592" s="101"/>
      <c r="P592" s="101"/>
      <c r="Q592" s="101"/>
      <c r="R592" s="101"/>
      <c r="S592" s="101"/>
      <c r="T592" s="101"/>
      <c r="U592" s="101"/>
      <c r="V592" s="101"/>
      <c r="W592" s="101"/>
      <c r="X592" s="101"/>
      <c r="Y592" s="101"/>
      <c r="Z592" s="101"/>
      <c r="AA592" s="101"/>
      <c r="AB592" s="101"/>
    </row>
    <row r="593">
      <c r="A593" s="104" t="s">
        <v>730</v>
      </c>
      <c r="B593" s="105" t="str">
        <f>IFERROR(VLOOKUP(A593,'Salary Calculation'!A592:F1589,2,0),"")</f>
        <v/>
      </c>
      <c r="C593" s="105" t="str">
        <f>IFERROR(VLOOKUP(A593,'Salary Calculation'!$A$2:$V$999,3,0),"")</f>
        <v/>
      </c>
      <c r="D593" s="105" t="str">
        <f>IFERROR(VLOOKUP(A593,'Salary Calculation'!$A$2:$V$999,6,0),"")</f>
        <v/>
      </c>
      <c r="E593" s="105" t="str">
        <f>IFERROR(VLOOKUP(A593,'Salary Calculation'!$A$2:$V$999,10,0),"")</f>
        <v/>
      </c>
      <c r="F593" s="101"/>
      <c r="G593" s="106" t="str">
        <f>IFERROR(VLOOKUP(A593,'Salary Calculation'!$A$2:$V$999,7,0),"")</f>
        <v/>
      </c>
      <c r="H593" s="100"/>
      <c r="I593" s="101"/>
      <c r="J593" s="101"/>
      <c r="K593" s="101"/>
      <c r="L593" s="101"/>
      <c r="M593" s="101"/>
      <c r="N593" s="101"/>
      <c r="O593" s="101"/>
      <c r="P593" s="101"/>
      <c r="Q593" s="101"/>
      <c r="R593" s="101"/>
      <c r="S593" s="101"/>
      <c r="T593" s="101"/>
      <c r="U593" s="101"/>
      <c r="V593" s="101"/>
      <c r="W593" s="101"/>
      <c r="X593" s="101"/>
      <c r="Y593" s="101"/>
      <c r="Z593" s="101"/>
      <c r="AA593" s="101"/>
      <c r="AB593" s="101"/>
    </row>
    <row r="594">
      <c r="A594" s="104" t="s">
        <v>731</v>
      </c>
      <c r="B594" s="105" t="str">
        <f>IFERROR(VLOOKUP(A594,'Salary Calculation'!A593:F1590,2,0),"")</f>
        <v/>
      </c>
      <c r="C594" s="105" t="str">
        <f>IFERROR(VLOOKUP(A594,'Salary Calculation'!$A$2:$V$999,3,0),"")</f>
        <v/>
      </c>
      <c r="D594" s="105" t="str">
        <f>IFERROR(VLOOKUP(A594,'Salary Calculation'!$A$2:$V$999,6,0),"")</f>
        <v/>
      </c>
      <c r="E594" s="105" t="str">
        <f>IFERROR(VLOOKUP(A594,'Salary Calculation'!$A$2:$V$999,10,0),"")</f>
        <v/>
      </c>
      <c r="F594" s="101"/>
      <c r="G594" s="106" t="str">
        <f>IFERROR(VLOOKUP(A594,'Salary Calculation'!$A$2:$V$999,7,0),"")</f>
        <v/>
      </c>
      <c r="H594" s="100"/>
      <c r="I594" s="101"/>
      <c r="J594" s="101"/>
      <c r="K594" s="101"/>
      <c r="L594" s="101"/>
      <c r="M594" s="101"/>
      <c r="N594" s="101"/>
      <c r="O594" s="101"/>
      <c r="P594" s="101"/>
      <c r="Q594" s="101"/>
      <c r="R594" s="101"/>
      <c r="S594" s="101"/>
      <c r="T594" s="101"/>
      <c r="U594" s="101"/>
      <c r="V594" s="101"/>
      <c r="W594" s="101"/>
      <c r="X594" s="101"/>
      <c r="Y594" s="101"/>
      <c r="Z594" s="101"/>
      <c r="AA594" s="101"/>
      <c r="AB594" s="101"/>
    </row>
    <row r="595">
      <c r="A595" s="104" t="s">
        <v>732</v>
      </c>
      <c r="B595" s="105" t="str">
        <f>IFERROR(VLOOKUP(A595,'Salary Calculation'!A594:F1591,2,0),"")</f>
        <v/>
      </c>
      <c r="C595" s="105" t="str">
        <f>IFERROR(VLOOKUP(A595,'Salary Calculation'!$A$2:$V$999,3,0),"")</f>
        <v/>
      </c>
      <c r="D595" s="105" t="str">
        <f>IFERROR(VLOOKUP(A595,'Salary Calculation'!$A$2:$V$999,6,0),"")</f>
        <v/>
      </c>
      <c r="E595" s="105" t="str">
        <f>IFERROR(VLOOKUP(A595,'Salary Calculation'!$A$2:$V$999,10,0),"")</f>
        <v/>
      </c>
      <c r="F595" s="101"/>
      <c r="G595" s="106" t="str">
        <f>IFERROR(VLOOKUP(A595,'Salary Calculation'!$A$2:$V$999,7,0),"")</f>
        <v/>
      </c>
      <c r="H595" s="100"/>
      <c r="I595" s="101"/>
      <c r="J595" s="101"/>
      <c r="K595" s="101"/>
      <c r="L595" s="101"/>
      <c r="M595" s="101"/>
      <c r="N595" s="101"/>
      <c r="O595" s="101"/>
      <c r="P595" s="101"/>
      <c r="Q595" s="101"/>
      <c r="R595" s="101"/>
      <c r="S595" s="101"/>
      <c r="T595" s="101"/>
      <c r="U595" s="101"/>
      <c r="V595" s="101"/>
      <c r="W595" s="101"/>
      <c r="X595" s="101"/>
      <c r="Y595" s="101"/>
      <c r="Z595" s="101"/>
      <c r="AA595" s="101"/>
      <c r="AB595" s="101"/>
    </row>
    <row r="596">
      <c r="A596" s="104" t="s">
        <v>733</v>
      </c>
      <c r="B596" s="105" t="str">
        <f>IFERROR(VLOOKUP(A596,'Salary Calculation'!A595:F1592,2,0),"")</f>
        <v/>
      </c>
      <c r="C596" s="105" t="str">
        <f>IFERROR(VLOOKUP(A596,'Salary Calculation'!$A$2:$V$999,3,0),"")</f>
        <v/>
      </c>
      <c r="D596" s="105" t="str">
        <f>IFERROR(VLOOKUP(A596,'Salary Calculation'!$A$2:$V$999,6,0),"")</f>
        <v/>
      </c>
      <c r="E596" s="105" t="str">
        <f>IFERROR(VLOOKUP(A596,'Salary Calculation'!$A$2:$V$999,10,0),"")</f>
        <v/>
      </c>
      <c r="F596" s="101"/>
      <c r="G596" s="106" t="str">
        <f>IFERROR(VLOOKUP(A596,'Salary Calculation'!$A$2:$V$999,7,0),"")</f>
        <v/>
      </c>
      <c r="H596" s="100"/>
      <c r="I596" s="101"/>
      <c r="J596" s="101"/>
      <c r="K596" s="101"/>
      <c r="L596" s="101"/>
      <c r="M596" s="101"/>
      <c r="N596" s="101"/>
      <c r="O596" s="101"/>
      <c r="P596" s="101"/>
      <c r="Q596" s="101"/>
      <c r="R596" s="101"/>
      <c r="S596" s="101"/>
      <c r="T596" s="101"/>
      <c r="U596" s="101"/>
      <c r="V596" s="101"/>
      <c r="W596" s="101"/>
      <c r="X596" s="101"/>
      <c r="Y596" s="101"/>
      <c r="Z596" s="101"/>
      <c r="AA596" s="101"/>
      <c r="AB596" s="101"/>
    </row>
    <row r="597">
      <c r="A597" s="104" t="s">
        <v>734</v>
      </c>
      <c r="B597" s="105" t="str">
        <f>IFERROR(VLOOKUP(A597,'Salary Calculation'!A596:F1593,2,0),"")</f>
        <v/>
      </c>
      <c r="C597" s="105" t="str">
        <f>IFERROR(VLOOKUP(A597,'Salary Calculation'!$A$2:$V$999,3,0),"")</f>
        <v/>
      </c>
      <c r="D597" s="105" t="str">
        <f>IFERROR(VLOOKUP(A597,'Salary Calculation'!$A$2:$V$999,6,0),"")</f>
        <v/>
      </c>
      <c r="E597" s="105" t="str">
        <f>IFERROR(VLOOKUP(A597,'Salary Calculation'!$A$2:$V$999,10,0),"")</f>
        <v/>
      </c>
      <c r="F597" s="101"/>
      <c r="G597" s="106" t="str">
        <f>IFERROR(VLOOKUP(A597,'Salary Calculation'!$A$2:$V$999,7,0),"")</f>
        <v/>
      </c>
      <c r="H597" s="100"/>
      <c r="I597" s="101"/>
      <c r="J597" s="101"/>
      <c r="K597" s="101"/>
      <c r="L597" s="101"/>
      <c r="M597" s="101"/>
      <c r="N597" s="101"/>
      <c r="O597" s="101"/>
      <c r="P597" s="101"/>
      <c r="Q597" s="101"/>
      <c r="R597" s="101"/>
      <c r="S597" s="101"/>
      <c r="T597" s="101"/>
      <c r="U597" s="101"/>
      <c r="V597" s="101"/>
      <c r="W597" s="101"/>
      <c r="X597" s="101"/>
      <c r="Y597" s="101"/>
      <c r="Z597" s="101"/>
      <c r="AA597" s="101"/>
      <c r="AB597" s="101"/>
    </row>
    <row r="598">
      <c r="A598" s="104" t="s">
        <v>735</v>
      </c>
      <c r="B598" s="105" t="str">
        <f>IFERROR(VLOOKUP(A598,'Salary Calculation'!A597:F1594,2,0),"")</f>
        <v/>
      </c>
      <c r="C598" s="105" t="str">
        <f>IFERROR(VLOOKUP(A598,'Salary Calculation'!$A$2:$V$999,3,0),"")</f>
        <v/>
      </c>
      <c r="D598" s="105" t="str">
        <f>IFERROR(VLOOKUP(A598,'Salary Calculation'!$A$2:$V$999,6,0),"")</f>
        <v/>
      </c>
      <c r="E598" s="105" t="str">
        <f>IFERROR(VLOOKUP(A598,'Salary Calculation'!$A$2:$V$999,10,0),"")</f>
        <v/>
      </c>
      <c r="F598" s="101"/>
      <c r="G598" s="106" t="str">
        <f>IFERROR(VLOOKUP(A598,'Salary Calculation'!$A$2:$V$999,7,0),"")</f>
        <v/>
      </c>
      <c r="H598" s="100"/>
      <c r="I598" s="101"/>
      <c r="J598" s="101"/>
      <c r="K598" s="101"/>
      <c r="L598" s="101"/>
      <c r="M598" s="101"/>
      <c r="N598" s="101"/>
      <c r="O598" s="101"/>
      <c r="P598" s="101"/>
      <c r="Q598" s="101"/>
      <c r="R598" s="101"/>
      <c r="S598" s="101"/>
      <c r="T598" s="101"/>
      <c r="U598" s="101"/>
      <c r="V598" s="101"/>
      <c r="W598" s="101"/>
      <c r="X598" s="101"/>
      <c r="Y598" s="101"/>
      <c r="Z598" s="101"/>
      <c r="AA598" s="101"/>
      <c r="AB598" s="101"/>
    </row>
    <row r="599">
      <c r="A599" s="104" t="s">
        <v>736</v>
      </c>
      <c r="B599" s="105" t="str">
        <f>IFERROR(VLOOKUP(A599,'Salary Calculation'!A598:F1595,2,0),"")</f>
        <v/>
      </c>
      <c r="C599" s="105" t="str">
        <f>IFERROR(VLOOKUP(A599,'Salary Calculation'!$A$2:$V$999,3,0),"")</f>
        <v/>
      </c>
      <c r="D599" s="105" t="str">
        <f>IFERROR(VLOOKUP(A599,'Salary Calculation'!$A$2:$V$999,6,0),"")</f>
        <v/>
      </c>
      <c r="E599" s="105" t="str">
        <f>IFERROR(VLOOKUP(A599,'Salary Calculation'!$A$2:$V$999,10,0),"")</f>
        <v/>
      </c>
      <c r="F599" s="101"/>
      <c r="G599" s="106" t="str">
        <f>IFERROR(VLOOKUP(A599,'Salary Calculation'!$A$2:$V$999,7,0),"")</f>
        <v/>
      </c>
      <c r="H599" s="100"/>
      <c r="I599" s="101"/>
      <c r="J599" s="101"/>
      <c r="K599" s="101"/>
      <c r="L599" s="101"/>
      <c r="M599" s="101"/>
      <c r="N599" s="101"/>
      <c r="O599" s="101"/>
      <c r="P599" s="101"/>
      <c r="Q599" s="101"/>
      <c r="R599" s="101"/>
      <c r="S599" s="101"/>
      <c r="T599" s="101"/>
      <c r="U599" s="101"/>
      <c r="V599" s="101"/>
      <c r="W599" s="101"/>
      <c r="X599" s="101"/>
      <c r="Y599" s="101"/>
      <c r="Z599" s="101"/>
      <c r="AA599" s="101"/>
      <c r="AB599" s="101"/>
    </row>
    <row r="600">
      <c r="A600" s="104" t="s">
        <v>737</v>
      </c>
      <c r="B600" s="105" t="str">
        <f>IFERROR(VLOOKUP(A600,'Salary Calculation'!A599:F1596,2,0),"")</f>
        <v/>
      </c>
      <c r="C600" s="105" t="str">
        <f>IFERROR(VLOOKUP(A600,'Salary Calculation'!$A$2:$V$999,3,0),"")</f>
        <v/>
      </c>
      <c r="D600" s="105" t="str">
        <f>IFERROR(VLOOKUP(A600,'Salary Calculation'!$A$2:$V$999,6,0),"")</f>
        <v/>
      </c>
      <c r="E600" s="105" t="str">
        <f>IFERROR(VLOOKUP(A600,'Salary Calculation'!$A$2:$V$999,10,0),"")</f>
        <v/>
      </c>
      <c r="F600" s="101"/>
      <c r="G600" s="106" t="str">
        <f>IFERROR(VLOOKUP(A600,'Salary Calculation'!$A$2:$V$999,7,0),"")</f>
        <v/>
      </c>
      <c r="H600" s="100"/>
      <c r="I600" s="101"/>
      <c r="J600" s="101"/>
      <c r="K600" s="101"/>
      <c r="L600" s="101"/>
      <c r="M600" s="101"/>
      <c r="N600" s="101"/>
      <c r="O600" s="101"/>
      <c r="P600" s="101"/>
      <c r="Q600" s="101"/>
      <c r="R600" s="101"/>
      <c r="S600" s="101"/>
      <c r="T600" s="101"/>
      <c r="U600" s="101"/>
      <c r="V600" s="101"/>
      <c r="W600" s="101"/>
      <c r="X600" s="101"/>
      <c r="Y600" s="101"/>
      <c r="Z600" s="101"/>
      <c r="AA600" s="101"/>
      <c r="AB600" s="101"/>
    </row>
    <row r="601">
      <c r="A601" s="104" t="s">
        <v>738</v>
      </c>
      <c r="B601" s="105" t="str">
        <f>IFERROR(VLOOKUP(A601,'Salary Calculation'!A600:F1597,2,0),"")</f>
        <v/>
      </c>
      <c r="C601" s="105" t="str">
        <f>IFERROR(VLOOKUP(A601,'Salary Calculation'!$A$2:$V$999,3,0),"")</f>
        <v/>
      </c>
      <c r="D601" s="105" t="str">
        <f>IFERROR(VLOOKUP(A601,'Salary Calculation'!$A$2:$V$999,6,0),"")</f>
        <v/>
      </c>
      <c r="E601" s="105" t="str">
        <f>IFERROR(VLOOKUP(A601,'Salary Calculation'!$A$2:$V$999,10,0),"")</f>
        <v/>
      </c>
      <c r="F601" s="101"/>
      <c r="G601" s="106" t="str">
        <f>IFERROR(VLOOKUP(A601,'Salary Calculation'!$A$2:$V$999,7,0),"")</f>
        <v/>
      </c>
      <c r="H601" s="100"/>
      <c r="I601" s="101"/>
      <c r="J601" s="101"/>
      <c r="K601" s="101"/>
      <c r="L601" s="101"/>
      <c r="M601" s="101"/>
      <c r="N601" s="101"/>
      <c r="O601" s="101"/>
      <c r="P601" s="101"/>
      <c r="Q601" s="101"/>
      <c r="R601" s="101"/>
      <c r="S601" s="101"/>
      <c r="T601" s="101"/>
      <c r="U601" s="101"/>
      <c r="V601" s="101"/>
      <c r="W601" s="101"/>
      <c r="X601" s="101"/>
      <c r="Y601" s="101"/>
      <c r="Z601" s="101"/>
      <c r="AA601" s="101"/>
      <c r="AB601" s="101"/>
    </row>
    <row r="602">
      <c r="A602" s="104" t="s">
        <v>739</v>
      </c>
      <c r="B602" s="105" t="str">
        <f>IFERROR(VLOOKUP(A602,'Salary Calculation'!A601:F1598,2,0),"")</f>
        <v/>
      </c>
      <c r="C602" s="105" t="str">
        <f>IFERROR(VLOOKUP(A602,'Salary Calculation'!$A$2:$V$999,3,0),"")</f>
        <v/>
      </c>
      <c r="D602" s="105" t="str">
        <f>IFERROR(VLOOKUP(A602,'Salary Calculation'!$A$2:$V$999,6,0),"")</f>
        <v/>
      </c>
      <c r="E602" s="105" t="str">
        <f>IFERROR(VLOOKUP(A602,'Salary Calculation'!$A$2:$V$999,10,0),"")</f>
        <v/>
      </c>
      <c r="F602" s="101"/>
      <c r="G602" s="106" t="str">
        <f>IFERROR(VLOOKUP(A602,'Salary Calculation'!$A$2:$V$999,7,0),"")</f>
        <v/>
      </c>
      <c r="H602" s="100"/>
      <c r="I602" s="101"/>
      <c r="J602" s="101"/>
      <c r="K602" s="101"/>
      <c r="L602" s="101"/>
      <c r="M602" s="101"/>
      <c r="N602" s="101"/>
      <c r="O602" s="101"/>
      <c r="P602" s="101"/>
      <c r="Q602" s="101"/>
      <c r="R602" s="101"/>
      <c r="S602" s="101"/>
      <c r="T602" s="101"/>
      <c r="U602" s="101"/>
      <c r="V602" s="101"/>
      <c r="W602" s="101"/>
      <c r="X602" s="101"/>
      <c r="Y602" s="101"/>
      <c r="Z602" s="101"/>
      <c r="AA602" s="101"/>
      <c r="AB602" s="101"/>
    </row>
    <row r="603">
      <c r="A603" s="104" t="s">
        <v>740</v>
      </c>
      <c r="B603" s="105" t="str">
        <f>IFERROR(VLOOKUP(A603,'Salary Calculation'!A602:F1599,2,0),"")</f>
        <v/>
      </c>
      <c r="C603" s="105" t="str">
        <f>IFERROR(VLOOKUP(A603,'Salary Calculation'!$A$2:$V$999,3,0),"")</f>
        <v/>
      </c>
      <c r="D603" s="105" t="str">
        <f>IFERROR(VLOOKUP(A603,'Salary Calculation'!$A$2:$V$999,6,0),"")</f>
        <v/>
      </c>
      <c r="E603" s="105" t="str">
        <f>IFERROR(VLOOKUP(A603,'Salary Calculation'!$A$2:$V$999,10,0),"")</f>
        <v/>
      </c>
      <c r="F603" s="101"/>
      <c r="G603" s="106" t="str">
        <f>IFERROR(VLOOKUP(A603,'Salary Calculation'!$A$2:$V$999,7,0),"")</f>
        <v/>
      </c>
      <c r="H603" s="100"/>
      <c r="I603" s="101"/>
      <c r="J603" s="101"/>
      <c r="K603" s="101"/>
      <c r="L603" s="101"/>
      <c r="M603" s="101"/>
      <c r="N603" s="101"/>
      <c r="O603" s="101"/>
      <c r="P603" s="101"/>
      <c r="Q603" s="101"/>
      <c r="R603" s="101"/>
      <c r="S603" s="101"/>
      <c r="T603" s="101"/>
      <c r="U603" s="101"/>
      <c r="V603" s="101"/>
      <c r="W603" s="101"/>
      <c r="X603" s="101"/>
      <c r="Y603" s="101"/>
      <c r="Z603" s="101"/>
      <c r="AA603" s="101"/>
      <c r="AB603" s="101"/>
    </row>
    <row r="604">
      <c r="A604" s="104" t="s">
        <v>741</v>
      </c>
      <c r="B604" s="105" t="str">
        <f>IFERROR(VLOOKUP(A604,'Salary Calculation'!A603:F1600,2,0),"")</f>
        <v/>
      </c>
      <c r="C604" s="105" t="str">
        <f>IFERROR(VLOOKUP(A604,'Salary Calculation'!$A$2:$V$999,3,0),"")</f>
        <v/>
      </c>
      <c r="D604" s="105" t="str">
        <f>IFERROR(VLOOKUP(A604,'Salary Calculation'!$A$2:$V$999,6,0),"")</f>
        <v/>
      </c>
      <c r="E604" s="105" t="str">
        <f>IFERROR(VLOOKUP(A604,'Salary Calculation'!$A$2:$V$999,10,0),"")</f>
        <v/>
      </c>
      <c r="F604" s="101"/>
      <c r="G604" s="106" t="str">
        <f>IFERROR(VLOOKUP(A604,'Salary Calculation'!$A$2:$V$999,7,0),"")</f>
        <v/>
      </c>
      <c r="H604" s="100"/>
      <c r="I604" s="101"/>
      <c r="J604" s="101"/>
      <c r="K604" s="101"/>
      <c r="L604" s="101"/>
      <c r="M604" s="101"/>
      <c r="N604" s="101"/>
      <c r="O604" s="101"/>
      <c r="P604" s="101"/>
      <c r="Q604" s="101"/>
      <c r="R604" s="101"/>
      <c r="S604" s="101"/>
      <c r="T604" s="101"/>
      <c r="U604" s="101"/>
      <c r="V604" s="101"/>
      <c r="W604" s="101"/>
      <c r="X604" s="101"/>
      <c r="Y604" s="101"/>
      <c r="Z604" s="101"/>
      <c r="AA604" s="101"/>
      <c r="AB604" s="101"/>
    </row>
    <row r="605">
      <c r="A605" s="104" t="s">
        <v>742</v>
      </c>
      <c r="B605" s="105" t="str">
        <f>IFERROR(VLOOKUP(A605,'Salary Calculation'!A604:F1601,2,0),"")</f>
        <v/>
      </c>
      <c r="C605" s="105" t="str">
        <f>IFERROR(VLOOKUP(A605,'Salary Calculation'!$A$2:$V$999,3,0),"")</f>
        <v/>
      </c>
      <c r="D605" s="105" t="str">
        <f>IFERROR(VLOOKUP(A605,'Salary Calculation'!$A$2:$V$999,6,0),"")</f>
        <v/>
      </c>
      <c r="E605" s="105" t="str">
        <f>IFERROR(VLOOKUP(A605,'Salary Calculation'!$A$2:$V$999,10,0),"")</f>
        <v/>
      </c>
      <c r="F605" s="101"/>
      <c r="G605" s="106" t="str">
        <f>IFERROR(VLOOKUP(A605,'Salary Calculation'!$A$2:$V$999,7,0),"")</f>
        <v/>
      </c>
      <c r="H605" s="100"/>
      <c r="I605" s="101"/>
      <c r="J605" s="101"/>
      <c r="K605" s="101"/>
      <c r="L605" s="101"/>
      <c r="M605" s="101"/>
      <c r="N605" s="101"/>
      <c r="O605" s="101"/>
      <c r="P605" s="101"/>
      <c r="Q605" s="101"/>
      <c r="R605" s="101"/>
      <c r="S605" s="101"/>
      <c r="T605" s="101"/>
      <c r="U605" s="101"/>
      <c r="V605" s="101"/>
      <c r="W605" s="101"/>
      <c r="X605" s="101"/>
      <c r="Y605" s="101"/>
      <c r="Z605" s="101"/>
      <c r="AA605" s="101"/>
      <c r="AB605" s="101"/>
    </row>
    <row r="606">
      <c r="A606" s="104" t="s">
        <v>743</v>
      </c>
      <c r="B606" s="105" t="str">
        <f>IFERROR(VLOOKUP(A606,'Salary Calculation'!A605:F1602,2,0),"")</f>
        <v/>
      </c>
      <c r="C606" s="105" t="str">
        <f>IFERROR(VLOOKUP(A606,'Salary Calculation'!$A$2:$V$999,3,0),"")</f>
        <v/>
      </c>
      <c r="D606" s="105" t="str">
        <f>IFERROR(VLOOKUP(A606,'Salary Calculation'!$A$2:$V$999,6,0),"")</f>
        <v/>
      </c>
      <c r="E606" s="105" t="str">
        <f>IFERROR(VLOOKUP(A606,'Salary Calculation'!$A$2:$V$999,10,0),"")</f>
        <v/>
      </c>
      <c r="F606" s="101"/>
      <c r="G606" s="106" t="str">
        <f>IFERROR(VLOOKUP(A606,'Salary Calculation'!$A$2:$V$999,7,0),"")</f>
        <v/>
      </c>
      <c r="H606" s="100"/>
      <c r="I606" s="101"/>
      <c r="J606" s="101"/>
      <c r="K606" s="101"/>
      <c r="L606" s="101"/>
      <c r="M606" s="101"/>
      <c r="N606" s="101"/>
      <c r="O606" s="101"/>
      <c r="P606" s="101"/>
      <c r="Q606" s="101"/>
      <c r="R606" s="101"/>
      <c r="S606" s="101"/>
      <c r="T606" s="101"/>
      <c r="U606" s="101"/>
      <c r="V606" s="101"/>
      <c r="W606" s="101"/>
      <c r="X606" s="101"/>
      <c r="Y606" s="101"/>
      <c r="Z606" s="101"/>
      <c r="AA606" s="101"/>
      <c r="AB606" s="101"/>
    </row>
    <row r="607">
      <c r="A607" s="104" t="s">
        <v>744</v>
      </c>
      <c r="B607" s="105" t="str">
        <f>IFERROR(VLOOKUP(A607,'Salary Calculation'!A606:F1603,2,0),"")</f>
        <v/>
      </c>
      <c r="C607" s="105" t="str">
        <f>IFERROR(VLOOKUP(A607,'Salary Calculation'!$A$2:$V$999,3,0),"")</f>
        <v/>
      </c>
      <c r="D607" s="105" t="str">
        <f>IFERROR(VLOOKUP(A607,'Salary Calculation'!$A$2:$V$999,6,0),"")</f>
        <v/>
      </c>
      <c r="E607" s="105" t="str">
        <f>IFERROR(VLOOKUP(A607,'Salary Calculation'!$A$2:$V$999,10,0),"")</f>
        <v/>
      </c>
      <c r="F607" s="101"/>
      <c r="G607" s="106" t="str">
        <f>IFERROR(VLOOKUP(A607,'Salary Calculation'!$A$2:$V$999,7,0),"")</f>
        <v/>
      </c>
      <c r="H607" s="100"/>
      <c r="I607" s="101"/>
      <c r="J607" s="101"/>
      <c r="K607" s="101"/>
      <c r="L607" s="101"/>
      <c r="M607" s="101"/>
      <c r="N607" s="101"/>
      <c r="O607" s="101"/>
      <c r="P607" s="101"/>
      <c r="Q607" s="101"/>
      <c r="R607" s="101"/>
      <c r="S607" s="101"/>
      <c r="T607" s="101"/>
      <c r="U607" s="101"/>
      <c r="V607" s="101"/>
      <c r="W607" s="101"/>
      <c r="X607" s="101"/>
      <c r="Y607" s="101"/>
      <c r="Z607" s="101"/>
      <c r="AA607" s="101"/>
      <c r="AB607" s="101"/>
    </row>
    <row r="608">
      <c r="A608" s="104" t="s">
        <v>745</v>
      </c>
      <c r="B608" s="105" t="str">
        <f>IFERROR(VLOOKUP(A608,'Salary Calculation'!A607:F1604,2,0),"")</f>
        <v/>
      </c>
      <c r="C608" s="105" t="str">
        <f>IFERROR(VLOOKUP(A608,'Salary Calculation'!$A$2:$V$999,3,0),"")</f>
        <v/>
      </c>
      <c r="D608" s="105" t="str">
        <f>IFERROR(VLOOKUP(A608,'Salary Calculation'!$A$2:$V$999,6,0),"")</f>
        <v/>
      </c>
      <c r="E608" s="105" t="str">
        <f>IFERROR(VLOOKUP(A608,'Salary Calculation'!$A$2:$V$999,10,0),"")</f>
        <v/>
      </c>
      <c r="F608" s="101"/>
      <c r="G608" s="106" t="str">
        <f>IFERROR(VLOOKUP(A608,'Salary Calculation'!$A$2:$V$999,7,0),"")</f>
        <v/>
      </c>
      <c r="H608" s="100"/>
      <c r="I608" s="101"/>
      <c r="J608" s="101"/>
      <c r="K608" s="101"/>
      <c r="L608" s="101"/>
      <c r="M608" s="101"/>
      <c r="N608" s="101"/>
      <c r="O608" s="101"/>
      <c r="P608" s="101"/>
      <c r="Q608" s="101"/>
      <c r="R608" s="101"/>
      <c r="S608" s="101"/>
      <c r="T608" s="101"/>
      <c r="U608" s="101"/>
      <c r="V608" s="101"/>
      <c r="W608" s="101"/>
      <c r="X608" s="101"/>
      <c r="Y608" s="101"/>
      <c r="Z608" s="101"/>
      <c r="AA608" s="101"/>
      <c r="AB608" s="101"/>
    </row>
    <row r="609">
      <c r="A609" s="104" t="s">
        <v>746</v>
      </c>
      <c r="B609" s="105" t="str">
        <f>IFERROR(VLOOKUP(A609,'Salary Calculation'!A608:F1605,2,0),"")</f>
        <v/>
      </c>
      <c r="C609" s="105" t="str">
        <f>IFERROR(VLOOKUP(A609,'Salary Calculation'!$A$2:$V$999,3,0),"")</f>
        <v/>
      </c>
      <c r="D609" s="105" t="str">
        <f>IFERROR(VLOOKUP(A609,'Salary Calculation'!$A$2:$V$999,6,0),"")</f>
        <v/>
      </c>
      <c r="E609" s="105" t="str">
        <f>IFERROR(VLOOKUP(A609,'Salary Calculation'!$A$2:$V$999,10,0),"")</f>
        <v/>
      </c>
      <c r="F609" s="101"/>
      <c r="G609" s="106" t="str">
        <f>IFERROR(VLOOKUP(A609,'Salary Calculation'!$A$2:$V$999,7,0),"")</f>
        <v/>
      </c>
      <c r="H609" s="100"/>
      <c r="I609" s="101"/>
      <c r="J609" s="101"/>
      <c r="K609" s="101"/>
      <c r="L609" s="101"/>
      <c r="M609" s="101"/>
      <c r="N609" s="101"/>
      <c r="O609" s="101"/>
      <c r="P609" s="101"/>
      <c r="Q609" s="101"/>
      <c r="R609" s="101"/>
      <c r="S609" s="101"/>
      <c r="T609" s="101"/>
      <c r="U609" s="101"/>
      <c r="V609" s="101"/>
      <c r="W609" s="101"/>
      <c r="X609" s="101"/>
      <c r="Y609" s="101"/>
      <c r="Z609" s="101"/>
      <c r="AA609" s="101"/>
      <c r="AB609" s="101"/>
    </row>
    <row r="610">
      <c r="A610" s="104" t="s">
        <v>747</v>
      </c>
      <c r="B610" s="105" t="str">
        <f>IFERROR(VLOOKUP(A610,'Salary Calculation'!A609:F1606,2,0),"")</f>
        <v/>
      </c>
      <c r="C610" s="105" t="str">
        <f>IFERROR(VLOOKUP(A610,'Salary Calculation'!$A$2:$V$999,3,0),"")</f>
        <v/>
      </c>
      <c r="D610" s="105" t="str">
        <f>IFERROR(VLOOKUP(A610,'Salary Calculation'!$A$2:$V$999,6,0),"")</f>
        <v/>
      </c>
      <c r="E610" s="105" t="str">
        <f>IFERROR(VLOOKUP(A610,'Salary Calculation'!$A$2:$V$999,10,0),"")</f>
        <v/>
      </c>
      <c r="F610" s="101"/>
      <c r="G610" s="106" t="str">
        <f>IFERROR(VLOOKUP(A610,'Salary Calculation'!$A$2:$V$999,7,0),"")</f>
        <v/>
      </c>
      <c r="H610" s="100"/>
      <c r="I610" s="101"/>
      <c r="J610" s="101"/>
      <c r="K610" s="101"/>
      <c r="L610" s="101"/>
      <c r="M610" s="101"/>
      <c r="N610" s="101"/>
      <c r="O610" s="101"/>
      <c r="P610" s="101"/>
      <c r="Q610" s="101"/>
      <c r="R610" s="101"/>
      <c r="S610" s="101"/>
      <c r="T610" s="101"/>
      <c r="U610" s="101"/>
      <c r="V610" s="101"/>
      <c r="W610" s="101"/>
      <c r="X610" s="101"/>
      <c r="Y610" s="101"/>
      <c r="Z610" s="101"/>
      <c r="AA610" s="101"/>
      <c r="AB610" s="101"/>
    </row>
    <row r="611">
      <c r="A611" s="104" t="s">
        <v>748</v>
      </c>
      <c r="B611" s="105" t="str">
        <f>IFERROR(VLOOKUP(A611,'Salary Calculation'!A610:F1607,2,0),"")</f>
        <v/>
      </c>
      <c r="C611" s="105" t="str">
        <f>IFERROR(VLOOKUP(A611,'Salary Calculation'!$A$2:$V$999,3,0),"")</f>
        <v/>
      </c>
      <c r="D611" s="105" t="str">
        <f>IFERROR(VLOOKUP(A611,'Salary Calculation'!$A$2:$V$999,6,0),"")</f>
        <v/>
      </c>
      <c r="E611" s="105" t="str">
        <f>IFERROR(VLOOKUP(A611,'Salary Calculation'!$A$2:$V$999,10,0),"")</f>
        <v/>
      </c>
      <c r="F611" s="101"/>
      <c r="G611" s="106" t="str">
        <f>IFERROR(VLOOKUP(A611,'Salary Calculation'!$A$2:$V$999,7,0),"")</f>
        <v/>
      </c>
      <c r="H611" s="100"/>
      <c r="I611" s="101"/>
      <c r="J611" s="101"/>
      <c r="K611" s="101"/>
      <c r="L611" s="101"/>
      <c r="M611" s="101"/>
      <c r="N611" s="101"/>
      <c r="O611" s="101"/>
      <c r="P611" s="101"/>
      <c r="Q611" s="101"/>
      <c r="R611" s="101"/>
      <c r="S611" s="101"/>
      <c r="T611" s="101"/>
      <c r="U611" s="101"/>
      <c r="V611" s="101"/>
      <c r="W611" s="101"/>
      <c r="X611" s="101"/>
      <c r="Y611" s="101"/>
      <c r="Z611" s="101"/>
      <c r="AA611" s="101"/>
      <c r="AB611" s="101"/>
    </row>
    <row r="612">
      <c r="A612" s="104" t="s">
        <v>749</v>
      </c>
      <c r="B612" s="105" t="str">
        <f>IFERROR(VLOOKUP(A612,'Salary Calculation'!A611:F1608,2,0),"")</f>
        <v/>
      </c>
      <c r="C612" s="105" t="str">
        <f>IFERROR(VLOOKUP(A612,'Salary Calculation'!$A$2:$V$999,3,0),"")</f>
        <v/>
      </c>
      <c r="D612" s="105" t="str">
        <f>IFERROR(VLOOKUP(A612,'Salary Calculation'!$A$2:$V$999,6,0),"")</f>
        <v/>
      </c>
      <c r="E612" s="105" t="str">
        <f>IFERROR(VLOOKUP(A612,'Salary Calculation'!$A$2:$V$999,10,0),"")</f>
        <v/>
      </c>
      <c r="F612" s="101"/>
      <c r="G612" s="106" t="str">
        <f>IFERROR(VLOOKUP(A612,'Salary Calculation'!$A$2:$V$999,7,0),"")</f>
        <v/>
      </c>
      <c r="H612" s="100"/>
      <c r="I612" s="101"/>
      <c r="J612" s="101"/>
      <c r="K612" s="101"/>
      <c r="L612" s="101"/>
      <c r="M612" s="101"/>
      <c r="N612" s="101"/>
      <c r="O612" s="101"/>
      <c r="P612" s="101"/>
      <c r="Q612" s="101"/>
      <c r="R612" s="101"/>
      <c r="S612" s="101"/>
      <c r="T612" s="101"/>
      <c r="U612" s="101"/>
      <c r="V612" s="101"/>
      <c r="W612" s="101"/>
      <c r="X612" s="101"/>
      <c r="Y612" s="101"/>
      <c r="Z612" s="101"/>
      <c r="AA612" s="101"/>
      <c r="AB612" s="101"/>
    </row>
    <row r="613">
      <c r="A613" s="104" t="s">
        <v>750</v>
      </c>
      <c r="B613" s="105" t="str">
        <f>IFERROR(VLOOKUP(A613,'Salary Calculation'!A612:F1609,2,0),"")</f>
        <v/>
      </c>
      <c r="C613" s="105" t="str">
        <f>IFERROR(VLOOKUP(A613,'Salary Calculation'!$A$2:$V$999,3,0),"")</f>
        <v/>
      </c>
      <c r="D613" s="105" t="str">
        <f>IFERROR(VLOOKUP(A613,'Salary Calculation'!$A$2:$V$999,6,0),"")</f>
        <v/>
      </c>
      <c r="E613" s="105" t="str">
        <f>IFERROR(VLOOKUP(A613,'Salary Calculation'!$A$2:$V$999,10,0),"")</f>
        <v/>
      </c>
      <c r="F613" s="101"/>
      <c r="G613" s="106" t="str">
        <f>IFERROR(VLOOKUP(A613,'Salary Calculation'!$A$2:$V$999,7,0),"")</f>
        <v/>
      </c>
      <c r="H613" s="100"/>
      <c r="I613" s="101"/>
      <c r="J613" s="101"/>
      <c r="K613" s="101"/>
      <c r="L613" s="101"/>
      <c r="M613" s="101"/>
      <c r="N613" s="101"/>
      <c r="O613" s="101"/>
      <c r="P613" s="101"/>
      <c r="Q613" s="101"/>
      <c r="R613" s="101"/>
      <c r="S613" s="101"/>
      <c r="T613" s="101"/>
      <c r="U613" s="101"/>
      <c r="V613" s="101"/>
      <c r="W613" s="101"/>
      <c r="X613" s="101"/>
      <c r="Y613" s="101"/>
      <c r="Z613" s="101"/>
      <c r="AA613" s="101"/>
      <c r="AB613" s="101"/>
    </row>
    <row r="614">
      <c r="A614" s="104" t="s">
        <v>751</v>
      </c>
      <c r="B614" s="105" t="str">
        <f>IFERROR(VLOOKUP(A614,'Salary Calculation'!A613:F1610,2,0),"")</f>
        <v/>
      </c>
      <c r="C614" s="105" t="str">
        <f>IFERROR(VLOOKUP(A614,'Salary Calculation'!$A$2:$V$999,3,0),"")</f>
        <v/>
      </c>
      <c r="D614" s="105" t="str">
        <f>IFERROR(VLOOKUP(A614,'Salary Calculation'!$A$2:$V$999,6,0),"")</f>
        <v/>
      </c>
      <c r="E614" s="105" t="str">
        <f>IFERROR(VLOOKUP(A614,'Salary Calculation'!$A$2:$V$999,10,0),"")</f>
        <v/>
      </c>
      <c r="F614" s="101"/>
      <c r="G614" s="106" t="str">
        <f>IFERROR(VLOOKUP(A614,'Salary Calculation'!$A$2:$V$999,7,0),"")</f>
        <v/>
      </c>
      <c r="H614" s="100"/>
      <c r="I614" s="101"/>
      <c r="J614" s="101"/>
      <c r="K614" s="101"/>
      <c r="L614" s="101"/>
      <c r="M614" s="101"/>
      <c r="N614" s="101"/>
      <c r="O614" s="101"/>
      <c r="P614" s="101"/>
      <c r="Q614" s="101"/>
      <c r="R614" s="101"/>
      <c r="S614" s="101"/>
      <c r="T614" s="101"/>
      <c r="U614" s="101"/>
      <c r="V614" s="101"/>
      <c r="W614" s="101"/>
      <c r="X614" s="101"/>
      <c r="Y614" s="101"/>
      <c r="Z614" s="101"/>
      <c r="AA614" s="101"/>
      <c r="AB614" s="101"/>
    </row>
    <row r="615">
      <c r="A615" s="104" t="s">
        <v>752</v>
      </c>
      <c r="B615" s="105" t="str">
        <f>IFERROR(VLOOKUP(A615,'Salary Calculation'!A614:F1611,2,0),"")</f>
        <v/>
      </c>
      <c r="C615" s="105" t="str">
        <f>IFERROR(VLOOKUP(A615,'Salary Calculation'!$A$2:$V$999,3,0),"")</f>
        <v/>
      </c>
      <c r="D615" s="105" t="str">
        <f>IFERROR(VLOOKUP(A615,'Salary Calculation'!$A$2:$V$999,6,0),"")</f>
        <v/>
      </c>
      <c r="E615" s="105" t="str">
        <f>IFERROR(VLOOKUP(A615,'Salary Calculation'!$A$2:$V$999,10,0),"")</f>
        <v/>
      </c>
      <c r="F615" s="101"/>
      <c r="G615" s="106" t="str">
        <f>IFERROR(VLOOKUP(A615,'Salary Calculation'!$A$2:$V$999,7,0),"")</f>
        <v/>
      </c>
      <c r="H615" s="100"/>
      <c r="I615" s="101"/>
      <c r="J615" s="101"/>
      <c r="K615" s="101"/>
      <c r="L615" s="101"/>
      <c r="M615" s="101"/>
      <c r="N615" s="101"/>
      <c r="O615" s="101"/>
      <c r="P615" s="101"/>
      <c r="Q615" s="101"/>
      <c r="R615" s="101"/>
      <c r="S615" s="101"/>
      <c r="T615" s="101"/>
      <c r="U615" s="101"/>
      <c r="V615" s="101"/>
      <c r="W615" s="101"/>
      <c r="X615" s="101"/>
      <c r="Y615" s="101"/>
      <c r="Z615" s="101"/>
      <c r="AA615" s="101"/>
      <c r="AB615" s="101"/>
    </row>
    <row r="616">
      <c r="A616" s="104" t="s">
        <v>753</v>
      </c>
      <c r="B616" s="105" t="str">
        <f>IFERROR(VLOOKUP(A616,'Salary Calculation'!A615:F1612,2,0),"")</f>
        <v/>
      </c>
      <c r="C616" s="105" t="str">
        <f>IFERROR(VLOOKUP(A616,'Salary Calculation'!$A$2:$V$999,3,0),"")</f>
        <v/>
      </c>
      <c r="D616" s="105" t="str">
        <f>IFERROR(VLOOKUP(A616,'Salary Calculation'!$A$2:$V$999,6,0),"")</f>
        <v/>
      </c>
      <c r="E616" s="105" t="str">
        <f>IFERROR(VLOOKUP(A616,'Salary Calculation'!$A$2:$V$999,10,0),"")</f>
        <v/>
      </c>
      <c r="F616" s="101"/>
      <c r="G616" s="106" t="str">
        <f>IFERROR(VLOOKUP(A616,'Salary Calculation'!$A$2:$V$999,7,0),"")</f>
        <v/>
      </c>
      <c r="H616" s="100"/>
      <c r="I616" s="101"/>
      <c r="J616" s="101"/>
      <c r="K616" s="101"/>
      <c r="L616" s="101"/>
      <c r="M616" s="101"/>
      <c r="N616" s="101"/>
      <c r="O616" s="101"/>
      <c r="P616" s="101"/>
      <c r="Q616" s="101"/>
      <c r="R616" s="101"/>
      <c r="S616" s="101"/>
      <c r="T616" s="101"/>
      <c r="U616" s="101"/>
      <c r="V616" s="101"/>
      <c r="W616" s="101"/>
      <c r="X616" s="101"/>
      <c r="Y616" s="101"/>
      <c r="Z616" s="101"/>
      <c r="AA616" s="101"/>
      <c r="AB616" s="101"/>
    </row>
    <row r="617">
      <c r="A617" s="104" t="s">
        <v>754</v>
      </c>
      <c r="B617" s="105" t="str">
        <f>IFERROR(VLOOKUP(A617,'Salary Calculation'!A616:F1613,2,0),"")</f>
        <v/>
      </c>
      <c r="C617" s="105" t="str">
        <f>IFERROR(VLOOKUP(A617,'Salary Calculation'!$A$2:$V$999,3,0),"")</f>
        <v/>
      </c>
      <c r="D617" s="105" t="str">
        <f>IFERROR(VLOOKUP(A617,'Salary Calculation'!$A$2:$V$999,6,0),"")</f>
        <v/>
      </c>
      <c r="E617" s="105" t="str">
        <f>IFERROR(VLOOKUP(A617,'Salary Calculation'!$A$2:$V$999,10,0),"")</f>
        <v/>
      </c>
      <c r="F617" s="101"/>
      <c r="G617" s="106" t="str">
        <f>IFERROR(VLOOKUP(A617,'Salary Calculation'!$A$2:$V$999,7,0),"")</f>
        <v/>
      </c>
      <c r="H617" s="100"/>
      <c r="I617" s="101"/>
      <c r="J617" s="101"/>
      <c r="K617" s="101"/>
      <c r="L617" s="101"/>
      <c r="M617" s="101"/>
      <c r="N617" s="101"/>
      <c r="O617" s="101"/>
      <c r="P617" s="101"/>
      <c r="Q617" s="101"/>
      <c r="R617" s="101"/>
      <c r="S617" s="101"/>
      <c r="T617" s="101"/>
      <c r="U617" s="101"/>
      <c r="V617" s="101"/>
      <c r="W617" s="101"/>
      <c r="X617" s="101"/>
      <c r="Y617" s="101"/>
      <c r="Z617" s="101"/>
      <c r="AA617" s="101"/>
      <c r="AB617" s="101"/>
    </row>
    <row r="618">
      <c r="A618" s="104" t="s">
        <v>755</v>
      </c>
      <c r="B618" s="105" t="str">
        <f>IFERROR(VLOOKUP(A618,'Salary Calculation'!A617:F1614,2,0),"")</f>
        <v/>
      </c>
      <c r="C618" s="105" t="str">
        <f>IFERROR(VLOOKUP(A618,'Salary Calculation'!$A$2:$V$999,3,0),"")</f>
        <v/>
      </c>
      <c r="D618" s="105" t="str">
        <f>IFERROR(VLOOKUP(A618,'Salary Calculation'!$A$2:$V$999,6,0),"")</f>
        <v/>
      </c>
      <c r="E618" s="105" t="str">
        <f>IFERROR(VLOOKUP(A618,'Salary Calculation'!$A$2:$V$999,10,0),"")</f>
        <v/>
      </c>
      <c r="F618" s="101"/>
      <c r="G618" s="106" t="str">
        <f>IFERROR(VLOOKUP(A618,'Salary Calculation'!$A$2:$V$999,7,0),"")</f>
        <v/>
      </c>
      <c r="H618" s="100"/>
      <c r="I618" s="101"/>
      <c r="J618" s="101"/>
      <c r="K618" s="101"/>
      <c r="L618" s="101"/>
      <c r="M618" s="101"/>
      <c r="N618" s="101"/>
      <c r="O618" s="101"/>
      <c r="P618" s="101"/>
      <c r="Q618" s="101"/>
      <c r="R618" s="101"/>
      <c r="S618" s="101"/>
      <c r="T618" s="101"/>
      <c r="U618" s="101"/>
      <c r="V618" s="101"/>
      <c r="W618" s="101"/>
      <c r="X618" s="101"/>
      <c r="Y618" s="101"/>
      <c r="Z618" s="101"/>
      <c r="AA618" s="101"/>
      <c r="AB618" s="101"/>
    </row>
    <row r="619">
      <c r="A619" s="104" t="s">
        <v>756</v>
      </c>
      <c r="B619" s="105" t="str">
        <f>IFERROR(VLOOKUP(A619,'Salary Calculation'!A618:F1615,2,0),"")</f>
        <v/>
      </c>
      <c r="C619" s="105" t="str">
        <f>IFERROR(VLOOKUP(A619,'Salary Calculation'!$A$2:$V$999,3,0),"")</f>
        <v/>
      </c>
      <c r="D619" s="105" t="str">
        <f>IFERROR(VLOOKUP(A619,'Salary Calculation'!$A$2:$V$999,6,0),"")</f>
        <v/>
      </c>
      <c r="E619" s="105" t="str">
        <f>IFERROR(VLOOKUP(A619,'Salary Calculation'!$A$2:$V$999,10,0),"")</f>
        <v/>
      </c>
      <c r="F619" s="101"/>
      <c r="G619" s="106" t="str">
        <f>IFERROR(VLOOKUP(A619,'Salary Calculation'!$A$2:$V$999,7,0),"")</f>
        <v/>
      </c>
      <c r="H619" s="100"/>
      <c r="I619" s="101"/>
      <c r="J619" s="101"/>
      <c r="K619" s="101"/>
      <c r="L619" s="101"/>
      <c r="M619" s="101"/>
      <c r="N619" s="101"/>
      <c r="O619" s="101"/>
      <c r="P619" s="101"/>
      <c r="Q619" s="101"/>
      <c r="R619" s="101"/>
      <c r="S619" s="101"/>
      <c r="T619" s="101"/>
      <c r="U619" s="101"/>
      <c r="V619" s="101"/>
      <c r="W619" s="101"/>
      <c r="X619" s="101"/>
      <c r="Y619" s="101"/>
      <c r="Z619" s="101"/>
      <c r="AA619" s="101"/>
      <c r="AB619" s="101"/>
    </row>
    <row r="620">
      <c r="A620" s="104" t="s">
        <v>757</v>
      </c>
      <c r="B620" s="105" t="str">
        <f>IFERROR(VLOOKUP(A620,'Salary Calculation'!A619:F1616,2,0),"")</f>
        <v/>
      </c>
      <c r="C620" s="105" t="str">
        <f>IFERROR(VLOOKUP(A620,'Salary Calculation'!$A$2:$V$999,3,0),"")</f>
        <v/>
      </c>
      <c r="D620" s="105" t="str">
        <f>IFERROR(VLOOKUP(A620,'Salary Calculation'!$A$2:$V$999,6,0),"")</f>
        <v/>
      </c>
      <c r="E620" s="105" t="str">
        <f>IFERROR(VLOOKUP(A620,'Salary Calculation'!$A$2:$V$999,10,0),"")</f>
        <v/>
      </c>
      <c r="F620" s="101"/>
      <c r="G620" s="106" t="str">
        <f>IFERROR(VLOOKUP(A620,'Salary Calculation'!$A$2:$V$999,7,0),"")</f>
        <v/>
      </c>
      <c r="H620" s="100"/>
      <c r="I620" s="101"/>
      <c r="J620" s="101"/>
      <c r="K620" s="101"/>
      <c r="L620" s="101"/>
      <c r="M620" s="101"/>
      <c r="N620" s="101"/>
      <c r="O620" s="101"/>
      <c r="P620" s="101"/>
      <c r="Q620" s="101"/>
      <c r="R620" s="101"/>
      <c r="S620" s="101"/>
      <c r="T620" s="101"/>
      <c r="U620" s="101"/>
      <c r="V620" s="101"/>
      <c r="W620" s="101"/>
      <c r="X620" s="101"/>
      <c r="Y620" s="101"/>
      <c r="Z620" s="101"/>
      <c r="AA620" s="101"/>
      <c r="AB620" s="101"/>
    </row>
    <row r="621">
      <c r="A621" s="104" t="s">
        <v>758</v>
      </c>
      <c r="B621" s="105" t="str">
        <f>IFERROR(VLOOKUP(A621,'Salary Calculation'!A620:F1617,2,0),"")</f>
        <v/>
      </c>
      <c r="C621" s="105" t="str">
        <f>IFERROR(VLOOKUP(A621,'Salary Calculation'!$A$2:$V$999,3,0),"")</f>
        <v/>
      </c>
      <c r="D621" s="105" t="str">
        <f>IFERROR(VLOOKUP(A621,'Salary Calculation'!$A$2:$V$999,6,0),"")</f>
        <v/>
      </c>
      <c r="E621" s="105" t="str">
        <f>IFERROR(VLOOKUP(A621,'Salary Calculation'!$A$2:$V$999,10,0),"")</f>
        <v/>
      </c>
      <c r="F621" s="101"/>
      <c r="G621" s="106" t="str">
        <f>IFERROR(VLOOKUP(A621,'Salary Calculation'!$A$2:$V$999,7,0),"")</f>
        <v/>
      </c>
      <c r="H621" s="100"/>
      <c r="I621" s="101"/>
      <c r="J621" s="101"/>
      <c r="K621" s="101"/>
      <c r="L621" s="101"/>
      <c r="M621" s="101"/>
      <c r="N621" s="101"/>
      <c r="O621" s="101"/>
      <c r="P621" s="101"/>
      <c r="Q621" s="101"/>
      <c r="R621" s="101"/>
      <c r="S621" s="101"/>
      <c r="T621" s="101"/>
      <c r="U621" s="101"/>
      <c r="V621" s="101"/>
      <c r="W621" s="101"/>
      <c r="X621" s="101"/>
      <c r="Y621" s="101"/>
      <c r="Z621" s="101"/>
      <c r="AA621" s="101"/>
      <c r="AB621" s="101"/>
    </row>
    <row r="622">
      <c r="A622" s="104" t="s">
        <v>759</v>
      </c>
      <c r="B622" s="105" t="str">
        <f>IFERROR(VLOOKUP(A622,'Salary Calculation'!A621:F1618,2,0),"")</f>
        <v/>
      </c>
      <c r="C622" s="105" t="str">
        <f>IFERROR(VLOOKUP(A622,'Salary Calculation'!$A$2:$V$999,3,0),"")</f>
        <v/>
      </c>
      <c r="D622" s="105" t="str">
        <f>IFERROR(VLOOKUP(A622,'Salary Calculation'!$A$2:$V$999,6,0),"")</f>
        <v/>
      </c>
      <c r="E622" s="105" t="str">
        <f>IFERROR(VLOOKUP(A622,'Salary Calculation'!$A$2:$V$999,10,0),"")</f>
        <v/>
      </c>
      <c r="F622" s="101"/>
      <c r="G622" s="106" t="str">
        <f>IFERROR(VLOOKUP(A622,'Salary Calculation'!$A$2:$V$999,7,0),"")</f>
        <v/>
      </c>
      <c r="H622" s="100"/>
      <c r="I622" s="101"/>
      <c r="J622" s="101"/>
      <c r="K622" s="101"/>
      <c r="L622" s="101"/>
      <c r="M622" s="101"/>
      <c r="N622" s="101"/>
      <c r="O622" s="101"/>
      <c r="P622" s="101"/>
      <c r="Q622" s="101"/>
      <c r="R622" s="101"/>
      <c r="S622" s="101"/>
      <c r="T622" s="101"/>
      <c r="U622" s="101"/>
      <c r="V622" s="101"/>
      <c r="W622" s="101"/>
      <c r="X622" s="101"/>
      <c r="Y622" s="101"/>
      <c r="Z622" s="101"/>
      <c r="AA622" s="101"/>
      <c r="AB622" s="101"/>
    </row>
    <row r="623">
      <c r="A623" s="104" t="s">
        <v>760</v>
      </c>
      <c r="B623" s="105" t="str">
        <f>IFERROR(VLOOKUP(A623,'Salary Calculation'!A622:F1619,2,0),"")</f>
        <v/>
      </c>
      <c r="C623" s="105" t="str">
        <f>IFERROR(VLOOKUP(A623,'Salary Calculation'!$A$2:$V$999,3,0),"")</f>
        <v/>
      </c>
      <c r="D623" s="105" t="str">
        <f>IFERROR(VLOOKUP(A623,'Salary Calculation'!$A$2:$V$999,6,0),"")</f>
        <v/>
      </c>
      <c r="E623" s="105" t="str">
        <f>IFERROR(VLOOKUP(A623,'Salary Calculation'!$A$2:$V$999,10,0),"")</f>
        <v/>
      </c>
      <c r="F623" s="101"/>
      <c r="G623" s="106" t="str">
        <f>IFERROR(VLOOKUP(A623,'Salary Calculation'!$A$2:$V$999,7,0),"")</f>
        <v/>
      </c>
      <c r="H623" s="100"/>
      <c r="I623" s="101"/>
      <c r="J623" s="101"/>
      <c r="K623" s="101"/>
      <c r="L623" s="101"/>
      <c r="M623" s="101"/>
      <c r="N623" s="101"/>
      <c r="O623" s="101"/>
      <c r="P623" s="101"/>
      <c r="Q623" s="101"/>
      <c r="R623" s="101"/>
      <c r="S623" s="101"/>
      <c r="T623" s="101"/>
      <c r="U623" s="101"/>
      <c r="V623" s="101"/>
      <c r="W623" s="101"/>
      <c r="X623" s="101"/>
      <c r="Y623" s="101"/>
      <c r="Z623" s="101"/>
      <c r="AA623" s="101"/>
      <c r="AB623" s="101"/>
    </row>
    <row r="624">
      <c r="A624" s="104" t="s">
        <v>761</v>
      </c>
      <c r="B624" s="105" t="str">
        <f>IFERROR(VLOOKUP(A624,'Salary Calculation'!A623:F1620,2,0),"")</f>
        <v/>
      </c>
      <c r="C624" s="105" t="str">
        <f>IFERROR(VLOOKUP(A624,'Salary Calculation'!$A$2:$V$999,3,0),"")</f>
        <v/>
      </c>
      <c r="D624" s="105" t="str">
        <f>IFERROR(VLOOKUP(A624,'Salary Calculation'!$A$2:$V$999,6,0),"")</f>
        <v/>
      </c>
      <c r="E624" s="105" t="str">
        <f>IFERROR(VLOOKUP(A624,'Salary Calculation'!$A$2:$V$999,10,0),"")</f>
        <v/>
      </c>
      <c r="F624" s="101"/>
      <c r="G624" s="106" t="str">
        <f>IFERROR(VLOOKUP(A624,'Salary Calculation'!$A$2:$V$999,7,0),"")</f>
        <v/>
      </c>
      <c r="H624" s="100"/>
      <c r="I624" s="101"/>
      <c r="J624" s="101"/>
      <c r="K624" s="101"/>
      <c r="L624" s="101"/>
      <c r="M624" s="101"/>
      <c r="N624" s="101"/>
      <c r="O624" s="101"/>
      <c r="P624" s="101"/>
      <c r="Q624" s="101"/>
      <c r="R624" s="101"/>
      <c r="S624" s="101"/>
      <c r="T624" s="101"/>
      <c r="U624" s="101"/>
      <c r="V624" s="101"/>
      <c r="W624" s="101"/>
      <c r="X624" s="101"/>
      <c r="Y624" s="101"/>
      <c r="Z624" s="101"/>
      <c r="AA624" s="101"/>
      <c r="AB624" s="101"/>
    </row>
    <row r="625">
      <c r="A625" s="104" t="s">
        <v>762</v>
      </c>
      <c r="B625" s="105" t="str">
        <f>IFERROR(VLOOKUP(A625,'Salary Calculation'!A624:F1621,2,0),"")</f>
        <v/>
      </c>
      <c r="C625" s="105" t="str">
        <f>IFERROR(VLOOKUP(A625,'Salary Calculation'!$A$2:$V$999,3,0),"")</f>
        <v/>
      </c>
      <c r="D625" s="105" t="str">
        <f>IFERROR(VLOOKUP(A625,'Salary Calculation'!$A$2:$V$999,6,0),"")</f>
        <v/>
      </c>
      <c r="E625" s="105" t="str">
        <f>IFERROR(VLOOKUP(A625,'Salary Calculation'!$A$2:$V$999,10,0),"")</f>
        <v/>
      </c>
      <c r="F625" s="101"/>
      <c r="G625" s="106" t="str">
        <f>IFERROR(VLOOKUP(A625,'Salary Calculation'!$A$2:$V$999,7,0),"")</f>
        <v/>
      </c>
      <c r="H625" s="100"/>
      <c r="I625" s="101"/>
      <c r="J625" s="101"/>
      <c r="K625" s="101"/>
      <c r="L625" s="101"/>
      <c r="M625" s="101"/>
      <c r="N625" s="101"/>
      <c r="O625" s="101"/>
      <c r="P625" s="101"/>
      <c r="Q625" s="101"/>
      <c r="R625" s="101"/>
      <c r="S625" s="101"/>
      <c r="T625" s="101"/>
      <c r="U625" s="101"/>
      <c r="V625" s="101"/>
      <c r="W625" s="101"/>
      <c r="X625" s="101"/>
      <c r="Y625" s="101"/>
      <c r="Z625" s="101"/>
      <c r="AA625" s="101"/>
      <c r="AB625" s="101"/>
    </row>
    <row r="626">
      <c r="A626" s="104" t="s">
        <v>763</v>
      </c>
      <c r="B626" s="105" t="str">
        <f>IFERROR(VLOOKUP(A626,'Salary Calculation'!A625:F1622,2,0),"")</f>
        <v/>
      </c>
      <c r="C626" s="105" t="str">
        <f>IFERROR(VLOOKUP(A626,'Salary Calculation'!$A$2:$V$999,3,0),"")</f>
        <v/>
      </c>
      <c r="D626" s="105" t="str">
        <f>IFERROR(VLOOKUP(A626,'Salary Calculation'!$A$2:$V$999,6,0),"")</f>
        <v/>
      </c>
      <c r="E626" s="105" t="str">
        <f>IFERROR(VLOOKUP(A626,'Salary Calculation'!$A$2:$V$999,10,0),"")</f>
        <v/>
      </c>
      <c r="F626" s="101"/>
      <c r="G626" s="106" t="str">
        <f>IFERROR(VLOOKUP(A626,'Salary Calculation'!$A$2:$V$999,7,0),"")</f>
        <v/>
      </c>
      <c r="H626" s="100"/>
      <c r="I626" s="101"/>
      <c r="J626" s="101"/>
      <c r="K626" s="101"/>
      <c r="L626" s="101"/>
      <c r="M626" s="101"/>
      <c r="N626" s="101"/>
      <c r="O626" s="101"/>
      <c r="P626" s="101"/>
      <c r="Q626" s="101"/>
      <c r="R626" s="101"/>
      <c r="S626" s="101"/>
      <c r="T626" s="101"/>
      <c r="U626" s="101"/>
      <c r="V626" s="101"/>
      <c r="W626" s="101"/>
      <c r="X626" s="101"/>
      <c r="Y626" s="101"/>
      <c r="Z626" s="101"/>
      <c r="AA626" s="101"/>
      <c r="AB626" s="101"/>
    </row>
    <row r="627">
      <c r="A627" s="104" t="s">
        <v>764</v>
      </c>
      <c r="B627" s="105" t="str">
        <f>IFERROR(VLOOKUP(A627,'Salary Calculation'!A626:F1623,2,0),"")</f>
        <v/>
      </c>
      <c r="C627" s="105" t="str">
        <f>IFERROR(VLOOKUP(A627,'Salary Calculation'!$A$2:$V$999,3,0),"")</f>
        <v/>
      </c>
      <c r="D627" s="105" t="str">
        <f>IFERROR(VLOOKUP(A627,'Salary Calculation'!$A$2:$V$999,6,0),"")</f>
        <v/>
      </c>
      <c r="E627" s="105" t="str">
        <f>IFERROR(VLOOKUP(A627,'Salary Calculation'!$A$2:$V$999,10,0),"")</f>
        <v/>
      </c>
      <c r="F627" s="101"/>
      <c r="G627" s="106" t="str">
        <f>IFERROR(VLOOKUP(A627,'Salary Calculation'!$A$2:$V$999,7,0),"")</f>
        <v/>
      </c>
      <c r="H627" s="100"/>
      <c r="I627" s="101"/>
      <c r="J627" s="101"/>
      <c r="K627" s="101"/>
      <c r="L627" s="101"/>
      <c r="M627" s="101"/>
      <c r="N627" s="101"/>
      <c r="O627" s="101"/>
      <c r="P627" s="101"/>
      <c r="Q627" s="101"/>
      <c r="R627" s="101"/>
      <c r="S627" s="101"/>
      <c r="T627" s="101"/>
      <c r="U627" s="101"/>
      <c r="V627" s="101"/>
      <c r="W627" s="101"/>
      <c r="X627" s="101"/>
      <c r="Y627" s="101"/>
      <c r="Z627" s="101"/>
      <c r="AA627" s="101"/>
      <c r="AB627" s="101"/>
    </row>
    <row r="628">
      <c r="A628" s="104" t="s">
        <v>765</v>
      </c>
      <c r="B628" s="105" t="str">
        <f>IFERROR(VLOOKUP(A628,'Salary Calculation'!A627:F1624,2,0),"")</f>
        <v/>
      </c>
      <c r="C628" s="105" t="str">
        <f>IFERROR(VLOOKUP(A628,'Salary Calculation'!$A$2:$V$999,3,0),"")</f>
        <v/>
      </c>
      <c r="D628" s="105" t="str">
        <f>IFERROR(VLOOKUP(A628,'Salary Calculation'!$A$2:$V$999,6,0),"")</f>
        <v/>
      </c>
      <c r="E628" s="105" t="str">
        <f>IFERROR(VLOOKUP(A628,'Salary Calculation'!$A$2:$V$999,10,0),"")</f>
        <v/>
      </c>
      <c r="F628" s="101"/>
      <c r="G628" s="106" t="str">
        <f>IFERROR(VLOOKUP(A628,'Salary Calculation'!$A$2:$V$999,7,0),"")</f>
        <v/>
      </c>
      <c r="H628" s="100"/>
      <c r="I628" s="101"/>
      <c r="J628" s="101"/>
      <c r="K628" s="101"/>
      <c r="L628" s="101"/>
      <c r="M628" s="101"/>
      <c r="N628" s="101"/>
      <c r="O628" s="101"/>
      <c r="P628" s="101"/>
      <c r="Q628" s="101"/>
      <c r="R628" s="101"/>
      <c r="S628" s="101"/>
      <c r="T628" s="101"/>
      <c r="U628" s="101"/>
      <c r="V628" s="101"/>
      <c r="W628" s="101"/>
      <c r="X628" s="101"/>
      <c r="Y628" s="101"/>
      <c r="Z628" s="101"/>
      <c r="AA628" s="101"/>
      <c r="AB628" s="101"/>
    </row>
    <row r="629">
      <c r="A629" s="104" t="s">
        <v>766</v>
      </c>
      <c r="B629" s="105" t="str">
        <f>IFERROR(VLOOKUP(A629,'Salary Calculation'!A628:F1625,2,0),"")</f>
        <v/>
      </c>
      <c r="C629" s="105" t="str">
        <f>IFERROR(VLOOKUP(A629,'Salary Calculation'!$A$2:$V$999,3,0),"")</f>
        <v/>
      </c>
      <c r="D629" s="105" t="str">
        <f>IFERROR(VLOOKUP(A629,'Salary Calculation'!$A$2:$V$999,6,0),"")</f>
        <v/>
      </c>
      <c r="E629" s="105" t="str">
        <f>IFERROR(VLOOKUP(A629,'Salary Calculation'!$A$2:$V$999,10,0),"")</f>
        <v/>
      </c>
      <c r="F629" s="101"/>
      <c r="G629" s="106" t="str">
        <f>IFERROR(VLOOKUP(A629,'Salary Calculation'!$A$2:$V$999,7,0),"")</f>
        <v/>
      </c>
      <c r="H629" s="100"/>
      <c r="I629" s="101"/>
      <c r="J629" s="101"/>
      <c r="K629" s="101"/>
      <c r="L629" s="101"/>
      <c r="M629" s="101"/>
      <c r="N629" s="101"/>
      <c r="O629" s="101"/>
      <c r="P629" s="101"/>
      <c r="Q629" s="101"/>
      <c r="R629" s="101"/>
      <c r="S629" s="101"/>
      <c r="T629" s="101"/>
      <c r="U629" s="101"/>
      <c r="V629" s="101"/>
      <c r="W629" s="101"/>
      <c r="X629" s="101"/>
      <c r="Y629" s="101"/>
      <c r="Z629" s="101"/>
      <c r="AA629" s="101"/>
      <c r="AB629" s="101"/>
    </row>
    <row r="630">
      <c r="A630" s="104" t="s">
        <v>767</v>
      </c>
      <c r="B630" s="105" t="str">
        <f>IFERROR(VLOOKUP(A630,'Salary Calculation'!A629:F1626,2,0),"")</f>
        <v/>
      </c>
      <c r="C630" s="105" t="str">
        <f>IFERROR(VLOOKUP(A630,'Salary Calculation'!$A$2:$V$999,3,0),"")</f>
        <v/>
      </c>
      <c r="D630" s="105" t="str">
        <f>IFERROR(VLOOKUP(A630,'Salary Calculation'!$A$2:$V$999,6,0),"")</f>
        <v/>
      </c>
      <c r="E630" s="105" t="str">
        <f>IFERROR(VLOOKUP(A630,'Salary Calculation'!$A$2:$V$999,10,0),"")</f>
        <v/>
      </c>
      <c r="F630" s="101"/>
      <c r="G630" s="106" t="str">
        <f>IFERROR(VLOOKUP(A630,'Salary Calculation'!$A$2:$V$999,7,0),"")</f>
        <v/>
      </c>
      <c r="H630" s="100"/>
      <c r="I630" s="101"/>
      <c r="J630" s="101"/>
      <c r="K630" s="101"/>
      <c r="L630" s="101"/>
      <c r="M630" s="101"/>
      <c r="N630" s="101"/>
      <c r="O630" s="101"/>
      <c r="P630" s="101"/>
      <c r="Q630" s="101"/>
      <c r="R630" s="101"/>
      <c r="S630" s="101"/>
      <c r="T630" s="101"/>
      <c r="U630" s="101"/>
      <c r="V630" s="101"/>
      <c r="W630" s="101"/>
      <c r="X630" s="101"/>
      <c r="Y630" s="101"/>
      <c r="Z630" s="101"/>
      <c r="AA630" s="101"/>
      <c r="AB630" s="101"/>
    </row>
    <row r="631">
      <c r="A631" s="104" t="s">
        <v>768</v>
      </c>
      <c r="B631" s="105" t="str">
        <f>IFERROR(VLOOKUP(A631,'Salary Calculation'!A630:F1627,2,0),"")</f>
        <v/>
      </c>
      <c r="C631" s="105" t="str">
        <f>IFERROR(VLOOKUP(A631,'Salary Calculation'!$A$2:$V$999,3,0),"")</f>
        <v/>
      </c>
      <c r="D631" s="105" t="str">
        <f>IFERROR(VLOOKUP(A631,'Salary Calculation'!$A$2:$V$999,6,0),"")</f>
        <v/>
      </c>
      <c r="E631" s="105" t="str">
        <f>IFERROR(VLOOKUP(A631,'Salary Calculation'!$A$2:$V$999,10,0),"")</f>
        <v/>
      </c>
      <c r="F631" s="101"/>
      <c r="G631" s="106" t="str">
        <f>IFERROR(VLOOKUP(A631,'Salary Calculation'!$A$2:$V$999,7,0),"")</f>
        <v/>
      </c>
      <c r="H631" s="100"/>
      <c r="I631" s="101"/>
      <c r="J631" s="101"/>
      <c r="K631" s="101"/>
      <c r="L631" s="101"/>
      <c r="M631" s="101"/>
      <c r="N631" s="101"/>
      <c r="O631" s="101"/>
      <c r="P631" s="101"/>
      <c r="Q631" s="101"/>
      <c r="R631" s="101"/>
      <c r="S631" s="101"/>
      <c r="T631" s="101"/>
      <c r="U631" s="101"/>
      <c r="V631" s="101"/>
      <c r="W631" s="101"/>
      <c r="X631" s="101"/>
      <c r="Y631" s="101"/>
      <c r="Z631" s="101"/>
      <c r="AA631" s="101"/>
      <c r="AB631" s="101"/>
    </row>
    <row r="632">
      <c r="A632" s="104" t="s">
        <v>769</v>
      </c>
      <c r="B632" s="105" t="str">
        <f>IFERROR(VLOOKUP(A632,'Salary Calculation'!A631:F1628,2,0),"")</f>
        <v/>
      </c>
      <c r="C632" s="105" t="str">
        <f>IFERROR(VLOOKUP(A632,'Salary Calculation'!$A$2:$V$999,3,0),"")</f>
        <v/>
      </c>
      <c r="D632" s="105" t="str">
        <f>IFERROR(VLOOKUP(A632,'Salary Calculation'!$A$2:$V$999,6,0),"")</f>
        <v/>
      </c>
      <c r="E632" s="105" t="str">
        <f>IFERROR(VLOOKUP(A632,'Salary Calculation'!$A$2:$V$999,10,0),"")</f>
        <v/>
      </c>
      <c r="F632" s="101"/>
      <c r="G632" s="106" t="str">
        <f>IFERROR(VLOOKUP(A632,'Salary Calculation'!$A$2:$V$999,7,0),"")</f>
        <v/>
      </c>
      <c r="H632" s="100"/>
      <c r="I632" s="101"/>
      <c r="J632" s="101"/>
      <c r="K632" s="101"/>
      <c r="L632" s="101"/>
      <c r="M632" s="101"/>
      <c r="N632" s="101"/>
      <c r="O632" s="101"/>
      <c r="P632" s="101"/>
      <c r="Q632" s="101"/>
      <c r="R632" s="101"/>
      <c r="S632" s="101"/>
      <c r="T632" s="101"/>
      <c r="U632" s="101"/>
      <c r="V632" s="101"/>
      <c r="W632" s="101"/>
      <c r="X632" s="101"/>
      <c r="Y632" s="101"/>
      <c r="Z632" s="101"/>
      <c r="AA632" s="101"/>
      <c r="AB632" s="101"/>
    </row>
    <row r="633">
      <c r="A633" s="104" t="s">
        <v>770</v>
      </c>
      <c r="B633" s="105" t="str">
        <f>IFERROR(VLOOKUP(A633,'Salary Calculation'!A632:F1629,2,0),"")</f>
        <v/>
      </c>
      <c r="C633" s="105" t="str">
        <f>IFERROR(VLOOKUP(A633,'Salary Calculation'!$A$2:$V$999,3,0),"")</f>
        <v/>
      </c>
      <c r="D633" s="105" t="str">
        <f>IFERROR(VLOOKUP(A633,'Salary Calculation'!$A$2:$V$999,6,0),"")</f>
        <v/>
      </c>
      <c r="E633" s="105" t="str">
        <f>IFERROR(VLOOKUP(A633,'Salary Calculation'!$A$2:$V$999,10,0),"")</f>
        <v/>
      </c>
      <c r="F633" s="101"/>
      <c r="G633" s="106" t="str">
        <f>IFERROR(VLOOKUP(A633,'Salary Calculation'!$A$2:$V$999,7,0),"")</f>
        <v/>
      </c>
      <c r="H633" s="100"/>
      <c r="I633" s="101"/>
      <c r="J633" s="101"/>
      <c r="K633" s="101"/>
      <c r="L633" s="101"/>
      <c r="M633" s="101"/>
      <c r="N633" s="101"/>
      <c r="O633" s="101"/>
      <c r="P633" s="101"/>
      <c r="Q633" s="101"/>
      <c r="R633" s="101"/>
      <c r="S633" s="101"/>
      <c r="T633" s="101"/>
      <c r="U633" s="101"/>
      <c r="V633" s="101"/>
      <c r="W633" s="101"/>
      <c r="X633" s="101"/>
      <c r="Y633" s="101"/>
      <c r="Z633" s="101"/>
      <c r="AA633" s="101"/>
      <c r="AB633" s="101"/>
    </row>
    <row r="634">
      <c r="A634" s="104" t="s">
        <v>771</v>
      </c>
      <c r="B634" s="105" t="str">
        <f>IFERROR(VLOOKUP(A634,'Salary Calculation'!A633:F1630,2,0),"")</f>
        <v/>
      </c>
      <c r="C634" s="105" t="str">
        <f>IFERROR(VLOOKUP(A634,'Salary Calculation'!$A$2:$V$999,3,0),"")</f>
        <v/>
      </c>
      <c r="D634" s="105" t="str">
        <f>IFERROR(VLOOKUP(A634,'Salary Calculation'!$A$2:$V$999,6,0),"")</f>
        <v/>
      </c>
      <c r="E634" s="105" t="str">
        <f>IFERROR(VLOOKUP(A634,'Salary Calculation'!$A$2:$V$999,10,0),"")</f>
        <v/>
      </c>
      <c r="F634" s="101"/>
      <c r="G634" s="106" t="str">
        <f>IFERROR(VLOOKUP(A634,'Salary Calculation'!$A$2:$V$999,7,0),"")</f>
        <v/>
      </c>
      <c r="H634" s="100"/>
      <c r="I634" s="101"/>
      <c r="J634" s="101"/>
      <c r="K634" s="101"/>
      <c r="L634" s="101"/>
      <c r="M634" s="101"/>
      <c r="N634" s="101"/>
      <c r="O634" s="101"/>
      <c r="P634" s="101"/>
      <c r="Q634" s="101"/>
      <c r="R634" s="101"/>
      <c r="S634" s="101"/>
      <c r="T634" s="101"/>
      <c r="U634" s="101"/>
      <c r="V634" s="101"/>
      <c r="W634" s="101"/>
      <c r="X634" s="101"/>
      <c r="Y634" s="101"/>
      <c r="Z634" s="101"/>
      <c r="AA634" s="101"/>
      <c r="AB634" s="101"/>
    </row>
    <row r="635">
      <c r="A635" s="104" t="s">
        <v>772</v>
      </c>
      <c r="B635" s="105" t="str">
        <f>IFERROR(VLOOKUP(A635,'Salary Calculation'!A634:F1631,2,0),"")</f>
        <v/>
      </c>
      <c r="C635" s="105" t="str">
        <f>IFERROR(VLOOKUP(A635,'Salary Calculation'!$A$2:$V$999,3,0),"")</f>
        <v/>
      </c>
      <c r="D635" s="105" t="str">
        <f>IFERROR(VLOOKUP(A635,'Salary Calculation'!$A$2:$V$999,6,0),"")</f>
        <v/>
      </c>
      <c r="E635" s="105" t="str">
        <f>IFERROR(VLOOKUP(A635,'Salary Calculation'!$A$2:$V$999,10,0),"")</f>
        <v/>
      </c>
      <c r="F635" s="101"/>
      <c r="G635" s="106" t="str">
        <f>IFERROR(VLOOKUP(A635,'Salary Calculation'!$A$2:$V$999,7,0),"")</f>
        <v/>
      </c>
      <c r="H635" s="100"/>
      <c r="I635" s="101"/>
      <c r="J635" s="101"/>
      <c r="K635" s="101"/>
      <c r="L635" s="101"/>
      <c r="M635" s="101"/>
      <c r="N635" s="101"/>
      <c r="O635" s="101"/>
      <c r="P635" s="101"/>
      <c r="Q635" s="101"/>
      <c r="R635" s="101"/>
      <c r="S635" s="101"/>
      <c r="T635" s="101"/>
      <c r="U635" s="101"/>
      <c r="V635" s="101"/>
      <c r="W635" s="101"/>
      <c r="X635" s="101"/>
      <c r="Y635" s="101"/>
      <c r="Z635" s="101"/>
      <c r="AA635" s="101"/>
      <c r="AB635" s="101"/>
    </row>
    <row r="636">
      <c r="A636" s="104" t="s">
        <v>773</v>
      </c>
      <c r="B636" s="105" t="str">
        <f>IFERROR(VLOOKUP(A636,'Salary Calculation'!A635:F1632,2,0),"")</f>
        <v/>
      </c>
      <c r="C636" s="105" t="str">
        <f>IFERROR(VLOOKUP(A636,'Salary Calculation'!$A$2:$V$999,3,0),"")</f>
        <v/>
      </c>
      <c r="D636" s="105" t="str">
        <f>IFERROR(VLOOKUP(A636,'Salary Calculation'!$A$2:$V$999,6,0),"")</f>
        <v/>
      </c>
      <c r="E636" s="105" t="str">
        <f>IFERROR(VLOOKUP(A636,'Salary Calculation'!$A$2:$V$999,10,0),"")</f>
        <v/>
      </c>
      <c r="F636" s="101"/>
      <c r="G636" s="106" t="str">
        <f>IFERROR(VLOOKUP(A636,'Salary Calculation'!$A$2:$V$999,7,0),"")</f>
        <v/>
      </c>
      <c r="H636" s="100"/>
      <c r="I636" s="101"/>
      <c r="J636" s="101"/>
      <c r="K636" s="101"/>
      <c r="L636" s="101"/>
      <c r="M636" s="101"/>
      <c r="N636" s="101"/>
      <c r="O636" s="101"/>
      <c r="P636" s="101"/>
      <c r="Q636" s="101"/>
      <c r="R636" s="101"/>
      <c r="S636" s="101"/>
      <c r="T636" s="101"/>
      <c r="U636" s="101"/>
      <c r="V636" s="101"/>
      <c r="W636" s="101"/>
      <c r="X636" s="101"/>
      <c r="Y636" s="101"/>
      <c r="Z636" s="101"/>
      <c r="AA636" s="101"/>
      <c r="AB636" s="101"/>
    </row>
    <row r="637">
      <c r="A637" s="104" t="s">
        <v>774</v>
      </c>
      <c r="B637" s="105" t="str">
        <f>IFERROR(VLOOKUP(A637,'Salary Calculation'!A636:F1633,2,0),"")</f>
        <v/>
      </c>
      <c r="C637" s="105" t="str">
        <f>IFERROR(VLOOKUP(A637,'Salary Calculation'!$A$2:$V$999,3,0),"")</f>
        <v/>
      </c>
      <c r="D637" s="105" t="str">
        <f>IFERROR(VLOOKUP(A637,'Salary Calculation'!$A$2:$V$999,6,0),"")</f>
        <v/>
      </c>
      <c r="E637" s="105" t="str">
        <f>IFERROR(VLOOKUP(A637,'Salary Calculation'!$A$2:$V$999,10,0),"")</f>
        <v/>
      </c>
      <c r="F637" s="101"/>
      <c r="G637" s="106" t="str">
        <f>IFERROR(VLOOKUP(A637,'Salary Calculation'!$A$2:$V$999,7,0),"")</f>
        <v/>
      </c>
      <c r="H637" s="100"/>
      <c r="I637" s="101"/>
      <c r="J637" s="101"/>
      <c r="K637" s="101"/>
      <c r="L637" s="101"/>
      <c r="M637" s="101"/>
      <c r="N637" s="101"/>
      <c r="O637" s="101"/>
      <c r="P637" s="101"/>
      <c r="Q637" s="101"/>
      <c r="R637" s="101"/>
      <c r="S637" s="101"/>
      <c r="T637" s="101"/>
      <c r="U637" s="101"/>
      <c r="V637" s="101"/>
      <c r="W637" s="101"/>
      <c r="X637" s="101"/>
      <c r="Y637" s="101"/>
      <c r="Z637" s="101"/>
      <c r="AA637" s="101"/>
      <c r="AB637" s="101"/>
    </row>
    <row r="638">
      <c r="A638" s="104" t="s">
        <v>775</v>
      </c>
      <c r="B638" s="105" t="str">
        <f>IFERROR(VLOOKUP(A638,'Salary Calculation'!A637:F1634,2,0),"")</f>
        <v/>
      </c>
      <c r="C638" s="105" t="str">
        <f>IFERROR(VLOOKUP(A638,'Salary Calculation'!$A$2:$V$999,3,0),"")</f>
        <v/>
      </c>
      <c r="D638" s="105" t="str">
        <f>IFERROR(VLOOKUP(A638,'Salary Calculation'!$A$2:$V$999,6,0),"")</f>
        <v/>
      </c>
      <c r="E638" s="105" t="str">
        <f>IFERROR(VLOOKUP(A638,'Salary Calculation'!$A$2:$V$999,10,0),"")</f>
        <v/>
      </c>
      <c r="F638" s="101"/>
      <c r="G638" s="106" t="str">
        <f>IFERROR(VLOOKUP(A638,'Salary Calculation'!$A$2:$V$999,7,0),"")</f>
        <v/>
      </c>
      <c r="H638" s="100"/>
      <c r="I638" s="101"/>
      <c r="J638" s="101"/>
      <c r="K638" s="101"/>
      <c r="L638" s="101"/>
      <c r="M638" s="101"/>
      <c r="N638" s="101"/>
      <c r="O638" s="101"/>
      <c r="P638" s="101"/>
      <c r="Q638" s="101"/>
      <c r="R638" s="101"/>
      <c r="S638" s="101"/>
      <c r="T638" s="101"/>
      <c r="U638" s="101"/>
      <c r="V638" s="101"/>
      <c r="W638" s="101"/>
      <c r="X638" s="101"/>
      <c r="Y638" s="101"/>
      <c r="Z638" s="101"/>
      <c r="AA638" s="101"/>
      <c r="AB638" s="101"/>
    </row>
    <row r="639">
      <c r="A639" s="104" t="s">
        <v>776</v>
      </c>
      <c r="B639" s="105" t="str">
        <f>IFERROR(VLOOKUP(A639,'Salary Calculation'!A638:F1635,2,0),"")</f>
        <v/>
      </c>
      <c r="C639" s="105" t="str">
        <f>IFERROR(VLOOKUP(A639,'Salary Calculation'!$A$2:$V$999,3,0),"")</f>
        <v/>
      </c>
      <c r="D639" s="105" t="str">
        <f>IFERROR(VLOOKUP(A639,'Salary Calculation'!$A$2:$V$999,6,0),"")</f>
        <v/>
      </c>
      <c r="E639" s="105" t="str">
        <f>IFERROR(VLOOKUP(A639,'Salary Calculation'!$A$2:$V$999,10,0),"")</f>
        <v/>
      </c>
      <c r="F639" s="101"/>
      <c r="G639" s="106" t="str">
        <f>IFERROR(VLOOKUP(A639,'Salary Calculation'!$A$2:$V$999,7,0),"")</f>
        <v/>
      </c>
      <c r="H639" s="100"/>
      <c r="I639" s="101"/>
      <c r="J639" s="101"/>
      <c r="K639" s="101"/>
      <c r="L639" s="101"/>
      <c r="M639" s="101"/>
      <c r="N639" s="101"/>
      <c r="O639" s="101"/>
      <c r="P639" s="101"/>
      <c r="Q639" s="101"/>
      <c r="R639" s="101"/>
      <c r="S639" s="101"/>
      <c r="T639" s="101"/>
      <c r="U639" s="101"/>
      <c r="V639" s="101"/>
      <c r="W639" s="101"/>
      <c r="X639" s="101"/>
      <c r="Y639" s="101"/>
      <c r="Z639" s="101"/>
      <c r="AA639" s="101"/>
      <c r="AB639" s="101"/>
    </row>
    <row r="640">
      <c r="A640" s="104" t="s">
        <v>777</v>
      </c>
      <c r="B640" s="105" t="str">
        <f>IFERROR(VLOOKUP(A640,'Salary Calculation'!A639:F1636,2,0),"")</f>
        <v/>
      </c>
      <c r="C640" s="105" t="str">
        <f>IFERROR(VLOOKUP(A640,'Salary Calculation'!$A$2:$V$999,3,0),"")</f>
        <v/>
      </c>
      <c r="D640" s="105" t="str">
        <f>IFERROR(VLOOKUP(A640,'Salary Calculation'!$A$2:$V$999,6,0),"")</f>
        <v/>
      </c>
      <c r="E640" s="105" t="str">
        <f>IFERROR(VLOOKUP(A640,'Salary Calculation'!$A$2:$V$999,10,0),"")</f>
        <v/>
      </c>
      <c r="F640" s="101"/>
      <c r="G640" s="106" t="str">
        <f>IFERROR(VLOOKUP(A640,'Salary Calculation'!$A$2:$V$999,7,0),"")</f>
        <v/>
      </c>
      <c r="H640" s="100"/>
      <c r="I640" s="101"/>
      <c r="J640" s="101"/>
      <c r="K640" s="101"/>
      <c r="L640" s="101"/>
      <c r="M640" s="101"/>
      <c r="N640" s="101"/>
      <c r="O640" s="101"/>
      <c r="P640" s="101"/>
      <c r="Q640" s="101"/>
      <c r="R640" s="101"/>
      <c r="S640" s="101"/>
      <c r="T640" s="101"/>
      <c r="U640" s="101"/>
      <c r="V640" s="101"/>
      <c r="W640" s="101"/>
      <c r="X640" s="101"/>
      <c r="Y640" s="101"/>
      <c r="Z640" s="101"/>
      <c r="AA640" s="101"/>
      <c r="AB640" s="101"/>
    </row>
    <row r="641">
      <c r="A641" s="104" t="s">
        <v>778</v>
      </c>
      <c r="B641" s="105" t="str">
        <f>IFERROR(VLOOKUP(A641,'Salary Calculation'!A640:F1637,2,0),"")</f>
        <v/>
      </c>
      <c r="C641" s="105" t="str">
        <f>IFERROR(VLOOKUP(A641,'Salary Calculation'!$A$2:$V$999,3,0),"")</f>
        <v/>
      </c>
      <c r="D641" s="105" t="str">
        <f>IFERROR(VLOOKUP(A641,'Salary Calculation'!$A$2:$V$999,6,0),"")</f>
        <v/>
      </c>
      <c r="E641" s="105" t="str">
        <f>IFERROR(VLOOKUP(A641,'Salary Calculation'!$A$2:$V$999,10,0),"")</f>
        <v/>
      </c>
      <c r="F641" s="101"/>
      <c r="G641" s="106" t="str">
        <f>IFERROR(VLOOKUP(A641,'Salary Calculation'!$A$2:$V$999,7,0),"")</f>
        <v/>
      </c>
      <c r="H641" s="100"/>
      <c r="I641" s="101"/>
      <c r="J641" s="101"/>
      <c r="K641" s="101"/>
      <c r="L641" s="101"/>
      <c r="M641" s="101"/>
      <c r="N641" s="101"/>
      <c r="O641" s="101"/>
      <c r="P641" s="101"/>
      <c r="Q641" s="101"/>
      <c r="R641" s="101"/>
      <c r="S641" s="101"/>
      <c r="T641" s="101"/>
      <c r="U641" s="101"/>
      <c r="V641" s="101"/>
      <c r="W641" s="101"/>
      <c r="X641" s="101"/>
      <c r="Y641" s="101"/>
      <c r="Z641" s="101"/>
      <c r="AA641" s="101"/>
      <c r="AB641" s="101"/>
    </row>
    <row r="642">
      <c r="A642" s="104" t="s">
        <v>779</v>
      </c>
      <c r="B642" s="105" t="str">
        <f>IFERROR(VLOOKUP(A642,'Salary Calculation'!A641:F1638,2,0),"")</f>
        <v/>
      </c>
      <c r="C642" s="105" t="str">
        <f>IFERROR(VLOOKUP(A642,'Salary Calculation'!$A$2:$V$999,3,0),"")</f>
        <v/>
      </c>
      <c r="D642" s="105" t="str">
        <f>IFERROR(VLOOKUP(A642,'Salary Calculation'!$A$2:$V$999,6,0),"")</f>
        <v/>
      </c>
      <c r="E642" s="105" t="str">
        <f>IFERROR(VLOOKUP(A642,'Salary Calculation'!$A$2:$V$999,10,0),"")</f>
        <v/>
      </c>
      <c r="F642" s="101"/>
      <c r="G642" s="106" t="str">
        <f>IFERROR(VLOOKUP(A642,'Salary Calculation'!$A$2:$V$999,7,0),"")</f>
        <v/>
      </c>
      <c r="H642" s="100"/>
      <c r="I642" s="101"/>
      <c r="J642" s="101"/>
      <c r="K642" s="101"/>
      <c r="L642" s="101"/>
      <c r="M642" s="101"/>
      <c r="N642" s="101"/>
      <c r="O642" s="101"/>
      <c r="P642" s="101"/>
      <c r="Q642" s="101"/>
      <c r="R642" s="101"/>
      <c r="S642" s="101"/>
      <c r="T642" s="101"/>
      <c r="U642" s="101"/>
      <c r="V642" s="101"/>
      <c r="W642" s="101"/>
      <c r="X642" s="101"/>
      <c r="Y642" s="101"/>
      <c r="Z642" s="101"/>
      <c r="AA642" s="101"/>
      <c r="AB642" s="101"/>
    </row>
    <row r="643">
      <c r="A643" s="104" t="s">
        <v>780</v>
      </c>
      <c r="B643" s="105" t="str">
        <f>IFERROR(VLOOKUP(A643,'Salary Calculation'!A642:F1639,2,0),"")</f>
        <v/>
      </c>
      <c r="C643" s="105" t="str">
        <f>IFERROR(VLOOKUP(A643,'Salary Calculation'!$A$2:$V$999,3,0),"")</f>
        <v/>
      </c>
      <c r="D643" s="105" t="str">
        <f>IFERROR(VLOOKUP(A643,'Salary Calculation'!$A$2:$V$999,6,0),"")</f>
        <v/>
      </c>
      <c r="E643" s="105" t="str">
        <f>IFERROR(VLOOKUP(A643,'Salary Calculation'!$A$2:$V$999,10,0),"")</f>
        <v/>
      </c>
      <c r="F643" s="101"/>
      <c r="G643" s="106" t="str">
        <f>IFERROR(VLOOKUP(A643,'Salary Calculation'!$A$2:$V$999,7,0),"")</f>
        <v/>
      </c>
      <c r="H643" s="100"/>
      <c r="I643" s="101"/>
      <c r="J643" s="101"/>
      <c r="K643" s="101"/>
      <c r="L643" s="101"/>
      <c r="M643" s="101"/>
      <c r="N643" s="101"/>
      <c r="O643" s="101"/>
      <c r="P643" s="101"/>
      <c r="Q643" s="101"/>
      <c r="R643" s="101"/>
      <c r="S643" s="101"/>
      <c r="T643" s="101"/>
      <c r="U643" s="101"/>
      <c r="V643" s="101"/>
      <c r="W643" s="101"/>
      <c r="X643" s="101"/>
      <c r="Y643" s="101"/>
      <c r="Z643" s="101"/>
      <c r="AA643" s="101"/>
      <c r="AB643" s="101"/>
    </row>
    <row r="644">
      <c r="A644" s="104" t="s">
        <v>781</v>
      </c>
      <c r="B644" s="105" t="str">
        <f>IFERROR(VLOOKUP(A644,'Salary Calculation'!A643:F1640,2,0),"")</f>
        <v/>
      </c>
      <c r="C644" s="105" t="str">
        <f>IFERROR(VLOOKUP(A644,'Salary Calculation'!$A$2:$V$999,3,0),"")</f>
        <v/>
      </c>
      <c r="D644" s="105" t="str">
        <f>IFERROR(VLOOKUP(A644,'Salary Calculation'!$A$2:$V$999,6,0),"")</f>
        <v/>
      </c>
      <c r="E644" s="105" t="str">
        <f>IFERROR(VLOOKUP(A644,'Salary Calculation'!$A$2:$V$999,10,0),"")</f>
        <v/>
      </c>
      <c r="F644" s="101"/>
      <c r="G644" s="106" t="str">
        <f>IFERROR(VLOOKUP(A644,'Salary Calculation'!$A$2:$V$999,7,0),"")</f>
        <v/>
      </c>
      <c r="H644" s="100"/>
      <c r="I644" s="101"/>
      <c r="J644" s="101"/>
      <c r="K644" s="101"/>
      <c r="L644" s="101"/>
      <c r="M644" s="101"/>
      <c r="N644" s="101"/>
      <c r="O644" s="101"/>
      <c r="P644" s="101"/>
      <c r="Q644" s="101"/>
      <c r="R644" s="101"/>
      <c r="S644" s="101"/>
      <c r="T644" s="101"/>
      <c r="U644" s="101"/>
      <c r="V644" s="101"/>
      <c r="W644" s="101"/>
      <c r="X644" s="101"/>
      <c r="Y644" s="101"/>
      <c r="Z644" s="101"/>
      <c r="AA644" s="101"/>
      <c r="AB644" s="101"/>
    </row>
    <row r="645">
      <c r="A645" s="104" t="s">
        <v>782</v>
      </c>
      <c r="B645" s="105" t="str">
        <f>IFERROR(VLOOKUP(A645,'Salary Calculation'!A644:F1641,2,0),"")</f>
        <v/>
      </c>
      <c r="C645" s="105" t="str">
        <f>IFERROR(VLOOKUP(A645,'Salary Calculation'!$A$2:$V$999,3,0),"")</f>
        <v/>
      </c>
      <c r="D645" s="105" t="str">
        <f>IFERROR(VLOOKUP(A645,'Salary Calculation'!$A$2:$V$999,6,0),"")</f>
        <v/>
      </c>
      <c r="E645" s="105" t="str">
        <f>IFERROR(VLOOKUP(A645,'Salary Calculation'!$A$2:$V$999,10,0),"")</f>
        <v/>
      </c>
      <c r="F645" s="101"/>
      <c r="G645" s="106" t="str">
        <f>IFERROR(VLOOKUP(A645,'Salary Calculation'!$A$2:$V$999,7,0),"")</f>
        <v/>
      </c>
      <c r="H645" s="100"/>
      <c r="I645" s="101"/>
      <c r="J645" s="101"/>
      <c r="K645" s="101"/>
      <c r="L645" s="101"/>
      <c r="M645" s="101"/>
      <c r="N645" s="101"/>
      <c r="O645" s="101"/>
      <c r="P645" s="101"/>
      <c r="Q645" s="101"/>
      <c r="R645" s="101"/>
      <c r="S645" s="101"/>
      <c r="T645" s="101"/>
      <c r="U645" s="101"/>
      <c r="V645" s="101"/>
      <c r="W645" s="101"/>
      <c r="X645" s="101"/>
      <c r="Y645" s="101"/>
      <c r="Z645" s="101"/>
      <c r="AA645" s="101"/>
      <c r="AB645" s="101"/>
    </row>
    <row r="646">
      <c r="A646" s="104" t="s">
        <v>783</v>
      </c>
      <c r="B646" s="105" t="str">
        <f>IFERROR(VLOOKUP(A646,'Salary Calculation'!A645:F1642,2,0),"")</f>
        <v/>
      </c>
      <c r="C646" s="105" t="str">
        <f>IFERROR(VLOOKUP(A646,'Salary Calculation'!$A$2:$V$999,3,0),"")</f>
        <v/>
      </c>
      <c r="D646" s="105" t="str">
        <f>IFERROR(VLOOKUP(A646,'Salary Calculation'!$A$2:$V$999,6,0),"")</f>
        <v/>
      </c>
      <c r="E646" s="105" t="str">
        <f>IFERROR(VLOOKUP(A646,'Salary Calculation'!$A$2:$V$999,10,0),"")</f>
        <v/>
      </c>
      <c r="F646" s="101"/>
      <c r="G646" s="106" t="str">
        <f>IFERROR(VLOOKUP(A646,'Salary Calculation'!$A$2:$V$999,7,0),"")</f>
        <v/>
      </c>
      <c r="H646" s="100"/>
      <c r="I646" s="101"/>
      <c r="J646" s="101"/>
      <c r="K646" s="101"/>
      <c r="L646" s="101"/>
      <c r="M646" s="101"/>
      <c r="N646" s="101"/>
      <c r="O646" s="101"/>
      <c r="P646" s="101"/>
      <c r="Q646" s="101"/>
      <c r="R646" s="101"/>
      <c r="S646" s="101"/>
      <c r="T646" s="101"/>
      <c r="U646" s="101"/>
      <c r="V646" s="101"/>
      <c r="W646" s="101"/>
      <c r="X646" s="101"/>
      <c r="Y646" s="101"/>
      <c r="Z646" s="101"/>
      <c r="AA646" s="101"/>
      <c r="AB646" s="101"/>
    </row>
    <row r="647">
      <c r="A647" s="104" t="s">
        <v>784</v>
      </c>
      <c r="B647" s="105" t="str">
        <f>IFERROR(VLOOKUP(A647,'Salary Calculation'!A646:F1643,2,0),"")</f>
        <v/>
      </c>
      <c r="C647" s="105" t="str">
        <f>IFERROR(VLOOKUP(A647,'Salary Calculation'!$A$2:$V$999,3,0),"")</f>
        <v/>
      </c>
      <c r="D647" s="105" t="str">
        <f>IFERROR(VLOOKUP(A647,'Salary Calculation'!$A$2:$V$999,6,0),"")</f>
        <v/>
      </c>
      <c r="E647" s="105" t="str">
        <f>IFERROR(VLOOKUP(A647,'Salary Calculation'!$A$2:$V$999,10,0),"")</f>
        <v/>
      </c>
      <c r="F647" s="101"/>
      <c r="G647" s="106" t="str">
        <f>IFERROR(VLOOKUP(A647,'Salary Calculation'!$A$2:$V$999,7,0),"")</f>
        <v/>
      </c>
      <c r="H647" s="100"/>
      <c r="I647" s="101"/>
      <c r="J647" s="101"/>
      <c r="K647" s="101"/>
      <c r="L647" s="101"/>
      <c r="M647" s="101"/>
      <c r="N647" s="101"/>
      <c r="O647" s="101"/>
      <c r="P647" s="101"/>
      <c r="Q647" s="101"/>
      <c r="R647" s="101"/>
      <c r="S647" s="101"/>
      <c r="T647" s="101"/>
      <c r="U647" s="101"/>
      <c r="V647" s="101"/>
      <c r="W647" s="101"/>
      <c r="X647" s="101"/>
      <c r="Y647" s="101"/>
      <c r="Z647" s="101"/>
      <c r="AA647" s="101"/>
      <c r="AB647" s="101"/>
    </row>
    <row r="648">
      <c r="A648" s="104" t="s">
        <v>785</v>
      </c>
      <c r="B648" s="105" t="str">
        <f>IFERROR(VLOOKUP(A648,'Salary Calculation'!A647:F1644,2,0),"")</f>
        <v/>
      </c>
      <c r="C648" s="105" t="str">
        <f>IFERROR(VLOOKUP(A648,'Salary Calculation'!$A$2:$V$999,3,0),"")</f>
        <v/>
      </c>
      <c r="D648" s="105" t="str">
        <f>IFERROR(VLOOKUP(A648,'Salary Calculation'!$A$2:$V$999,6,0),"")</f>
        <v/>
      </c>
      <c r="E648" s="105" t="str">
        <f>IFERROR(VLOOKUP(A648,'Salary Calculation'!$A$2:$V$999,10,0),"")</f>
        <v/>
      </c>
      <c r="F648" s="101"/>
      <c r="G648" s="106" t="str">
        <f>IFERROR(VLOOKUP(A648,'Salary Calculation'!$A$2:$V$999,7,0),"")</f>
        <v/>
      </c>
      <c r="H648" s="100"/>
      <c r="I648" s="101"/>
      <c r="J648" s="101"/>
      <c r="K648" s="101"/>
      <c r="L648" s="101"/>
      <c r="M648" s="101"/>
      <c r="N648" s="101"/>
      <c r="O648" s="101"/>
      <c r="P648" s="101"/>
      <c r="Q648" s="101"/>
      <c r="R648" s="101"/>
      <c r="S648" s="101"/>
      <c r="T648" s="101"/>
      <c r="U648" s="101"/>
      <c r="V648" s="101"/>
      <c r="W648" s="101"/>
      <c r="X648" s="101"/>
      <c r="Y648" s="101"/>
      <c r="Z648" s="101"/>
      <c r="AA648" s="101"/>
      <c r="AB648" s="101"/>
    </row>
    <row r="649">
      <c r="A649" s="104" t="s">
        <v>786</v>
      </c>
      <c r="B649" s="105" t="str">
        <f>IFERROR(VLOOKUP(A649,'Salary Calculation'!A648:F1645,2,0),"")</f>
        <v/>
      </c>
      <c r="C649" s="105" t="str">
        <f>IFERROR(VLOOKUP(A649,'Salary Calculation'!$A$2:$V$999,3,0),"")</f>
        <v/>
      </c>
      <c r="D649" s="105" t="str">
        <f>IFERROR(VLOOKUP(A649,'Salary Calculation'!$A$2:$V$999,6,0),"")</f>
        <v/>
      </c>
      <c r="E649" s="105" t="str">
        <f>IFERROR(VLOOKUP(A649,'Salary Calculation'!$A$2:$V$999,10,0),"")</f>
        <v/>
      </c>
      <c r="F649" s="101"/>
      <c r="G649" s="106" t="str">
        <f>IFERROR(VLOOKUP(A649,'Salary Calculation'!$A$2:$V$999,7,0),"")</f>
        <v/>
      </c>
      <c r="H649" s="100"/>
      <c r="I649" s="101"/>
      <c r="J649" s="101"/>
      <c r="K649" s="101"/>
      <c r="L649" s="101"/>
      <c r="M649" s="101"/>
      <c r="N649" s="101"/>
      <c r="O649" s="101"/>
      <c r="P649" s="101"/>
      <c r="Q649" s="101"/>
      <c r="R649" s="101"/>
      <c r="S649" s="101"/>
      <c r="T649" s="101"/>
      <c r="U649" s="101"/>
      <c r="V649" s="101"/>
      <c r="W649" s="101"/>
      <c r="X649" s="101"/>
      <c r="Y649" s="101"/>
      <c r="Z649" s="101"/>
      <c r="AA649" s="101"/>
      <c r="AB649" s="101"/>
    </row>
    <row r="650">
      <c r="A650" s="104" t="s">
        <v>787</v>
      </c>
      <c r="B650" s="105" t="str">
        <f>IFERROR(VLOOKUP(A650,'Salary Calculation'!A649:F1646,2,0),"")</f>
        <v/>
      </c>
      <c r="C650" s="105" t="str">
        <f>IFERROR(VLOOKUP(A650,'Salary Calculation'!$A$2:$V$999,3,0),"")</f>
        <v/>
      </c>
      <c r="D650" s="105" t="str">
        <f>IFERROR(VLOOKUP(A650,'Salary Calculation'!$A$2:$V$999,6,0),"")</f>
        <v/>
      </c>
      <c r="E650" s="105" t="str">
        <f>IFERROR(VLOOKUP(A650,'Salary Calculation'!$A$2:$V$999,10,0),"")</f>
        <v/>
      </c>
      <c r="F650" s="101"/>
      <c r="G650" s="106" t="str">
        <f>IFERROR(VLOOKUP(A650,'Salary Calculation'!$A$2:$V$999,7,0),"")</f>
        <v/>
      </c>
      <c r="H650" s="100"/>
      <c r="I650" s="101"/>
      <c r="J650" s="101"/>
      <c r="K650" s="101"/>
      <c r="L650" s="101"/>
      <c r="M650" s="101"/>
      <c r="N650" s="101"/>
      <c r="O650" s="101"/>
      <c r="P650" s="101"/>
      <c r="Q650" s="101"/>
      <c r="R650" s="101"/>
      <c r="S650" s="101"/>
      <c r="T650" s="101"/>
      <c r="U650" s="101"/>
      <c r="V650" s="101"/>
      <c r="W650" s="101"/>
      <c r="X650" s="101"/>
      <c r="Y650" s="101"/>
      <c r="Z650" s="101"/>
      <c r="AA650" s="101"/>
      <c r="AB650" s="101"/>
    </row>
    <row r="651">
      <c r="A651" s="104" t="s">
        <v>788</v>
      </c>
      <c r="B651" s="105" t="str">
        <f>IFERROR(VLOOKUP(A651,'Salary Calculation'!A650:F1647,2,0),"")</f>
        <v/>
      </c>
      <c r="C651" s="105" t="str">
        <f>IFERROR(VLOOKUP(A651,'Salary Calculation'!$A$2:$V$999,3,0),"")</f>
        <v/>
      </c>
      <c r="D651" s="105" t="str">
        <f>IFERROR(VLOOKUP(A651,'Salary Calculation'!$A$2:$V$999,6,0),"")</f>
        <v/>
      </c>
      <c r="E651" s="105" t="str">
        <f>IFERROR(VLOOKUP(A651,'Salary Calculation'!$A$2:$V$999,10,0),"")</f>
        <v/>
      </c>
      <c r="F651" s="101"/>
      <c r="G651" s="106" t="str">
        <f>IFERROR(VLOOKUP(A651,'Salary Calculation'!$A$2:$V$999,7,0),"")</f>
        <v/>
      </c>
      <c r="H651" s="100"/>
      <c r="I651" s="101"/>
      <c r="J651" s="101"/>
      <c r="K651" s="101"/>
      <c r="L651" s="101"/>
      <c r="M651" s="101"/>
      <c r="N651" s="101"/>
      <c r="O651" s="101"/>
      <c r="P651" s="101"/>
      <c r="Q651" s="101"/>
      <c r="R651" s="101"/>
      <c r="S651" s="101"/>
      <c r="T651" s="101"/>
      <c r="U651" s="101"/>
      <c r="V651" s="101"/>
      <c r="W651" s="101"/>
      <c r="X651" s="101"/>
      <c r="Y651" s="101"/>
      <c r="Z651" s="101"/>
      <c r="AA651" s="101"/>
      <c r="AB651" s="101"/>
    </row>
    <row r="652">
      <c r="A652" s="104" t="s">
        <v>789</v>
      </c>
      <c r="B652" s="105" t="str">
        <f>IFERROR(VLOOKUP(A652,'Salary Calculation'!A651:F1648,2,0),"")</f>
        <v/>
      </c>
      <c r="C652" s="105" t="str">
        <f>IFERROR(VLOOKUP(A652,'Salary Calculation'!$A$2:$V$999,3,0),"")</f>
        <v/>
      </c>
      <c r="D652" s="105" t="str">
        <f>IFERROR(VLOOKUP(A652,'Salary Calculation'!$A$2:$V$999,6,0),"")</f>
        <v/>
      </c>
      <c r="E652" s="105" t="str">
        <f>IFERROR(VLOOKUP(A652,'Salary Calculation'!$A$2:$V$999,10,0),"")</f>
        <v/>
      </c>
      <c r="F652" s="101"/>
      <c r="G652" s="106" t="str">
        <f>IFERROR(VLOOKUP(A652,'Salary Calculation'!$A$2:$V$999,7,0),"")</f>
        <v/>
      </c>
      <c r="H652" s="100"/>
      <c r="I652" s="101"/>
      <c r="J652" s="101"/>
      <c r="K652" s="101"/>
      <c r="L652" s="101"/>
      <c r="M652" s="101"/>
      <c r="N652" s="101"/>
      <c r="O652" s="101"/>
      <c r="P652" s="101"/>
      <c r="Q652" s="101"/>
      <c r="R652" s="101"/>
      <c r="S652" s="101"/>
      <c r="T652" s="101"/>
      <c r="U652" s="101"/>
      <c r="V652" s="101"/>
      <c r="W652" s="101"/>
      <c r="X652" s="101"/>
      <c r="Y652" s="101"/>
      <c r="Z652" s="101"/>
      <c r="AA652" s="101"/>
      <c r="AB652" s="101"/>
    </row>
    <row r="653">
      <c r="A653" s="104" t="s">
        <v>790</v>
      </c>
      <c r="B653" s="105" t="str">
        <f>IFERROR(VLOOKUP(A653,'Salary Calculation'!A652:F1649,2,0),"")</f>
        <v/>
      </c>
      <c r="C653" s="105" t="str">
        <f>IFERROR(VLOOKUP(A653,'Salary Calculation'!$A$2:$V$999,3,0),"")</f>
        <v/>
      </c>
      <c r="D653" s="105" t="str">
        <f>IFERROR(VLOOKUP(A653,'Salary Calculation'!$A$2:$V$999,6,0),"")</f>
        <v/>
      </c>
      <c r="E653" s="105" t="str">
        <f>IFERROR(VLOOKUP(A653,'Salary Calculation'!$A$2:$V$999,10,0),"")</f>
        <v/>
      </c>
      <c r="F653" s="101"/>
      <c r="G653" s="106" t="str">
        <f>IFERROR(VLOOKUP(A653,'Salary Calculation'!$A$2:$V$999,7,0),"")</f>
        <v/>
      </c>
      <c r="H653" s="100"/>
      <c r="I653" s="101"/>
      <c r="J653" s="101"/>
      <c r="K653" s="101"/>
      <c r="L653" s="101"/>
      <c r="M653" s="101"/>
      <c r="N653" s="101"/>
      <c r="O653" s="101"/>
      <c r="P653" s="101"/>
      <c r="Q653" s="101"/>
      <c r="R653" s="101"/>
      <c r="S653" s="101"/>
      <c r="T653" s="101"/>
      <c r="U653" s="101"/>
      <c r="V653" s="101"/>
      <c r="W653" s="101"/>
      <c r="X653" s="101"/>
      <c r="Y653" s="101"/>
      <c r="Z653" s="101"/>
      <c r="AA653" s="101"/>
      <c r="AB653" s="101"/>
    </row>
    <row r="654">
      <c r="A654" s="104" t="s">
        <v>791</v>
      </c>
      <c r="B654" s="105" t="str">
        <f>IFERROR(VLOOKUP(A654,'Salary Calculation'!A653:F1650,2,0),"")</f>
        <v/>
      </c>
      <c r="C654" s="105" t="str">
        <f>IFERROR(VLOOKUP(A654,'Salary Calculation'!$A$2:$V$999,3,0),"")</f>
        <v/>
      </c>
      <c r="D654" s="105" t="str">
        <f>IFERROR(VLOOKUP(A654,'Salary Calculation'!$A$2:$V$999,6,0),"")</f>
        <v/>
      </c>
      <c r="E654" s="105" t="str">
        <f>IFERROR(VLOOKUP(A654,'Salary Calculation'!$A$2:$V$999,10,0),"")</f>
        <v/>
      </c>
      <c r="F654" s="101"/>
      <c r="G654" s="106" t="str">
        <f>IFERROR(VLOOKUP(A654,'Salary Calculation'!$A$2:$V$999,7,0),"")</f>
        <v/>
      </c>
      <c r="H654" s="100"/>
      <c r="I654" s="101"/>
      <c r="J654" s="101"/>
      <c r="K654" s="101"/>
      <c r="L654" s="101"/>
      <c r="M654" s="101"/>
      <c r="N654" s="101"/>
      <c r="O654" s="101"/>
      <c r="P654" s="101"/>
      <c r="Q654" s="101"/>
      <c r="R654" s="101"/>
      <c r="S654" s="101"/>
      <c r="T654" s="101"/>
      <c r="U654" s="101"/>
      <c r="V654" s="101"/>
      <c r="W654" s="101"/>
      <c r="X654" s="101"/>
      <c r="Y654" s="101"/>
      <c r="Z654" s="101"/>
      <c r="AA654" s="101"/>
      <c r="AB654" s="101"/>
    </row>
    <row r="655">
      <c r="A655" s="104" t="s">
        <v>792</v>
      </c>
      <c r="B655" s="105" t="str">
        <f>IFERROR(VLOOKUP(A655,'Salary Calculation'!A654:F1651,2,0),"")</f>
        <v/>
      </c>
      <c r="C655" s="105" t="str">
        <f>IFERROR(VLOOKUP(A655,'Salary Calculation'!$A$2:$V$999,3,0),"")</f>
        <v/>
      </c>
      <c r="D655" s="105" t="str">
        <f>IFERROR(VLOOKUP(A655,'Salary Calculation'!$A$2:$V$999,6,0),"")</f>
        <v/>
      </c>
      <c r="E655" s="105" t="str">
        <f>IFERROR(VLOOKUP(A655,'Salary Calculation'!$A$2:$V$999,10,0),"")</f>
        <v/>
      </c>
      <c r="F655" s="101"/>
      <c r="G655" s="106" t="str">
        <f>IFERROR(VLOOKUP(A655,'Salary Calculation'!$A$2:$V$999,7,0),"")</f>
        <v/>
      </c>
      <c r="H655" s="100"/>
      <c r="I655" s="101"/>
      <c r="J655" s="101"/>
      <c r="K655" s="101"/>
      <c r="L655" s="101"/>
      <c r="M655" s="101"/>
      <c r="N655" s="101"/>
      <c r="O655" s="101"/>
      <c r="P655" s="101"/>
      <c r="Q655" s="101"/>
      <c r="R655" s="101"/>
      <c r="S655" s="101"/>
      <c r="T655" s="101"/>
      <c r="U655" s="101"/>
      <c r="V655" s="101"/>
      <c r="W655" s="101"/>
      <c r="X655" s="101"/>
      <c r="Y655" s="101"/>
      <c r="Z655" s="101"/>
      <c r="AA655" s="101"/>
      <c r="AB655" s="101"/>
    </row>
    <row r="656">
      <c r="A656" s="104" t="s">
        <v>793</v>
      </c>
      <c r="B656" s="105" t="str">
        <f>IFERROR(VLOOKUP(A656,'Salary Calculation'!A655:F1652,2,0),"")</f>
        <v/>
      </c>
      <c r="C656" s="105" t="str">
        <f>IFERROR(VLOOKUP(A656,'Salary Calculation'!$A$2:$V$999,3,0),"")</f>
        <v/>
      </c>
      <c r="D656" s="105" t="str">
        <f>IFERROR(VLOOKUP(A656,'Salary Calculation'!$A$2:$V$999,6,0),"")</f>
        <v/>
      </c>
      <c r="E656" s="105" t="str">
        <f>IFERROR(VLOOKUP(A656,'Salary Calculation'!$A$2:$V$999,10,0),"")</f>
        <v/>
      </c>
      <c r="F656" s="101"/>
      <c r="G656" s="106" t="str">
        <f>IFERROR(VLOOKUP(A656,'Salary Calculation'!$A$2:$V$999,7,0),"")</f>
        <v/>
      </c>
      <c r="H656" s="100"/>
      <c r="I656" s="101"/>
      <c r="J656" s="101"/>
      <c r="K656" s="101"/>
      <c r="L656" s="101"/>
      <c r="M656" s="101"/>
      <c r="N656" s="101"/>
      <c r="O656" s="101"/>
      <c r="P656" s="101"/>
      <c r="Q656" s="101"/>
      <c r="R656" s="101"/>
      <c r="S656" s="101"/>
      <c r="T656" s="101"/>
      <c r="U656" s="101"/>
      <c r="V656" s="101"/>
      <c r="W656" s="101"/>
      <c r="X656" s="101"/>
      <c r="Y656" s="101"/>
      <c r="Z656" s="101"/>
      <c r="AA656" s="101"/>
      <c r="AB656" s="101"/>
    </row>
    <row r="657">
      <c r="A657" s="104" t="s">
        <v>794</v>
      </c>
      <c r="B657" s="105" t="str">
        <f>IFERROR(VLOOKUP(A657,'Salary Calculation'!A656:F1653,2,0),"")</f>
        <v/>
      </c>
      <c r="C657" s="105" t="str">
        <f>IFERROR(VLOOKUP(A657,'Salary Calculation'!$A$2:$V$999,3,0),"")</f>
        <v/>
      </c>
      <c r="D657" s="105" t="str">
        <f>IFERROR(VLOOKUP(A657,'Salary Calculation'!$A$2:$V$999,6,0),"")</f>
        <v/>
      </c>
      <c r="E657" s="105" t="str">
        <f>IFERROR(VLOOKUP(A657,'Salary Calculation'!$A$2:$V$999,10,0),"")</f>
        <v/>
      </c>
      <c r="F657" s="101"/>
      <c r="G657" s="106" t="str">
        <f>IFERROR(VLOOKUP(A657,'Salary Calculation'!$A$2:$V$999,7,0),"")</f>
        <v/>
      </c>
      <c r="H657" s="100"/>
      <c r="I657" s="101"/>
      <c r="J657" s="101"/>
      <c r="K657" s="101"/>
      <c r="L657" s="101"/>
      <c r="M657" s="101"/>
      <c r="N657" s="101"/>
      <c r="O657" s="101"/>
      <c r="P657" s="101"/>
      <c r="Q657" s="101"/>
      <c r="R657" s="101"/>
      <c r="S657" s="101"/>
      <c r="T657" s="101"/>
      <c r="U657" s="101"/>
      <c r="V657" s="101"/>
      <c r="W657" s="101"/>
      <c r="X657" s="101"/>
      <c r="Y657" s="101"/>
      <c r="Z657" s="101"/>
      <c r="AA657" s="101"/>
      <c r="AB657" s="101"/>
    </row>
    <row r="658">
      <c r="A658" s="104" t="s">
        <v>795</v>
      </c>
      <c r="B658" s="105" t="str">
        <f>IFERROR(VLOOKUP(A658,'Salary Calculation'!A657:F1654,2,0),"")</f>
        <v/>
      </c>
      <c r="C658" s="105" t="str">
        <f>IFERROR(VLOOKUP(A658,'Salary Calculation'!$A$2:$V$999,3,0),"")</f>
        <v/>
      </c>
      <c r="D658" s="105" t="str">
        <f>IFERROR(VLOOKUP(A658,'Salary Calculation'!$A$2:$V$999,6,0),"")</f>
        <v/>
      </c>
      <c r="E658" s="105" t="str">
        <f>IFERROR(VLOOKUP(A658,'Salary Calculation'!$A$2:$V$999,10,0),"")</f>
        <v/>
      </c>
      <c r="F658" s="101"/>
      <c r="G658" s="106" t="str">
        <f>IFERROR(VLOOKUP(A658,'Salary Calculation'!$A$2:$V$999,7,0),"")</f>
        <v/>
      </c>
      <c r="H658" s="100"/>
      <c r="I658" s="101"/>
      <c r="J658" s="101"/>
      <c r="K658" s="101"/>
      <c r="L658" s="101"/>
      <c r="M658" s="101"/>
      <c r="N658" s="101"/>
      <c r="O658" s="101"/>
      <c r="P658" s="101"/>
      <c r="Q658" s="101"/>
      <c r="R658" s="101"/>
      <c r="S658" s="101"/>
      <c r="T658" s="101"/>
      <c r="U658" s="101"/>
      <c r="V658" s="101"/>
      <c r="W658" s="101"/>
      <c r="X658" s="101"/>
      <c r="Y658" s="101"/>
      <c r="Z658" s="101"/>
      <c r="AA658" s="101"/>
      <c r="AB658" s="101"/>
    </row>
    <row r="659">
      <c r="A659" s="104" t="s">
        <v>796</v>
      </c>
      <c r="B659" s="105" t="str">
        <f>IFERROR(VLOOKUP(A659,'Salary Calculation'!A658:F1655,2,0),"")</f>
        <v/>
      </c>
      <c r="C659" s="105" t="str">
        <f>IFERROR(VLOOKUP(A659,'Salary Calculation'!$A$2:$V$999,3,0),"")</f>
        <v/>
      </c>
      <c r="D659" s="105" t="str">
        <f>IFERROR(VLOOKUP(A659,'Salary Calculation'!$A$2:$V$999,6,0),"")</f>
        <v/>
      </c>
      <c r="E659" s="105" t="str">
        <f>IFERROR(VLOOKUP(A659,'Salary Calculation'!$A$2:$V$999,10,0),"")</f>
        <v/>
      </c>
      <c r="F659" s="101"/>
      <c r="G659" s="106" t="str">
        <f>IFERROR(VLOOKUP(A659,'Salary Calculation'!$A$2:$V$999,7,0),"")</f>
        <v/>
      </c>
      <c r="H659" s="100"/>
      <c r="I659" s="101"/>
      <c r="J659" s="101"/>
      <c r="K659" s="101"/>
      <c r="L659" s="101"/>
      <c r="M659" s="101"/>
      <c r="N659" s="101"/>
      <c r="O659" s="101"/>
      <c r="P659" s="101"/>
      <c r="Q659" s="101"/>
      <c r="R659" s="101"/>
      <c r="S659" s="101"/>
      <c r="T659" s="101"/>
      <c r="U659" s="101"/>
      <c r="V659" s="101"/>
      <c r="W659" s="101"/>
      <c r="X659" s="101"/>
      <c r="Y659" s="101"/>
      <c r="Z659" s="101"/>
      <c r="AA659" s="101"/>
      <c r="AB659" s="101"/>
    </row>
    <row r="660">
      <c r="A660" s="104" t="s">
        <v>797</v>
      </c>
      <c r="B660" s="105" t="str">
        <f>IFERROR(VLOOKUP(A660,'Salary Calculation'!A659:F1656,2,0),"")</f>
        <v/>
      </c>
      <c r="C660" s="105" t="str">
        <f>IFERROR(VLOOKUP(A660,'Salary Calculation'!$A$2:$V$999,3,0),"")</f>
        <v/>
      </c>
      <c r="D660" s="105" t="str">
        <f>IFERROR(VLOOKUP(A660,'Salary Calculation'!$A$2:$V$999,6,0),"")</f>
        <v/>
      </c>
      <c r="E660" s="105" t="str">
        <f>IFERROR(VLOOKUP(A660,'Salary Calculation'!$A$2:$V$999,10,0),"")</f>
        <v/>
      </c>
      <c r="F660" s="101"/>
      <c r="G660" s="106" t="str">
        <f>IFERROR(VLOOKUP(A660,'Salary Calculation'!$A$2:$V$999,7,0),"")</f>
        <v/>
      </c>
      <c r="H660" s="100"/>
      <c r="I660" s="101"/>
      <c r="J660" s="101"/>
      <c r="K660" s="101"/>
      <c r="L660" s="101"/>
      <c r="M660" s="101"/>
      <c r="N660" s="101"/>
      <c r="O660" s="101"/>
      <c r="P660" s="101"/>
      <c r="Q660" s="101"/>
      <c r="R660" s="101"/>
      <c r="S660" s="101"/>
      <c r="T660" s="101"/>
      <c r="U660" s="101"/>
      <c r="V660" s="101"/>
      <c r="W660" s="101"/>
      <c r="X660" s="101"/>
      <c r="Y660" s="101"/>
      <c r="Z660" s="101"/>
      <c r="AA660" s="101"/>
      <c r="AB660" s="101"/>
    </row>
    <row r="661">
      <c r="A661" s="104" t="s">
        <v>798</v>
      </c>
      <c r="B661" s="105" t="str">
        <f>IFERROR(VLOOKUP(A661,'Salary Calculation'!A660:F1657,2,0),"")</f>
        <v/>
      </c>
      <c r="C661" s="105" t="str">
        <f>IFERROR(VLOOKUP(A661,'Salary Calculation'!$A$2:$V$999,3,0),"")</f>
        <v/>
      </c>
      <c r="D661" s="105" t="str">
        <f>IFERROR(VLOOKUP(A661,'Salary Calculation'!$A$2:$V$999,6,0),"")</f>
        <v/>
      </c>
      <c r="E661" s="105" t="str">
        <f>IFERROR(VLOOKUP(A661,'Salary Calculation'!$A$2:$V$999,10,0),"")</f>
        <v/>
      </c>
      <c r="F661" s="101"/>
      <c r="G661" s="106" t="str">
        <f>IFERROR(VLOOKUP(A661,'Salary Calculation'!$A$2:$V$999,7,0),"")</f>
        <v/>
      </c>
      <c r="H661" s="100"/>
      <c r="I661" s="101"/>
      <c r="J661" s="101"/>
      <c r="K661" s="101"/>
      <c r="L661" s="101"/>
      <c r="M661" s="101"/>
      <c r="N661" s="101"/>
      <c r="O661" s="101"/>
      <c r="P661" s="101"/>
      <c r="Q661" s="101"/>
      <c r="R661" s="101"/>
      <c r="S661" s="101"/>
      <c r="T661" s="101"/>
      <c r="U661" s="101"/>
      <c r="V661" s="101"/>
      <c r="W661" s="101"/>
      <c r="X661" s="101"/>
      <c r="Y661" s="101"/>
      <c r="Z661" s="101"/>
      <c r="AA661" s="101"/>
      <c r="AB661" s="101"/>
    </row>
    <row r="662">
      <c r="A662" s="104" t="s">
        <v>799</v>
      </c>
      <c r="B662" s="105" t="str">
        <f>IFERROR(VLOOKUP(A662,'Salary Calculation'!A661:F1658,2,0),"")</f>
        <v/>
      </c>
      <c r="C662" s="105" t="str">
        <f>IFERROR(VLOOKUP(A662,'Salary Calculation'!$A$2:$V$999,3,0),"")</f>
        <v/>
      </c>
      <c r="D662" s="105" t="str">
        <f>IFERROR(VLOOKUP(A662,'Salary Calculation'!$A$2:$V$999,6,0),"")</f>
        <v/>
      </c>
      <c r="E662" s="105" t="str">
        <f>IFERROR(VLOOKUP(A662,'Salary Calculation'!$A$2:$V$999,10,0),"")</f>
        <v/>
      </c>
      <c r="F662" s="101"/>
      <c r="G662" s="106" t="str">
        <f>IFERROR(VLOOKUP(A662,'Salary Calculation'!$A$2:$V$999,7,0),"")</f>
        <v/>
      </c>
      <c r="H662" s="100"/>
      <c r="I662" s="101"/>
      <c r="J662" s="101"/>
      <c r="K662" s="101"/>
      <c r="L662" s="101"/>
      <c r="M662" s="101"/>
      <c r="N662" s="101"/>
      <c r="O662" s="101"/>
      <c r="P662" s="101"/>
      <c r="Q662" s="101"/>
      <c r="R662" s="101"/>
      <c r="S662" s="101"/>
      <c r="T662" s="101"/>
      <c r="U662" s="101"/>
      <c r="V662" s="101"/>
      <c r="W662" s="101"/>
      <c r="X662" s="101"/>
      <c r="Y662" s="101"/>
      <c r="Z662" s="101"/>
      <c r="AA662" s="101"/>
      <c r="AB662" s="101"/>
    </row>
    <row r="663">
      <c r="A663" s="104" t="s">
        <v>800</v>
      </c>
      <c r="B663" s="105" t="str">
        <f>IFERROR(VLOOKUP(A663,'Salary Calculation'!A662:F1659,2,0),"")</f>
        <v/>
      </c>
      <c r="C663" s="105" t="str">
        <f>IFERROR(VLOOKUP(A663,'Salary Calculation'!$A$2:$V$999,3,0),"")</f>
        <v/>
      </c>
      <c r="D663" s="105" t="str">
        <f>IFERROR(VLOOKUP(A663,'Salary Calculation'!$A$2:$V$999,6,0),"")</f>
        <v/>
      </c>
      <c r="E663" s="105" t="str">
        <f>IFERROR(VLOOKUP(A663,'Salary Calculation'!$A$2:$V$999,10,0),"")</f>
        <v/>
      </c>
      <c r="F663" s="101"/>
      <c r="G663" s="106" t="str">
        <f>IFERROR(VLOOKUP(A663,'Salary Calculation'!$A$2:$V$999,7,0),"")</f>
        <v/>
      </c>
      <c r="H663" s="100"/>
      <c r="I663" s="101"/>
      <c r="J663" s="101"/>
      <c r="K663" s="101"/>
      <c r="L663" s="101"/>
      <c r="M663" s="101"/>
      <c r="N663" s="101"/>
      <c r="O663" s="101"/>
      <c r="P663" s="101"/>
      <c r="Q663" s="101"/>
      <c r="R663" s="101"/>
      <c r="S663" s="101"/>
      <c r="T663" s="101"/>
      <c r="U663" s="101"/>
      <c r="V663" s="101"/>
      <c r="W663" s="101"/>
      <c r="X663" s="101"/>
      <c r="Y663" s="101"/>
      <c r="Z663" s="101"/>
      <c r="AA663" s="101"/>
      <c r="AB663" s="101"/>
    </row>
    <row r="664">
      <c r="A664" s="104" t="s">
        <v>801</v>
      </c>
      <c r="B664" s="105" t="str">
        <f>IFERROR(VLOOKUP(A664,'Salary Calculation'!A663:F1660,2,0),"")</f>
        <v/>
      </c>
      <c r="C664" s="105" t="str">
        <f>IFERROR(VLOOKUP(A664,'Salary Calculation'!$A$2:$V$999,3,0),"")</f>
        <v/>
      </c>
      <c r="D664" s="105" t="str">
        <f>IFERROR(VLOOKUP(A664,'Salary Calculation'!$A$2:$V$999,6,0),"")</f>
        <v/>
      </c>
      <c r="E664" s="105" t="str">
        <f>IFERROR(VLOOKUP(A664,'Salary Calculation'!$A$2:$V$999,10,0),"")</f>
        <v/>
      </c>
      <c r="F664" s="101"/>
      <c r="G664" s="106" t="str">
        <f>IFERROR(VLOOKUP(A664,'Salary Calculation'!$A$2:$V$999,7,0),"")</f>
        <v/>
      </c>
      <c r="H664" s="100"/>
      <c r="I664" s="101"/>
      <c r="J664" s="101"/>
      <c r="K664" s="101"/>
      <c r="L664" s="101"/>
      <c r="M664" s="101"/>
      <c r="N664" s="101"/>
      <c r="O664" s="101"/>
      <c r="P664" s="101"/>
      <c r="Q664" s="101"/>
      <c r="R664" s="101"/>
      <c r="S664" s="101"/>
      <c r="T664" s="101"/>
      <c r="U664" s="101"/>
      <c r="V664" s="101"/>
      <c r="W664" s="101"/>
      <c r="X664" s="101"/>
      <c r="Y664" s="101"/>
      <c r="Z664" s="101"/>
      <c r="AA664" s="101"/>
      <c r="AB664" s="101"/>
    </row>
    <row r="665">
      <c r="A665" s="104" t="s">
        <v>802</v>
      </c>
      <c r="B665" s="105" t="str">
        <f>IFERROR(VLOOKUP(A665,'Salary Calculation'!A664:F1661,2,0),"")</f>
        <v/>
      </c>
      <c r="C665" s="105" t="str">
        <f>IFERROR(VLOOKUP(A665,'Salary Calculation'!$A$2:$V$999,3,0),"")</f>
        <v/>
      </c>
      <c r="D665" s="105" t="str">
        <f>IFERROR(VLOOKUP(A665,'Salary Calculation'!$A$2:$V$999,6,0),"")</f>
        <v/>
      </c>
      <c r="E665" s="105" t="str">
        <f>IFERROR(VLOOKUP(A665,'Salary Calculation'!$A$2:$V$999,10,0),"")</f>
        <v/>
      </c>
      <c r="F665" s="101"/>
      <c r="G665" s="106" t="str">
        <f>IFERROR(VLOOKUP(A665,'Salary Calculation'!$A$2:$V$999,7,0),"")</f>
        <v/>
      </c>
      <c r="H665" s="100"/>
      <c r="I665" s="101"/>
      <c r="J665" s="101"/>
      <c r="K665" s="101"/>
      <c r="L665" s="101"/>
      <c r="M665" s="101"/>
      <c r="N665" s="101"/>
      <c r="O665" s="101"/>
      <c r="P665" s="101"/>
      <c r="Q665" s="101"/>
      <c r="R665" s="101"/>
      <c r="S665" s="101"/>
      <c r="T665" s="101"/>
      <c r="U665" s="101"/>
      <c r="V665" s="101"/>
      <c r="W665" s="101"/>
      <c r="X665" s="101"/>
      <c r="Y665" s="101"/>
      <c r="Z665" s="101"/>
      <c r="AA665" s="101"/>
      <c r="AB665" s="101"/>
    </row>
    <row r="666">
      <c r="A666" s="104" t="s">
        <v>803</v>
      </c>
      <c r="B666" s="105" t="str">
        <f>IFERROR(VLOOKUP(A666,'Salary Calculation'!A665:F1662,2,0),"")</f>
        <v/>
      </c>
      <c r="C666" s="105" t="str">
        <f>IFERROR(VLOOKUP(A666,'Salary Calculation'!$A$2:$V$999,3,0),"")</f>
        <v/>
      </c>
      <c r="D666" s="105" t="str">
        <f>IFERROR(VLOOKUP(A666,'Salary Calculation'!$A$2:$V$999,6,0),"")</f>
        <v/>
      </c>
      <c r="E666" s="105" t="str">
        <f>IFERROR(VLOOKUP(A666,'Salary Calculation'!$A$2:$V$999,10,0),"")</f>
        <v/>
      </c>
      <c r="F666" s="101"/>
      <c r="G666" s="106" t="str">
        <f>IFERROR(VLOOKUP(A666,'Salary Calculation'!$A$2:$V$999,7,0),"")</f>
        <v/>
      </c>
      <c r="H666" s="100"/>
      <c r="I666" s="101"/>
      <c r="J666" s="101"/>
      <c r="K666" s="101"/>
      <c r="L666" s="101"/>
      <c r="M666" s="101"/>
      <c r="N666" s="101"/>
      <c r="O666" s="101"/>
      <c r="P666" s="101"/>
      <c r="Q666" s="101"/>
      <c r="R666" s="101"/>
      <c r="S666" s="101"/>
      <c r="T666" s="101"/>
      <c r="U666" s="101"/>
      <c r="V666" s="101"/>
      <c r="W666" s="101"/>
      <c r="X666" s="101"/>
      <c r="Y666" s="101"/>
      <c r="Z666" s="101"/>
      <c r="AA666" s="101"/>
      <c r="AB666" s="101"/>
    </row>
    <row r="667">
      <c r="A667" s="104" t="s">
        <v>804</v>
      </c>
      <c r="B667" s="105" t="str">
        <f>IFERROR(VLOOKUP(A667,'Salary Calculation'!A666:F1663,2,0),"")</f>
        <v/>
      </c>
      <c r="C667" s="105" t="str">
        <f>IFERROR(VLOOKUP(A667,'Salary Calculation'!$A$2:$V$999,3,0),"")</f>
        <v/>
      </c>
      <c r="D667" s="105" t="str">
        <f>IFERROR(VLOOKUP(A667,'Salary Calculation'!$A$2:$V$999,6,0),"")</f>
        <v/>
      </c>
      <c r="E667" s="105" t="str">
        <f>IFERROR(VLOOKUP(A667,'Salary Calculation'!$A$2:$V$999,10,0),"")</f>
        <v/>
      </c>
      <c r="F667" s="101"/>
      <c r="G667" s="106" t="str">
        <f>IFERROR(VLOOKUP(A667,'Salary Calculation'!$A$2:$V$999,7,0),"")</f>
        <v/>
      </c>
      <c r="H667" s="100"/>
      <c r="I667" s="101"/>
      <c r="J667" s="101"/>
      <c r="K667" s="101"/>
      <c r="L667" s="101"/>
      <c r="M667" s="101"/>
      <c r="N667" s="101"/>
      <c r="O667" s="101"/>
      <c r="P667" s="101"/>
      <c r="Q667" s="101"/>
      <c r="R667" s="101"/>
      <c r="S667" s="101"/>
      <c r="T667" s="101"/>
      <c r="U667" s="101"/>
      <c r="V667" s="101"/>
      <c r="W667" s="101"/>
      <c r="X667" s="101"/>
      <c r="Y667" s="101"/>
      <c r="Z667" s="101"/>
      <c r="AA667" s="101"/>
      <c r="AB667" s="101"/>
    </row>
    <row r="668">
      <c r="A668" s="104" t="s">
        <v>805</v>
      </c>
      <c r="B668" s="105" t="str">
        <f>IFERROR(VLOOKUP(A668,'Salary Calculation'!A667:F1664,2,0),"")</f>
        <v/>
      </c>
      <c r="C668" s="105" t="str">
        <f>IFERROR(VLOOKUP(A668,'Salary Calculation'!$A$2:$V$999,3,0),"")</f>
        <v/>
      </c>
      <c r="D668" s="105" t="str">
        <f>IFERROR(VLOOKUP(A668,'Salary Calculation'!$A$2:$V$999,6,0),"")</f>
        <v/>
      </c>
      <c r="E668" s="105" t="str">
        <f>IFERROR(VLOOKUP(A668,'Salary Calculation'!$A$2:$V$999,10,0),"")</f>
        <v/>
      </c>
      <c r="F668" s="101"/>
      <c r="G668" s="106" t="str">
        <f>IFERROR(VLOOKUP(A668,'Salary Calculation'!$A$2:$V$999,7,0),"")</f>
        <v/>
      </c>
      <c r="H668" s="100"/>
      <c r="I668" s="101"/>
      <c r="J668" s="101"/>
      <c r="K668" s="101"/>
      <c r="L668" s="101"/>
      <c r="M668" s="101"/>
      <c r="N668" s="101"/>
      <c r="O668" s="101"/>
      <c r="P668" s="101"/>
      <c r="Q668" s="101"/>
      <c r="R668" s="101"/>
      <c r="S668" s="101"/>
      <c r="T668" s="101"/>
      <c r="U668" s="101"/>
      <c r="V668" s="101"/>
      <c r="W668" s="101"/>
      <c r="X668" s="101"/>
      <c r="Y668" s="101"/>
      <c r="Z668" s="101"/>
      <c r="AA668" s="101"/>
      <c r="AB668" s="101"/>
    </row>
    <row r="669">
      <c r="A669" s="104" t="s">
        <v>806</v>
      </c>
      <c r="B669" s="105" t="str">
        <f>IFERROR(VLOOKUP(A669,'Salary Calculation'!A668:F1665,2,0),"")</f>
        <v/>
      </c>
      <c r="C669" s="105" t="str">
        <f>IFERROR(VLOOKUP(A669,'Salary Calculation'!$A$2:$V$999,3,0),"")</f>
        <v/>
      </c>
      <c r="D669" s="105" t="str">
        <f>IFERROR(VLOOKUP(A669,'Salary Calculation'!$A$2:$V$999,6,0),"")</f>
        <v/>
      </c>
      <c r="E669" s="105" t="str">
        <f>IFERROR(VLOOKUP(A669,'Salary Calculation'!$A$2:$V$999,10,0),"")</f>
        <v/>
      </c>
      <c r="F669" s="101"/>
      <c r="G669" s="106" t="str">
        <f>IFERROR(VLOOKUP(A669,'Salary Calculation'!$A$2:$V$999,7,0),"")</f>
        <v/>
      </c>
      <c r="H669" s="100"/>
      <c r="I669" s="101"/>
      <c r="J669" s="101"/>
      <c r="K669" s="101"/>
      <c r="L669" s="101"/>
      <c r="M669" s="101"/>
      <c r="N669" s="101"/>
      <c r="O669" s="101"/>
      <c r="P669" s="101"/>
      <c r="Q669" s="101"/>
      <c r="R669" s="101"/>
      <c r="S669" s="101"/>
      <c r="T669" s="101"/>
      <c r="U669" s="101"/>
      <c r="V669" s="101"/>
      <c r="W669" s="101"/>
      <c r="X669" s="101"/>
      <c r="Y669" s="101"/>
      <c r="Z669" s="101"/>
      <c r="AA669" s="101"/>
      <c r="AB669" s="101"/>
    </row>
    <row r="670">
      <c r="A670" s="104" t="s">
        <v>807</v>
      </c>
      <c r="B670" s="105" t="str">
        <f>IFERROR(VLOOKUP(A670,'Salary Calculation'!A669:F1666,2,0),"")</f>
        <v/>
      </c>
      <c r="C670" s="105" t="str">
        <f>IFERROR(VLOOKUP(A670,'Salary Calculation'!$A$2:$V$999,3,0),"")</f>
        <v/>
      </c>
      <c r="D670" s="105" t="str">
        <f>IFERROR(VLOOKUP(A670,'Salary Calculation'!$A$2:$V$999,6,0),"")</f>
        <v/>
      </c>
      <c r="E670" s="105" t="str">
        <f>IFERROR(VLOOKUP(A670,'Salary Calculation'!$A$2:$V$999,10,0),"")</f>
        <v/>
      </c>
      <c r="F670" s="101"/>
      <c r="G670" s="106" t="str">
        <f>IFERROR(VLOOKUP(A670,'Salary Calculation'!$A$2:$V$999,7,0),"")</f>
        <v/>
      </c>
      <c r="H670" s="100"/>
      <c r="I670" s="101"/>
      <c r="J670" s="101"/>
      <c r="K670" s="101"/>
      <c r="L670" s="101"/>
      <c r="M670" s="101"/>
      <c r="N670" s="101"/>
      <c r="O670" s="101"/>
      <c r="P670" s="101"/>
      <c r="Q670" s="101"/>
      <c r="R670" s="101"/>
      <c r="S670" s="101"/>
      <c r="T670" s="101"/>
      <c r="U670" s="101"/>
      <c r="V670" s="101"/>
      <c r="W670" s="101"/>
      <c r="X670" s="101"/>
      <c r="Y670" s="101"/>
      <c r="Z670" s="101"/>
      <c r="AA670" s="101"/>
      <c r="AB670" s="101"/>
    </row>
    <row r="671">
      <c r="A671" s="104" t="s">
        <v>808</v>
      </c>
      <c r="B671" s="105" t="str">
        <f>IFERROR(VLOOKUP(A671,'Salary Calculation'!A670:F1667,2,0),"")</f>
        <v/>
      </c>
      <c r="C671" s="105" t="str">
        <f>IFERROR(VLOOKUP(A671,'Salary Calculation'!$A$2:$V$999,3,0),"")</f>
        <v/>
      </c>
      <c r="D671" s="105" t="str">
        <f>IFERROR(VLOOKUP(A671,'Salary Calculation'!$A$2:$V$999,6,0),"")</f>
        <v/>
      </c>
      <c r="E671" s="105" t="str">
        <f>IFERROR(VLOOKUP(A671,'Salary Calculation'!$A$2:$V$999,10,0),"")</f>
        <v/>
      </c>
      <c r="F671" s="101"/>
      <c r="G671" s="106" t="str">
        <f>IFERROR(VLOOKUP(A671,'Salary Calculation'!$A$2:$V$999,7,0),"")</f>
        <v/>
      </c>
      <c r="H671" s="100"/>
      <c r="I671" s="101"/>
      <c r="J671" s="101"/>
      <c r="K671" s="101"/>
      <c r="L671" s="101"/>
      <c r="M671" s="101"/>
      <c r="N671" s="101"/>
      <c r="O671" s="101"/>
      <c r="P671" s="101"/>
      <c r="Q671" s="101"/>
      <c r="R671" s="101"/>
      <c r="S671" s="101"/>
      <c r="T671" s="101"/>
      <c r="U671" s="101"/>
      <c r="V671" s="101"/>
      <c r="W671" s="101"/>
      <c r="X671" s="101"/>
      <c r="Y671" s="101"/>
      <c r="Z671" s="101"/>
      <c r="AA671" s="101"/>
      <c r="AB671" s="101"/>
    </row>
    <row r="672">
      <c r="A672" s="104" t="s">
        <v>809</v>
      </c>
      <c r="B672" s="105" t="str">
        <f>IFERROR(VLOOKUP(A672,'Salary Calculation'!A671:F1668,2,0),"")</f>
        <v/>
      </c>
      <c r="C672" s="105" t="str">
        <f>IFERROR(VLOOKUP(A672,'Salary Calculation'!$A$2:$V$999,3,0),"")</f>
        <v/>
      </c>
      <c r="D672" s="105" t="str">
        <f>IFERROR(VLOOKUP(A672,'Salary Calculation'!$A$2:$V$999,6,0),"")</f>
        <v/>
      </c>
      <c r="E672" s="105" t="str">
        <f>IFERROR(VLOOKUP(A672,'Salary Calculation'!$A$2:$V$999,10,0),"")</f>
        <v/>
      </c>
      <c r="F672" s="101"/>
      <c r="G672" s="106" t="str">
        <f>IFERROR(VLOOKUP(A672,'Salary Calculation'!$A$2:$V$999,7,0),"")</f>
        <v/>
      </c>
      <c r="H672" s="100"/>
      <c r="I672" s="101"/>
      <c r="J672" s="101"/>
      <c r="K672" s="101"/>
      <c r="L672" s="101"/>
      <c r="M672" s="101"/>
      <c r="N672" s="101"/>
      <c r="O672" s="101"/>
      <c r="P672" s="101"/>
      <c r="Q672" s="101"/>
      <c r="R672" s="101"/>
      <c r="S672" s="101"/>
      <c r="T672" s="101"/>
      <c r="U672" s="101"/>
      <c r="V672" s="101"/>
      <c r="W672" s="101"/>
      <c r="X672" s="101"/>
      <c r="Y672" s="101"/>
      <c r="Z672" s="101"/>
      <c r="AA672" s="101"/>
      <c r="AB672" s="101"/>
    </row>
    <row r="673">
      <c r="A673" s="104" t="s">
        <v>810</v>
      </c>
      <c r="B673" s="105" t="str">
        <f>IFERROR(VLOOKUP(A673,'Salary Calculation'!A672:F1669,2,0),"")</f>
        <v/>
      </c>
      <c r="C673" s="105" t="str">
        <f>IFERROR(VLOOKUP(A673,'Salary Calculation'!$A$2:$V$999,3,0),"")</f>
        <v/>
      </c>
      <c r="D673" s="105" t="str">
        <f>IFERROR(VLOOKUP(A673,'Salary Calculation'!$A$2:$V$999,6,0),"")</f>
        <v/>
      </c>
      <c r="E673" s="105" t="str">
        <f>IFERROR(VLOOKUP(A673,'Salary Calculation'!$A$2:$V$999,10,0),"")</f>
        <v/>
      </c>
      <c r="F673" s="101"/>
      <c r="G673" s="106" t="str">
        <f>IFERROR(VLOOKUP(A673,'Salary Calculation'!$A$2:$V$999,7,0),"")</f>
        <v/>
      </c>
      <c r="H673" s="100"/>
      <c r="I673" s="101"/>
      <c r="J673" s="101"/>
      <c r="K673" s="101"/>
      <c r="L673" s="101"/>
      <c r="M673" s="101"/>
      <c r="N673" s="101"/>
      <c r="O673" s="101"/>
      <c r="P673" s="101"/>
      <c r="Q673" s="101"/>
      <c r="R673" s="101"/>
      <c r="S673" s="101"/>
      <c r="T673" s="101"/>
      <c r="U673" s="101"/>
      <c r="V673" s="101"/>
      <c r="W673" s="101"/>
      <c r="X673" s="101"/>
      <c r="Y673" s="101"/>
      <c r="Z673" s="101"/>
      <c r="AA673" s="101"/>
      <c r="AB673" s="101"/>
    </row>
    <row r="674">
      <c r="A674" s="104" t="s">
        <v>811</v>
      </c>
      <c r="B674" s="105" t="str">
        <f>IFERROR(VLOOKUP(A674,'Salary Calculation'!A673:F1670,2,0),"")</f>
        <v/>
      </c>
      <c r="C674" s="105" t="str">
        <f>IFERROR(VLOOKUP(A674,'Salary Calculation'!$A$2:$V$999,3,0),"")</f>
        <v/>
      </c>
      <c r="D674" s="105" t="str">
        <f>IFERROR(VLOOKUP(A674,'Salary Calculation'!$A$2:$V$999,6,0),"")</f>
        <v/>
      </c>
      <c r="E674" s="105" t="str">
        <f>IFERROR(VLOOKUP(A674,'Salary Calculation'!$A$2:$V$999,10,0),"")</f>
        <v/>
      </c>
      <c r="F674" s="101"/>
      <c r="G674" s="106" t="str">
        <f>IFERROR(VLOOKUP(A674,'Salary Calculation'!$A$2:$V$999,7,0),"")</f>
        <v/>
      </c>
      <c r="H674" s="100"/>
      <c r="I674" s="101"/>
      <c r="J674" s="101"/>
      <c r="K674" s="101"/>
      <c r="L674" s="101"/>
      <c r="M674" s="101"/>
      <c r="N674" s="101"/>
      <c r="O674" s="101"/>
      <c r="P674" s="101"/>
      <c r="Q674" s="101"/>
      <c r="R674" s="101"/>
      <c r="S674" s="101"/>
      <c r="T674" s="101"/>
      <c r="U674" s="101"/>
      <c r="V674" s="101"/>
      <c r="W674" s="101"/>
      <c r="X674" s="101"/>
      <c r="Y674" s="101"/>
      <c r="Z674" s="101"/>
      <c r="AA674" s="101"/>
      <c r="AB674" s="101"/>
    </row>
    <row r="675">
      <c r="A675" s="104" t="s">
        <v>812</v>
      </c>
      <c r="B675" s="105" t="str">
        <f>IFERROR(VLOOKUP(A675,'Salary Calculation'!A674:F1671,2,0),"")</f>
        <v/>
      </c>
      <c r="C675" s="105" t="str">
        <f>IFERROR(VLOOKUP(A675,'Salary Calculation'!$A$2:$V$999,3,0),"")</f>
        <v/>
      </c>
      <c r="D675" s="105" t="str">
        <f>IFERROR(VLOOKUP(A675,'Salary Calculation'!$A$2:$V$999,6,0),"")</f>
        <v/>
      </c>
      <c r="E675" s="105" t="str">
        <f>IFERROR(VLOOKUP(A675,'Salary Calculation'!$A$2:$V$999,10,0),"")</f>
        <v/>
      </c>
      <c r="F675" s="101"/>
      <c r="G675" s="106" t="str">
        <f>IFERROR(VLOOKUP(A675,'Salary Calculation'!$A$2:$V$999,7,0),"")</f>
        <v/>
      </c>
      <c r="H675" s="100"/>
      <c r="I675" s="101"/>
      <c r="J675" s="101"/>
      <c r="K675" s="101"/>
      <c r="L675" s="101"/>
      <c r="M675" s="101"/>
      <c r="N675" s="101"/>
      <c r="O675" s="101"/>
      <c r="P675" s="101"/>
      <c r="Q675" s="101"/>
      <c r="R675" s="101"/>
      <c r="S675" s="101"/>
      <c r="T675" s="101"/>
      <c r="U675" s="101"/>
      <c r="V675" s="101"/>
      <c r="W675" s="101"/>
      <c r="X675" s="101"/>
      <c r="Y675" s="101"/>
      <c r="Z675" s="101"/>
      <c r="AA675" s="101"/>
      <c r="AB675" s="101"/>
    </row>
    <row r="676">
      <c r="A676" s="104" t="s">
        <v>813</v>
      </c>
      <c r="B676" s="105" t="str">
        <f>IFERROR(VLOOKUP(A676,'Salary Calculation'!A675:F1672,2,0),"")</f>
        <v/>
      </c>
      <c r="C676" s="105" t="str">
        <f>IFERROR(VLOOKUP(A676,'Salary Calculation'!$A$2:$V$999,3,0),"")</f>
        <v/>
      </c>
      <c r="D676" s="105" t="str">
        <f>IFERROR(VLOOKUP(A676,'Salary Calculation'!$A$2:$V$999,6,0),"")</f>
        <v/>
      </c>
      <c r="E676" s="105" t="str">
        <f>IFERROR(VLOOKUP(A676,'Salary Calculation'!$A$2:$V$999,10,0),"")</f>
        <v/>
      </c>
      <c r="F676" s="101"/>
      <c r="G676" s="106" t="str">
        <f>IFERROR(VLOOKUP(A676,'Salary Calculation'!$A$2:$V$999,7,0),"")</f>
        <v/>
      </c>
      <c r="H676" s="100"/>
      <c r="I676" s="101"/>
      <c r="J676" s="101"/>
      <c r="K676" s="101"/>
      <c r="L676" s="101"/>
      <c r="M676" s="101"/>
      <c r="N676" s="101"/>
      <c r="O676" s="101"/>
      <c r="P676" s="101"/>
      <c r="Q676" s="101"/>
      <c r="R676" s="101"/>
      <c r="S676" s="101"/>
      <c r="T676" s="101"/>
      <c r="U676" s="101"/>
      <c r="V676" s="101"/>
      <c r="W676" s="101"/>
      <c r="X676" s="101"/>
      <c r="Y676" s="101"/>
      <c r="Z676" s="101"/>
      <c r="AA676" s="101"/>
      <c r="AB676" s="101"/>
    </row>
    <row r="677">
      <c r="A677" s="104" t="s">
        <v>814</v>
      </c>
      <c r="B677" s="105" t="str">
        <f>IFERROR(VLOOKUP(A677,'Salary Calculation'!A676:F1673,2,0),"")</f>
        <v/>
      </c>
      <c r="C677" s="105" t="str">
        <f>IFERROR(VLOOKUP(A677,'Salary Calculation'!$A$2:$V$999,3,0),"")</f>
        <v/>
      </c>
      <c r="D677" s="105" t="str">
        <f>IFERROR(VLOOKUP(A677,'Salary Calculation'!$A$2:$V$999,6,0),"")</f>
        <v/>
      </c>
      <c r="E677" s="105" t="str">
        <f>IFERROR(VLOOKUP(A677,'Salary Calculation'!$A$2:$V$999,10,0),"")</f>
        <v/>
      </c>
      <c r="F677" s="101"/>
      <c r="G677" s="106" t="str">
        <f>IFERROR(VLOOKUP(A677,'Salary Calculation'!$A$2:$V$999,7,0),"")</f>
        <v/>
      </c>
      <c r="H677" s="100"/>
      <c r="I677" s="101"/>
      <c r="J677" s="101"/>
      <c r="K677" s="101"/>
      <c r="L677" s="101"/>
      <c r="M677" s="101"/>
      <c r="N677" s="101"/>
      <c r="O677" s="101"/>
      <c r="P677" s="101"/>
      <c r="Q677" s="101"/>
      <c r="R677" s="101"/>
      <c r="S677" s="101"/>
      <c r="T677" s="101"/>
      <c r="U677" s="101"/>
      <c r="V677" s="101"/>
      <c r="W677" s="101"/>
      <c r="X677" s="101"/>
      <c r="Y677" s="101"/>
      <c r="Z677" s="101"/>
      <c r="AA677" s="101"/>
      <c r="AB677" s="101"/>
    </row>
    <row r="678">
      <c r="A678" s="104" t="s">
        <v>815</v>
      </c>
      <c r="B678" s="105" t="str">
        <f>IFERROR(VLOOKUP(A678,'Salary Calculation'!A677:F1674,2,0),"")</f>
        <v/>
      </c>
      <c r="C678" s="105" t="str">
        <f>IFERROR(VLOOKUP(A678,'Salary Calculation'!$A$2:$V$999,3,0),"")</f>
        <v/>
      </c>
      <c r="D678" s="105" t="str">
        <f>IFERROR(VLOOKUP(A678,'Salary Calculation'!$A$2:$V$999,6,0),"")</f>
        <v/>
      </c>
      <c r="E678" s="105" t="str">
        <f>IFERROR(VLOOKUP(A678,'Salary Calculation'!$A$2:$V$999,10,0),"")</f>
        <v/>
      </c>
      <c r="F678" s="101"/>
      <c r="G678" s="106" t="str">
        <f>IFERROR(VLOOKUP(A678,'Salary Calculation'!$A$2:$V$999,7,0),"")</f>
        <v/>
      </c>
      <c r="H678" s="100"/>
      <c r="I678" s="101"/>
      <c r="J678" s="101"/>
      <c r="K678" s="101"/>
      <c r="L678" s="101"/>
      <c r="M678" s="101"/>
      <c r="N678" s="101"/>
      <c r="O678" s="101"/>
      <c r="P678" s="101"/>
      <c r="Q678" s="101"/>
      <c r="R678" s="101"/>
      <c r="S678" s="101"/>
      <c r="T678" s="101"/>
      <c r="U678" s="101"/>
      <c r="V678" s="101"/>
      <c r="W678" s="101"/>
      <c r="X678" s="101"/>
      <c r="Y678" s="101"/>
      <c r="Z678" s="101"/>
      <c r="AA678" s="101"/>
      <c r="AB678" s="101"/>
    </row>
    <row r="679">
      <c r="A679" s="104" t="s">
        <v>816</v>
      </c>
      <c r="B679" s="105" t="str">
        <f>IFERROR(VLOOKUP(A679,'Salary Calculation'!A678:F1675,2,0),"")</f>
        <v/>
      </c>
      <c r="C679" s="105" t="str">
        <f>IFERROR(VLOOKUP(A679,'Salary Calculation'!$A$2:$V$999,3,0),"")</f>
        <v/>
      </c>
      <c r="D679" s="105" t="str">
        <f>IFERROR(VLOOKUP(A679,'Salary Calculation'!$A$2:$V$999,6,0),"")</f>
        <v/>
      </c>
      <c r="E679" s="105" t="str">
        <f>IFERROR(VLOOKUP(A679,'Salary Calculation'!$A$2:$V$999,10,0),"")</f>
        <v/>
      </c>
      <c r="F679" s="101"/>
      <c r="G679" s="106" t="str">
        <f>IFERROR(VLOOKUP(A679,'Salary Calculation'!$A$2:$V$999,7,0),"")</f>
        <v/>
      </c>
      <c r="H679" s="100"/>
      <c r="I679" s="101"/>
      <c r="J679" s="101"/>
      <c r="K679" s="101"/>
      <c r="L679" s="101"/>
      <c r="M679" s="101"/>
      <c r="N679" s="101"/>
      <c r="O679" s="101"/>
      <c r="P679" s="101"/>
      <c r="Q679" s="101"/>
      <c r="R679" s="101"/>
      <c r="S679" s="101"/>
      <c r="T679" s="101"/>
      <c r="U679" s="101"/>
      <c r="V679" s="101"/>
      <c r="W679" s="101"/>
      <c r="X679" s="101"/>
      <c r="Y679" s="101"/>
      <c r="Z679" s="101"/>
      <c r="AA679" s="101"/>
      <c r="AB679" s="101"/>
    </row>
    <row r="680">
      <c r="A680" s="104" t="s">
        <v>817</v>
      </c>
      <c r="B680" s="105" t="str">
        <f>IFERROR(VLOOKUP(A680,'Salary Calculation'!A679:F1676,2,0),"")</f>
        <v/>
      </c>
      <c r="C680" s="105" t="str">
        <f>IFERROR(VLOOKUP(A680,'Salary Calculation'!$A$2:$V$999,3,0),"")</f>
        <v/>
      </c>
      <c r="D680" s="105" t="str">
        <f>IFERROR(VLOOKUP(A680,'Salary Calculation'!$A$2:$V$999,6,0),"")</f>
        <v/>
      </c>
      <c r="E680" s="105" t="str">
        <f>IFERROR(VLOOKUP(A680,'Salary Calculation'!$A$2:$V$999,10,0),"")</f>
        <v/>
      </c>
      <c r="F680" s="101"/>
      <c r="G680" s="106" t="str">
        <f>IFERROR(VLOOKUP(A680,'Salary Calculation'!$A$2:$V$999,7,0),"")</f>
        <v/>
      </c>
      <c r="H680" s="100"/>
      <c r="I680" s="101"/>
      <c r="J680" s="101"/>
      <c r="K680" s="101"/>
      <c r="L680" s="101"/>
      <c r="M680" s="101"/>
      <c r="N680" s="101"/>
      <c r="O680" s="101"/>
      <c r="P680" s="101"/>
      <c r="Q680" s="101"/>
      <c r="R680" s="101"/>
      <c r="S680" s="101"/>
      <c r="T680" s="101"/>
      <c r="U680" s="101"/>
      <c r="V680" s="101"/>
      <c r="W680" s="101"/>
      <c r="X680" s="101"/>
      <c r="Y680" s="101"/>
      <c r="Z680" s="101"/>
      <c r="AA680" s="101"/>
      <c r="AB680" s="101"/>
    </row>
    <row r="681">
      <c r="A681" s="104" t="s">
        <v>818</v>
      </c>
      <c r="B681" s="105" t="str">
        <f>IFERROR(VLOOKUP(A681,'Salary Calculation'!A680:F1677,2,0),"")</f>
        <v/>
      </c>
      <c r="C681" s="105" t="str">
        <f>IFERROR(VLOOKUP(A681,'Salary Calculation'!$A$2:$V$999,3,0),"")</f>
        <v/>
      </c>
      <c r="D681" s="105" t="str">
        <f>IFERROR(VLOOKUP(A681,'Salary Calculation'!$A$2:$V$999,6,0),"")</f>
        <v/>
      </c>
      <c r="E681" s="105" t="str">
        <f>IFERROR(VLOOKUP(A681,'Salary Calculation'!$A$2:$V$999,10,0),"")</f>
        <v/>
      </c>
      <c r="F681" s="101"/>
      <c r="G681" s="106" t="str">
        <f>IFERROR(VLOOKUP(A681,'Salary Calculation'!$A$2:$V$999,7,0),"")</f>
        <v/>
      </c>
      <c r="H681" s="100"/>
      <c r="I681" s="101"/>
      <c r="J681" s="101"/>
      <c r="K681" s="101"/>
      <c r="L681" s="101"/>
      <c r="M681" s="101"/>
      <c r="N681" s="101"/>
      <c r="O681" s="101"/>
      <c r="P681" s="101"/>
      <c r="Q681" s="101"/>
      <c r="R681" s="101"/>
      <c r="S681" s="101"/>
      <c r="T681" s="101"/>
      <c r="U681" s="101"/>
      <c r="V681" s="101"/>
      <c r="W681" s="101"/>
      <c r="X681" s="101"/>
      <c r="Y681" s="101"/>
      <c r="Z681" s="101"/>
      <c r="AA681" s="101"/>
      <c r="AB681" s="101"/>
    </row>
    <row r="682">
      <c r="A682" s="104" t="s">
        <v>819</v>
      </c>
      <c r="B682" s="105" t="str">
        <f>IFERROR(VLOOKUP(A682,'Salary Calculation'!A681:F1678,2,0),"")</f>
        <v/>
      </c>
      <c r="C682" s="105" t="str">
        <f>IFERROR(VLOOKUP(A682,'Salary Calculation'!$A$2:$V$999,3,0),"")</f>
        <v/>
      </c>
      <c r="D682" s="105" t="str">
        <f>IFERROR(VLOOKUP(A682,'Salary Calculation'!$A$2:$V$999,6,0),"")</f>
        <v/>
      </c>
      <c r="E682" s="105" t="str">
        <f>IFERROR(VLOOKUP(A682,'Salary Calculation'!$A$2:$V$999,10,0),"")</f>
        <v/>
      </c>
      <c r="F682" s="101"/>
      <c r="G682" s="106" t="str">
        <f>IFERROR(VLOOKUP(A682,'Salary Calculation'!$A$2:$V$999,7,0),"")</f>
        <v/>
      </c>
      <c r="H682" s="100"/>
      <c r="I682" s="101"/>
      <c r="J682" s="101"/>
      <c r="K682" s="101"/>
      <c r="L682" s="101"/>
      <c r="M682" s="101"/>
      <c r="N682" s="101"/>
      <c r="O682" s="101"/>
      <c r="P682" s="101"/>
      <c r="Q682" s="101"/>
      <c r="R682" s="101"/>
      <c r="S682" s="101"/>
      <c r="T682" s="101"/>
      <c r="U682" s="101"/>
      <c r="V682" s="101"/>
      <c r="W682" s="101"/>
      <c r="X682" s="101"/>
      <c r="Y682" s="101"/>
      <c r="Z682" s="101"/>
      <c r="AA682" s="101"/>
      <c r="AB682" s="101"/>
    </row>
    <row r="683">
      <c r="A683" s="104" t="s">
        <v>820</v>
      </c>
      <c r="B683" s="105" t="str">
        <f>IFERROR(VLOOKUP(A683,'Salary Calculation'!A682:F1679,2,0),"")</f>
        <v/>
      </c>
      <c r="C683" s="105" t="str">
        <f>IFERROR(VLOOKUP(A683,'Salary Calculation'!$A$2:$V$999,3,0),"")</f>
        <v/>
      </c>
      <c r="D683" s="105" t="str">
        <f>IFERROR(VLOOKUP(A683,'Salary Calculation'!$A$2:$V$999,6,0),"")</f>
        <v/>
      </c>
      <c r="E683" s="105" t="str">
        <f>IFERROR(VLOOKUP(A683,'Salary Calculation'!$A$2:$V$999,10,0),"")</f>
        <v/>
      </c>
      <c r="F683" s="101"/>
      <c r="G683" s="106" t="str">
        <f>IFERROR(VLOOKUP(A683,'Salary Calculation'!$A$2:$V$999,7,0),"")</f>
        <v/>
      </c>
      <c r="H683" s="100"/>
      <c r="I683" s="101"/>
      <c r="J683" s="101"/>
      <c r="K683" s="101"/>
      <c r="L683" s="101"/>
      <c r="M683" s="101"/>
      <c r="N683" s="101"/>
      <c r="O683" s="101"/>
      <c r="P683" s="101"/>
      <c r="Q683" s="101"/>
      <c r="R683" s="101"/>
      <c r="S683" s="101"/>
      <c r="T683" s="101"/>
      <c r="U683" s="101"/>
      <c r="V683" s="101"/>
      <c r="W683" s="101"/>
      <c r="X683" s="101"/>
      <c r="Y683" s="101"/>
      <c r="Z683" s="101"/>
      <c r="AA683" s="101"/>
      <c r="AB683" s="101"/>
    </row>
    <row r="684">
      <c r="A684" s="104" t="s">
        <v>821</v>
      </c>
      <c r="B684" s="105" t="str">
        <f>IFERROR(VLOOKUP(A684,'Salary Calculation'!A683:F1680,2,0),"")</f>
        <v/>
      </c>
      <c r="C684" s="105" t="str">
        <f>IFERROR(VLOOKUP(A684,'Salary Calculation'!$A$2:$V$999,3,0),"")</f>
        <v/>
      </c>
      <c r="D684" s="105" t="str">
        <f>IFERROR(VLOOKUP(A684,'Salary Calculation'!$A$2:$V$999,6,0),"")</f>
        <v/>
      </c>
      <c r="E684" s="105" t="str">
        <f>IFERROR(VLOOKUP(A684,'Salary Calculation'!$A$2:$V$999,10,0),"")</f>
        <v/>
      </c>
      <c r="F684" s="101"/>
      <c r="G684" s="106" t="str">
        <f>IFERROR(VLOOKUP(A684,'Salary Calculation'!$A$2:$V$999,7,0),"")</f>
        <v/>
      </c>
      <c r="H684" s="100"/>
      <c r="I684" s="101"/>
      <c r="J684" s="101"/>
      <c r="K684" s="101"/>
      <c r="L684" s="101"/>
      <c r="M684" s="101"/>
      <c r="N684" s="101"/>
      <c r="O684" s="101"/>
      <c r="P684" s="101"/>
      <c r="Q684" s="101"/>
      <c r="R684" s="101"/>
      <c r="S684" s="101"/>
      <c r="T684" s="101"/>
      <c r="U684" s="101"/>
      <c r="V684" s="101"/>
      <c r="W684" s="101"/>
      <c r="X684" s="101"/>
      <c r="Y684" s="101"/>
      <c r="Z684" s="101"/>
      <c r="AA684" s="101"/>
      <c r="AB684" s="101"/>
    </row>
    <row r="685">
      <c r="A685" s="104" t="s">
        <v>822</v>
      </c>
      <c r="B685" s="105" t="str">
        <f>IFERROR(VLOOKUP(A685,'Salary Calculation'!A684:F1681,2,0),"")</f>
        <v/>
      </c>
      <c r="C685" s="105" t="str">
        <f>IFERROR(VLOOKUP(A685,'Salary Calculation'!$A$2:$V$999,3,0),"")</f>
        <v/>
      </c>
      <c r="D685" s="105" t="str">
        <f>IFERROR(VLOOKUP(A685,'Salary Calculation'!$A$2:$V$999,6,0),"")</f>
        <v/>
      </c>
      <c r="E685" s="105" t="str">
        <f>IFERROR(VLOOKUP(A685,'Salary Calculation'!$A$2:$V$999,10,0),"")</f>
        <v/>
      </c>
      <c r="F685" s="101"/>
      <c r="G685" s="106" t="str">
        <f>IFERROR(VLOOKUP(A685,'Salary Calculation'!$A$2:$V$999,7,0),"")</f>
        <v/>
      </c>
      <c r="H685" s="100"/>
      <c r="I685" s="101"/>
      <c r="J685" s="101"/>
      <c r="K685" s="101"/>
      <c r="L685" s="101"/>
      <c r="M685" s="101"/>
      <c r="N685" s="101"/>
      <c r="O685" s="101"/>
      <c r="P685" s="101"/>
      <c r="Q685" s="101"/>
      <c r="R685" s="101"/>
      <c r="S685" s="101"/>
      <c r="T685" s="101"/>
      <c r="U685" s="101"/>
      <c r="V685" s="101"/>
      <c r="W685" s="101"/>
      <c r="X685" s="101"/>
      <c r="Y685" s="101"/>
      <c r="Z685" s="101"/>
      <c r="AA685" s="101"/>
      <c r="AB685" s="101"/>
    </row>
    <row r="686">
      <c r="A686" s="104" t="s">
        <v>823</v>
      </c>
      <c r="B686" s="105" t="str">
        <f>IFERROR(VLOOKUP(A686,'Salary Calculation'!A685:F1682,2,0),"")</f>
        <v/>
      </c>
      <c r="C686" s="105" t="str">
        <f>IFERROR(VLOOKUP(A686,'Salary Calculation'!$A$2:$V$999,3,0),"")</f>
        <v/>
      </c>
      <c r="D686" s="105" t="str">
        <f>IFERROR(VLOOKUP(A686,'Salary Calculation'!$A$2:$V$999,6,0),"")</f>
        <v/>
      </c>
      <c r="E686" s="105" t="str">
        <f>IFERROR(VLOOKUP(A686,'Salary Calculation'!$A$2:$V$999,10,0),"")</f>
        <v/>
      </c>
      <c r="F686" s="101"/>
      <c r="G686" s="106" t="str">
        <f>IFERROR(VLOOKUP(A686,'Salary Calculation'!$A$2:$V$999,7,0),"")</f>
        <v/>
      </c>
      <c r="H686" s="100"/>
      <c r="I686" s="101"/>
      <c r="J686" s="101"/>
      <c r="K686" s="101"/>
      <c r="L686" s="101"/>
      <c r="M686" s="101"/>
      <c r="N686" s="101"/>
      <c r="O686" s="101"/>
      <c r="P686" s="101"/>
      <c r="Q686" s="101"/>
      <c r="R686" s="101"/>
      <c r="S686" s="101"/>
      <c r="T686" s="101"/>
      <c r="U686" s="101"/>
      <c r="V686" s="101"/>
      <c r="W686" s="101"/>
      <c r="X686" s="101"/>
      <c r="Y686" s="101"/>
      <c r="Z686" s="101"/>
      <c r="AA686" s="101"/>
      <c r="AB686" s="101"/>
    </row>
    <row r="687">
      <c r="A687" s="104" t="s">
        <v>824</v>
      </c>
      <c r="B687" s="105" t="str">
        <f>IFERROR(VLOOKUP(A687,'Salary Calculation'!A686:F1683,2,0),"")</f>
        <v/>
      </c>
      <c r="C687" s="105" t="str">
        <f>IFERROR(VLOOKUP(A687,'Salary Calculation'!$A$2:$V$999,3,0),"")</f>
        <v/>
      </c>
      <c r="D687" s="105" t="str">
        <f>IFERROR(VLOOKUP(A687,'Salary Calculation'!$A$2:$V$999,6,0),"")</f>
        <v/>
      </c>
      <c r="E687" s="105" t="str">
        <f>IFERROR(VLOOKUP(A687,'Salary Calculation'!$A$2:$V$999,10,0),"")</f>
        <v/>
      </c>
      <c r="F687" s="101"/>
      <c r="G687" s="106" t="str">
        <f>IFERROR(VLOOKUP(A687,'Salary Calculation'!$A$2:$V$999,7,0),"")</f>
        <v/>
      </c>
      <c r="H687" s="100"/>
      <c r="I687" s="101"/>
      <c r="J687" s="101"/>
      <c r="K687" s="101"/>
      <c r="L687" s="101"/>
      <c r="M687" s="101"/>
      <c r="N687" s="101"/>
      <c r="O687" s="101"/>
      <c r="P687" s="101"/>
      <c r="Q687" s="101"/>
      <c r="R687" s="101"/>
      <c r="S687" s="101"/>
      <c r="T687" s="101"/>
      <c r="U687" s="101"/>
      <c r="V687" s="101"/>
      <c r="W687" s="101"/>
      <c r="X687" s="101"/>
      <c r="Y687" s="101"/>
      <c r="Z687" s="101"/>
      <c r="AA687" s="101"/>
      <c r="AB687" s="101"/>
    </row>
    <row r="688">
      <c r="A688" s="104" t="s">
        <v>825</v>
      </c>
      <c r="B688" s="105" t="str">
        <f>IFERROR(VLOOKUP(A688,'Salary Calculation'!A687:F1684,2,0),"")</f>
        <v/>
      </c>
      <c r="C688" s="105" t="str">
        <f>IFERROR(VLOOKUP(A688,'Salary Calculation'!$A$2:$V$999,3,0),"")</f>
        <v/>
      </c>
      <c r="D688" s="105" t="str">
        <f>IFERROR(VLOOKUP(A688,'Salary Calculation'!$A$2:$V$999,6,0),"")</f>
        <v/>
      </c>
      <c r="E688" s="105" t="str">
        <f>IFERROR(VLOOKUP(A688,'Salary Calculation'!$A$2:$V$999,10,0),"")</f>
        <v/>
      </c>
      <c r="F688" s="101"/>
      <c r="G688" s="106" t="str">
        <f>IFERROR(VLOOKUP(A688,'Salary Calculation'!$A$2:$V$999,7,0),"")</f>
        <v/>
      </c>
      <c r="H688" s="100"/>
      <c r="I688" s="101"/>
      <c r="J688" s="101"/>
      <c r="K688" s="101"/>
      <c r="L688" s="101"/>
      <c r="M688" s="101"/>
      <c r="N688" s="101"/>
      <c r="O688" s="101"/>
      <c r="P688" s="101"/>
      <c r="Q688" s="101"/>
      <c r="R688" s="101"/>
      <c r="S688" s="101"/>
      <c r="T688" s="101"/>
      <c r="U688" s="101"/>
      <c r="V688" s="101"/>
      <c r="W688" s="101"/>
      <c r="X688" s="101"/>
      <c r="Y688" s="101"/>
      <c r="Z688" s="101"/>
      <c r="AA688" s="101"/>
      <c r="AB688" s="101"/>
    </row>
    <row r="689">
      <c r="A689" s="104" t="s">
        <v>826</v>
      </c>
      <c r="B689" s="105" t="str">
        <f>IFERROR(VLOOKUP(A689,'Salary Calculation'!A688:F1685,2,0),"")</f>
        <v/>
      </c>
      <c r="C689" s="105" t="str">
        <f>IFERROR(VLOOKUP(A689,'Salary Calculation'!$A$2:$V$999,3,0),"")</f>
        <v/>
      </c>
      <c r="D689" s="105" t="str">
        <f>IFERROR(VLOOKUP(A689,'Salary Calculation'!$A$2:$V$999,6,0),"")</f>
        <v/>
      </c>
      <c r="E689" s="105" t="str">
        <f>IFERROR(VLOOKUP(A689,'Salary Calculation'!$A$2:$V$999,10,0),"")</f>
        <v/>
      </c>
      <c r="F689" s="101"/>
      <c r="G689" s="106" t="str">
        <f>IFERROR(VLOOKUP(A689,'Salary Calculation'!$A$2:$V$999,7,0),"")</f>
        <v/>
      </c>
      <c r="H689" s="100"/>
      <c r="I689" s="101"/>
      <c r="J689" s="101"/>
      <c r="K689" s="101"/>
      <c r="L689" s="101"/>
      <c r="M689" s="101"/>
      <c r="N689" s="101"/>
      <c r="O689" s="101"/>
      <c r="P689" s="101"/>
      <c r="Q689" s="101"/>
      <c r="R689" s="101"/>
      <c r="S689" s="101"/>
      <c r="T689" s="101"/>
      <c r="U689" s="101"/>
      <c r="V689" s="101"/>
      <c r="W689" s="101"/>
      <c r="X689" s="101"/>
      <c r="Y689" s="101"/>
      <c r="Z689" s="101"/>
      <c r="AA689" s="101"/>
      <c r="AB689" s="101"/>
    </row>
    <row r="690">
      <c r="A690" s="104" t="s">
        <v>827</v>
      </c>
      <c r="B690" s="105" t="str">
        <f>IFERROR(VLOOKUP(A690,'Salary Calculation'!A689:F1686,2,0),"")</f>
        <v/>
      </c>
      <c r="C690" s="105" t="str">
        <f>IFERROR(VLOOKUP(A690,'Salary Calculation'!$A$2:$V$999,3,0),"")</f>
        <v/>
      </c>
      <c r="D690" s="105" t="str">
        <f>IFERROR(VLOOKUP(A690,'Salary Calculation'!$A$2:$V$999,6,0),"")</f>
        <v/>
      </c>
      <c r="E690" s="105" t="str">
        <f>IFERROR(VLOOKUP(A690,'Salary Calculation'!$A$2:$V$999,10,0),"")</f>
        <v/>
      </c>
      <c r="F690" s="101"/>
      <c r="G690" s="106" t="str">
        <f>IFERROR(VLOOKUP(A690,'Salary Calculation'!$A$2:$V$999,7,0),"")</f>
        <v/>
      </c>
      <c r="H690" s="100"/>
      <c r="I690" s="101"/>
      <c r="J690" s="101"/>
      <c r="K690" s="101"/>
      <c r="L690" s="101"/>
      <c r="M690" s="101"/>
      <c r="N690" s="101"/>
      <c r="O690" s="101"/>
      <c r="P690" s="101"/>
      <c r="Q690" s="101"/>
      <c r="R690" s="101"/>
      <c r="S690" s="101"/>
      <c r="T690" s="101"/>
      <c r="U690" s="101"/>
      <c r="V690" s="101"/>
      <c r="W690" s="101"/>
      <c r="X690" s="101"/>
      <c r="Y690" s="101"/>
      <c r="Z690" s="101"/>
      <c r="AA690" s="101"/>
      <c r="AB690" s="101"/>
    </row>
    <row r="691">
      <c r="A691" s="104" t="s">
        <v>828</v>
      </c>
      <c r="B691" s="105" t="str">
        <f>IFERROR(VLOOKUP(A691,'Salary Calculation'!A690:F1687,2,0),"")</f>
        <v/>
      </c>
      <c r="C691" s="105" t="str">
        <f>IFERROR(VLOOKUP(A691,'Salary Calculation'!$A$2:$V$999,3,0),"")</f>
        <v/>
      </c>
      <c r="D691" s="105" t="str">
        <f>IFERROR(VLOOKUP(A691,'Salary Calculation'!$A$2:$V$999,6,0),"")</f>
        <v/>
      </c>
      <c r="E691" s="105" t="str">
        <f>IFERROR(VLOOKUP(A691,'Salary Calculation'!$A$2:$V$999,10,0),"")</f>
        <v/>
      </c>
      <c r="F691" s="101"/>
      <c r="G691" s="106" t="str">
        <f>IFERROR(VLOOKUP(A691,'Salary Calculation'!$A$2:$V$999,7,0),"")</f>
        <v/>
      </c>
      <c r="H691" s="100"/>
      <c r="I691" s="101"/>
      <c r="J691" s="101"/>
      <c r="K691" s="101"/>
      <c r="L691" s="101"/>
      <c r="M691" s="101"/>
      <c r="N691" s="101"/>
      <c r="O691" s="101"/>
      <c r="P691" s="101"/>
      <c r="Q691" s="101"/>
      <c r="R691" s="101"/>
      <c r="S691" s="101"/>
      <c r="T691" s="101"/>
      <c r="U691" s="101"/>
      <c r="V691" s="101"/>
      <c r="W691" s="101"/>
      <c r="X691" s="101"/>
      <c r="Y691" s="101"/>
      <c r="Z691" s="101"/>
      <c r="AA691" s="101"/>
      <c r="AB691" s="101"/>
    </row>
    <row r="692">
      <c r="A692" s="104" t="s">
        <v>829</v>
      </c>
      <c r="B692" s="105" t="str">
        <f>IFERROR(VLOOKUP(A692,'Salary Calculation'!A691:F1688,2,0),"")</f>
        <v/>
      </c>
      <c r="C692" s="105" t="str">
        <f>IFERROR(VLOOKUP(A692,'Salary Calculation'!$A$2:$V$999,3,0),"")</f>
        <v/>
      </c>
      <c r="D692" s="105" t="str">
        <f>IFERROR(VLOOKUP(A692,'Salary Calculation'!$A$2:$V$999,6,0),"")</f>
        <v/>
      </c>
      <c r="E692" s="105" t="str">
        <f>IFERROR(VLOOKUP(A692,'Salary Calculation'!$A$2:$V$999,10,0),"")</f>
        <v/>
      </c>
      <c r="F692" s="101"/>
      <c r="G692" s="106" t="str">
        <f>IFERROR(VLOOKUP(A692,'Salary Calculation'!$A$2:$V$999,7,0),"")</f>
        <v/>
      </c>
      <c r="H692" s="100"/>
      <c r="I692" s="101"/>
      <c r="J692" s="101"/>
      <c r="K692" s="101"/>
      <c r="L692" s="101"/>
      <c r="M692" s="101"/>
      <c r="N692" s="101"/>
      <c r="O692" s="101"/>
      <c r="P692" s="101"/>
      <c r="Q692" s="101"/>
      <c r="R692" s="101"/>
      <c r="S692" s="101"/>
      <c r="T692" s="101"/>
      <c r="U692" s="101"/>
      <c r="V692" s="101"/>
      <c r="W692" s="101"/>
      <c r="X692" s="101"/>
      <c r="Y692" s="101"/>
      <c r="Z692" s="101"/>
      <c r="AA692" s="101"/>
      <c r="AB692" s="101"/>
    </row>
    <row r="693">
      <c r="A693" s="104" t="s">
        <v>830</v>
      </c>
      <c r="B693" s="105" t="str">
        <f>IFERROR(VLOOKUP(A693,'Salary Calculation'!A692:F1689,2,0),"")</f>
        <v/>
      </c>
      <c r="C693" s="105" t="str">
        <f>IFERROR(VLOOKUP(A693,'Salary Calculation'!$A$2:$V$999,3,0),"")</f>
        <v/>
      </c>
      <c r="D693" s="105" t="str">
        <f>IFERROR(VLOOKUP(A693,'Salary Calculation'!$A$2:$V$999,6,0),"")</f>
        <v/>
      </c>
      <c r="E693" s="105" t="str">
        <f>IFERROR(VLOOKUP(A693,'Salary Calculation'!$A$2:$V$999,10,0),"")</f>
        <v/>
      </c>
      <c r="F693" s="101"/>
      <c r="G693" s="106" t="str">
        <f>IFERROR(VLOOKUP(A693,'Salary Calculation'!$A$2:$V$999,7,0),"")</f>
        <v/>
      </c>
      <c r="H693" s="100"/>
      <c r="I693" s="101"/>
      <c r="J693" s="101"/>
      <c r="K693" s="101"/>
      <c r="L693" s="101"/>
      <c r="M693" s="101"/>
      <c r="N693" s="101"/>
      <c r="O693" s="101"/>
      <c r="P693" s="101"/>
      <c r="Q693" s="101"/>
      <c r="R693" s="101"/>
      <c r="S693" s="101"/>
      <c r="T693" s="101"/>
      <c r="U693" s="101"/>
      <c r="V693" s="101"/>
      <c r="W693" s="101"/>
      <c r="X693" s="101"/>
      <c r="Y693" s="101"/>
      <c r="Z693" s="101"/>
      <c r="AA693" s="101"/>
      <c r="AB693" s="101"/>
    </row>
    <row r="694">
      <c r="A694" s="104" t="s">
        <v>831</v>
      </c>
      <c r="B694" s="105" t="str">
        <f>IFERROR(VLOOKUP(A694,'Salary Calculation'!A693:F1690,2,0),"")</f>
        <v/>
      </c>
      <c r="C694" s="105" t="str">
        <f>IFERROR(VLOOKUP(A694,'Salary Calculation'!$A$2:$V$999,3,0),"")</f>
        <v/>
      </c>
      <c r="D694" s="105" t="str">
        <f>IFERROR(VLOOKUP(A694,'Salary Calculation'!$A$2:$V$999,6,0),"")</f>
        <v/>
      </c>
      <c r="E694" s="105" t="str">
        <f>IFERROR(VLOOKUP(A694,'Salary Calculation'!$A$2:$V$999,10,0),"")</f>
        <v/>
      </c>
      <c r="F694" s="101"/>
      <c r="G694" s="106" t="str">
        <f>IFERROR(VLOOKUP(A694,'Salary Calculation'!$A$2:$V$999,7,0),"")</f>
        <v/>
      </c>
      <c r="H694" s="100"/>
      <c r="I694" s="101"/>
      <c r="J694" s="101"/>
      <c r="K694" s="101"/>
      <c r="L694" s="101"/>
      <c r="M694" s="101"/>
      <c r="N694" s="101"/>
      <c r="O694" s="101"/>
      <c r="P694" s="101"/>
      <c r="Q694" s="101"/>
      <c r="R694" s="101"/>
      <c r="S694" s="101"/>
      <c r="T694" s="101"/>
      <c r="U694" s="101"/>
      <c r="V694" s="101"/>
      <c r="W694" s="101"/>
      <c r="X694" s="101"/>
      <c r="Y694" s="101"/>
      <c r="Z694" s="101"/>
      <c r="AA694" s="101"/>
      <c r="AB694" s="101"/>
    </row>
    <row r="695">
      <c r="A695" s="104" t="s">
        <v>832</v>
      </c>
      <c r="B695" s="105" t="str">
        <f>IFERROR(VLOOKUP(A695,'Salary Calculation'!A694:F1691,2,0),"")</f>
        <v/>
      </c>
      <c r="C695" s="105" t="str">
        <f>IFERROR(VLOOKUP(A695,'Salary Calculation'!$A$2:$V$999,3,0),"")</f>
        <v/>
      </c>
      <c r="D695" s="105" t="str">
        <f>IFERROR(VLOOKUP(A695,'Salary Calculation'!$A$2:$V$999,6,0),"")</f>
        <v/>
      </c>
      <c r="E695" s="105" t="str">
        <f>IFERROR(VLOOKUP(A695,'Salary Calculation'!$A$2:$V$999,10,0),"")</f>
        <v/>
      </c>
      <c r="F695" s="101"/>
      <c r="G695" s="106" t="str">
        <f>IFERROR(VLOOKUP(A695,'Salary Calculation'!$A$2:$V$999,7,0),"")</f>
        <v/>
      </c>
      <c r="H695" s="100"/>
      <c r="I695" s="101"/>
      <c r="J695" s="101"/>
      <c r="K695" s="101"/>
      <c r="L695" s="101"/>
      <c r="M695" s="101"/>
      <c r="N695" s="101"/>
      <c r="O695" s="101"/>
      <c r="P695" s="101"/>
      <c r="Q695" s="101"/>
      <c r="R695" s="101"/>
      <c r="S695" s="101"/>
      <c r="T695" s="101"/>
      <c r="U695" s="101"/>
      <c r="V695" s="101"/>
      <c r="W695" s="101"/>
      <c r="X695" s="101"/>
      <c r="Y695" s="101"/>
      <c r="Z695" s="101"/>
      <c r="AA695" s="101"/>
      <c r="AB695" s="101"/>
    </row>
    <row r="696">
      <c r="A696" s="104" t="s">
        <v>833</v>
      </c>
      <c r="B696" s="105" t="str">
        <f>IFERROR(VLOOKUP(A696,'Salary Calculation'!A695:F1692,2,0),"")</f>
        <v/>
      </c>
      <c r="C696" s="105" t="str">
        <f>IFERROR(VLOOKUP(A696,'Salary Calculation'!$A$2:$V$999,3,0),"")</f>
        <v/>
      </c>
      <c r="D696" s="105" t="str">
        <f>IFERROR(VLOOKUP(A696,'Salary Calculation'!$A$2:$V$999,6,0),"")</f>
        <v/>
      </c>
      <c r="E696" s="105" t="str">
        <f>IFERROR(VLOOKUP(A696,'Salary Calculation'!$A$2:$V$999,10,0),"")</f>
        <v/>
      </c>
      <c r="F696" s="101"/>
      <c r="G696" s="106" t="str">
        <f>IFERROR(VLOOKUP(A696,'Salary Calculation'!$A$2:$V$999,7,0),"")</f>
        <v/>
      </c>
      <c r="H696" s="100"/>
      <c r="I696" s="101"/>
      <c r="J696" s="101"/>
      <c r="K696" s="101"/>
      <c r="L696" s="101"/>
      <c r="M696" s="101"/>
      <c r="N696" s="101"/>
      <c r="O696" s="101"/>
      <c r="P696" s="101"/>
      <c r="Q696" s="101"/>
      <c r="R696" s="101"/>
      <c r="S696" s="101"/>
      <c r="T696" s="101"/>
      <c r="U696" s="101"/>
      <c r="V696" s="101"/>
      <c r="W696" s="101"/>
      <c r="X696" s="101"/>
      <c r="Y696" s="101"/>
      <c r="Z696" s="101"/>
      <c r="AA696" s="101"/>
      <c r="AB696" s="101"/>
    </row>
    <row r="697">
      <c r="A697" s="104" t="s">
        <v>834</v>
      </c>
      <c r="B697" s="105" t="str">
        <f>IFERROR(VLOOKUP(A697,'Salary Calculation'!A696:F1693,2,0),"")</f>
        <v/>
      </c>
      <c r="C697" s="105" t="str">
        <f>IFERROR(VLOOKUP(A697,'Salary Calculation'!$A$2:$V$999,3,0),"")</f>
        <v/>
      </c>
      <c r="D697" s="105" t="str">
        <f>IFERROR(VLOOKUP(A697,'Salary Calculation'!$A$2:$V$999,6,0),"")</f>
        <v/>
      </c>
      <c r="E697" s="105" t="str">
        <f>IFERROR(VLOOKUP(A697,'Salary Calculation'!$A$2:$V$999,10,0),"")</f>
        <v/>
      </c>
      <c r="F697" s="101"/>
      <c r="G697" s="106" t="str">
        <f>IFERROR(VLOOKUP(A697,'Salary Calculation'!$A$2:$V$999,7,0),"")</f>
        <v/>
      </c>
      <c r="H697" s="100"/>
      <c r="I697" s="101"/>
      <c r="J697" s="101"/>
      <c r="K697" s="101"/>
      <c r="L697" s="101"/>
      <c r="M697" s="101"/>
      <c r="N697" s="101"/>
      <c r="O697" s="101"/>
      <c r="P697" s="101"/>
      <c r="Q697" s="101"/>
      <c r="R697" s="101"/>
      <c r="S697" s="101"/>
      <c r="T697" s="101"/>
      <c r="U697" s="101"/>
      <c r="V697" s="101"/>
      <c r="W697" s="101"/>
      <c r="X697" s="101"/>
      <c r="Y697" s="101"/>
      <c r="Z697" s="101"/>
      <c r="AA697" s="101"/>
      <c r="AB697" s="101"/>
    </row>
    <row r="698">
      <c r="A698" s="104" t="s">
        <v>835</v>
      </c>
      <c r="B698" s="105" t="str">
        <f>IFERROR(VLOOKUP(A698,'Salary Calculation'!A697:F1694,2,0),"")</f>
        <v/>
      </c>
      <c r="C698" s="105" t="str">
        <f>IFERROR(VLOOKUP(A698,'Salary Calculation'!$A$2:$V$999,3,0),"")</f>
        <v/>
      </c>
      <c r="D698" s="105" t="str">
        <f>IFERROR(VLOOKUP(A698,'Salary Calculation'!$A$2:$V$999,6,0),"")</f>
        <v/>
      </c>
      <c r="E698" s="105" t="str">
        <f>IFERROR(VLOOKUP(A698,'Salary Calculation'!$A$2:$V$999,10,0),"")</f>
        <v/>
      </c>
      <c r="F698" s="101"/>
      <c r="G698" s="106" t="str">
        <f>IFERROR(VLOOKUP(A698,'Salary Calculation'!$A$2:$V$999,7,0),"")</f>
        <v/>
      </c>
      <c r="H698" s="100"/>
      <c r="I698" s="101"/>
      <c r="J698" s="101"/>
      <c r="K698" s="101"/>
      <c r="L698" s="101"/>
      <c r="M698" s="101"/>
      <c r="N698" s="101"/>
      <c r="O698" s="101"/>
      <c r="P698" s="101"/>
      <c r="Q698" s="101"/>
      <c r="R698" s="101"/>
      <c r="S698" s="101"/>
      <c r="T698" s="101"/>
      <c r="U698" s="101"/>
      <c r="V698" s="101"/>
      <c r="W698" s="101"/>
      <c r="X698" s="101"/>
      <c r="Y698" s="101"/>
      <c r="Z698" s="101"/>
      <c r="AA698" s="101"/>
      <c r="AB698" s="101"/>
    </row>
    <row r="699">
      <c r="A699" s="104" t="s">
        <v>836</v>
      </c>
      <c r="B699" s="105" t="str">
        <f>IFERROR(VLOOKUP(A699,'Salary Calculation'!A698:F1695,2,0),"")</f>
        <v/>
      </c>
      <c r="C699" s="105" t="str">
        <f>IFERROR(VLOOKUP(A699,'Salary Calculation'!$A$2:$V$999,3,0),"")</f>
        <v/>
      </c>
      <c r="D699" s="105" t="str">
        <f>IFERROR(VLOOKUP(A699,'Salary Calculation'!$A$2:$V$999,6,0),"")</f>
        <v/>
      </c>
      <c r="E699" s="105" t="str">
        <f>IFERROR(VLOOKUP(A699,'Salary Calculation'!$A$2:$V$999,10,0),"")</f>
        <v/>
      </c>
      <c r="F699" s="101"/>
      <c r="G699" s="106" t="str">
        <f>IFERROR(VLOOKUP(A699,'Salary Calculation'!$A$2:$V$999,7,0),"")</f>
        <v/>
      </c>
      <c r="H699" s="100"/>
      <c r="I699" s="101"/>
      <c r="J699" s="101"/>
      <c r="K699" s="101"/>
      <c r="L699" s="101"/>
      <c r="M699" s="101"/>
      <c r="N699" s="101"/>
      <c r="O699" s="101"/>
      <c r="P699" s="101"/>
      <c r="Q699" s="101"/>
      <c r="R699" s="101"/>
      <c r="S699" s="101"/>
      <c r="T699" s="101"/>
      <c r="U699" s="101"/>
      <c r="V699" s="101"/>
      <c r="W699" s="101"/>
      <c r="X699" s="101"/>
      <c r="Y699" s="101"/>
      <c r="Z699" s="101"/>
      <c r="AA699" s="101"/>
      <c r="AB699" s="101"/>
    </row>
    <row r="700">
      <c r="A700" s="104" t="s">
        <v>837</v>
      </c>
      <c r="B700" s="105" t="str">
        <f>IFERROR(VLOOKUP(A700,'Salary Calculation'!A699:F1696,2,0),"")</f>
        <v/>
      </c>
      <c r="C700" s="105" t="str">
        <f>IFERROR(VLOOKUP(A700,'Salary Calculation'!$A$2:$V$999,3,0),"")</f>
        <v/>
      </c>
      <c r="D700" s="105" t="str">
        <f>IFERROR(VLOOKUP(A700,'Salary Calculation'!$A$2:$V$999,6,0),"")</f>
        <v/>
      </c>
      <c r="E700" s="105" t="str">
        <f>IFERROR(VLOOKUP(A700,'Salary Calculation'!$A$2:$V$999,10,0),"")</f>
        <v/>
      </c>
      <c r="F700" s="101"/>
      <c r="G700" s="106" t="str">
        <f>IFERROR(VLOOKUP(A700,'Salary Calculation'!$A$2:$V$999,7,0),"")</f>
        <v/>
      </c>
      <c r="H700" s="100"/>
      <c r="I700" s="101"/>
      <c r="J700" s="101"/>
      <c r="K700" s="101"/>
      <c r="L700" s="101"/>
      <c r="M700" s="101"/>
      <c r="N700" s="101"/>
      <c r="O700" s="101"/>
      <c r="P700" s="101"/>
      <c r="Q700" s="101"/>
      <c r="R700" s="101"/>
      <c r="S700" s="101"/>
      <c r="T700" s="101"/>
      <c r="U700" s="101"/>
      <c r="V700" s="101"/>
      <c r="W700" s="101"/>
      <c r="X700" s="101"/>
      <c r="Y700" s="101"/>
      <c r="Z700" s="101"/>
      <c r="AA700" s="101"/>
      <c r="AB700" s="101"/>
    </row>
    <row r="701">
      <c r="A701" s="104" t="s">
        <v>838</v>
      </c>
      <c r="B701" s="105" t="str">
        <f>IFERROR(VLOOKUP(A701,'Salary Calculation'!A700:F1697,2,0),"")</f>
        <v/>
      </c>
      <c r="C701" s="105" t="str">
        <f>IFERROR(VLOOKUP(A701,'Salary Calculation'!$A$2:$V$999,3,0),"")</f>
        <v/>
      </c>
      <c r="D701" s="105" t="str">
        <f>IFERROR(VLOOKUP(A701,'Salary Calculation'!$A$2:$V$999,6,0),"")</f>
        <v/>
      </c>
      <c r="E701" s="105" t="str">
        <f>IFERROR(VLOOKUP(A701,'Salary Calculation'!$A$2:$V$999,10,0),"")</f>
        <v/>
      </c>
      <c r="F701" s="101"/>
      <c r="G701" s="106" t="str">
        <f>IFERROR(VLOOKUP(A701,'Salary Calculation'!$A$2:$V$999,7,0),"")</f>
        <v/>
      </c>
      <c r="H701" s="100"/>
      <c r="I701" s="101"/>
      <c r="J701" s="101"/>
      <c r="K701" s="101"/>
      <c r="L701" s="101"/>
      <c r="M701" s="101"/>
      <c r="N701" s="101"/>
      <c r="O701" s="101"/>
      <c r="P701" s="101"/>
      <c r="Q701" s="101"/>
      <c r="R701" s="101"/>
      <c r="S701" s="101"/>
      <c r="T701" s="101"/>
      <c r="U701" s="101"/>
      <c r="V701" s="101"/>
      <c r="W701" s="101"/>
      <c r="X701" s="101"/>
      <c r="Y701" s="101"/>
      <c r="Z701" s="101"/>
      <c r="AA701" s="101"/>
      <c r="AB701" s="101"/>
    </row>
    <row r="702">
      <c r="A702" s="104" t="s">
        <v>839</v>
      </c>
      <c r="B702" s="105" t="str">
        <f>IFERROR(VLOOKUP(A702,'Salary Calculation'!A701:F1698,2,0),"")</f>
        <v/>
      </c>
      <c r="C702" s="105" t="str">
        <f>IFERROR(VLOOKUP(A702,'Salary Calculation'!$A$2:$V$999,3,0),"")</f>
        <v/>
      </c>
      <c r="D702" s="105" t="str">
        <f>IFERROR(VLOOKUP(A702,'Salary Calculation'!$A$2:$V$999,6,0),"")</f>
        <v/>
      </c>
      <c r="E702" s="105" t="str">
        <f>IFERROR(VLOOKUP(A702,'Salary Calculation'!$A$2:$V$999,10,0),"")</f>
        <v/>
      </c>
      <c r="F702" s="101"/>
      <c r="G702" s="106" t="str">
        <f>IFERROR(VLOOKUP(A702,'Salary Calculation'!$A$2:$V$999,7,0),"")</f>
        <v/>
      </c>
      <c r="H702" s="100"/>
      <c r="I702" s="101"/>
      <c r="J702" s="101"/>
      <c r="K702" s="101"/>
      <c r="L702" s="101"/>
      <c r="M702" s="101"/>
      <c r="N702" s="101"/>
      <c r="O702" s="101"/>
      <c r="P702" s="101"/>
      <c r="Q702" s="101"/>
      <c r="R702" s="101"/>
      <c r="S702" s="101"/>
      <c r="T702" s="101"/>
      <c r="U702" s="101"/>
      <c r="V702" s="101"/>
      <c r="W702" s="101"/>
      <c r="X702" s="101"/>
      <c r="Y702" s="101"/>
      <c r="Z702" s="101"/>
      <c r="AA702" s="101"/>
      <c r="AB702" s="101"/>
    </row>
    <row r="703">
      <c r="A703" s="104" t="s">
        <v>840</v>
      </c>
      <c r="B703" s="105" t="str">
        <f>IFERROR(VLOOKUP(A703,'Salary Calculation'!A702:F1699,2,0),"")</f>
        <v/>
      </c>
      <c r="C703" s="105" t="str">
        <f>IFERROR(VLOOKUP(A703,'Salary Calculation'!$A$2:$V$999,3,0),"")</f>
        <v/>
      </c>
      <c r="D703" s="105" t="str">
        <f>IFERROR(VLOOKUP(A703,'Salary Calculation'!$A$2:$V$999,6,0),"")</f>
        <v/>
      </c>
      <c r="E703" s="105" t="str">
        <f>IFERROR(VLOOKUP(A703,'Salary Calculation'!$A$2:$V$999,10,0),"")</f>
        <v/>
      </c>
      <c r="F703" s="101"/>
      <c r="G703" s="106" t="str">
        <f>IFERROR(VLOOKUP(A703,'Salary Calculation'!$A$2:$V$999,7,0),"")</f>
        <v/>
      </c>
      <c r="H703" s="100"/>
      <c r="I703" s="101"/>
      <c r="J703" s="101"/>
      <c r="K703" s="101"/>
      <c r="L703" s="101"/>
      <c r="M703" s="101"/>
      <c r="N703" s="101"/>
      <c r="O703" s="101"/>
      <c r="P703" s="101"/>
      <c r="Q703" s="101"/>
      <c r="R703" s="101"/>
      <c r="S703" s="101"/>
      <c r="T703" s="101"/>
      <c r="U703" s="101"/>
      <c r="V703" s="101"/>
      <c r="W703" s="101"/>
      <c r="X703" s="101"/>
      <c r="Y703" s="101"/>
      <c r="Z703" s="101"/>
      <c r="AA703" s="101"/>
      <c r="AB703" s="101"/>
    </row>
    <row r="704">
      <c r="A704" s="104" t="s">
        <v>841</v>
      </c>
      <c r="B704" s="105" t="str">
        <f>IFERROR(VLOOKUP(A704,'Salary Calculation'!A703:F1700,2,0),"")</f>
        <v/>
      </c>
      <c r="C704" s="105" t="str">
        <f>IFERROR(VLOOKUP(A704,'Salary Calculation'!$A$2:$V$999,3,0),"")</f>
        <v/>
      </c>
      <c r="D704" s="105" t="str">
        <f>IFERROR(VLOOKUP(A704,'Salary Calculation'!$A$2:$V$999,6,0),"")</f>
        <v/>
      </c>
      <c r="E704" s="105" t="str">
        <f>IFERROR(VLOOKUP(A704,'Salary Calculation'!$A$2:$V$999,10,0),"")</f>
        <v/>
      </c>
      <c r="F704" s="101"/>
      <c r="G704" s="106" t="str">
        <f>IFERROR(VLOOKUP(A704,'Salary Calculation'!$A$2:$V$999,7,0),"")</f>
        <v/>
      </c>
      <c r="H704" s="100"/>
      <c r="I704" s="101"/>
      <c r="J704" s="101"/>
      <c r="K704" s="101"/>
      <c r="L704" s="101"/>
      <c r="M704" s="101"/>
      <c r="N704" s="101"/>
      <c r="O704" s="101"/>
      <c r="P704" s="101"/>
      <c r="Q704" s="101"/>
      <c r="R704" s="101"/>
      <c r="S704" s="101"/>
      <c r="T704" s="101"/>
      <c r="U704" s="101"/>
      <c r="V704" s="101"/>
      <c r="W704" s="101"/>
      <c r="X704" s="101"/>
      <c r="Y704" s="101"/>
      <c r="Z704" s="101"/>
      <c r="AA704" s="101"/>
      <c r="AB704" s="101"/>
    </row>
    <row r="705">
      <c r="A705" s="104" t="s">
        <v>842</v>
      </c>
      <c r="B705" s="105" t="str">
        <f>IFERROR(VLOOKUP(A705,'Salary Calculation'!A704:F1701,2,0),"")</f>
        <v/>
      </c>
      <c r="C705" s="105" t="str">
        <f>IFERROR(VLOOKUP(A705,'Salary Calculation'!$A$2:$V$999,3,0),"")</f>
        <v/>
      </c>
      <c r="D705" s="105" t="str">
        <f>IFERROR(VLOOKUP(A705,'Salary Calculation'!$A$2:$V$999,6,0),"")</f>
        <v/>
      </c>
      <c r="E705" s="105" t="str">
        <f>IFERROR(VLOOKUP(A705,'Salary Calculation'!$A$2:$V$999,10,0),"")</f>
        <v/>
      </c>
      <c r="F705" s="101"/>
      <c r="G705" s="106" t="str">
        <f>IFERROR(VLOOKUP(A705,'Salary Calculation'!$A$2:$V$999,7,0),"")</f>
        <v/>
      </c>
      <c r="H705" s="100"/>
      <c r="I705" s="101"/>
      <c r="J705" s="101"/>
      <c r="K705" s="101"/>
      <c r="L705" s="101"/>
      <c r="M705" s="101"/>
      <c r="N705" s="101"/>
      <c r="O705" s="101"/>
      <c r="P705" s="101"/>
      <c r="Q705" s="101"/>
      <c r="R705" s="101"/>
      <c r="S705" s="101"/>
      <c r="T705" s="101"/>
      <c r="U705" s="101"/>
      <c r="V705" s="101"/>
      <c r="W705" s="101"/>
      <c r="X705" s="101"/>
      <c r="Y705" s="101"/>
      <c r="Z705" s="101"/>
      <c r="AA705" s="101"/>
      <c r="AB705" s="101"/>
    </row>
    <row r="706">
      <c r="A706" s="104" t="s">
        <v>843</v>
      </c>
      <c r="B706" s="105" t="str">
        <f>IFERROR(VLOOKUP(A706,'Salary Calculation'!A705:F1702,2,0),"")</f>
        <v/>
      </c>
      <c r="C706" s="105" t="str">
        <f>IFERROR(VLOOKUP(A706,'Salary Calculation'!$A$2:$V$999,3,0),"")</f>
        <v/>
      </c>
      <c r="D706" s="105" t="str">
        <f>IFERROR(VLOOKUP(A706,'Salary Calculation'!$A$2:$V$999,6,0),"")</f>
        <v/>
      </c>
      <c r="E706" s="105" t="str">
        <f>IFERROR(VLOOKUP(A706,'Salary Calculation'!$A$2:$V$999,10,0),"")</f>
        <v/>
      </c>
      <c r="F706" s="101"/>
      <c r="G706" s="106" t="str">
        <f>IFERROR(VLOOKUP(A706,'Salary Calculation'!$A$2:$V$999,7,0),"")</f>
        <v/>
      </c>
      <c r="H706" s="100"/>
      <c r="I706" s="101"/>
      <c r="J706" s="101"/>
      <c r="K706" s="101"/>
      <c r="L706" s="101"/>
      <c r="M706" s="101"/>
      <c r="N706" s="101"/>
      <c r="O706" s="101"/>
      <c r="P706" s="101"/>
      <c r="Q706" s="101"/>
      <c r="R706" s="101"/>
      <c r="S706" s="101"/>
      <c r="T706" s="101"/>
      <c r="U706" s="101"/>
      <c r="V706" s="101"/>
      <c r="W706" s="101"/>
      <c r="X706" s="101"/>
      <c r="Y706" s="101"/>
      <c r="Z706" s="101"/>
      <c r="AA706" s="101"/>
      <c r="AB706" s="101"/>
    </row>
    <row r="707">
      <c r="A707" s="104" t="s">
        <v>844</v>
      </c>
      <c r="B707" s="105" t="str">
        <f>IFERROR(VLOOKUP(A707,'Salary Calculation'!A706:F1703,2,0),"")</f>
        <v/>
      </c>
      <c r="C707" s="105" t="str">
        <f>IFERROR(VLOOKUP(A707,'Salary Calculation'!$A$2:$V$999,3,0),"")</f>
        <v/>
      </c>
      <c r="D707" s="105" t="str">
        <f>IFERROR(VLOOKUP(A707,'Salary Calculation'!$A$2:$V$999,6,0),"")</f>
        <v/>
      </c>
      <c r="E707" s="105" t="str">
        <f>IFERROR(VLOOKUP(A707,'Salary Calculation'!$A$2:$V$999,10,0),"")</f>
        <v/>
      </c>
      <c r="F707" s="101"/>
      <c r="G707" s="106" t="str">
        <f>IFERROR(VLOOKUP(A707,'Salary Calculation'!$A$2:$V$999,7,0),"")</f>
        <v/>
      </c>
      <c r="H707" s="100"/>
      <c r="I707" s="101"/>
      <c r="J707" s="101"/>
      <c r="K707" s="101"/>
      <c r="L707" s="101"/>
      <c r="M707" s="101"/>
      <c r="N707" s="101"/>
      <c r="O707" s="101"/>
      <c r="P707" s="101"/>
      <c r="Q707" s="101"/>
      <c r="R707" s="101"/>
      <c r="S707" s="101"/>
      <c r="T707" s="101"/>
      <c r="U707" s="101"/>
      <c r="V707" s="101"/>
      <c r="W707" s="101"/>
      <c r="X707" s="101"/>
      <c r="Y707" s="101"/>
      <c r="Z707" s="101"/>
      <c r="AA707" s="101"/>
      <c r="AB707" s="101"/>
    </row>
    <row r="708">
      <c r="A708" s="104" t="s">
        <v>845</v>
      </c>
      <c r="B708" s="105" t="str">
        <f>IFERROR(VLOOKUP(A708,'Salary Calculation'!A707:F1704,2,0),"")</f>
        <v/>
      </c>
      <c r="C708" s="105" t="str">
        <f>IFERROR(VLOOKUP(A708,'Salary Calculation'!$A$2:$V$999,3,0),"")</f>
        <v/>
      </c>
      <c r="D708" s="105" t="str">
        <f>IFERROR(VLOOKUP(A708,'Salary Calculation'!$A$2:$V$999,6,0),"")</f>
        <v/>
      </c>
      <c r="E708" s="105" t="str">
        <f>IFERROR(VLOOKUP(A708,'Salary Calculation'!$A$2:$V$999,10,0),"")</f>
        <v/>
      </c>
      <c r="F708" s="101"/>
      <c r="G708" s="106" t="str">
        <f>IFERROR(VLOOKUP(A708,'Salary Calculation'!$A$2:$V$999,7,0),"")</f>
        <v/>
      </c>
      <c r="H708" s="100"/>
      <c r="I708" s="101"/>
      <c r="J708" s="101"/>
      <c r="K708" s="101"/>
      <c r="L708" s="101"/>
      <c r="M708" s="101"/>
      <c r="N708" s="101"/>
      <c r="O708" s="101"/>
      <c r="P708" s="101"/>
      <c r="Q708" s="101"/>
      <c r="R708" s="101"/>
      <c r="S708" s="101"/>
      <c r="T708" s="101"/>
      <c r="U708" s="101"/>
      <c r="V708" s="101"/>
      <c r="W708" s="101"/>
      <c r="X708" s="101"/>
      <c r="Y708" s="101"/>
      <c r="Z708" s="101"/>
      <c r="AA708" s="101"/>
      <c r="AB708" s="101"/>
    </row>
    <row r="709">
      <c r="A709" s="104" t="s">
        <v>846</v>
      </c>
      <c r="B709" s="105" t="str">
        <f>IFERROR(VLOOKUP(A709,'Salary Calculation'!A708:F1705,2,0),"")</f>
        <v/>
      </c>
      <c r="C709" s="105" t="str">
        <f>IFERROR(VLOOKUP(A709,'Salary Calculation'!$A$2:$V$999,3,0),"")</f>
        <v/>
      </c>
      <c r="D709" s="105" t="str">
        <f>IFERROR(VLOOKUP(A709,'Salary Calculation'!$A$2:$V$999,6,0),"")</f>
        <v/>
      </c>
      <c r="E709" s="105" t="str">
        <f>IFERROR(VLOOKUP(A709,'Salary Calculation'!$A$2:$V$999,10,0),"")</f>
        <v/>
      </c>
      <c r="F709" s="101"/>
      <c r="G709" s="106" t="str">
        <f>IFERROR(VLOOKUP(A709,'Salary Calculation'!$A$2:$V$999,7,0),"")</f>
        <v/>
      </c>
      <c r="H709" s="100"/>
      <c r="I709" s="101"/>
      <c r="J709" s="101"/>
      <c r="K709" s="101"/>
      <c r="L709" s="101"/>
      <c r="M709" s="101"/>
      <c r="N709" s="101"/>
      <c r="O709" s="101"/>
      <c r="P709" s="101"/>
      <c r="Q709" s="101"/>
      <c r="R709" s="101"/>
      <c r="S709" s="101"/>
      <c r="T709" s="101"/>
      <c r="U709" s="101"/>
      <c r="V709" s="101"/>
      <c r="W709" s="101"/>
      <c r="X709" s="101"/>
      <c r="Y709" s="101"/>
      <c r="Z709" s="101"/>
      <c r="AA709" s="101"/>
      <c r="AB709" s="101"/>
    </row>
    <row r="710">
      <c r="A710" s="104" t="s">
        <v>847</v>
      </c>
      <c r="B710" s="105" t="str">
        <f>IFERROR(VLOOKUP(A710,'Salary Calculation'!A709:F1706,2,0),"")</f>
        <v/>
      </c>
      <c r="C710" s="105" t="str">
        <f>IFERROR(VLOOKUP(A710,'Salary Calculation'!$A$2:$V$999,3,0),"")</f>
        <v/>
      </c>
      <c r="D710" s="105" t="str">
        <f>IFERROR(VLOOKUP(A710,'Salary Calculation'!$A$2:$V$999,6,0),"")</f>
        <v/>
      </c>
      <c r="E710" s="105" t="str">
        <f>IFERROR(VLOOKUP(A710,'Salary Calculation'!$A$2:$V$999,10,0),"")</f>
        <v/>
      </c>
      <c r="F710" s="101"/>
      <c r="G710" s="106" t="str">
        <f>IFERROR(VLOOKUP(A710,'Salary Calculation'!$A$2:$V$999,7,0),"")</f>
        <v/>
      </c>
      <c r="H710" s="100"/>
      <c r="I710" s="101"/>
      <c r="J710" s="101"/>
      <c r="K710" s="101"/>
      <c r="L710" s="101"/>
      <c r="M710" s="101"/>
      <c r="N710" s="101"/>
      <c r="O710" s="101"/>
      <c r="P710" s="101"/>
      <c r="Q710" s="101"/>
      <c r="R710" s="101"/>
      <c r="S710" s="101"/>
      <c r="T710" s="101"/>
      <c r="U710" s="101"/>
      <c r="V710" s="101"/>
      <c r="W710" s="101"/>
      <c r="X710" s="101"/>
      <c r="Y710" s="101"/>
      <c r="Z710" s="101"/>
      <c r="AA710" s="101"/>
      <c r="AB710" s="101"/>
    </row>
    <row r="711">
      <c r="A711" s="104" t="s">
        <v>848</v>
      </c>
      <c r="B711" s="105" t="str">
        <f>IFERROR(VLOOKUP(A711,'Salary Calculation'!A710:F1707,2,0),"")</f>
        <v/>
      </c>
      <c r="C711" s="105" t="str">
        <f>IFERROR(VLOOKUP(A711,'Salary Calculation'!$A$2:$V$999,3,0),"")</f>
        <v/>
      </c>
      <c r="D711" s="105" t="str">
        <f>IFERROR(VLOOKUP(A711,'Salary Calculation'!$A$2:$V$999,6,0),"")</f>
        <v/>
      </c>
      <c r="E711" s="105" t="str">
        <f>IFERROR(VLOOKUP(A711,'Salary Calculation'!$A$2:$V$999,10,0),"")</f>
        <v/>
      </c>
      <c r="F711" s="101"/>
      <c r="G711" s="106" t="str">
        <f>IFERROR(VLOOKUP(A711,'Salary Calculation'!$A$2:$V$999,7,0),"")</f>
        <v/>
      </c>
      <c r="H711" s="100"/>
      <c r="I711" s="101"/>
      <c r="J711" s="101"/>
      <c r="K711" s="101"/>
      <c r="L711" s="101"/>
      <c r="M711" s="101"/>
      <c r="N711" s="101"/>
      <c r="O711" s="101"/>
      <c r="P711" s="101"/>
      <c r="Q711" s="101"/>
      <c r="R711" s="101"/>
      <c r="S711" s="101"/>
      <c r="T711" s="101"/>
      <c r="U711" s="101"/>
      <c r="V711" s="101"/>
      <c r="W711" s="101"/>
      <c r="X711" s="101"/>
      <c r="Y711" s="101"/>
      <c r="Z711" s="101"/>
      <c r="AA711" s="101"/>
      <c r="AB711" s="101"/>
    </row>
    <row r="712">
      <c r="A712" s="104" t="s">
        <v>849</v>
      </c>
      <c r="B712" s="105" t="str">
        <f>IFERROR(VLOOKUP(A712,'Salary Calculation'!A711:F1708,2,0),"")</f>
        <v/>
      </c>
      <c r="C712" s="105" t="str">
        <f>IFERROR(VLOOKUP(A712,'Salary Calculation'!$A$2:$V$999,3,0),"")</f>
        <v/>
      </c>
      <c r="D712" s="105" t="str">
        <f>IFERROR(VLOOKUP(A712,'Salary Calculation'!$A$2:$V$999,6,0),"")</f>
        <v/>
      </c>
      <c r="E712" s="105" t="str">
        <f>IFERROR(VLOOKUP(A712,'Salary Calculation'!$A$2:$V$999,10,0),"")</f>
        <v/>
      </c>
      <c r="F712" s="101"/>
      <c r="G712" s="106" t="str">
        <f>IFERROR(VLOOKUP(A712,'Salary Calculation'!$A$2:$V$999,7,0),"")</f>
        <v/>
      </c>
      <c r="H712" s="100"/>
      <c r="I712" s="101"/>
      <c r="J712" s="101"/>
      <c r="K712" s="101"/>
      <c r="L712" s="101"/>
      <c r="M712" s="101"/>
      <c r="N712" s="101"/>
      <c r="O712" s="101"/>
      <c r="P712" s="101"/>
      <c r="Q712" s="101"/>
      <c r="R712" s="101"/>
      <c r="S712" s="101"/>
      <c r="T712" s="101"/>
      <c r="U712" s="101"/>
      <c r="V712" s="101"/>
      <c r="W712" s="101"/>
      <c r="X712" s="101"/>
      <c r="Y712" s="101"/>
      <c r="Z712" s="101"/>
      <c r="AA712" s="101"/>
      <c r="AB712" s="101"/>
    </row>
    <row r="713">
      <c r="A713" s="104" t="s">
        <v>850</v>
      </c>
      <c r="B713" s="105" t="str">
        <f>IFERROR(VLOOKUP(A713,'Salary Calculation'!A712:F1709,2,0),"")</f>
        <v/>
      </c>
      <c r="C713" s="105" t="str">
        <f>IFERROR(VLOOKUP(A713,'Salary Calculation'!$A$2:$V$999,3,0),"")</f>
        <v/>
      </c>
      <c r="D713" s="105" t="str">
        <f>IFERROR(VLOOKUP(A713,'Salary Calculation'!$A$2:$V$999,6,0),"")</f>
        <v/>
      </c>
      <c r="E713" s="105" t="str">
        <f>IFERROR(VLOOKUP(A713,'Salary Calculation'!$A$2:$V$999,10,0),"")</f>
        <v/>
      </c>
      <c r="F713" s="101"/>
      <c r="G713" s="106" t="str">
        <f>IFERROR(VLOOKUP(A713,'Salary Calculation'!$A$2:$V$999,7,0),"")</f>
        <v/>
      </c>
      <c r="H713" s="100"/>
      <c r="I713" s="101"/>
      <c r="J713" s="101"/>
      <c r="K713" s="101"/>
      <c r="L713" s="101"/>
      <c r="M713" s="101"/>
      <c r="N713" s="101"/>
      <c r="O713" s="101"/>
      <c r="P713" s="101"/>
      <c r="Q713" s="101"/>
      <c r="R713" s="101"/>
      <c r="S713" s="101"/>
      <c r="T713" s="101"/>
      <c r="U713" s="101"/>
      <c r="V713" s="101"/>
      <c r="W713" s="101"/>
      <c r="X713" s="101"/>
      <c r="Y713" s="101"/>
      <c r="Z713" s="101"/>
      <c r="AA713" s="101"/>
      <c r="AB713" s="101"/>
    </row>
    <row r="714">
      <c r="A714" s="104" t="s">
        <v>851</v>
      </c>
      <c r="B714" s="105" t="str">
        <f>IFERROR(VLOOKUP(A714,'Salary Calculation'!A713:F1710,2,0),"")</f>
        <v/>
      </c>
      <c r="C714" s="105" t="str">
        <f>IFERROR(VLOOKUP(A714,'Salary Calculation'!$A$2:$V$999,3,0),"")</f>
        <v/>
      </c>
      <c r="D714" s="105" t="str">
        <f>IFERROR(VLOOKUP(A714,'Salary Calculation'!$A$2:$V$999,6,0),"")</f>
        <v/>
      </c>
      <c r="E714" s="105" t="str">
        <f>IFERROR(VLOOKUP(A714,'Salary Calculation'!$A$2:$V$999,10,0),"")</f>
        <v/>
      </c>
      <c r="F714" s="101"/>
      <c r="G714" s="106" t="str">
        <f>IFERROR(VLOOKUP(A714,'Salary Calculation'!$A$2:$V$999,7,0),"")</f>
        <v/>
      </c>
      <c r="H714" s="100"/>
      <c r="I714" s="101"/>
      <c r="J714" s="101"/>
      <c r="K714" s="101"/>
      <c r="L714" s="101"/>
      <c r="M714" s="101"/>
      <c r="N714" s="101"/>
      <c r="O714" s="101"/>
      <c r="P714" s="101"/>
      <c r="Q714" s="101"/>
      <c r="R714" s="101"/>
      <c r="S714" s="101"/>
      <c r="T714" s="101"/>
      <c r="U714" s="101"/>
      <c r="V714" s="101"/>
      <c r="W714" s="101"/>
      <c r="X714" s="101"/>
      <c r="Y714" s="101"/>
      <c r="Z714" s="101"/>
      <c r="AA714" s="101"/>
      <c r="AB714" s="101"/>
    </row>
    <row r="715">
      <c r="A715" s="104" t="s">
        <v>852</v>
      </c>
      <c r="B715" s="105" t="str">
        <f>IFERROR(VLOOKUP(A715,'Salary Calculation'!A714:F1711,2,0),"")</f>
        <v/>
      </c>
      <c r="C715" s="105" t="str">
        <f>IFERROR(VLOOKUP(A715,'Salary Calculation'!$A$2:$V$999,3,0),"")</f>
        <v/>
      </c>
      <c r="D715" s="105" t="str">
        <f>IFERROR(VLOOKUP(A715,'Salary Calculation'!$A$2:$V$999,6,0),"")</f>
        <v/>
      </c>
      <c r="E715" s="105" t="str">
        <f>IFERROR(VLOOKUP(A715,'Salary Calculation'!$A$2:$V$999,10,0),"")</f>
        <v/>
      </c>
      <c r="F715" s="101"/>
      <c r="G715" s="106" t="str">
        <f>IFERROR(VLOOKUP(A715,'Salary Calculation'!$A$2:$V$999,7,0),"")</f>
        <v/>
      </c>
      <c r="H715" s="100"/>
      <c r="I715" s="101"/>
      <c r="J715" s="101"/>
      <c r="K715" s="101"/>
      <c r="L715" s="101"/>
      <c r="M715" s="101"/>
      <c r="N715" s="101"/>
      <c r="O715" s="101"/>
      <c r="P715" s="101"/>
      <c r="Q715" s="101"/>
      <c r="R715" s="101"/>
      <c r="S715" s="101"/>
      <c r="T715" s="101"/>
      <c r="U715" s="101"/>
      <c r="V715" s="101"/>
      <c r="W715" s="101"/>
      <c r="X715" s="101"/>
      <c r="Y715" s="101"/>
      <c r="Z715" s="101"/>
      <c r="AA715" s="101"/>
      <c r="AB715" s="101"/>
    </row>
    <row r="716">
      <c r="A716" s="104" t="s">
        <v>853</v>
      </c>
      <c r="B716" s="105" t="str">
        <f>IFERROR(VLOOKUP(A716,'Salary Calculation'!A715:F1712,2,0),"")</f>
        <v/>
      </c>
      <c r="C716" s="105" t="str">
        <f>IFERROR(VLOOKUP(A716,'Salary Calculation'!$A$2:$V$999,3,0),"")</f>
        <v/>
      </c>
      <c r="D716" s="105" t="str">
        <f>IFERROR(VLOOKUP(A716,'Salary Calculation'!$A$2:$V$999,6,0),"")</f>
        <v/>
      </c>
      <c r="E716" s="105" t="str">
        <f>IFERROR(VLOOKUP(A716,'Salary Calculation'!$A$2:$V$999,10,0),"")</f>
        <v/>
      </c>
      <c r="F716" s="101"/>
      <c r="G716" s="106" t="str">
        <f>IFERROR(VLOOKUP(A716,'Salary Calculation'!$A$2:$V$999,7,0),"")</f>
        <v/>
      </c>
      <c r="H716" s="100"/>
      <c r="I716" s="101"/>
      <c r="J716" s="101"/>
      <c r="K716" s="101"/>
      <c r="L716" s="101"/>
      <c r="M716" s="101"/>
      <c r="N716" s="101"/>
      <c r="O716" s="101"/>
      <c r="P716" s="101"/>
      <c r="Q716" s="101"/>
      <c r="R716" s="101"/>
      <c r="S716" s="101"/>
      <c r="T716" s="101"/>
      <c r="U716" s="101"/>
      <c r="V716" s="101"/>
      <c r="W716" s="101"/>
      <c r="X716" s="101"/>
      <c r="Y716" s="101"/>
      <c r="Z716" s="101"/>
      <c r="AA716" s="101"/>
      <c r="AB716" s="101"/>
    </row>
    <row r="717">
      <c r="A717" s="104" t="s">
        <v>854</v>
      </c>
      <c r="B717" s="105" t="str">
        <f>IFERROR(VLOOKUP(A717,'Salary Calculation'!A716:F1713,2,0),"")</f>
        <v/>
      </c>
      <c r="C717" s="105" t="str">
        <f>IFERROR(VLOOKUP(A717,'Salary Calculation'!$A$2:$V$999,3,0),"")</f>
        <v/>
      </c>
      <c r="D717" s="105" t="str">
        <f>IFERROR(VLOOKUP(A717,'Salary Calculation'!$A$2:$V$999,6,0),"")</f>
        <v/>
      </c>
      <c r="E717" s="105" t="str">
        <f>IFERROR(VLOOKUP(A717,'Salary Calculation'!$A$2:$V$999,10,0),"")</f>
        <v/>
      </c>
      <c r="F717" s="101"/>
      <c r="G717" s="106" t="str">
        <f>IFERROR(VLOOKUP(A717,'Salary Calculation'!$A$2:$V$999,7,0),"")</f>
        <v/>
      </c>
      <c r="H717" s="100"/>
      <c r="I717" s="101"/>
      <c r="J717" s="101"/>
      <c r="K717" s="101"/>
      <c r="L717" s="101"/>
      <c r="M717" s="101"/>
      <c r="N717" s="101"/>
      <c r="O717" s="101"/>
      <c r="P717" s="101"/>
      <c r="Q717" s="101"/>
      <c r="R717" s="101"/>
      <c r="S717" s="101"/>
      <c r="T717" s="101"/>
      <c r="U717" s="101"/>
      <c r="V717" s="101"/>
      <c r="W717" s="101"/>
      <c r="X717" s="101"/>
      <c r="Y717" s="101"/>
      <c r="Z717" s="101"/>
      <c r="AA717" s="101"/>
      <c r="AB717" s="101"/>
    </row>
    <row r="718">
      <c r="A718" s="104" t="s">
        <v>855</v>
      </c>
      <c r="B718" s="105" t="str">
        <f>IFERROR(VLOOKUP(A718,'Salary Calculation'!A717:F1714,2,0),"")</f>
        <v/>
      </c>
      <c r="C718" s="105" t="str">
        <f>IFERROR(VLOOKUP(A718,'Salary Calculation'!$A$2:$V$999,3,0),"")</f>
        <v/>
      </c>
      <c r="D718" s="105" t="str">
        <f>IFERROR(VLOOKUP(A718,'Salary Calculation'!$A$2:$V$999,6,0),"")</f>
        <v/>
      </c>
      <c r="E718" s="105" t="str">
        <f>IFERROR(VLOOKUP(A718,'Salary Calculation'!$A$2:$V$999,10,0),"")</f>
        <v/>
      </c>
      <c r="F718" s="101"/>
      <c r="G718" s="106" t="str">
        <f>IFERROR(VLOOKUP(A718,'Salary Calculation'!$A$2:$V$999,7,0),"")</f>
        <v/>
      </c>
      <c r="H718" s="100"/>
      <c r="I718" s="101"/>
      <c r="J718" s="101"/>
      <c r="K718" s="101"/>
      <c r="L718" s="101"/>
      <c r="M718" s="101"/>
      <c r="N718" s="101"/>
      <c r="O718" s="101"/>
      <c r="P718" s="101"/>
      <c r="Q718" s="101"/>
      <c r="R718" s="101"/>
      <c r="S718" s="101"/>
      <c r="T718" s="101"/>
      <c r="U718" s="101"/>
      <c r="V718" s="101"/>
      <c r="W718" s="101"/>
      <c r="X718" s="101"/>
      <c r="Y718" s="101"/>
      <c r="Z718" s="101"/>
      <c r="AA718" s="101"/>
      <c r="AB718" s="101"/>
    </row>
    <row r="719">
      <c r="A719" s="104" t="s">
        <v>856</v>
      </c>
      <c r="B719" s="105" t="str">
        <f>IFERROR(VLOOKUP(A719,'Salary Calculation'!A718:F1715,2,0),"")</f>
        <v/>
      </c>
      <c r="C719" s="105" t="str">
        <f>IFERROR(VLOOKUP(A719,'Salary Calculation'!$A$2:$V$999,3,0),"")</f>
        <v/>
      </c>
      <c r="D719" s="105" t="str">
        <f>IFERROR(VLOOKUP(A719,'Salary Calculation'!$A$2:$V$999,6,0),"")</f>
        <v/>
      </c>
      <c r="E719" s="105" t="str">
        <f>IFERROR(VLOOKUP(A719,'Salary Calculation'!$A$2:$V$999,10,0),"")</f>
        <v/>
      </c>
      <c r="F719" s="101"/>
      <c r="G719" s="106" t="str">
        <f>IFERROR(VLOOKUP(A719,'Salary Calculation'!$A$2:$V$999,7,0),"")</f>
        <v/>
      </c>
      <c r="H719" s="100"/>
      <c r="I719" s="101"/>
      <c r="J719" s="101"/>
      <c r="K719" s="101"/>
      <c r="L719" s="101"/>
      <c r="M719" s="101"/>
      <c r="N719" s="101"/>
      <c r="O719" s="101"/>
      <c r="P719" s="101"/>
      <c r="Q719" s="101"/>
      <c r="R719" s="101"/>
      <c r="S719" s="101"/>
      <c r="T719" s="101"/>
      <c r="U719" s="101"/>
      <c r="V719" s="101"/>
      <c r="W719" s="101"/>
      <c r="X719" s="101"/>
      <c r="Y719" s="101"/>
      <c r="Z719" s="101"/>
      <c r="AA719" s="101"/>
      <c r="AB719" s="101"/>
    </row>
    <row r="720">
      <c r="A720" s="104" t="s">
        <v>857</v>
      </c>
      <c r="B720" s="105" t="str">
        <f>IFERROR(VLOOKUP(A720,'Salary Calculation'!A719:F1716,2,0),"")</f>
        <v/>
      </c>
      <c r="C720" s="105" t="str">
        <f>IFERROR(VLOOKUP(A720,'Salary Calculation'!$A$2:$V$999,3,0),"")</f>
        <v/>
      </c>
      <c r="D720" s="105" t="str">
        <f>IFERROR(VLOOKUP(A720,'Salary Calculation'!$A$2:$V$999,6,0),"")</f>
        <v/>
      </c>
      <c r="E720" s="105" t="str">
        <f>IFERROR(VLOOKUP(A720,'Salary Calculation'!$A$2:$V$999,10,0),"")</f>
        <v/>
      </c>
      <c r="F720" s="101"/>
      <c r="G720" s="106" t="str">
        <f>IFERROR(VLOOKUP(A720,'Salary Calculation'!$A$2:$V$999,7,0),"")</f>
        <v/>
      </c>
      <c r="H720" s="100"/>
      <c r="I720" s="101"/>
      <c r="J720" s="101"/>
      <c r="K720" s="101"/>
      <c r="L720" s="101"/>
      <c r="M720" s="101"/>
      <c r="N720" s="101"/>
      <c r="O720" s="101"/>
      <c r="P720" s="101"/>
      <c r="Q720" s="101"/>
      <c r="R720" s="101"/>
      <c r="S720" s="101"/>
      <c r="T720" s="101"/>
      <c r="U720" s="101"/>
      <c r="V720" s="101"/>
      <c r="W720" s="101"/>
      <c r="X720" s="101"/>
      <c r="Y720" s="101"/>
      <c r="Z720" s="101"/>
      <c r="AA720" s="101"/>
      <c r="AB720" s="101"/>
    </row>
    <row r="721">
      <c r="A721" s="104" t="s">
        <v>858</v>
      </c>
      <c r="B721" s="105" t="str">
        <f>IFERROR(VLOOKUP(A721,'Salary Calculation'!A720:F1717,2,0),"")</f>
        <v/>
      </c>
      <c r="C721" s="105" t="str">
        <f>IFERROR(VLOOKUP(A721,'Salary Calculation'!$A$2:$V$999,3,0),"")</f>
        <v/>
      </c>
      <c r="D721" s="105" t="str">
        <f>IFERROR(VLOOKUP(A721,'Salary Calculation'!$A$2:$V$999,6,0),"")</f>
        <v/>
      </c>
      <c r="E721" s="105" t="str">
        <f>IFERROR(VLOOKUP(A721,'Salary Calculation'!$A$2:$V$999,10,0),"")</f>
        <v/>
      </c>
      <c r="F721" s="101"/>
      <c r="G721" s="106" t="str">
        <f>IFERROR(VLOOKUP(A721,'Salary Calculation'!$A$2:$V$999,7,0),"")</f>
        <v/>
      </c>
      <c r="H721" s="100"/>
      <c r="I721" s="101"/>
      <c r="J721" s="101"/>
      <c r="K721" s="101"/>
      <c r="L721" s="101"/>
      <c r="M721" s="101"/>
      <c r="N721" s="101"/>
      <c r="O721" s="101"/>
      <c r="P721" s="101"/>
      <c r="Q721" s="101"/>
      <c r="R721" s="101"/>
      <c r="S721" s="101"/>
      <c r="T721" s="101"/>
      <c r="U721" s="101"/>
      <c r="V721" s="101"/>
      <c r="W721" s="101"/>
      <c r="X721" s="101"/>
      <c r="Y721" s="101"/>
      <c r="Z721" s="101"/>
      <c r="AA721" s="101"/>
      <c r="AB721" s="101"/>
    </row>
    <row r="722">
      <c r="A722" s="104" t="s">
        <v>859</v>
      </c>
      <c r="B722" s="105" t="str">
        <f>IFERROR(VLOOKUP(A722,'Salary Calculation'!A721:F1718,2,0),"")</f>
        <v/>
      </c>
      <c r="C722" s="105" t="str">
        <f>IFERROR(VLOOKUP(A722,'Salary Calculation'!$A$2:$V$999,3,0),"")</f>
        <v/>
      </c>
      <c r="D722" s="105" t="str">
        <f>IFERROR(VLOOKUP(A722,'Salary Calculation'!$A$2:$V$999,6,0),"")</f>
        <v/>
      </c>
      <c r="E722" s="105" t="str">
        <f>IFERROR(VLOOKUP(A722,'Salary Calculation'!$A$2:$V$999,10,0),"")</f>
        <v/>
      </c>
      <c r="F722" s="101"/>
      <c r="G722" s="106" t="str">
        <f>IFERROR(VLOOKUP(A722,'Salary Calculation'!$A$2:$V$999,7,0),"")</f>
        <v/>
      </c>
      <c r="H722" s="100"/>
      <c r="I722" s="101"/>
      <c r="J722" s="101"/>
      <c r="K722" s="101"/>
      <c r="L722" s="101"/>
      <c r="M722" s="101"/>
      <c r="N722" s="101"/>
      <c r="O722" s="101"/>
      <c r="P722" s="101"/>
      <c r="Q722" s="101"/>
      <c r="R722" s="101"/>
      <c r="S722" s="101"/>
      <c r="T722" s="101"/>
      <c r="U722" s="101"/>
      <c r="V722" s="101"/>
      <c r="W722" s="101"/>
      <c r="X722" s="101"/>
      <c r="Y722" s="101"/>
      <c r="Z722" s="101"/>
      <c r="AA722" s="101"/>
      <c r="AB722" s="101"/>
    </row>
    <row r="723">
      <c r="A723" s="104" t="s">
        <v>860</v>
      </c>
      <c r="B723" s="105" t="str">
        <f>IFERROR(VLOOKUP(A723,'Salary Calculation'!A722:F1719,2,0),"")</f>
        <v/>
      </c>
      <c r="C723" s="105" t="str">
        <f>IFERROR(VLOOKUP(A723,'Salary Calculation'!$A$2:$V$999,3,0),"")</f>
        <v/>
      </c>
      <c r="D723" s="105" t="str">
        <f>IFERROR(VLOOKUP(A723,'Salary Calculation'!$A$2:$V$999,6,0),"")</f>
        <v/>
      </c>
      <c r="E723" s="105" t="str">
        <f>IFERROR(VLOOKUP(A723,'Salary Calculation'!$A$2:$V$999,10,0),"")</f>
        <v/>
      </c>
      <c r="F723" s="101"/>
      <c r="G723" s="106" t="str">
        <f>IFERROR(VLOOKUP(A723,'Salary Calculation'!$A$2:$V$999,7,0),"")</f>
        <v/>
      </c>
      <c r="H723" s="100"/>
      <c r="I723" s="101"/>
      <c r="J723" s="101"/>
      <c r="K723" s="101"/>
      <c r="L723" s="101"/>
      <c r="M723" s="101"/>
      <c r="N723" s="101"/>
      <c r="O723" s="101"/>
      <c r="P723" s="101"/>
      <c r="Q723" s="101"/>
      <c r="R723" s="101"/>
      <c r="S723" s="101"/>
      <c r="T723" s="101"/>
      <c r="U723" s="101"/>
      <c r="V723" s="101"/>
      <c r="W723" s="101"/>
      <c r="X723" s="101"/>
      <c r="Y723" s="101"/>
      <c r="Z723" s="101"/>
      <c r="AA723" s="101"/>
      <c r="AB723" s="101"/>
    </row>
    <row r="724">
      <c r="A724" s="104" t="s">
        <v>861</v>
      </c>
      <c r="B724" s="105" t="str">
        <f>IFERROR(VLOOKUP(A724,'Salary Calculation'!A723:F1720,2,0),"")</f>
        <v/>
      </c>
      <c r="C724" s="105" t="str">
        <f>IFERROR(VLOOKUP(A724,'Salary Calculation'!$A$2:$V$999,3,0),"")</f>
        <v/>
      </c>
      <c r="D724" s="105" t="str">
        <f>IFERROR(VLOOKUP(A724,'Salary Calculation'!$A$2:$V$999,6,0),"")</f>
        <v/>
      </c>
      <c r="E724" s="105" t="str">
        <f>IFERROR(VLOOKUP(A724,'Salary Calculation'!$A$2:$V$999,10,0),"")</f>
        <v/>
      </c>
      <c r="F724" s="101"/>
      <c r="G724" s="106" t="str">
        <f>IFERROR(VLOOKUP(A724,'Salary Calculation'!$A$2:$V$999,7,0),"")</f>
        <v/>
      </c>
      <c r="H724" s="100"/>
      <c r="I724" s="101"/>
      <c r="J724" s="101"/>
      <c r="K724" s="101"/>
      <c r="L724" s="101"/>
      <c r="M724" s="101"/>
      <c r="N724" s="101"/>
      <c r="O724" s="101"/>
      <c r="P724" s="101"/>
      <c r="Q724" s="101"/>
      <c r="R724" s="101"/>
      <c r="S724" s="101"/>
      <c r="T724" s="101"/>
      <c r="U724" s="101"/>
      <c r="V724" s="101"/>
      <c r="W724" s="101"/>
      <c r="X724" s="101"/>
      <c r="Y724" s="101"/>
      <c r="Z724" s="101"/>
      <c r="AA724" s="101"/>
      <c r="AB724" s="101"/>
    </row>
    <row r="725">
      <c r="A725" s="104" t="s">
        <v>862</v>
      </c>
      <c r="B725" s="105" t="str">
        <f>IFERROR(VLOOKUP(A725,'Salary Calculation'!A724:F1721,2,0),"")</f>
        <v/>
      </c>
      <c r="C725" s="105" t="str">
        <f>IFERROR(VLOOKUP(A725,'Salary Calculation'!$A$2:$V$999,3,0),"")</f>
        <v/>
      </c>
      <c r="D725" s="105" t="str">
        <f>IFERROR(VLOOKUP(A725,'Salary Calculation'!$A$2:$V$999,6,0),"")</f>
        <v/>
      </c>
      <c r="E725" s="105" t="str">
        <f>IFERROR(VLOOKUP(A725,'Salary Calculation'!$A$2:$V$999,10,0),"")</f>
        <v/>
      </c>
      <c r="F725" s="101"/>
      <c r="G725" s="106" t="str">
        <f>IFERROR(VLOOKUP(A725,'Salary Calculation'!$A$2:$V$999,7,0),"")</f>
        <v/>
      </c>
      <c r="H725" s="100"/>
      <c r="I725" s="101"/>
      <c r="J725" s="101"/>
      <c r="K725" s="101"/>
      <c r="L725" s="101"/>
      <c r="M725" s="101"/>
      <c r="N725" s="101"/>
      <c r="O725" s="101"/>
      <c r="P725" s="101"/>
      <c r="Q725" s="101"/>
      <c r="R725" s="101"/>
      <c r="S725" s="101"/>
      <c r="T725" s="101"/>
      <c r="U725" s="101"/>
      <c r="V725" s="101"/>
      <c r="W725" s="101"/>
      <c r="X725" s="101"/>
      <c r="Y725" s="101"/>
      <c r="Z725" s="101"/>
      <c r="AA725" s="101"/>
      <c r="AB725" s="101"/>
    </row>
    <row r="726">
      <c r="A726" s="104" t="s">
        <v>863</v>
      </c>
      <c r="B726" s="105" t="str">
        <f>IFERROR(VLOOKUP(A726,'Salary Calculation'!A725:F1722,2,0),"")</f>
        <v/>
      </c>
      <c r="C726" s="105" t="str">
        <f>IFERROR(VLOOKUP(A726,'Salary Calculation'!$A$2:$V$999,3,0),"")</f>
        <v/>
      </c>
      <c r="D726" s="105" t="str">
        <f>IFERROR(VLOOKUP(A726,'Salary Calculation'!$A$2:$V$999,6,0),"")</f>
        <v/>
      </c>
      <c r="E726" s="105" t="str">
        <f>IFERROR(VLOOKUP(A726,'Salary Calculation'!$A$2:$V$999,10,0),"")</f>
        <v/>
      </c>
      <c r="F726" s="101"/>
      <c r="G726" s="106" t="str">
        <f>IFERROR(VLOOKUP(A726,'Salary Calculation'!$A$2:$V$999,7,0),"")</f>
        <v/>
      </c>
      <c r="H726" s="100"/>
      <c r="I726" s="101"/>
      <c r="J726" s="101"/>
      <c r="K726" s="101"/>
      <c r="L726" s="101"/>
      <c r="M726" s="101"/>
      <c r="N726" s="101"/>
      <c r="O726" s="101"/>
      <c r="P726" s="101"/>
      <c r="Q726" s="101"/>
      <c r="R726" s="101"/>
      <c r="S726" s="101"/>
      <c r="T726" s="101"/>
      <c r="U726" s="101"/>
      <c r="V726" s="101"/>
      <c r="W726" s="101"/>
      <c r="X726" s="101"/>
      <c r="Y726" s="101"/>
      <c r="Z726" s="101"/>
      <c r="AA726" s="101"/>
      <c r="AB726" s="101"/>
    </row>
    <row r="727">
      <c r="A727" s="104" t="s">
        <v>864</v>
      </c>
      <c r="B727" s="105" t="str">
        <f>IFERROR(VLOOKUP(A727,'Salary Calculation'!A726:F1723,2,0),"")</f>
        <v/>
      </c>
      <c r="C727" s="105" t="str">
        <f>IFERROR(VLOOKUP(A727,'Salary Calculation'!$A$2:$V$999,3,0),"")</f>
        <v/>
      </c>
      <c r="D727" s="105" t="str">
        <f>IFERROR(VLOOKUP(A727,'Salary Calculation'!$A$2:$V$999,6,0),"")</f>
        <v/>
      </c>
      <c r="E727" s="105" t="str">
        <f>IFERROR(VLOOKUP(A727,'Salary Calculation'!$A$2:$V$999,10,0),"")</f>
        <v/>
      </c>
      <c r="F727" s="101"/>
      <c r="G727" s="106" t="str">
        <f>IFERROR(VLOOKUP(A727,'Salary Calculation'!$A$2:$V$999,7,0),"")</f>
        <v/>
      </c>
      <c r="H727" s="100"/>
      <c r="I727" s="101"/>
      <c r="J727" s="101"/>
      <c r="K727" s="101"/>
      <c r="L727" s="101"/>
      <c r="M727" s="101"/>
      <c r="N727" s="101"/>
      <c r="O727" s="101"/>
      <c r="P727" s="101"/>
      <c r="Q727" s="101"/>
      <c r="R727" s="101"/>
      <c r="S727" s="101"/>
      <c r="T727" s="101"/>
      <c r="U727" s="101"/>
      <c r="V727" s="101"/>
      <c r="W727" s="101"/>
      <c r="X727" s="101"/>
      <c r="Y727" s="101"/>
      <c r="Z727" s="101"/>
      <c r="AA727" s="101"/>
      <c r="AB727" s="101"/>
    </row>
    <row r="728">
      <c r="A728" s="104" t="s">
        <v>865</v>
      </c>
      <c r="B728" s="105" t="str">
        <f>IFERROR(VLOOKUP(A728,'Salary Calculation'!A727:F1724,2,0),"")</f>
        <v/>
      </c>
      <c r="C728" s="105" t="str">
        <f>IFERROR(VLOOKUP(A728,'Salary Calculation'!$A$2:$V$999,3,0),"")</f>
        <v/>
      </c>
      <c r="D728" s="105" t="str">
        <f>IFERROR(VLOOKUP(A728,'Salary Calculation'!$A$2:$V$999,6,0),"")</f>
        <v/>
      </c>
      <c r="E728" s="105" t="str">
        <f>IFERROR(VLOOKUP(A728,'Salary Calculation'!$A$2:$V$999,10,0),"")</f>
        <v/>
      </c>
      <c r="F728" s="101"/>
      <c r="G728" s="106" t="str">
        <f>IFERROR(VLOOKUP(A728,'Salary Calculation'!$A$2:$V$999,7,0),"")</f>
        <v/>
      </c>
      <c r="H728" s="100"/>
      <c r="I728" s="101"/>
      <c r="J728" s="101"/>
      <c r="K728" s="101"/>
      <c r="L728" s="101"/>
      <c r="M728" s="101"/>
      <c r="N728" s="101"/>
      <c r="O728" s="101"/>
      <c r="P728" s="101"/>
      <c r="Q728" s="101"/>
      <c r="R728" s="101"/>
      <c r="S728" s="101"/>
      <c r="T728" s="101"/>
      <c r="U728" s="101"/>
      <c r="V728" s="101"/>
      <c r="W728" s="101"/>
      <c r="X728" s="101"/>
      <c r="Y728" s="101"/>
      <c r="Z728" s="101"/>
      <c r="AA728" s="101"/>
      <c r="AB728" s="101"/>
    </row>
    <row r="729">
      <c r="A729" s="104" t="s">
        <v>866</v>
      </c>
      <c r="B729" s="105" t="str">
        <f>IFERROR(VLOOKUP(A729,'Salary Calculation'!A728:F1725,2,0),"")</f>
        <v/>
      </c>
      <c r="C729" s="105" t="str">
        <f>IFERROR(VLOOKUP(A729,'Salary Calculation'!$A$2:$V$999,3,0),"")</f>
        <v/>
      </c>
      <c r="D729" s="105" t="str">
        <f>IFERROR(VLOOKUP(A729,'Salary Calculation'!$A$2:$V$999,6,0),"")</f>
        <v/>
      </c>
      <c r="E729" s="105" t="str">
        <f>IFERROR(VLOOKUP(A729,'Salary Calculation'!$A$2:$V$999,10,0),"")</f>
        <v/>
      </c>
      <c r="F729" s="101"/>
      <c r="G729" s="106" t="str">
        <f>IFERROR(VLOOKUP(A729,'Salary Calculation'!$A$2:$V$999,7,0),"")</f>
        <v/>
      </c>
      <c r="H729" s="100"/>
      <c r="I729" s="101"/>
      <c r="J729" s="101"/>
      <c r="K729" s="101"/>
      <c r="L729" s="101"/>
      <c r="M729" s="101"/>
      <c r="N729" s="101"/>
      <c r="O729" s="101"/>
      <c r="P729" s="101"/>
      <c r="Q729" s="101"/>
      <c r="R729" s="101"/>
      <c r="S729" s="101"/>
      <c r="T729" s="101"/>
      <c r="U729" s="101"/>
      <c r="V729" s="101"/>
      <c r="W729" s="101"/>
      <c r="X729" s="101"/>
      <c r="Y729" s="101"/>
      <c r="Z729" s="101"/>
      <c r="AA729" s="101"/>
      <c r="AB729" s="101"/>
    </row>
    <row r="730">
      <c r="A730" s="104" t="s">
        <v>867</v>
      </c>
      <c r="B730" s="105" t="str">
        <f>IFERROR(VLOOKUP(A730,'Salary Calculation'!A729:F1726,2,0),"")</f>
        <v/>
      </c>
      <c r="C730" s="105" t="str">
        <f>IFERROR(VLOOKUP(A730,'Salary Calculation'!$A$2:$V$999,3,0),"")</f>
        <v/>
      </c>
      <c r="D730" s="105" t="str">
        <f>IFERROR(VLOOKUP(A730,'Salary Calculation'!$A$2:$V$999,6,0),"")</f>
        <v/>
      </c>
      <c r="E730" s="105" t="str">
        <f>IFERROR(VLOOKUP(A730,'Salary Calculation'!$A$2:$V$999,10,0),"")</f>
        <v/>
      </c>
      <c r="F730" s="101"/>
      <c r="G730" s="106" t="str">
        <f>IFERROR(VLOOKUP(A730,'Salary Calculation'!$A$2:$V$999,7,0),"")</f>
        <v/>
      </c>
      <c r="H730" s="100"/>
      <c r="I730" s="101"/>
      <c r="J730" s="101"/>
      <c r="K730" s="101"/>
      <c r="L730" s="101"/>
      <c r="M730" s="101"/>
      <c r="N730" s="101"/>
      <c r="O730" s="101"/>
      <c r="P730" s="101"/>
      <c r="Q730" s="101"/>
      <c r="R730" s="101"/>
      <c r="S730" s="101"/>
      <c r="T730" s="101"/>
      <c r="U730" s="101"/>
      <c r="V730" s="101"/>
      <c r="W730" s="101"/>
      <c r="X730" s="101"/>
      <c r="Y730" s="101"/>
      <c r="Z730" s="101"/>
      <c r="AA730" s="101"/>
      <c r="AB730" s="101"/>
    </row>
    <row r="731">
      <c r="A731" s="104" t="s">
        <v>868</v>
      </c>
      <c r="B731" s="105" t="str">
        <f>IFERROR(VLOOKUP(A731,'Salary Calculation'!A730:F1727,2,0),"")</f>
        <v/>
      </c>
      <c r="C731" s="105" t="str">
        <f>IFERROR(VLOOKUP(A731,'Salary Calculation'!$A$2:$V$999,3,0),"")</f>
        <v/>
      </c>
      <c r="D731" s="105" t="str">
        <f>IFERROR(VLOOKUP(A731,'Salary Calculation'!$A$2:$V$999,6,0),"")</f>
        <v/>
      </c>
      <c r="E731" s="105" t="str">
        <f>IFERROR(VLOOKUP(A731,'Salary Calculation'!$A$2:$V$999,10,0),"")</f>
        <v/>
      </c>
      <c r="F731" s="101"/>
      <c r="G731" s="106" t="str">
        <f>IFERROR(VLOOKUP(A731,'Salary Calculation'!$A$2:$V$999,7,0),"")</f>
        <v/>
      </c>
      <c r="H731" s="100"/>
      <c r="I731" s="101"/>
      <c r="J731" s="101"/>
      <c r="K731" s="101"/>
      <c r="L731" s="101"/>
      <c r="M731" s="101"/>
      <c r="N731" s="101"/>
      <c r="O731" s="101"/>
      <c r="P731" s="101"/>
      <c r="Q731" s="101"/>
      <c r="R731" s="101"/>
      <c r="S731" s="101"/>
      <c r="T731" s="101"/>
      <c r="U731" s="101"/>
      <c r="V731" s="101"/>
      <c r="W731" s="101"/>
      <c r="X731" s="101"/>
      <c r="Y731" s="101"/>
      <c r="Z731" s="101"/>
      <c r="AA731" s="101"/>
      <c r="AB731" s="101"/>
    </row>
    <row r="732">
      <c r="A732" s="104" t="s">
        <v>869</v>
      </c>
      <c r="B732" s="105" t="str">
        <f>IFERROR(VLOOKUP(A732,'Salary Calculation'!A731:F1728,2,0),"")</f>
        <v/>
      </c>
      <c r="C732" s="105" t="str">
        <f>IFERROR(VLOOKUP(A732,'Salary Calculation'!$A$2:$V$999,3,0),"")</f>
        <v/>
      </c>
      <c r="D732" s="105" t="str">
        <f>IFERROR(VLOOKUP(A732,'Salary Calculation'!$A$2:$V$999,6,0),"")</f>
        <v/>
      </c>
      <c r="E732" s="105" t="str">
        <f>IFERROR(VLOOKUP(A732,'Salary Calculation'!$A$2:$V$999,10,0),"")</f>
        <v/>
      </c>
      <c r="F732" s="101"/>
      <c r="G732" s="106" t="str">
        <f>IFERROR(VLOOKUP(A732,'Salary Calculation'!$A$2:$V$999,7,0),"")</f>
        <v/>
      </c>
      <c r="H732" s="100"/>
      <c r="I732" s="101"/>
      <c r="J732" s="101"/>
      <c r="K732" s="101"/>
      <c r="L732" s="101"/>
      <c r="M732" s="101"/>
      <c r="N732" s="101"/>
      <c r="O732" s="101"/>
      <c r="P732" s="101"/>
      <c r="Q732" s="101"/>
      <c r="R732" s="101"/>
      <c r="S732" s="101"/>
      <c r="T732" s="101"/>
      <c r="U732" s="101"/>
      <c r="V732" s="101"/>
      <c r="W732" s="101"/>
      <c r="X732" s="101"/>
      <c r="Y732" s="101"/>
      <c r="Z732" s="101"/>
      <c r="AA732" s="101"/>
      <c r="AB732" s="101"/>
    </row>
    <row r="733">
      <c r="A733" s="104" t="s">
        <v>870</v>
      </c>
      <c r="B733" s="105" t="str">
        <f>IFERROR(VLOOKUP(A733,'Salary Calculation'!A732:F1729,2,0),"")</f>
        <v/>
      </c>
      <c r="C733" s="105" t="str">
        <f>IFERROR(VLOOKUP(A733,'Salary Calculation'!$A$2:$V$999,3,0),"")</f>
        <v/>
      </c>
      <c r="D733" s="105" t="str">
        <f>IFERROR(VLOOKUP(A733,'Salary Calculation'!$A$2:$V$999,6,0),"")</f>
        <v/>
      </c>
      <c r="E733" s="105" t="str">
        <f>IFERROR(VLOOKUP(A733,'Salary Calculation'!$A$2:$V$999,10,0),"")</f>
        <v/>
      </c>
      <c r="F733" s="101"/>
      <c r="G733" s="106" t="str">
        <f>IFERROR(VLOOKUP(A733,'Salary Calculation'!$A$2:$V$999,7,0),"")</f>
        <v/>
      </c>
      <c r="H733" s="100"/>
      <c r="I733" s="101"/>
      <c r="J733" s="101"/>
      <c r="K733" s="101"/>
      <c r="L733" s="101"/>
      <c r="M733" s="101"/>
      <c r="N733" s="101"/>
      <c r="O733" s="101"/>
      <c r="P733" s="101"/>
      <c r="Q733" s="101"/>
      <c r="R733" s="101"/>
      <c r="S733" s="101"/>
      <c r="T733" s="101"/>
      <c r="U733" s="101"/>
      <c r="V733" s="101"/>
      <c r="W733" s="101"/>
      <c r="X733" s="101"/>
      <c r="Y733" s="101"/>
      <c r="Z733" s="101"/>
      <c r="AA733" s="101"/>
      <c r="AB733" s="101"/>
    </row>
    <row r="734">
      <c r="A734" s="104" t="s">
        <v>871</v>
      </c>
      <c r="B734" s="105" t="str">
        <f>IFERROR(VLOOKUP(A734,'Salary Calculation'!A733:F1730,2,0),"")</f>
        <v/>
      </c>
      <c r="C734" s="105" t="str">
        <f>IFERROR(VLOOKUP(A734,'Salary Calculation'!$A$2:$V$999,3,0),"")</f>
        <v/>
      </c>
      <c r="D734" s="105" t="str">
        <f>IFERROR(VLOOKUP(A734,'Salary Calculation'!$A$2:$V$999,6,0),"")</f>
        <v/>
      </c>
      <c r="E734" s="105" t="str">
        <f>IFERROR(VLOOKUP(A734,'Salary Calculation'!$A$2:$V$999,10,0),"")</f>
        <v/>
      </c>
      <c r="F734" s="101"/>
      <c r="G734" s="106" t="str">
        <f>IFERROR(VLOOKUP(A734,'Salary Calculation'!$A$2:$V$999,7,0),"")</f>
        <v/>
      </c>
      <c r="H734" s="100"/>
      <c r="I734" s="101"/>
      <c r="J734" s="101"/>
      <c r="K734" s="101"/>
      <c r="L734" s="101"/>
      <c r="M734" s="101"/>
      <c r="N734" s="101"/>
      <c r="O734" s="101"/>
      <c r="P734" s="101"/>
      <c r="Q734" s="101"/>
      <c r="R734" s="101"/>
      <c r="S734" s="101"/>
      <c r="T734" s="101"/>
      <c r="U734" s="101"/>
      <c r="V734" s="101"/>
      <c r="W734" s="101"/>
      <c r="X734" s="101"/>
      <c r="Y734" s="101"/>
      <c r="Z734" s="101"/>
      <c r="AA734" s="101"/>
      <c r="AB734" s="101"/>
    </row>
    <row r="735">
      <c r="A735" s="104" t="s">
        <v>872</v>
      </c>
      <c r="B735" s="105" t="str">
        <f>IFERROR(VLOOKUP(A735,'Salary Calculation'!A734:F1731,2,0),"")</f>
        <v/>
      </c>
      <c r="C735" s="105" t="str">
        <f>IFERROR(VLOOKUP(A735,'Salary Calculation'!$A$2:$V$999,3,0),"")</f>
        <v/>
      </c>
      <c r="D735" s="105" t="str">
        <f>IFERROR(VLOOKUP(A735,'Salary Calculation'!$A$2:$V$999,6,0),"")</f>
        <v/>
      </c>
      <c r="E735" s="105" t="str">
        <f>IFERROR(VLOOKUP(A735,'Salary Calculation'!$A$2:$V$999,10,0),"")</f>
        <v/>
      </c>
      <c r="F735" s="101"/>
      <c r="G735" s="106" t="str">
        <f>IFERROR(VLOOKUP(A735,'Salary Calculation'!$A$2:$V$999,7,0),"")</f>
        <v/>
      </c>
      <c r="H735" s="100"/>
      <c r="I735" s="101"/>
      <c r="J735" s="101"/>
      <c r="K735" s="101"/>
      <c r="L735" s="101"/>
      <c r="M735" s="101"/>
      <c r="N735" s="101"/>
      <c r="O735" s="101"/>
      <c r="P735" s="101"/>
      <c r="Q735" s="101"/>
      <c r="R735" s="101"/>
      <c r="S735" s="101"/>
      <c r="T735" s="101"/>
      <c r="U735" s="101"/>
      <c r="V735" s="101"/>
      <c r="W735" s="101"/>
      <c r="X735" s="101"/>
      <c r="Y735" s="101"/>
      <c r="Z735" s="101"/>
      <c r="AA735" s="101"/>
      <c r="AB735" s="101"/>
    </row>
    <row r="736">
      <c r="A736" s="104" t="s">
        <v>873</v>
      </c>
      <c r="B736" s="105" t="str">
        <f>IFERROR(VLOOKUP(A736,'Salary Calculation'!A735:F1732,2,0),"")</f>
        <v/>
      </c>
      <c r="C736" s="105" t="str">
        <f>IFERROR(VLOOKUP(A736,'Salary Calculation'!$A$2:$V$999,3,0),"")</f>
        <v/>
      </c>
      <c r="D736" s="105" t="str">
        <f>IFERROR(VLOOKUP(A736,'Salary Calculation'!$A$2:$V$999,6,0),"")</f>
        <v/>
      </c>
      <c r="E736" s="105" t="str">
        <f>IFERROR(VLOOKUP(A736,'Salary Calculation'!$A$2:$V$999,10,0),"")</f>
        <v/>
      </c>
      <c r="F736" s="101"/>
      <c r="G736" s="106" t="str">
        <f>IFERROR(VLOOKUP(A736,'Salary Calculation'!$A$2:$V$999,7,0),"")</f>
        <v/>
      </c>
      <c r="H736" s="100"/>
      <c r="I736" s="101"/>
      <c r="J736" s="101"/>
      <c r="K736" s="101"/>
      <c r="L736" s="101"/>
      <c r="M736" s="101"/>
      <c r="N736" s="101"/>
      <c r="O736" s="101"/>
      <c r="P736" s="101"/>
      <c r="Q736" s="101"/>
      <c r="R736" s="101"/>
      <c r="S736" s="101"/>
      <c r="T736" s="101"/>
      <c r="U736" s="101"/>
      <c r="V736" s="101"/>
      <c r="W736" s="101"/>
      <c r="X736" s="101"/>
      <c r="Y736" s="101"/>
      <c r="Z736" s="101"/>
      <c r="AA736" s="101"/>
      <c r="AB736" s="101"/>
    </row>
    <row r="737">
      <c r="A737" s="104" t="s">
        <v>874</v>
      </c>
      <c r="B737" s="105" t="str">
        <f>IFERROR(VLOOKUP(A737,'Salary Calculation'!A736:F1733,2,0),"")</f>
        <v/>
      </c>
      <c r="C737" s="105" t="str">
        <f>IFERROR(VLOOKUP(A737,'Salary Calculation'!$A$2:$V$999,3,0),"")</f>
        <v/>
      </c>
      <c r="D737" s="105" t="str">
        <f>IFERROR(VLOOKUP(A737,'Salary Calculation'!$A$2:$V$999,6,0),"")</f>
        <v/>
      </c>
      <c r="E737" s="105" t="str">
        <f>IFERROR(VLOOKUP(A737,'Salary Calculation'!$A$2:$V$999,10,0),"")</f>
        <v/>
      </c>
      <c r="F737" s="101"/>
      <c r="G737" s="106" t="str">
        <f>IFERROR(VLOOKUP(A737,'Salary Calculation'!$A$2:$V$999,7,0),"")</f>
        <v/>
      </c>
      <c r="H737" s="100"/>
      <c r="I737" s="101"/>
      <c r="J737" s="101"/>
      <c r="K737" s="101"/>
      <c r="L737" s="101"/>
      <c r="M737" s="101"/>
      <c r="N737" s="101"/>
      <c r="O737" s="101"/>
      <c r="P737" s="101"/>
      <c r="Q737" s="101"/>
      <c r="R737" s="101"/>
      <c r="S737" s="101"/>
      <c r="T737" s="101"/>
      <c r="U737" s="101"/>
      <c r="V737" s="101"/>
      <c r="W737" s="101"/>
      <c r="X737" s="101"/>
      <c r="Y737" s="101"/>
      <c r="Z737" s="101"/>
      <c r="AA737" s="101"/>
      <c r="AB737" s="101"/>
    </row>
    <row r="738">
      <c r="A738" s="104" t="s">
        <v>875</v>
      </c>
      <c r="B738" s="105" t="str">
        <f>IFERROR(VLOOKUP(A738,'Salary Calculation'!A737:F1734,2,0),"")</f>
        <v/>
      </c>
      <c r="C738" s="105" t="str">
        <f>IFERROR(VLOOKUP(A738,'Salary Calculation'!$A$2:$V$999,3,0),"")</f>
        <v/>
      </c>
      <c r="D738" s="105" t="str">
        <f>IFERROR(VLOOKUP(A738,'Salary Calculation'!$A$2:$V$999,6,0),"")</f>
        <v/>
      </c>
      <c r="E738" s="105" t="str">
        <f>IFERROR(VLOOKUP(A738,'Salary Calculation'!$A$2:$V$999,10,0),"")</f>
        <v/>
      </c>
      <c r="F738" s="101"/>
      <c r="G738" s="106" t="str">
        <f>IFERROR(VLOOKUP(A738,'Salary Calculation'!$A$2:$V$999,7,0),"")</f>
        <v/>
      </c>
      <c r="H738" s="100"/>
      <c r="I738" s="101"/>
      <c r="J738" s="101"/>
      <c r="K738" s="101"/>
      <c r="L738" s="101"/>
      <c r="M738" s="101"/>
      <c r="N738" s="101"/>
      <c r="O738" s="101"/>
      <c r="P738" s="101"/>
      <c r="Q738" s="101"/>
      <c r="R738" s="101"/>
      <c r="S738" s="101"/>
      <c r="T738" s="101"/>
      <c r="U738" s="101"/>
      <c r="V738" s="101"/>
      <c r="W738" s="101"/>
      <c r="X738" s="101"/>
      <c r="Y738" s="101"/>
      <c r="Z738" s="101"/>
      <c r="AA738" s="101"/>
      <c r="AB738" s="101"/>
    </row>
    <row r="739">
      <c r="A739" s="104" t="s">
        <v>876</v>
      </c>
      <c r="B739" s="105" t="str">
        <f>IFERROR(VLOOKUP(A739,'Salary Calculation'!A738:F1735,2,0),"")</f>
        <v/>
      </c>
      <c r="C739" s="105" t="str">
        <f>IFERROR(VLOOKUP(A739,'Salary Calculation'!$A$2:$V$999,3,0),"")</f>
        <v/>
      </c>
      <c r="D739" s="105" t="str">
        <f>IFERROR(VLOOKUP(A739,'Salary Calculation'!$A$2:$V$999,6,0),"")</f>
        <v/>
      </c>
      <c r="E739" s="105" t="str">
        <f>IFERROR(VLOOKUP(A739,'Salary Calculation'!$A$2:$V$999,10,0),"")</f>
        <v/>
      </c>
      <c r="F739" s="101"/>
      <c r="G739" s="106" t="str">
        <f>IFERROR(VLOOKUP(A739,'Salary Calculation'!$A$2:$V$999,7,0),"")</f>
        <v/>
      </c>
      <c r="H739" s="100"/>
      <c r="I739" s="101"/>
      <c r="J739" s="101"/>
      <c r="K739" s="101"/>
      <c r="L739" s="101"/>
      <c r="M739" s="101"/>
      <c r="N739" s="101"/>
      <c r="O739" s="101"/>
      <c r="P739" s="101"/>
      <c r="Q739" s="101"/>
      <c r="R739" s="101"/>
      <c r="S739" s="101"/>
      <c r="T739" s="101"/>
      <c r="U739" s="101"/>
      <c r="V739" s="101"/>
      <c r="W739" s="101"/>
      <c r="X739" s="101"/>
      <c r="Y739" s="101"/>
      <c r="Z739" s="101"/>
      <c r="AA739" s="101"/>
      <c r="AB739" s="101"/>
    </row>
    <row r="740">
      <c r="A740" s="104" t="s">
        <v>877</v>
      </c>
      <c r="B740" s="105" t="str">
        <f>IFERROR(VLOOKUP(A740,'Salary Calculation'!A739:F1736,2,0),"")</f>
        <v/>
      </c>
      <c r="C740" s="105" t="str">
        <f>IFERROR(VLOOKUP(A740,'Salary Calculation'!$A$2:$V$999,3,0),"")</f>
        <v/>
      </c>
      <c r="D740" s="105" t="str">
        <f>IFERROR(VLOOKUP(A740,'Salary Calculation'!$A$2:$V$999,6,0),"")</f>
        <v/>
      </c>
      <c r="E740" s="105" t="str">
        <f>IFERROR(VLOOKUP(A740,'Salary Calculation'!$A$2:$V$999,10,0),"")</f>
        <v/>
      </c>
      <c r="F740" s="101"/>
      <c r="G740" s="106" t="str">
        <f>IFERROR(VLOOKUP(A740,'Salary Calculation'!$A$2:$V$999,7,0),"")</f>
        <v/>
      </c>
      <c r="H740" s="100"/>
      <c r="I740" s="101"/>
      <c r="J740" s="101"/>
      <c r="K740" s="101"/>
      <c r="L740" s="101"/>
      <c r="M740" s="101"/>
      <c r="N740" s="101"/>
      <c r="O740" s="101"/>
      <c r="P740" s="101"/>
      <c r="Q740" s="101"/>
      <c r="R740" s="101"/>
      <c r="S740" s="101"/>
      <c r="T740" s="101"/>
      <c r="U740" s="101"/>
      <c r="V740" s="101"/>
      <c r="W740" s="101"/>
      <c r="X740" s="101"/>
      <c r="Y740" s="101"/>
      <c r="Z740" s="101"/>
      <c r="AA740" s="101"/>
      <c r="AB740" s="101"/>
    </row>
    <row r="741">
      <c r="A741" s="104" t="s">
        <v>878</v>
      </c>
      <c r="B741" s="105" t="str">
        <f>IFERROR(VLOOKUP(A741,'Salary Calculation'!A740:F1737,2,0),"")</f>
        <v/>
      </c>
      <c r="C741" s="105" t="str">
        <f>IFERROR(VLOOKUP(A741,'Salary Calculation'!$A$2:$V$999,3,0),"")</f>
        <v/>
      </c>
      <c r="D741" s="105" t="str">
        <f>IFERROR(VLOOKUP(A741,'Salary Calculation'!$A$2:$V$999,6,0),"")</f>
        <v/>
      </c>
      <c r="E741" s="105" t="str">
        <f>IFERROR(VLOOKUP(A741,'Salary Calculation'!$A$2:$V$999,10,0),"")</f>
        <v/>
      </c>
      <c r="F741" s="101"/>
      <c r="G741" s="106" t="str">
        <f>IFERROR(VLOOKUP(A741,'Salary Calculation'!$A$2:$V$999,7,0),"")</f>
        <v/>
      </c>
      <c r="H741" s="100"/>
      <c r="I741" s="101"/>
      <c r="J741" s="101"/>
      <c r="K741" s="101"/>
      <c r="L741" s="101"/>
      <c r="M741" s="101"/>
      <c r="N741" s="101"/>
      <c r="O741" s="101"/>
      <c r="P741" s="101"/>
      <c r="Q741" s="101"/>
      <c r="R741" s="101"/>
      <c r="S741" s="101"/>
      <c r="T741" s="101"/>
      <c r="U741" s="101"/>
      <c r="V741" s="101"/>
      <c r="W741" s="101"/>
      <c r="X741" s="101"/>
      <c r="Y741" s="101"/>
      <c r="Z741" s="101"/>
      <c r="AA741" s="101"/>
      <c r="AB741" s="101"/>
    </row>
    <row r="742">
      <c r="A742" s="104" t="s">
        <v>879</v>
      </c>
      <c r="B742" s="105" t="str">
        <f>IFERROR(VLOOKUP(A742,'Salary Calculation'!A741:F1738,2,0),"")</f>
        <v/>
      </c>
      <c r="C742" s="105" t="str">
        <f>IFERROR(VLOOKUP(A742,'Salary Calculation'!$A$2:$V$999,3,0),"")</f>
        <v/>
      </c>
      <c r="D742" s="105" t="str">
        <f>IFERROR(VLOOKUP(A742,'Salary Calculation'!$A$2:$V$999,6,0),"")</f>
        <v/>
      </c>
      <c r="E742" s="105" t="str">
        <f>IFERROR(VLOOKUP(A742,'Salary Calculation'!$A$2:$V$999,10,0),"")</f>
        <v/>
      </c>
      <c r="F742" s="101"/>
      <c r="G742" s="106" t="str">
        <f>IFERROR(VLOOKUP(A742,'Salary Calculation'!$A$2:$V$999,7,0),"")</f>
        <v/>
      </c>
      <c r="H742" s="100"/>
      <c r="I742" s="101"/>
      <c r="J742" s="101"/>
      <c r="K742" s="101"/>
      <c r="L742" s="101"/>
      <c r="M742" s="101"/>
      <c r="N742" s="101"/>
      <c r="O742" s="101"/>
      <c r="P742" s="101"/>
      <c r="Q742" s="101"/>
      <c r="R742" s="101"/>
      <c r="S742" s="101"/>
      <c r="T742" s="101"/>
      <c r="U742" s="101"/>
      <c r="V742" s="101"/>
      <c r="W742" s="101"/>
      <c r="X742" s="101"/>
      <c r="Y742" s="101"/>
      <c r="Z742" s="101"/>
      <c r="AA742" s="101"/>
      <c r="AB742" s="101"/>
    </row>
    <row r="743">
      <c r="A743" s="104" t="s">
        <v>880</v>
      </c>
      <c r="B743" s="105" t="str">
        <f>IFERROR(VLOOKUP(A743,'Salary Calculation'!A742:F1739,2,0),"")</f>
        <v/>
      </c>
      <c r="C743" s="105" t="str">
        <f>IFERROR(VLOOKUP(A743,'Salary Calculation'!$A$2:$V$999,3,0),"")</f>
        <v/>
      </c>
      <c r="D743" s="105" t="str">
        <f>IFERROR(VLOOKUP(A743,'Salary Calculation'!$A$2:$V$999,6,0),"")</f>
        <v/>
      </c>
      <c r="E743" s="105" t="str">
        <f>IFERROR(VLOOKUP(A743,'Salary Calculation'!$A$2:$V$999,10,0),"")</f>
        <v/>
      </c>
      <c r="F743" s="101"/>
      <c r="G743" s="106" t="str">
        <f>IFERROR(VLOOKUP(A743,'Salary Calculation'!$A$2:$V$999,7,0),"")</f>
        <v/>
      </c>
      <c r="H743" s="100"/>
      <c r="I743" s="101"/>
      <c r="J743" s="101"/>
      <c r="K743" s="101"/>
      <c r="L743" s="101"/>
      <c r="M743" s="101"/>
      <c r="N743" s="101"/>
      <c r="O743" s="101"/>
      <c r="P743" s="101"/>
      <c r="Q743" s="101"/>
      <c r="R743" s="101"/>
      <c r="S743" s="101"/>
      <c r="T743" s="101"/>
      <c r="U743" s="101"/>
      <c r="V743" s="101"/>
      <c r="W743" s="101"/>
      <c r="X743" s="101"/>
      <c r="Y743" s="101"/>
      <c r="Z743" s="101"/>
      <c r="AA743" s="101"/>
      <c r="AB743" s="101"/>
    </row>
    <row r="744">
      <c r="A744" s="104" t="s">
        <v>881</v>
      </c>
      <c r="B744" s="105" t="str">
        <f>IFERROR(VLOOKUP(A744,'Salary Calculation'!A743:F1740,2,0),"")</f>
        <v/>
      </c>
      <c r="C744" s="105" t="str">
        <f>IFERROR(VLOOKUP(A744,'Salary Calculation'!$A$2:$V$999,3,0),"")</f>
        <v/>
      </c>
      <c r="D744" s="105" t="str">
        <f>IFERROR(VLOOKUP(A744,'Salary Calculation'!$A$2:$V$999,6,0),"")</f>
        <v/>
      </c>
      <c r="E744" s="105" t="str">
        <f>IFERROR(VLOOKUP(A744,'Salary Calculation'!$A$2:$V$999,10,0),"")</f>
        <v/>
      </c>
      <c r="F744" s="101"/>
      <c r="G744" s="106" t="str">
        <f>IFERROR(VLOOKUP(A744,'Salary Calculation'!$A$2:$V$999,7,0),"")</f>
        <v/>
      </c>
      <c r="H744" s="100"/>
      <c r="I744" s="101"/>
      <c r="J744" s="101"/>
      <c r="K744" s="101"/>
      <c r="L744" s="101"/>
      <c r="M744" s="101"/>
      <c r="N744" s="101"/>
      <c r="O744" s="101"/>
      <c r="P744" s="101"/>
      <c r="Q744" s="101"/>
      <c r="R744" s="101"/>
      <c r="S744" s="101"/>
      <c r="T744" s="101"/>
      <c r="U744" s="101"/>
      <c r="V744" s="101"/>
      <c r="W744" s="101"/>
      <c r="X744" s="101"/>
      <c r="Y744" s="101"/>
      <c r="Z744" s="101"/>
      <c r="AA744" s="101"/>
      <c r="AB744" s="101"/>
    </row>
    <row r="745">
      <c r="A745" s="104" t="s">
        <v>882</v>
      </c>
      <c r="B745" s="105" t="str">
        <f>IFERROR(VLOOKUP(A745,'Salary Calculation'!A744:F1741,2,0),"")</f>
        <v/>
      </c>
      <c r="C745" s="105" t="str">
        <f>IFERROR(VLOOKUP(A745,'Salary Calculation'!$A$2:$V$999,3,0),"")</f>
        <v/>
      </c>
      <c r="D745" s="105" t="str">
        <f>IFERROR(VLOOKUP(A745,'Salary Calculation'!$A$2:$V$999,6,0),"")</f>
        <v/>
      </c>
      <c r="E745" s="105" t="str">
        <f>IFERROR(VLOOKUP(A745,'Salary Calculation'!$A$2:$V$999,10,0),"")</f>
        <v/>
      </c>
      <c r="F745" s="101"/>
      <c r="G745" s="106" t="str">
        <f>IFERROR(VLOOKUP(A745,'Salary Calculation'!$A$2:$V$999,7,0),"")</f>
        <v/>
      </c>
      <c r="H745" s="100"/>
      <c r="I745" s="101"/>
      <c r="J745" s="101"/>
      <c r="K745" s="101"/>
      <c r="L745" s="101"/>
      <c r="M745" s="101"/>
      <c r="N745" s="101"/>
      <c r="O745" s="101"/>
      <c r="P745" s="101"/>
      <c r="Q745" s="101"/>
      <c r="R745" s="101"/>
      <c r="S745" s="101"/>
      <c r="T745" s="101"/>
      <c r="U745" s="101"/>
      <c r="V745" s="101"/>
      <c r="W745" s="101"/>
      <c r="X745" s="101"/>
      <c r="Y745" s="101"/>
      <c r="Z745" s="101"/>
      <c r="AA745" s="101"/>
      <c r="AB745" s="101"/>
    </row>
    <row r="746">
      <c r="A746" s="104" t="s">
        <v>883</v>
      </c>
      <c r="B746" s="105" t="str">
        <f>IFERROR(VLOOKUP(A746,'Salary Calculation'!A745:F1742,2,0),"")</f>
        <v/>
      </c>
      <c r="C746" s="105" t="str">
        <f>IFERROR(VLOOKUP(A746,'Salary Calculation'!$A$2:$V$999,3,0),"")</f>
        <v/>
      </c>
      <c r="D746" s="105" t="str">
        <f>IFERROR(VLOOKUP(A746,'Salary Calculation'!$A$2:$V$999,6,0),"")</f>
        <v/>
      </c>
      <c r="E746" s="105" t="str">
        <f>IFERROR(VLOOKUP(A746,'Salary Calculation'!$A$2:$V$999,10,0),"")</f>
        <v/>
      </c>
      <c r="F746" s="101"/>
      <c r="G746" s="106" t="str">
        <f>IFERROR(VLOOKUP(A746,'Salary Calculation'!$A$2:$V$999,7,0),"")</f>
        <v/>
      </c>
      <c r="H746" s="100"/>
      <c r="I746" s="101"/>
      <c r="J746" s="101"/>
      <c r="K746" s="101"/>
      <c r="L746" s="101"/>
      <c r="M746" s="101"/>
      <c r="N746" s="101"/>
      <c r="O746" s="101"/>
      <c r="P746" s="101"/>
      <c r="Q746" s="101"/>
      <c r="R746" s="101"/>
      <c r="S746" s="101"/>
      <c r="T746" s="101"/>
      <c r="U746" s="101"/>
      <c r="V746" s="101"/>
      <c r="W746" s="101"/>
      <c r="X746" s="101"/>
      <c r="Y746" s="101"/>
      <c r="Z746" s="101"/>
      <c r="AA746" s="101"/>
      <c r="AB746" s="101"/>
    </row>
    <row r="747">
      <c r="A747" s="104" t="s">
        <v>884</v>
      </c>
      <c r="B747" s="105" t="str">
        <f>IFERROR(VLOOKUP(A747,'Salary Calculation'!A746:F1743,2,0),"")</f>
        <v/>
      </c>
      <c r="C747" s="105" t="str">
        <f>IFERROR(VLOOKUP(A747,'Salary Calculation'!$A$2:$V$999,3,0),"")</f>
        <v/>
      </c>
      <c r="D747" s="105" t="str">
        <f>IFERROR(VLOOKUP(A747,'Salary Calculation'!$A$2:$V$999,6,0),"")</f>
        <v/>
      </c>
      <c r="E747" s="105" t="str">
        <f>IFERROR(VLOOKUP(A747,'Salary Calculation'!$A$2:$V$999,10,0),"")</f>
        <v/>
      </c>
      <c r="F747" s="101"/>
      <c r="G747" s="106" t="str">
        <f>IFERROR(VLOOKUP(A747,'Salary Calculation'!$A$2:$V$999,7,0),"")</f>
        <v/>
      </c>
      <c r="H747" s="100"/>
      <c r="I747" s="101"/>
      <c r="J747" s="101"/>
      <c r="K747" s="101"/>
      <c r="L747" s="101"/>
      <c r="M747" s="101"/>
      <c r="N747" s="101"/>
      <c r="O747" s="101"/>
      <c r="P747" s="101"/>
      <c r="Q747" s="101"/>
      <c r="R747" s="101"/>
      <c r="S747" s="101"/>
      <c r="T747" s="101"/>
      <c r="U747" s="101"/>
      <c r="V747" s="101"/>
      <c r="W747" s="101"/>
      <c r="X747" s="101"/>
      <c r="Y747" s="101"/>
      <c r="Z747" s="101"/>
      <c r="AA747" s="101"/>
      <c r="AB747" s="101"/>
    </row>
    <row r="748">
      <c r="A748" s="104" t="s">
        <v>885</v>
      </c>
      <c r="B748" s="105" t="str">
        <f>IFERROR(VLOOKUP(A748,'Salary Calculation'!A747:F1744,2,0),"")</f>
        <v/>
      </c>
      <c r="C748" s="105" t="str">
        <f>IFERROR(VLOOKUP(A748,'Salary Calculation'!$A$2:$V$999,3,0),"")</f>
        <v/>
      </c>
      <c r="D748" s="105" t="str">
        <f>IFERROR(VLOOKUP(A748,'Salary Calculation'!$A$2:$V$999,6,0),"")</f>
        <v/>
      </c>
      <c r="E748" s="105" t="str">
        <f>IFERROR(VLOOKUP(A748,'Salary Calculation'!$A$2:$V$999,10,0),"")</f>
        <v/>
      </c>
      <c r="F748" s="101"/>
      <c r="G748" s="106" t="str">
        <f>IFERROR(VLOOKUP(A748,'Salary Calculation'!$A$2:$V$999,7,0),"")</f>
        <v/>
      </c>
      <c r="H748" s="100"/>
      <c r="I748" s="101"/>
      <c r="J748" s="101"/>
      <c r="K748" s="101"/>
      <c r="L748" s="101"/>
      <c r="M748" s="101"/>
      <c r="N748" s="101"/>
      <c r="O748" s="101"/>
      <c r="P748" s="101"/>
      <c r="Q748" s="101"/>
      <c r="R748" s="101"/>
      <c r="S748" s="101"/>
      <c r="T748" s="101"/>
      <c r="U748" s="101"/>
      <c r="V748" s="101"/>
      <c r="W748" s="101"/>
      <c r="X748" s="101"/>
      <c r="Y748" s="101"/>
      <c r="Z748" s="101"/>
      <c r="AA748" s="101"/>
      <c r="AB748" s="101"/>
    </row>
    <row r="749">
      <c r="A749" s="104" t="s">
        <v>886</v>
      </c>
      <c r="B749" s="105" t="str">
        <f>IFERROR(VLOOKUP(A749,'Salary Calculation'!A748:F1745,2,0),"")</f>
        <v/>
      </c>
      <c r="C749" s="105" t="str">
        <f>IFERROR(VLOOKUP(A749,'Salary Calculation'!$A$2:$V$999,3,0),"")</f>
        <v/>
      </c>
      <c r="D749" s="105" t="str">
        <f>IFERROR(VLOOKUP(A749,'Salary Calculation'!$A$2:$V$999,6,0),"")</f>
        <v/>
      </c>
      <c r="E749" s="105" t="str">
        <f>IFERROR(VLOOKUP(A749,'Salary Calculation'!$A$2:$V$999,10,0),"")</f>
        <v/>
      </c>
      <c r="F749" s="101"/>
      <c r="G749" s="106" t="str">
        <f>IFERROR(VLOOKUP(A749,'Salary Calculation'!$A$2:$V$999,7,0),"")</f>
        <v/>
      </c>
      <c r="H749" s="100"/>
      <c r="I749" s="101"/>
      <c r="J749" s="101"/>
      <c r="K749" s="101"/>
      <c r="L749" s="101"/>
      <c r="M749" s="101"/>
      <c r="N749" s="101"/>
      <c r="O749" s="101"/>
      <c r="P749" s="101"/>
      <c r="Q749" s="101"/>
      <c r="R749" s="101"/>
      <c r="S749" s="101"/>
      <c r="T749" s="101"/>
      <c r="U749" s="101"/>
      <c r="V749" s="101"/>
      <c r="W749" s="101"/>
      <c r="X749" s="101"/>
      <c r="Y749" s="101"/>
      <c r="Z749" s="101"/>
      <c r="AA749" s="101"/>
      <c r="AB749" s="101"/>
    </row>
    <row r="750">
      <c r="A750" s="104" t="s">
        <v>887</v>
      </c>
      <c r="B750" s="105" t="str">
        <f>IFERROR(VLOOKUP(A750,'Salary Calculation'!A749:F1746,2,0),"")</f>
        <v/>
      </c>
      <c r="C750" s="105" t="str">
        <f>IFERROR(VLOOKUP(A750,'Salary Calculation'!$A$2:$V$999,3,0),"")</f>
        <v/>
      </c>
      <c r="D750" s="105" t="str">
        <f>IFERROR(VLOOKUP(A750,'Salary Calculation'!$A$2:$V$999,6,0),"")</f>
        <v/>
      </c>
      <c r="E750" s="105" t="str">
        <f>IFERROR(VLOOKUP(A750,'Salary Calculation'!$A$2:$V$999,10,0),"")</f>
        <v/>
      </c>
      <c r="F750" s="101"/>
      <c r="G750" s="106" t="str">
        <f>IFERROR(VLOOKUP(A750,'Salary Calculation'!$A$2:$V$999,7,0),"")</f>
        <v/>
      </c>
      <c r="H750" s="100"/>
      <c r="I750" s="101"/>
      <c r="J750" s="101"/>
      <c r="K750" s="101"/>
      <c r="L750" s="101"/>
      <c r="M750" s="101"/>
      <c r="N750" s="101"/>
      <c r="O750" s="101"/>
      <c r="P750" s="101"/>
      <c r="Q750" s="101"/>
      <c r="R750" s="101"/>
      <c r="S750" s="101"/>
      <c r="T750" s="101"/>
      <c r="U750" s="101"/>
      <c r="V750" s="101"/>
      <c r="W750" s="101"/>
      <c r="X750" s="101"/>
      <c r="Y750" s="101"/>
      <c r="Z750" s="101"/>
      <c r="AA750" s="101"/>
      <c r="AB750" s="101"/>
    </row>
    <row r="751">
      <c r="A751" s="104" t="s">
        <v>888</v>
      </c>
      <c r="B751" s="105" t="str">
        <f>IFERROR(VLOOKUP(A751,'Salary Calculation'!A750:F1747,2,0),"")</f>
        <v/>
      </c>
      <c r="C751" s="105" t="str">
        <f>IFERROR(VLOOKUP(A751,'Salary Calculation'!$A$2:$V$999,3,0),"")</f>
        <v/>
      </c>
      <c r="D751" s="105" t="str">
        <f>IFERROR(VLOOKUP(A751,'Salary Calculation'!$A$2:$V$999,6,0),"")</f>
        <v/>
      </c>
      <c r="E751" s="105" t="str">
        <f>IFERROR(VLOOKUP(A751,'Salary Calculation'!$A$2:$V$999,10,0),"")</f>
        <v/>
      </c>
      <c r="F751" s="101"/>
      <c r="G751" s="106" t="str">
        <f>IFERROR(VLOOKUP(A751,'Salary Calculation'!$A$2:$V$999,7,0),"")</f>
        <v/>
      </c>
      <c r="H751" s="100"/>
      <c r="I751" s="101"/>
      <c r="J751" s="101"/>
      <c r="K751" s="101"/>
      <c r="L751" s="101"/>
      <c r="M751" s="101"/>
      <c r="N751" s="101"/>
      <c r="O751" s="101"/>
      <c r="P751" s="101"/>
      <c r="Q751" s="101"/>
      <c r="R751" s="101"/>
      <c r="S751" s="101"/>
      <c r="T751" s="101"/>
      <c r="U751" s="101"/>
      <c r="V751" s="101"/>
      <c r="W751" s="101"/>
      <c r="X751" s="101"/>
      <c r="Y751" s="101"/>
      <c r="Z751" s="101"/>
      <c r="AA751" s="101"/>
      <c r="AB751" s="101"/>
    </row>
    <row r="752">
      <c r="A752" s="104" t="s">
        <v>889</v>
      </c>
      <c r="B752" s="105" t="str">
        <f>IFERROR(VLOOKUP(A752,'Salary Calculation'!A751:F1748,2,0),"")</f>
        <v/>
      </c>
      <c r="C752" s="105" t="str">
        <f>IFERROR(VLOOKUP(A752,'Salary Calculation'!$A$2:$V$999,3,0),"")</f>
        <v/>
      </c>
      <c r="D752" s="105" t="str">
        <f>IFERROR(VLOOKUP(A752,'Salary Calculation'!$A$2:$V$999,6,0),"")</f>
        <v/>
      </c>
      <c r="E752" s="105" t="str">
        <f>IFERROR(VLOOKUP(A752,'Salary Calculation'!$A$2:$V$999,10,0),"")</f>
        <v/>
      </c>
      <c r="F752" s="101"/>
      <c r="G752" s="106" t="str">
        <f>IFERROR(VLOOKUP(A752,'Salary Calculation'!$A$2:$V$999,7,0),"")</f>
        <v/>
      </c>
      <c r="H752" s="100"/>
      <c r="I752" s="101"/>
      <c r="J752" s="101"/>
      <c r="K752" s="101"/>
      <c r="L752" s="101"/>
      <c r="M752" s="101"/>
      <c r="N752" s="101"/>
      <c r="O752" s="101"/>
      <c r="P752" s="101"/>
      <c r="Q752" s="101"/>
      <c r="R752" s="101"/>
      <c r="S752" s="101"/>
      <c r="T752" s="101"/>
      <c r="U752" s="101"/>
      <c r="V752" s="101"/>
      <c r="W752" s="101"/>
      <c r="X752" s="101"/>
      <c r="Y752" s="101"/>
      <c r="Z752" s="101"/>
      <c r="AA752" s="101"/>
      <c r="AB752" s="101"/>
    </row>
    <row r="753">
      <c r="A753" s="104" t="s">
        <v>890</v>
      </c>
      <c r="B753" s="105" t="str">
        <f>IFERROR(VLOOKUP(A753,'Salary Calculation'!A752:F1749,2,0),"")</f>
        <v/>
      </c>
      <c r="C753" s="105" t="str">
        <f>IFERROR(VLOOKUP(A753,'Salary Calculation'!$A$2:$V$999,3,0),"")</f>
        <v/>
      </c>
      <c r="D753" s="105" t="str">
        <f>IFERROR(VLOOKUP(A753,'Salary Calculation'!$A$2:$V$999,6,0),"")</f>
        <v/>
      </c>
      <c r="E753" s="105" t="str">
        <f>IFERROR(VLOOKUP(A753,'Salary Calculation'!$A$2:$V$999,10,0),"")</f>
        <v/>
      </c>
      <c r="F753" s="101"/>
      <c r="G753" s="106" t="str">
        <f>IFERROR(VLOOKUP(A753,'Salary Calculation'!$A$2:$V$999,7,0),"")</f>
        <v/>
      </c>
      <c r="H753" s="100"/>
      <c r="I753" s="101"/>
      <c r="J753" s="101"/>
      <c r="K753" s="101"/>
      <c r="L753" s="101"/>
      <c r="M753" s="101"/>
      <c r="N753" s="101"/>
      <c r="O753" s="101"/>
      <c r="P753" s="101"/>
      <c r="Q753" s="101"/>
      <c r="R753" s="101"/>
      <c r="S753" s="101"/>
      <c r="T753" s="101"/>
      <c r="U753" s="101"/>
      <c r="V753" s="101"/>
      <c r="W753" s="101"/>
      <c r="X753" s="101"/>
      <c r="Y753" s="101"/>
      <c r="Z753" s="101"/>
      <c r="AA753" s="101"/>
      <c r="AB753" s="101"/>
    </row>
    <row r="754">
      <c r="A754" s="104" t="s">
        <v>891</v>
      </c>
      <c r="B754" s="105" t="str">
        <f>IFERROR(VLOOKUP(A754,'Salary Calculation'!A753:F1750,2,0),"")</f>
        <v/>
      </c>
      <c r="C754" s="105" t="str">
        <f>IFERROR(VLOOKUP(A754,'Salary Calculation'!$A$2:$V$999,3,0),"")</f>
        <v/>
      </c>
      <c r="D754" s="105" t="str">
        <f>IFERROR(VLOOKUP(A754,'Salary Calculation'!$A$2:$V$999,6,0),"")</f>
        <v/>
      </c>
      <c r="E754" s="105" t="str">
        <f>IFERROR(VLOOKUP(A754,'Salary Calculation'!$A$2:$V$999,10,0),"")</f>
        <v/>
      </c>
      <c r="F754" s="101"/>
      <c r="G754" s="106" t="str">
        <f>IFERROR(VLOOKUP(A754,'Salary Calculation'!$A$2:$V$999,7,0),"")</f>
        <v/>
      </c>
      <c r="H754" s="100"/>
      <c r="I754" s="101"/>
      <c r="J754" s="101"/>
      <c r="K754" s="101"/>
      <c r="L754" s="101"/>
      <c r="M754" s="101"/>
      <c r="N754" s="101"/>
      <c r="O754" s="101"/>
      <c r="P754" s="101"/>
      <c r="Q754" s="101"/>
      <c r="R754" s="101"/>
      <c r="S754" s="101"/>
      <c r="T754" s="101"/>
      <c r="U754" s="101"/>
      <c r="V754" s="101"/>
      <c r="W754" s="101"/>
      <c r="X754" s="101"/>
      <c r="Y754" s="101"/>
      <c r="Z754" s="101"/>
      <c r="AA754" s="101"/>
      <c r="AB754" s="101"/>
    </row>
    <row r="755">
      <c r="A755" s="104" t="s">
        <v>892</v>
      </c>
      <c r="B755" s="105" t="str">
        <f>IFERROR(VLOOKUP(A755,'Salary Calculation'!A754:F1751,2,0),"")</f>
        <v/>
      </c>
      <c r="C755" s="105" t="str">
        <f>IFERROR(VLOOKUP(A755,'Salary Calculation'!$A$2:$V$999,3,0),"")</f>
        <v/>
      </c>
      <c r="D755" s="105" t="str">
        <f>IFERROR(VLOOKUP(A755,'Salary Calculation'!$A$2:$V$999,6,0),"")</f>
        <v/>
      </c>
      <c r="E755" s="105" t="str">
        <f>IFERROR(VLOOKUP(A755,'Salary Calculation'!$A$2:$V$999,10,0),"")</f>
        <v/>
      </c>
      <c r="F755" s="101"/>
      <c r="G755" s="106" t="str">
        <f>IFERROR(VLOOKUP(A755,'Salary Calculation'!$A$2:$V$999,7,0),"")</f>
        <v/>
      </c>
      <c r="H755" s="100"/>
      <c r="I755" s="101"/>
      <c r="J755" s="101"/>
      <c r="K755" s="101"/>
      <c r="L755" s="101"/>
      <c r="M755" s="101"/>
      <c r="N755" s="101"/>
      <c r="O755" s="101"/>
      <c r="P755" s="101"/>
      <c r="Q755" s="101"/>
      <c r="R755" s="101"/>
      <c r="S755" s="101"/>
      <c r="T755" s="101"/>
      <c r="U755" s="101"/>
      <c r="V755" s="101"/>
      <c r="W755" s="101"/>
      <c r="X755" s="101"/>
      <c r="Y755" s="101"/>
      <c r="Z755" s="101"/>
      <c r="AA755" s="101"/>
      <c r="AB755" s="101"/>
    </row>
    <row r="756">
      <c r="A756" s="104" t="s">
        <v>893</v>
      </c>
      <c r="B756" s="105" t="str">
        <f>IFERROR(VLOOKUP(A756,'Salary Calculation'!A755:F1752,2,0),"")</f>
        <v/>
      </c>
      <c r="C756" s="105" t="str">
        <f>IFERROR(VLOOKUP(A756,'Salary Calculation'!$A$2:$V$999,3,0),"")</f>
        <v/>
      </c>
      <c r="D756" s="105" t="str">
        <f>IFERROR(VLOOKUP(A756,'Salary Calculation'!$A$2:$V$999,6,0),"")</f>
        <v/>
      </c>
      <c r="E756" s="105" t="str">
        <f>IFERROR(VLOOKUP(A756,'Salary Calculation'!$A$2:$V$999,10,0),"")</f>
        <v/>
      </c>
      <c r="F756" s="101"/>
      <c r="G756" s="106" t="str">
        <f>IFERROR(VLOOKUP(A756,'Salary Calculation'!$A$2:$V$999,7,0),"")</f>
        <v/>
      </c>
      <c r="H756" s="100"/>
      <c r="I756" s="101"/>
      <c r="J756" s="101"/>
      <c r="K756" s="101"/>
      <c r="L756" s="101"/>
      <c r="M756" s="101"/>
      <c r="N756" s="101"/>
      <c r="O756" s="101"/>
      <c r="P756" s="101"/>
      <c r="Q756" s="101"/>
      <c r="R756" s="101"/>
      <c r="S756" s="101"/>
      <c r="T756" s="101"/>
      <c r="U756" s="101"/>
      <c r="V756" s="101"/>
      <c r="W756" s="101"/>
      <c r="X756" s="101"/>
      <c r="Y756" s="101"/>
      <c r="Z756" s="101"/>
      <c r="AA756" s="101"/>
      <c r="AB756" s="101"/>
    </row>
    <row r="757">
      <c r="A757" s="104" t="s">
        <v>894</v>
      </c>
      <c r="B757" s="105" t="str">
        <f>IFERROR(VLOOKUP(A757,'Salary Calculation'!A756:F1753,2,0),"")</f>
        <v/>
      </c>
      <c r="C757" s="105" t="str">
        <f>IFERROR(VLOOKUP(A757,'Salary Calculation'!$A$2:$V$999,3,0),"")</f>
        <v/>
      </c>
      <c r="D757" s="105" t="str">
        <f>IFERROR(VLOOKUP(A757,'Salary Calculation'!$A$2:$V$999,6,0),"")</f>
        <v/>
      </c>
      <c r="E757" s="105" t="str">
        <f>IFERROR(VLOOKUP(A757,'Salary Calculation'!$A$2:$V$999,10,0),"")</f>
        <v/>
      </c>
      <c r="F757" s="101"/>
      <c r="G757" s="106" t="str">
        <f>IFERROR(VLOOKUP(A757,'Salary Calculation'!$A$2:$V$999,7,0),"")</f>
        <v/>
      </c>
      <c r="H757" s="100"/>
      <c r="I757" s="101"/>
      <c r="J757" s="101"/>
      <c r="K757" s="101"/>
      <c r="L757" s="101"/>
      <c r="M757" s="101"/>
      <c r="N757" s="101"/>
      <c r="O757" s="101"/>
      <c r="P757" s="101"/>
      <c r="Q757" s="101"/>
      <c r="R757" s="101"/>
      <c r="S757" s="101"/>
      <c r="T757" s="101"/>
      <c r="U757" s="101"/>
      <c r="V757" s="101"/>
      <c r="W757" s="101"/>
      <c r="X757" s="101"/>
      <c r="Y757" s="101"/>
      <c r="Z757" s="101"/>
      <c r="AA757" s="101"/>
      <c r="AB757" s="101"/>
    </row>
    <row r="758">
      <c r="A758" s="104" t="s">
        <v>895</v>
      </c>
      <c r="B758" s="105" t="str">
        <f>IFERROR(VLOOKUP(A758,'Salary Calculation'!A757:F1754,2,0),"")</f>
        <v/>
      </c>
      <c r="C758" s="105" t="str">
        <f>IFERROR(VLOOKUP(A758,'Salary Calculation'!$A$2:$V$999,3,0),"")</f>
        <v/>
      </c>
      <c r="D758" s="105" t="str">
        <f>IFERROR(VLOOKUP(A758,'Salary Calculation'!$A$2:$V$999,6,0),"")</f>
        <v/>
      </c>
      <c r="E758" s="105" t="str">
        <f>IFERROR(VLOOKUP(A758,'Salary Calculation'!$A$2:$V$999,10,0),"")</f>
        <v/>
      </c>
      <c r="F758" s="101"/>
      <c r="G758" s="106" t="str">
        <f>IFERROR(VLOOKUP(A758,'Salary Calculation'!$A$2:$V$999,7,0),"")</f>
        <v/>
      </c>
      <c r="H758" s="100"/>
      <c r="I758" s="101"/>
      <c r="J758" s="101"/>
      <c r="K758" s="101"/>
      <c r="L758" s="101"/>
      <c r="M758" s="101"/>
      <c r="N758" s="101"/>
      <c r="O758" s="101"/>
      <c r="P758" s="101"/>
      <c r="Q758" s="101"/>
      <c r="R758" s="101"/>
      <c r="S758" s="101"/>
      <c r="T758" s="101"/>
      <c r="U758" s="101"/>
      <c r="V758" s="101"/>
      <c r="W758" s="101"/>
      <c r="X758" s="101"/>
      <c r="Y758" s="101"/>
      <c r="Z758" s="101"/>
      <c r="AA758" s="101"/>
      <c r="AB758" s="101"/>
    </row>
    <row r="759">
      <c r="A759" s="104" t="s">
        <v>896</v>
      </c>
      <c r="B759" s="105" t="str">
        <f>IFERROR(VLOOKUP(A759,'Salary Calculation'!A758:F1755,2,0),"")</f>
        <v/>
      </c>
      <c r="C759" s="105" t="str">
        <f>IFERROR(VLOOKUP(A759,'Salary Calculation'!$A$2:$V$999,3,0),"")</f>
        <v/>
      </c>
      <c r="D759" s="105" t="str">
        <f>IFERROR(VLOOKUP(A759,'Salary Calculation'!$A$2:$V$999,6,0),"")</f>
        <v/>
      </c>
      <c r="E759" s="105" t="str">
        <f>IFERROR(VLOOKUP(A759,'Salary Calculation'!$A$2:$V$999,10,0),"")</f>
        <v/>
      </c>
      <c r="F759" s="101"/>
      <c r="G759" s="106" t="str">
        <f>IFERROR(VLOOKUP(A759,'Salary Calculation'!$A$2:$V$999,7,0),"")</f>
        <v/>
      </c>
      <c r="H759" s="100"/>
      <c r="I759" s="101"/>
      <c r="J759" s="101"/>
      <c r="K759" s="101"/>
      <c r="L759" s="101"/>
      <c r="M759" s="101"/>
      <c r="N759" s="101"/>
      <c r="O759" s="101"/>
      <c r="P759" s="101"/>
      <c r="Q759" s="101"/>
      <c r="R759" s="101"/>
      <c r="S759" s="101"/>
      <c r="T759" s="101"/>
      <c r="U759" s="101"/>
      <c r="V759" s="101"/>
      <c r="W759" s="101"/>
      <c r="X759" s="101"/>
      <c r="Y759" s="101"/>
      <c r="Z759" s="101"/>
      <c r="AA759" s="101"/>
      <c r="AB759" s="101"/>
    </row>
    <row r="760">
      <c r="A760" s="104" t="s">
        <v>897</v>
      </c>
      <c r="B760" s="105" t="str">
        <f>IFERROR(VLOOKUP(A760,'Salary Calculation'!A759:F1756,2,0),"")</f>
        <v/>
      </c>
      <c r="C760" s="105" t="str">
        <f>IFERROR(VLOOKUP(A760,'Salary Calculation'!$A$2:$V$999,3,0),"")</f>
        <v/>
      </c>
      <c r="D760" s="105" t="str">
        <f>IFERROR(VLOOKUP(A760,'Salary Calculation'!$A$2:$V$999,6,0),"")</f>
        <v/>
      </c>
      <c r="E760" s="105" t="str">
        <f>IFERROR(VLOOKUP(A760,'Salary Calculation'!$A$2:$V$999,10,0),"")</f>
        <v/>
      </c>
      <c r="F760" s="101"/>
      <c r="G760" s="106" t="str">
        <f>IFERROR(VLOOKUP(A760,'Salary Calculation'!$A$2:$V$999,7,0),"")</f>
        <v/>
      </c>
      <c r="H760" s="100"/>
      <c r="I760" s="101"/>
      <c r="J760" s="101"/>
      <c r="K760" s="101"/>
      <c r="L760" s="101"/>
      <c r="M760" s="101"/>
      <c r="N760" s="101"/>
      <c r="O760" s="101"/>
      <c r="P760" s="101"/>
      <c r="Q760" s="101"/>
      <c r="R760" s="101"/>
      <c r="S760" s="101"/>
      <c r="T760" s="101"/>
      <c r="U760" s="101"/>
      <c r="V760" s="101"/>
      <c r="W760" s="101"/>
      <c r="X760" s="101"/>
      <c r="Y760" s="101"/>
      <c r="Z760" s="101"/>
      <c r="AA760" s="101"/>
      <c r="AB760" s="101"/>
    </row>
    <row r="761">
      <c r="A761" s="104" t="s">
        <v>898</v>
      </c>
      <c r="B761" s="105" t="str">
        <f>IFERROR(VLOOKUP(A761,'Salary Calculation'!A760:F1757,2,0),"")</f>
        <v/>
      </c>
      <c r="C761" s="105" t="str">
        <f>IFERROR(VLOOKUP(A761,'Salary Calculation'!$A$2:$V$999,3,0),"")</f>
        <v/>
      </c>
      <c r="D761" s="105" t="str">
        <f>IFERROR(VLOOKUP(A761,'Salary Calculation'!$A$2:$V$999,6,0),"")</f>
        <v/>
      </c>
      <c r="E761" s="105" t="str">
        <f>IFERROR(VLOOKUP(A761,'Salary Calculation'!$A$2:$V$999,10,0),"")</f>
        <v/>
      </c>
      <c r="F761" s="101"/>
      <c r="G761" s="106" t="str">
        <f>IFERROR(VLOOKUP(A761,'Salary Calculation'!$A$2:$V$999,7,0),"")</f>
        <v/>
      </c>
      <c r="H761" s="100"/>
      <c r="I761" s="101"/>
      <c r="J761" s="101"/>
      <c r="K761" s="101"/>
      <c r="L761" s="101"/>
      <c r="M761" s="101"/>
      <c r="N761" s="101"/>
      <c r="O761" s="101"/>
      <c r="P761" s="101"/>
      <c r="Q761" s="101"/>
      <c r="R761" s="101"/>
      <c r="S761" s="101"/>
      <c r="T761" s="101"/>
      <c r="U761" s="101"/>
      <c r="V761" s="101"/>
      <c r="W761" s="101"/>
      <c r="X761" s="101"/>
      <c r="Y761" s="101"/>
      <c r="Z761" s="101"/>
      <c r="AA761" s="101"/>
      <c r="AB761" s="101"/>
    </row>
    <row r="762">
      <c r="A762" s="104" t="s">
        <v>899</v>
      </c>
      <c r="B762" s="105" t="str">
        <f>IFERROR(VLOOKUP(A762,'Salary Calculation'!A761:F1758,2,0),"")</f>
        <v/>
      </c>
      <c r="C762" s="105" t="str">
        <f>IFERROR(VLOOKUP(A762,'Salary Calculation'!$A$2:$V$999,3,0),"")</f>
        <v/>
      </c>
      <c r="D762" s="105" t="str">
        <f>IFERROR(VLOOKUP(A762,'Salary Calculation'!$A$2:$V$999,6,0),"")</f>
        <v/>
      </c>
      <c r="E762" s="105" t="str">
        <f>IFERROR(VLOOKUP(A762,'Salary Calculation'!$A$2:$V$999,10,0),"")</f>
        <v/>
      </c>
      <c r="F762" s="101"/>
      <c r="G762" s="106" t="str">
        <f>IFERROR(VLOOKUP(A762,'Salary Calculation'!$A$2:$V$999,7,0),"")</f>
        <v/>
      </c>
      <c r="H762" s="100"/>
      <c r="I762" s="101"/>
      <c r="J762" s="101"/>
      <c r="K762" s="101"/>
      <c r="L762" s="101"/>
      <c r="M762" s="101"/>
      <c r="N762" s="101"/>
      <c r="O762" s="101"/>
      <c r="P762" s="101"/>
      <c r="Q762" s="101"/>
      <c r="R762" s="101"/>
      <c r="S762" s="101"/>
      <c r="T762" s="101"/>
      <c r="U762" s="101"/>
      <c r="V762" s="101"/>
      <c r="W762" s="101"/>
      <c r="X762" s="101"/>
      <c r="Y762" s="101"/>
      <c r="Z762" s="101"/>
      <c r="AA762" s="101"/>
      <c r="AB762" s="101"/>
    </row>
    <row r="763">
      <c r="A763" s="104" t="s">
        <v>900</v>
      </c>
      <c r="B763" s="105" t="str">
        <f>IFERROR(VLOOKUP(A763,'Salary Calculation'!A762:F1759,2,0),"")</f>
        <v/>
      </c>
      <c r="C763" s="105" t="str">
        <f>IFERROR(VLOOKUP(A763,'Salary Calculation'!$A$2:$V$999,3,0),"")</f>
        <v/>
      </c>
      <c r="D763" s="105" t="str">
        <f>IFERROR(VLOOKUP(A763,'Salary Calculation'!$A$2:$V$999,6,0),"")</f>
        <v/>
      </c>
      <c r="E763" s="105" t="str">
        <f>IFERROR(VLOOKUP(A763,'Salary Calculation'!$A$2:$V$999,10,0),"")</f>
        <v/>
      </c>
      <c r="F763" s="101"/>
      <c r="G763" s="106" t="str">
        <f>IFERROR(VLOOKUP(A763,'Salary Calculation'!$A$2:$V$999,7,0),"")</f>
        <v/>
      </c>
      <c r="H763" s="100"/>
      <c r="I763" s="101"/>
      <c r="J763" s="101"/>
      <c r="K763" s="101"/>
      <c r="L763" s="101"/>
      <c r="M763" s="101"/>
      <c r="N763" s="101"/>
      <c r="O763" s="101"/>
      <c r="P763" s="101"/>
      <c r="Q763" s="101"/>
      <c r="R763" s="101"/>
      <c r="S763" s="101"/>
      <c r="T763" s="101"/>
      <c r="U763" s="101"/>
      <c r="V763" s="101"/>
      <c r="W763" s="101"/>
      <c r="X763" s="101"/>
      <c r="Y763" s="101"/>
      <c r="Z763" s="101"/>
      <c r="AA763" s="101"/>
      <c r="AB763" s="101"/>
    </row>
    <row r="764">
      <c r="A764" s="104" t="s">
        <v>901</v>
      </c>
      <c r="B764" s="105" t="str">
        <f>IFERROR(VLOOKUP(A764,'Salary Calculation'!A763:F1760,2,0),"")</f>
        <v/>
      </c>
      <c r="C764" s="105" t="str">
        <f>IFERROR(VLOOKUP(A764,'Salary Calculation'!$A$2:$V$999,3,0),"")</f>
        <v/>
      </c>
      <c r="D764" s="105" t="str">
        <f>IFERROR(VLOOKUP(A764,'Salary Calculation'!$A$2:$V$999,6,0),"")</f>
        <v/>
      </c>
      <c r="E764" s="105" t="str">
        <f>IFERROR(VLOOKUP(A764,'Salary Calculation'!$A$2:$V$999,10,0),"")</f>
        <v/>
      </c>
      <c r="F764" s="101"/>
      <c r="G764" s="106" t="str">
        <f>IFERROR(VLOOKUP(A764,'Salary Calculation'!$A$2:$V$999,7,0),"")</f>
        <v/>
      </c>
      <c r="H764" s="100"/>
      <c r="I764" s="101"/>
      <c r="J764" s="101"/>
      <c r="K764" s="101"/>
      <c r="L764" s="101"/>
      <c r="M764" s="101"/>
      <c r="N764" s="101"/>
      <c r="O764" s="101"/>
      <c r="P764" s="101"/>
      <c r="Q764" s="101"/>
      <c r="R764" s="101"/>
      <c r="S764" s="101"/>
      <c r="T764" s="101"/>
      <c r="U764" s="101"/>
      <c r="V764" s="101"/>
      <c r="W764" s="101"/>
      <c r="X764" s="101"/>
      <c r="Y764" s="101"/>
      <c r="Z764" s="101"/>
      <c r="AA764" s="101"/>
      <c r="AB764" s="101"/>
    </row>
    <row r="765">
      <c r="A765" s="104" t="s">
        <v>902</v>
      </c>
      <c r="B765" s="105" t="str">
        <f>IFERROR(VLOOKUP(A765,'Salary Calculation'!A764:F1761,2,0),"")</f>
        <v/>
      </c>
      <c r="C765" s="105" t="str">
        <f>IFERROR(VLOOKUP(A765,'Salary Calculation'!$A$2:$V$999,3,0),"")</f>
        <v/>
      </c>
      <c r="D765" s="105" t="str">
        <f>IFERROR(VLOOKUP(A765,'Salary Calculation'!$A$2:$V$999,6,0),"")</f>
        <v/>
      </c>
      <c r="E765" s="105" t="str">
        <f>IFERROR(VLOOKUP(A765,'Salary Calculation'!$A$2:$V$999,10,0),"")</f>
        <v/>
      </c>
      <c r="F765" s="101"/>
      <c r="G765" s="106" t="str">
        <f>IFERROR(VLOOKUP(A765,'Salary Calculation'!$A$2:$V$999,7,0),"")</f>
        <v/>
      </c>
      <c r="H765" s="100"/>
      <c r="I765" s="101"/>
      <c r="J765" s="101"/>
      <c r="K765" s="101"/>
      <c r="L765" s="101"/>
      <c r="M765" s="101"/>
      <c r="N765" s="101"/>
      <c r="O765" s="101"/>
      <c r="P765" s="101"/>
      <c r="Q765" s="101"/>
      <c r="R765" s="101"/>
      <c r="S765" s="101"/>
      <c r="T765" s="101"/>
      <c r="U765" s="101"/>
      <c r="V765" s="101"/>
      <c r="W765" s="101"/>
      <c r="X765" s="101"/>
      <c r="Y765" s="101"/>
      <c r="Z765" s="101"/>
      <c r="AA765" s="101"/>
      <c r="AB765" s="101"/>
    </row>
    <row r="766">
      <c r="A766" s="104" t="s">
        <v>903</v>
      </c>
      <c r="B766" s="105" t="str">
        <f>IFERROR(VLOOKUP(A766,'Salary Calculation'!A765:F1762,2,0),"")</f>
        <v/>
      </c>
      <c r="C766" s="105" t="str">
        <f>IFERROR(VLOOKUP(A766,'Salary Calculation'!$A$2:$V$999,3,0),"")</f>
        <v/>
      </c>
      <c r="D766" s="105" t="str">
        <f>IFERROR(VLOOKUP(A766,'Salary Calculation'!$A$2:$V$999,6,0),"")</f>
        <v/>
      </c>
      <c r="E766" s="105" t="str">
        <f>IFERROR(VLOOKUP(A766,'Salary Calculation'!$A$2:$V$999,10,0),"")</f>
        <v/>
      </c>
      <c r="F766" s="101"/>
      <c r="G766" s="106" t="str">
        <f>IFERROR(VLOOKUP(A766,'Salary Calculation'!$A$2:$V$999,7,0),"")</f>
        <v/>
      </c>
      <c r="H766" s="100"/>
      <c r="I766" s="101"/>
      <c r="J766" s="101"/>
      <c r="K766" s="101"/>
      <c r="L766" s="101"/>
      <c r="M766" s="101"/>
      <c r="N766" s="101"/>
      <c r="O766" s="101"/>
      <c r="P766" s="101"/>
      <c r="Q766" s="101"/>
      <c r="R766" s="101"/>
      <c r="S766" s="101"/>
      <c r="T766" s="101"/>
      <c r="U766" s="101"/>
      <c r="V766" s="101"/>
      <c r="W766" s="101"/>
      <c r="X766" s="101"/>
      <c r="Y766" s="101"/>
      <c r="Z766" s="101"/>
      <c r="AA766" s="101"/>
      <c r="AB766" s="101"/>
    </row>
    <row r="767">
      <c r="A767" s="104" t="s">
        <v>904</v>
      </c>
      <c r="B767" s="105" t="str">
        <f>IFERROR(VLOOKUP(A767,'Salary Calculation'!A766:F1763,2,0),"")</f>
        <v/>
      </c>
      <c r="C767" s="105" t="str">
        <f>IFERROR(VLOOKUP(A767,'Salary Calculation'!$A$2:$V$999,3,0),"")</f>
        <v/>
      </c>
      <c r="D767" s="105" t="str">
        <f>IFERROR(VLOOKUP(A767,'Salary Calculation'!$A$2:$V$999,6,0),"")</f>
        <v/>
      </c>
      <c r="E767" s="105" t="str">
        <f>IFERROR(VLOOKUP(A767,'Salary Calculation'!$A$2:$V$999,10,0),"")</f>
        <v/>
      </c>
      <c r="F767" s="101"/>
      <c r="G767" s="106" t="str">
        <f>IFERROR(VLOOKUP(A767,'Salary Calculation'!$A$2:$V$999,7,0),"")</f>
        <v/>
      </c>
      <c r="H767" s="100"/>
      <c r="I767" s="101"/>
      <c r="J767" s="101"/>
      <c r="K767" s="101"/>
      <c r="L767" s="101"/>
      <c r="M767" s="101"/>
      <c r="N767" s="101"/>
      <c r="O767" s="101"/>
      <c r="P767" s="101"/>
      <c r="Q767" s="101"/>
      <c r="R767" s="101"/>
      <c r="S767" s="101"/>
      <c r="T767" s="101"/>
      <c r="U767" s="101"/>
      <c r="V767" s="101"/>
      <c r="W767" s="101"/>
      <c r="X767" s="101"/>
      <c r="Y767" s="101"/>
      <c r="Z767" s="101"/>
      <c r="AA767" s="101"/>
      <c r="AB767" s="101"/>
    </row>
    <row r="768">
      <c r="A768" s="104" t="s">
        <v>905</v>
      </c>
      <c r="B768" s="105" t="str">
        <f>IFERROR(VLOOKUP(A768,'Salary Calculation'!A767:F1764,2,0),"")</f>
        <v/>
      </c>
      <c r="C768" s="105" t="str">
        <f>IFERROR(VLOOKUP(A768,'Salary Calculation'!$A$2:$V$999,3,0),"")</f>
        <v/>
      </c>
      <c r="D768" s="105" t="str">
        <f>IFERROR(VLOOKUP(A768,'Salary Calculation'!$A$2:$V$999,6,0),"")</f>
        <v/>
      </c>
      <c r="E768" s="105" t="str">
        <f>IFERROR(VLOOKUP(A768,'Salary Calculation'!$A$2:$V$999,10,0),"")</f>
        <v/>
      </c>
      <c r="F768" s="101"/>
      <c r="G768" s="106" t="str">
        <f>IFERROR(VLOOKUP(A768,'Salary Calculation'!$A$2:$V$999,7,0),"")</f>
        <v/>
      </c>
      <c r="H768" s="100"/>
      <c r="I768" s="101"/>
      <c r="J768" s="101"/>
      <c r="K768" s="101"/>
      <c r="L768" s="101"/>
      <c r="M768" s="101"/>
      <c r="N768" s="101"/>
      <c r="O768" s="101"/>
      <c r="P768" s="101"/>
      <c r="Q768" s="101"/>
      <c r="R768" s="101"/>
      <c r="S768" s="101"/>
      <c r="T768" s="101"/>
      <c r="U768" s="101"/>
      <c r="V768" s="101"/>
      <c r="W768" s="101"/>
      <c r="X768" s="101"/>
      <c r="Y768" s="101"/>
      <c r="Z768" s="101"/>
      <c r="AA768" s="101"/>
      <c r="AB768" s="101"/>
    </row>
    <row r="769">
      <c r="A769" s="104" t="s">
        <v>906</v>
      </c>
      <c r="B769" s="105" t="str">
        <f>IFERROR(VLOOKUP(A769,'Salary Calculation'!A768:F1765,2,0),"")</f>
        <v/>
      </c>
      <c r="C769" s="105" t="str">
        <f>IFERROR(VLOOKUP(A769,'Salary Calculation'!$A$2:$V$999,3,0),"")</f>
        <v/>
      </c>
      <c r="D769" s="105" t="str">
        <f>IFERROR(VLOOKUP(A769,'Salary Calculation'!$A$2:$V$999,6,0),"")</f>
        <v/>
      </c>
      <c r="E769" s="105" t="str">
        <f>IFERROR(VLOOKUP(A769,'Salary Calculation'!$A$2:$V$999,10,0),"")</f>
        <v/>
      </c>
      <c r="F769" s="101"/>
      <c r="G769" s="106" t="str">
        <f>IFERROR(VLOOKUP(A769,'Salary Calculation'!$A$2:$V$999,7,0),"")</f>
        <v/>
      </c>
      <c r="H769" s="100"/>
      <c r="I769" s="101"/>
      <c r="J769" s="101"/>
      <c r="K769" s="101"/>
      <c r="L769" s="101"/>
      <c r="M769" s="101"/>
      <c r="N769" s="101"/>
      <c r="O769" s="101"/>
      <c r="P769" s="101"/>
      <c r="Q769" s="101"/>
      <c r="R769" s="101"/>
      <c r="S769" s="101"/>
      <c r="T769" s="101"/>
      <c r="U769" s="101"/>
      <c r="V769" s="101"/>
      <c r="W769" s="101"/>
      <c r="X769" s="101"/>
      <c r="Y769" s="101"/>
      <c r="Z769" s="101"/>
      <c r="AA769" s="101"/>
      <c r="AB769" s="101"/>
    </row>
    <row r="770">
      <c r="A770" s="104" t="s">
        <v>907</v>
      </c>
      <c r="B770" s="105" t="str">
        <f>IFERROR(VLOOKUP(A770,'Salary Calculation'!A769:F1766,2,0),"")</f>
        <v/>
      </c>
      <c r="C770" s="105" t="str">
        <f>IFERROR(VLOOKUP(A770,'Salary Calculation'!$A$2:$V$999,3,0),"")</f>
        <v/>
      </c>
      <c r="D770" s="105" t="str">
        <f>IFERROR(VLOOKUP(A770,'Salary Calculation'!$A$2:$V$999,6,0),"")</f>
        <v/>
      </c>
      <c r="E770" s="105" t="str">
        <f>IFERROR(VLOOKUP(A770,'Salary Calculation'!$A$2:$V$999,10,0),"")</f>
        <v/>
      </c>
      <c r="F770" s="101"/>
      <c r="G770" s="106" t="str">
        <f>IFERROR(VLOOKUP(A770,'Salary Calculation'!$A$2:$V$999,7,0),"")</f>
        <v/>
      </c>
      <c r="H770" s="100"/>
      <c r="I770" s="101"/>
      <c r="J770" s="101"/>
      <c r="K770" s="101"/>
      <c r="L770" s="101"/>
      <c r="M770" s="101"/>
      <c r="N770" s="101"/>
      <c r="O770" s="101"/>
      <c r="P770" s="101"/>
      <c r="Q770" s="101"/>
      <c r="R770" s="101"/>
      <c r="S770" s="101"/>
      <c r="T770" s="101"/>
      <c r="U770" s="101"/>
      <c r="V770" s="101"/>
      <c r="W770" s="101"/>
      <c r="X770" s="101"/>
      <c r="Y770" s="101"/>
      <c r="Z770" s="101"/>
      <c r="AA770" s="101"/>
      <c r="AB770" s="101"/>
    </row>
    <row r="771">
      <c r="A771" s="104" t="s">
        <v>908</v>
      </c>
      <c r="B771" s="105" t="str">
        <f>IFERROR(VLOOKUP(A771,'Salary Calculation'!A770:F1767,2,0),"")</f>
        <v/>
      </c>
      <c r="C771" s="105" t="str">
        <f>IFERROR(VLOOKUP(A771,'Salary Calculation'!$A$2:$V$999,3,0),"")</f>
        <v/>
      </c>
      <c r="D771" s="105" t="str">
        <f>IFERROR(VLOOKUP(A771,'Salary Calculation'!$A$2:$V$999,6,0),"")</f>
        <v/>
      </c>
      <c r="E771" s="105" t="str">
        <f>IFERROR(VLOOKUP(A771,'Salary Calculation'!$A$2:$V$999,10,0),"")</f>
        <v/>
      </c>
      <c r="F771" s="101"/>
      <c r="G771" s="106" t="str">
        <f>IFERROR(VLOOKUP(A771,'Salary Calculation'!$A$2:$V$999,7,0),"")</f>
        <v/>
      </c>
      <c r="H771" s="100"/>
      <c r="I771" s="101"/>
      <c r="J771" s="101"/>
      <c r="K771" s="101"/>
      <c r="L771" s="101"/>
      <c r="M771" s="101"/>
      <c r="N771" s="101"/>
      <c r="O771" s="101"/>
      <c r="P771" s="101"/>
      <c r="Q771" s="101"/>
      <c r="R771" s="101"/>
      <c r="S771" s="101"/>
      <c r="T771" s="101"/>
      <c r="U771" s="101"/>
      <c r="V771" s="101"/>
      <c r="W771" s="101"/>
      <c r="X771" s="101"/>
      <c r="Y771" s="101"/>
      <c r="Z771" s="101"/>
      <c r="AA771" s="101"/>
      <c r="AB771" s="101"/>
    </row>
    <row r="772">
      <c r="A772" s="104" t="s">
        <v>909</v>
      </c>
      <c r="B772" s="105" t="str">
        <f>IFERROR(VLOOKUP(A772,'Salary Calculation'!A771:F1768,2,0),"")</f>
        <v/>
      </c>
      <c r="C772" s="105" t="str">
        <f>IFERROR(VLOOKUP(A772,'Salary Calculation'!$A$2:$V$999,3,0),"")</f>
        <v/>
      </c>
      <c r="D772" s="105" t="str">
        <f>IFERROR(VLOOKUP(A772,'Salary Calculation'!$A$2:$V$999,6,0),"")</f>
        <v/>
      </c>
      <c r="E772" s="105" t="str">
        <f>IFERROR(VLOOKUP(A772,'Salary Calculation'!$A$2:$V$999,10,0),"")</f>
        <v/>
      </c>
      <c r="F772" s="101"/>
      <c r="G772" s="106" t="str">
        <f>IFERROR(VLOOKUP(A772,'Salary Calculation'!$A$2:$V$999,7,0),"")</f>
        <v/>
      </c>
      <c r="H772" s="100"/>
      <c r="I772" s="101"/>
      <c r="J772" s="101"/>
      <c r="K772" s="101"/>
      <c r="L772" s="101"/>
      <c r="M772" s="101"/>
      <c r="N772" s="101"/>
      <c r="O772" s="101"/>
      <c r="P772" s="101"/>
      <c r="Q772" s="101"/>
      <c r="R772" s="101"/>
      <c r="S772" s="101"/>
      <c r="T772" s="101"/>
      <c r="U772" s="101"/>
      <c r="V772" s="101"/>
      <c r="W772" s="101"/>
      <c r="X772" s="101"/>
      <c r="Y772" s="101"/>
      <c r="Z772" s="101"/>
      <c r="AA772" s="101"/>
      <c r="AB772" s="101"/>
    </row>
    <row r="773">
      <c r="A773" s="104" t="s">
        <v>910</v>
      </c>
      <c r="B773" s="105" t="str">
        <f>IFERROR(VLOOKUP(A773,'Salary Calculation'!A772:F1769,2,0),"")</f>
        <v/>
      </c>
      <c r="C773" s="105" t="str">
        <f>IFERROR(VLOOKUP(A773,'Salary Calculation'!$A$2:$V$999,3,0),"")</f>
        <v/>
      </c>
      <c r="D773" s="105" t="str">
        <f>IFERROR(VLOOKUP(A773,'Salary Calculation'!$A$2:$V$999,6,0),"")</f>
        <v/>
      </c>
      <c r="E773" s="105" t="str">
        <f>IFERROR(VLOOKUP(A773,'Salary Calculation'!$A$2:$V$999,10,0),"")</f>
        <v/>
      </c>
      <c r="F773" s="101"/>
      <c r="G773" s="106" t="str">
        <f>IFERROR(VLOOKUP(A773,'Salary Calculation'!$A$2:$V$999,7,0),"")</f>
        <v/>
      </c>
      <c r="H773" s="100"/>
      <c r="I773" s="101"/>
      <c r="J773" s="101"/>
      <c r="K773" s="101"/>
      <c r="L773" s="101"/>
      <c r="M773" s="101"/>
      <c r="N773" s="101"/>
      <c r="O773" s="101"/>
      <c r="P773" s="101"/>
      <c r="Q773" s="101"/>
      <c r="R773" s="101"/>
      <c r="S773" s="101"/>
      <c r="T773" s="101"/>
      <c r="U773" s="101"/>
      <c r="V773" s="101"/>
      <c r="W773" s="101"/>
      <c r="X773" s="101"/>
      <c r="Y773" s="101"/>
      <c r="Z773" s="101"/>
      <c r="AA773" s="101"/>
      <c r="AB773" s="101"/>
    </row>
    <row r="774">
      <c r="A774" s="104" t="s">
        <v>911</v>
      </c>
      <c r="B774" s="105" t="str">
        <f>IFERROR(VLOOKUP(A774,'Salary Calculation'!A773:F1770,2,0),"")</f>
        <v/>
      </c>
      <c r="C774" s="105" t="str">
        <f>IFERROR(VLOOKUP(A774,'Salary Calculation'!$A$2:$V$999,3,0),"")</f>
        <v/>
      </c>
      <c r="D774" s="105" t="str">
        <f>IFERROR(VLOOKUP(A774,'Salary Calculation'!$A$2:$V$999,6,0),"")</f>
        <v/>
      </c>
      <c r="E774" s="105" t="str">
        <f>IFERROR(VLOOKUP(A774,'Salary Calculation'!$A$2:$V$999,10,0),"")</f>
        <v/>
      </c>
      <c r="F774" s="101"/>
      <c r="G774" s="106" t="str">
        <f>IFERROR(VLOOKUP(A774,'Salary Calculation'!$A$2:$V$999,7,0),"")</f>
        <v/>
      </c>
      <c r="H774" s="100"/>
      <c r="I774" s="101"/>
      <c r="J774" s="101"/>
      <c r="K774" s="101"/>
      <c r="L774" s="101"/>
      <c r="M774" s="101"/>
      <c r="N774" s="101"/>
      <c r="O774" s="101"/>
      <c r="P774" s="101"/>
      <c r="Q774" s="101"/>
      <c r="R774" s="101"/>
      <c r="S774" s="101"/>
      <c r="T774" s="101"/>
      <c r="U774" s="101"/>
      <c r="V774" s="101"/>
      <c r="W774" s="101"/>
      <c r="X774" s="101"/>
      <c r="Y774" s="101"/>
      <c r="Z774" s="101"/>
      <c r="AA774" s="101"/>
      <c r="AB774" s="101"/>
    </row>
    <row r="775">
      <c r="A775" s="104" t="s">
        <v>912</v>
      </c>
      <c r="B775" s="105" t="str">
        <f>IFERROR(VLOOKUP(A775,'Salary Calculation'!A774:F1771,2,0),"")</f>
        <v/>
      </c>
      <c r="C775" s="105" t="str">
        <f>IFERROR(VLOOKUP(A775,'Salary Calculation'!$A$2:$V$999,3,0),"")</f>
        <v/>
      </c>
      <c r="D775" s="105" t="str">
        <f>IFERROR(VLOOKUP(A775,'Salary Calculation'!$A$2:$V$999,6,0),"")</f>
        <v/>
      </c>
      <c r="E775" s="105" t="str">
        <f>IFERROR(VLOOKUP(A775,'Salary Calculation'!$A$2:$V$999,10,0),"")</f>
        <v/>
      </c>
      <c r="F775" s="101"/>
      <c r="G775" s="106" t="str">
        <f>IFERROR(VLOOKUP(A775,'Salary Calculation'!$A$2:$V$999,7,0),"")</f>
        <v/>
      </c>
      <c r="H775" s="100"/>
      <c r="I775" s="101"/>
      <c r="J775" s="101"/>
      <c r="K775" s="101"/>
      <c r="L775" s="101"/>
      <c r="M775" s="101"/>
      <c r="N775" s="101"/>
      <c r="O775" s="101"/>
      <c r="P775" s="101"/>
      <c r="Q775" s="101"/>
      <c r="R775" s="101"/>
      <c r="S775" s="101"/>
      <c r="T775" s="101"/>
      <c r="U775" s="101"/>
      <c r="V775" s="101"/>
      <c r="W775" s="101"/>
      <c r="X775" s="101"/>
      <c r="Y775" s="101"/>
      <c r="Z775" s="101"/>
      <c r="AA775" s="101"/>
      <c r="AB775" s="101"/>
    </row>
    <row r="776">
      <c r="A776" s="104" t="s">
        <v>913</v>
      </c>
      <c r="B776" s="105" t="str">
        <f>IFERROR(VLOOKUP(A776,'Salary Calculation'!A775:F1772,2,0),"")</f>
        <v/>
      </c>
      <c r="C776" s="105" t="str">
        <f>IFERROR(VLOOKUP(A776,'Salary Calculation'!$A$2:$V$999,3,0),"")</f>
        <v/>
      </c>
      <c r="D776" s="105" t="str">
        <f>IFERROR(VLOOKUP(A776,'Salary Calculation'!$A$2:$V$999,6,0),"")</f>
        <v/>
      </c>
      <c r="E776" s="105" t="str">
        <f>IFERROR(VLOOKUP(A776,'Salary Calculation'!$A$2:$V$999,10,0),"")</f>
        <v/>
      </c>
      <c r="F776" s="101"/>
      <c r="G776" s="106" t="str">
        <f>IFERROR(VLOOKUP(A776,'Salary Calculation'!$A$2:$V$999,7,0),"")</f>
        <v/>
      </c>
      <c r="H776" s="100"/>
      <c r="I776" s="101"/>
      <c r="J776" s="101"/>
      <c r="K776" s="101"/>
      <c r="L776" s="101"/>
      <c r="M776" s="101"/>
      <c r="N776" s="101"/>
      <c r="O776" s="101"/>
      <c r="P776" s="101"/>
      <c r="Q776" s="101"/>
      <c r="R776" s="101"/>
      <c r="S776" s="101"/>
      <c r="T776" s="101"/>
      <c r="U776" s="101"/>
      <c r="V776" s="101"/>
      <c r="W776" s="101"/>
      <c r="X776" s="101"/>
      <c r="Y776" s="101"/>
      <c r="Z776" s="101"/>
      <c r="AA776" s="101"/>
      <c r="AB776" s="101"/>
    </row>
    <row r="777">
      <c r="A777" s="104" t="s">
        <v>914</v>
      </c>
      <c r="B777" s="105" t="str">
        <f>IFERROR(VLOOKUP(A777,'Salary Calculation'!A776:F1773,2,0),"")</f>
        <v/>
      </c>
      <c r="C777" s="105" t="str">
        <f>IFERROR(VLOOKUP(A777,'Salary Calculation'!$A$2:$V$999,3,0),"")</f>
        <v/>
      </c>
      <c r="D777" s="105" t="str">
        <f>IFERROR(VLOOKUP(A777,'Salary Calculation'!$A$2:$V$999,6,0),"")</f>
        <v/>
      </c>
      <c r="E777" s="105" t="str">
        <f>IFERROR(VLOOKUP(A777,'Salary Calculation'!$A$2:$V$999,10,0),"")</f>
        <v/>
      </c>
      <c r="F777" s="101"/>
      <c r="G777" s="106" t="str">
        <f>IFERROR(VLOOKUP(A777,'Salary Calculation'!$A$2:$V$999,7,0),"")</f>
        <v/>
      </c>
      <c r="H777" s="100"/>
      <c r="I777" s="101"/>
      <c r="J777" s="101"/>
      <c r="K777" s="101"/>
      <c r="L777" s="101"/>
      <c r="M777" s="101"/>
      <c r="N777" s="101"/>
      <c r="O777" s="101"/>
      <c r="P777" s="101"/>
      <c r="Q777" s="101"/>
      <c r="R777" s="101"/>
      <c r="S777" s="101"/>
      <c r="T777" s="101"/>
      <c r="U777" s="101"/>
      <c r="V777" s="101"/>
      <c r="W777" s="101"/>
      <c r="X777" s="101"/>
      <c r="Y777" s="101"/>
      <c r="Z777" s="101"/>
      <c r="AA777" s="101"/>
      <c r="AB777" s="101"/>
    </row>
    <row r="778">
      <c r="A778" s="104" t="s">
        <v>915</v>
      </c>
      <c r="B778" s="105" t="str">
        <f>IFERROR(VLOOKUP(A778,'Salary Calculation'!A777:F1774,2,0),"")</f>
        <v/>
      </c>
      <c r="C778" s="105" t="str">
        <f>IFERROR(VLOOKUP(A778,'Salary Calculation'!$A$2:$V$999,3,0),"")</f>
        <v/>
      </c>
      <c r="D778" s="105" t="str">
        <f>IFERROR(VLOOKUP(A778,'Salary Calculation'!$A$2:$V$999,6,0),"")</f>
        <v/>
      </c>
      <c r="E778" s="105" t="str">
        <f>IFERROR(VLOOKUP(A778,'Salary Calculation'!$A$2:$V$999,10,0),"")</f>
        <v/>
      </c>
      <c r="F778" s="101"/>
      <c r="G778" s="106" t="str">
        <f>IFERROR(VLOOKUP(A778,'Salary Calculation'!$A$2:$V$999,7,0),"")</f>
        <v/>
      </c>
      <c r="H778" s="100"/>
      <c r="I778" s="101"/>
      <c r="J778" s="101"/>
      <c r="K778" s="101"/>
      <c r="L778" s="101"/>
      <c r="M778" s="101"/>
      <c r="N778" s="101"/>
      <c r="O778" s="101"/>
      <c r="P778" s="101"/>
      <c r="Q778" s="101"/>
      <c r="R778" s="101"/>
      <c r="S778" s="101"/>
      <c r="T778" s="101"/>
      <c r="U778" s="101"/>
      <c r="V778" s="101"/>
      <c r="W778" s="101"/>
      <c r="X778" s="101"/>
      <c r="Y778" s="101"/>
      <c r="Z778" s="101"/>
      <c r="AA778" s="101"/>
      <c r="AB778" s="101"/>
    </row>
    <row r="779">
      <c r="A779" s="104" t="s">
        <v>916</v>
      </c>
      <c r="B779" s="105" t="str">
        <f>IFERROR(VLOOKUP(A779,'Salary Calculation'!A778:F1775,2,0),"")</f>
        <v/>
      </c>
      <c r="C779" s="105" t="str">
        <f>IFERROR(VLOOKUP(A779,'Salary Calculation'!$A$2:$V$999,3,0),"")</f>
        <v/>
      </c>
      <c r="D779" s="105" t="str">
        <f>IFERROR(VLOOKUP(A779,'Salary Calculation'!$A$2:$V$999,6,0),"")</f>
        <v/>
      </c>
      <c r="E779" s="105" t="str">
        <f>IFERROR(VLOOKUP(A779,'Salary Calculation'!$A$2:$V$999,10,0),"")</f>
        <v/>
      </c>
      <c r="F779" s="101"/>
      <c r="G779" s="106" t="str">
        <f>IFERROR(VLOOKUP(A779,'Salary Calculation'!$A$2:$V$999,7,0),"")</f>
        <v/>
      </c>
      <c r="H779" s="100"/>
      <c r="I779" s="101"/>
      <c r="J779" s="101"/>
      <c r="K779" s="101"/>
      <c r="L779" s="101"/>
      <c r="M779" s="101"/>
      <c r="N779" s="101"/>
      <c r="O779" s="101"/>
      <c r="P779" s="101"/>
      <c r="Q779" s="101"/>
      <c r="R779" s="101"/>
      <c r="S779" s="101"/>
      <c r="T779" s="101"/>
      <c r="U779" s="101"/>
      <c r="V779" s="101"/>
      <c r="W779" s="101"/>
      <c r="X779" s="101"/>
      <c r="Y779" s="101"/>
      <c r="Z779" s="101"/>
      <c r="AA779" s="101"/>
      <c r="AB779" s="101"/>
    </row>
    <row r="780">
      <c r="A780" s="104" t="s">
        <v>917</v>
      </c>
      <c r="B780" s="105" t="str">
        <f>IFERROR(VLOOKUP(A780,'Salary Calculation'!A779:F1776,2,0),"")</f>
        <v/>
      </c>
      <c r="C780" s="105" t="str">
        <f>IFERROR(VLOOKUP(A780,'Salary Calculation'!$A$2:$V$999,3,0),"")</f>
        <v/>
      </c>
      <c r="D780" s="105" t="str">
        <f>IFERROR(VLOOKUP(A780,'Salary Calculation'!$A$2:$V$999,6,0),"")</f>
        <v/>
      </c>
      <c r="E780" s="105" t="str">
        <f>IFERROR(VLOOKUP(A780,'Salary Calculation'!$A$2:$V$999,10,0),"")</f>
        <v/>
      </c>
      <c r="F780" s="101"/>
      <c r="G780" s="106" t="str">
        <f>IFERROR(VLOOKUP(A780,'Salary Calculation'!$A$2:$V$999,7,0),"")</f>
        <v/>
      </c>
      <c r="H780" s="100"/>
      <c r="I780" s="101"/>
      <c r="J780" s="101"/>
      <c r="K780" s="101"/>
      <c r="L780" s="101"/>
      <c r="M780" s="101"/>
      <c r="N780" s="101"/>
      <c r="O780" s="101"/>
      <c r="P780" s="101"/>
      <c r="Q780" s="101"/>
      <c r="R780" s="101"/>
      <c r="S780" s="101"/>
      <c r="T780" s="101"/>
      <c r="U780" s="101"/>
      <c r="V780" s="101"/>
      <c r="W780" s="101"/>
      <c r="X780" s="101"/>
      <c r="Y780" s="101"/>
      <c r="Z780" s="101"/>
      <c r="AA780" s="101"/>
      <c r="AB780" s="101"/>
    </row>
    <row r="781">
      <c r="A781" s="104" t="s">
        <v>918</v>
      </c>
      <c r="B781" s="105" t="str">
        <f>IFERROR(VLOOKUP(A781,'Salary Calculation'!A780:F1777,2,0),"")</f>
        <v/>
      </c>
      <c r="C781" s="105" t="str">
        <f>IFERROR(VLOOKUP(A781,'Salary Calculation'!$A$2:$V$999,3,0),"")</f>
        <v/>
      </c>
      <c r="D781" s="105" t="str">
        <f>IFERROR(VLOOKUP(A781,'Salary Calculation'!$A$2:$V$999,6,0),"")</f>
        <v/>
      </c>
      <c r="E781" s="105" t="str">
        <f>IFERROR(VLOOKUP(A781,'Salary Calculation'!$A$2:$V$999,10,0),"")</f>
        <v/>
      </c>
      <c r="F781" s="101"/>
      <c r="G781" s="106" t="str">
        <f>IFERROR(VLOOKUP(A781,'Salary Calculation'!$A$2:$V$999,7,0),"")</f>
        <v/>
      </c>
      <c r="H781" s="100"/>
      <c r="I781" s="101"/>
      <c r="J781" s="101"/>
      <c r="K781" s="101"/>
      <c r="L781" s="101"/>
      <c r="M781" s="101"/>
      <c r="N781" s="101"/>
      <c r="O781" s="101"/>
      <c r="P781" s="101"/>
      <c r="Q781" s="101"/>
      <c r="R781" s="101"/>
      <c r="S781" s="101"/>
      <c r="T781" s="101"/>
      <c r="U781" s="101"/>
      <c r="V781" s="101"/>
      <c r="W781" s="101"/>
      <c r="X781" s="101"/>
      <c r="Y781" s="101"/>
      <c r="Z781" s="101"/>
      <c r="AA781" s="101"/>
      <c r="AB781" s="101"/>
    </row>
    <row r="782">
      <c r="A782" s="104" t="s">
        <v>919</v>
      </c>
      <c r="B782" s="105" t="str">
        <f>IFERROR(VLOOKUP(A782,'Salary Calculation'!A781:F1778,2,0),"")</f>
        <v/>
      </c>
      <c r="C782" s="105" t="str">
        <f>IFERROR(VLOOKUP(A782,'Salary Calculation'!$A$2:$V$999,3,0),"")</f>
        <v/>
      </c>
      <c r="D782" s="105" t="str">
        <f>IFERROR(VLOOKUP(A782,'Salary Calculation'!$A$2:$V$999,6,0),"")</f>
        <v/>
      </c>
      <c r="E782" s="105" t="str">
        <f>IFERROR(VLOOKUP(A782,'Salary Calculation'!$A$2:$V$999,10,0),"")</f>
        <v/>
      </c>
      <c r="F782" s="101"/>
      <c r="G782" s="106" t="str">
        <f>IFERROR(VLOOKUP(A782,'Salary Calculation'!$A$2:$V$999,7,0),"")</f>
        <v/>
      </c>
      <c r="H782" s="100"/>
      <c r="I782" s="101"/>
      <c r="J782" s="101"/>
      <c r="K782" s="101"/>
      <c r="L782" s="101"/>
      <c r="M782" s="101"/>
      <c r="N782" s="101"/>
      <c r="O782" s="101"/>
      <c r="P782" s="101"/>
      <c r="Q782" s="101"/>
      <c r="R782" s="101"/>
      <c r="S782" s="101"/>
      <c r="T782" s="101"/>
      <c r="U782" s="101"/>
      <c r="V782" s="101"/>
      <c r="W782" s="101"/>
      <c r="X782" s="101"/>
      <c r="Y782" s="101"/>
      <c r="Z782" s="101"/>
      <c r="AA782" s="101"/>
      <c r="AB782" s="101"/>
    </row>
    <row r="783">
      <c r="A783" s="104" t="s">
        <v>920</v>
      </c>
      <c r="B783" s="105" t="str">
        <f>IFERROR(VLOOKUP(A783,'Salary Calculation'!A782:F1779,2,0),"")</f>
        <v/>
      </c>
      <c r="C783" s="105" t="str">
        <f>IFERROR(VLOOKUP(A783,'Salary Calculation'!$A$2:$V$999,3,0),"")</f>
        <v/>
      </c>
      <c r="D783" s="105" t="str">
        <f>IFERROR(VLOOKUP(A783,'Salary Calculation'!$A$2:$V$999,6,0),"")</f>
        <v/>
      </c>
      <c r="E783" s="105" t="str">
        <f>IFERROR(VLOOKUP(A783,'Salary Calculation'!$A$2:$V$999,10,0),"")</f>
        <v/>
      </c>
      <c r="F783" s="101"/>
      <c r="G783" s="106" t="str">
        <f>IFERROR(VLOOKUP(A783,'Salary Calculation'!$A$2:$V$999,7,0),"")</f>
        <v/>
      </c>
      <c r="H783" s="100"/>
      <c r="I783" s="101"/>
      <c r="J783" s="101"/>
      <c r="K783" s="101"/>
      <c r="L783" s="101"/>
      <c r="M783" s="101"/>
      <c r="N783" s="101"/>
      <c r="O783" s="101"/>
      <c r="P783" s="101"/>
      <c r="Q783" s="101"/>
      <c r="R783" s="101"/>
      <c r="S783" s="101"/>
      <c r="T783" s="101"/>
      <c r="U783" s="101"/>
      <c r="V783" s="101"/>
      <c r="W783" s="101"/>
      <c r="X783" s="101"/>
      <c r="Y783" s="101"/>
      <c r="Z783" s="101"/>
      <c r="AA783" s="101"/>
      <c r="AB783" s="101"/>
    </row>
    <row r="784">
      <c r="A784" s="104" t="s">
        <v>921</v>
      </c>
      <c r="B784" s="105" t="str">
        <f>IFERROR(VLOOKUP(A784,'Salary Calculation'!A783:F1780,2,0),"")</f>
        <v/>
      </c>
      <c r="C784" s="105" t="str">
        <f>IFERROR(VLOOKUP(A784,'Salary Calculation'!$A$2:$V$999,3,0),"")</f>
        <v/>
      </c>
      <c r="D784" s="105" t="str">
        <f>IFERROR(VLOOKUP(A784,'Salary Calculation'!$A$2:$V$999,6,0),"")</f>
        <v/>
      </c>
      <c r="E784" s="105" t="str">
        <f>IFERROR(VLOOKUP(A784,'Salary Calculation'!$A$2:$V$999,10,0),"")</f>
        <v/>
      </c>
      <c r="F784" s="101"/>
      <c r="G784" s="106" t="str">
        <f>IFERROR(VLOOKUP(A784,'Salary Calculation'!$A$2:$V$999,7,0),"")</f>
        <v/>
      </c>
      <c r="H784" s="100"/>
      <c r="I784" s="101"/>
      <c r="J784" s="101"/>
      <c r="K784" s="101"/>
      <c r="L784" s="101"/>
      <c r="M784" s="101"/>
      <c r="N784" s="101"/>
      <c r="O784" s="101"/>
      <c r="P784" s="101"/>
      <c r="Q784" s="101"/>
      <c r="R784" s="101"/>
      <c r="S784" s="101"/>
      <c r="T784" s="101"/>
      <c r="U784" s="101"/>
      <c r="V784" s="101"/>
      <c r="W784" s="101"/>
      <c r="X784" s="101"/>
      <c r="Y784" s="101"/>
      <c r="Z784" s="101"/>
      <c r="AA784" s="101"/>
      <c r="AB784" s="101"/>
    </row>
    <row r="785">
      <c r="A785" s="104" t="s">
        <v>922</v>
      </c>
      <c r="B785" s="105" t="str">
        <f>IFERROR(VLOOKUP(A785,'Salary Calculation'!A784:F1781,2,0),"")</f>
        <v/>
      </c>
      <c r="C785" s="105" t="str">
        <f>IFERROR(VLOOKUP(A785,'Salary Calculation'!$A$2:$V$999,3,0),"")</f>
        <v/>
      </c>
      <c r="D785" s="105" t="str">
        <f>IFERROR(VLOOKUP(A785,'Salary Calculation'!$A$2:$V$999,6,0),"")</f>
        <v/>
      </c>
      <c r="E785" s="105" t="str">
        <f>IFERROR(VLOOKUP(A785,'Salary Calculation'!$A$2:$V$999,10,0),"")</f>
        <v/>
      </c>
      <c r="F785" s="101"/>
      <c r="G785" s="106" t="str">
        <f>IFERROR(VLOOKUP(A785,'Salary Calculation'!$A$2:$V$999,7,0),"")</f>
        <v/>
      </c>
      <c r="H785" s="100"/>
      <c r="I785" s="101"/>
      <c r="J785" s="101"/>
      <c r="K785" s="101"/>
      <c r="L785" s="101"/>
      <c r="M785" s="101"/>
      <c r="N785" s="101"/>
      <c r="O785" s="101"/>
      <c r="P785" s="101"/>
      <c r="Q785" s="101"/>
      <c r="R785" s="101"/>
      <c r="S785" s="101"/>
      <c r="T785" s="101"/>
      <c r="U785" s="101"/>
      <c r="V785" s="101"/>
      <c r="W785" s="101"/>
      <c r="X785" s="101"/>
      <c r="Y785" s="101"/>
      <c r="Z785" s="101"/>
      <c r="AA785" s="101"/>
      <c r="AB785" s="101"/>
    </row>
    <row r="786">
      <c r="A786" s="104" t="s">
        <v>923</v>
      </c>
      <c r="B786" s="105" t="str">
        <f>IFERROR(VLOOKUP(A786,'Salary Calculation'!A785:F1782,2,0),"")</f>
        <v/>
      </c>
      <c r="C786" s="105" t="str">
        <f>IFERROR(VLOOKUP(A786,'Salary Calculation'!$A$2:$V$999,3,0),"")</f>
        <v/>
      </c>
      <c r="D786" s="105" t="str">
        <f>IFERROR(VLOOKUP(A786,'Salary Calculation'!$A$2:$V$999,6,0),"")</f>
        <v/>
      </c>
      <c r="E786" s="105" t="str">
        <f>IFERROR(VLOOKUP(A786,'Salary Calculation'!$A$2:$V$999,10,0),"")</f>
        <v/>
      </c>
      <c r="F786" s="101"/>
      <c r="G786" s="106" t="str">
        <f>IFERROR(VLOOKUP(A786,'Salary Calculation'!$A$2:$V$999,7,0),"")</f>
        <v/>
      </c>
      <c r="H786" s="100"/>
      <c r="I786" s="101"/>
      <c r="J786" s="101"/>
      <c r="K786" s="101"/>
      <c r="L786" s="101"/>
      <c r="M786" s="101"/>
      <c r="N786" s="101"/>
      <c r="O786" s="101"/>
      <c r="P786" s="101"/>
      <c r="Q786" s="101"/>
      <c r="R786" s="101"/>
      <c r="S786" s="101"/>
      <c r="T786" s="101"/>
      <c r="U786" s="101"/>
      <c r="V786" s="101"/>
      <c r="W786" s="101"/>
      <c r="X786" s="101"/>
      <c r="Y786" s="101"/>
      <c r="Z786" s="101"/>
      <c r="AA786" s="101"/>
      <c r="AB786" s="101"/>
    </row>
    <row r="787">
      <c r="A787" s="104" t="s">
        <v>924</v>
      </c>
      <c r="B787" s="105" t="str">
        <f>IFERROR(VLOOKUP(A787,'Salary Calculation'!A786:F1783,2,0),"")</f>
        <v/>
      </c>
      <c r="C787" s="105" t="str">
        <f>IFERROR(VLOOKUP(A787,'Salary Calculation'!$A$2:$V$999,3,0),"")</f>
        <v/>
      </c>
      <c r="D787" s="105" t="str">
        <f>IFERROR(VLOOKUP(A787,'Salary Calculation'!$A$2:$V$999,6,0),"")</f>
        <v/>
      </c>
      <c r="E787" s="105" t="str">
        <f>IFERROR(VLOOKUP(A787,'Salary Calculation'!$A$2:$V$999,10,0),"")</f>
        <v/>
      </c>
      <c r="F787" s="101"/>
      <c r="G787" s="106" t="str">
        <f>IFERROR(VLOOKUP(A787,'Salary Calculation'!$A$2:$V$999,7,0),"")</f>
        <v/>
      </c>
      <c r="H787" s="100"/>
      <c r="I787" s="101"/>
      <c r="J787" s="101"/>
      <c r="K787" s="101"/>
      <c r="L787" s="101"/>
      <c r="M787" s="101"/>
      <c r="N787" s="101"/>
      <c r="O787" s="101"/>
      <c r="P787" s="101"/>
      <c r="Q787" s="101"/>
      <c r="R787" s="101"/>
      <c r="S787" s="101"/>
      <c r="T787" s="101"/>
      <c r="U787" s="101"/>
      <c r="V787" s="101"/>
      <c r="W787" s="101"/>
      <c r="X787" s="101"/>
      <c r="Y787" s="101"/>
      <c r="Z787" s="101"/>
      <c r="AA787" s="101"/>
      <c r="AB787" s="101"/>
    </row>
    <row r="788">
      <c r="A788" s="104" t="s">
        <v>925</v>
      </c>
      <c r="B788" s="105" t="str">
        <f>IFERROR(VLOOKUP(A788,'Salary Calculation'!A787:F1784,2,0),"")</f>
        <v/>
      </c>
      <c r="C788" s="105" t="str">
        <f>IFERROR(VLOOKUP(A788,'Salary Calculation'!$A$2:$V$999,3,0),"")</f>
        <v/>
      </c>
      <c r="D788" s="105" t="str">
        <f>IFERROR(VLOOKUP(A788,'Salary Calculation'!$A$2:$V$999,6,0),"")</f>
        <v/>
      </c>
      <c r="E788" s="105" t="str">
        <f>IFERROR(VLOOKUP(A788,'Salary Calculation'!$A$2:$V$999,10,0),"")</f>
        <v/>
      </c>
      <c r="F788" s="101"/>
      <c r="G788" s="106" t="str">
        <f>IFERROR(VLOOKUP(A788,'Salary Calculation'!$A$2:$V$999,7,0),"")</f>
        <v/>
      </c>
      <c r="H788" s="100"/>
      <c r="I788" s="101"/>
      <c r="J788" s="101"/>
      <c r="K788" s="101"/>
      <c r="L788" s="101"/>
      <c r="M788" s="101"/>
      <c r="N788" s="101"/>
      <c r="O788" s="101"/>
      <c r="P788" s="101"/>
      <c r="Q788" s="101"/>
      <c r="R788" s="101"/>
      <c r="S788" s="101"/>
      <c r="T788" s="101"/>
      <c r="U788" s="101"/>
      <c r="V788" s="101"/>
      <c r="W788" s="101"/>
      <c r="X788" s="101"/>
      <c r="Y788" s="101"/>
      <c r="Z788" s="101"/>
      <c r="AA788" s="101"/>
      <c r="AB788" s="101"/>
    </row>
    <row r="789">
      <c r="A789" s="104" t="s">
        <v>926</v>
      </c>
      <c r="B789" s="105" t="str">
        <f>IFERROR(VLOOKUP(A789,'Salary Calculation'!A788:F1785,2,0),"")</f>
        <v/>
      </c>
      <c r="C789" s="105" t="str">
        <f>IFERROR(VLOOKUP(A789,'Salary Calculation'!$A$2:$V$999,3,0),"")</f>
        <v/>
      </c>
      <c r="D789" s="105" t="str">
        <f>IFERROR(VLOOKUP(A789,'Salary Calculation'!$A$2:$V$999,6,0),"")</f>
        <v/>
      </c>
      <c r="E789" s="105" t="str">
        <f>IFERROR(VLOOKUP(A789,'Salary Calculation'!$A$2:$V$999,10,0),"")</f>
        <v/>
      </c>
      <c r="F789" s="101"/>
      <c r="G789" s="106" t="str">
        <f>IFERROR(VLOOKUP(A789,'Salary Calculation'!$A$2:$V$999,7,0),"")</f>
        <v/>
      </c>
      <c r="H789" s="100"/>
      <c r="I789" s="101"/>
      <c r="J789" s="101"/>
      <c r="K789" s="101"/>
      <c r="L789" s="101"/>
      <c r="M789" s="101"/>
      <c r="N789" s="101"/>
      <c r="O789" s="101"/>
      <c r="P789" s="101"/>
      <c r="Q789" s="101"/>
      <c r="R789" s="101"/>
      <c r="S789" s="101"/>
      <c r="T789" s="101"/>
      <c r="U789" s="101"/>
      <c r="V789" s="101"/>
      <c r="W789" s="101"/>
      <c r="X789" s="101"/>
      <c r="Y789" s="101"/>
      <c r="Z789" s="101"/>
      <c r="AA789" s="101"/>
      <c r="AB789" s="101"/>
    </row>
    <row r="790">
      <c r="A790" s="104" t="s">
        <v>927</v>
      </c>
      <c r="B790" s="105" t="str">
        <f>IFERROR(VLOOKUP(A790,'Salary Calculation'!A789:F1786,2,0),"")</f>
        <v/>
      </c>
      <c r="C790" s="105" t="str">
        <f>IFERROR(VLOOKUP(A790,'Salary Calculation'!$A$2:$V$999,3,0),"")</f>
        <v/>
      </c>
      <c r="D790" s="105" t="str">
        <f>IFERROR(VLOOKUP(A790,'Salary Calculation'!$A$2:$V$999,6,0),"")</f>
        <v/>
      </c>
      <c r="E790" s="105" t="str">
        <f>IFERROR(VLOOKUP(A790,'Salary Calculation'!$A$2:$V$999,10,0),"")</f>
        <v/>
      </c>
      <c r="F790" s="101"/>
      <c r="G790" s="106" t="str">
        <f>IFERROR(VLOOKUP(A790,'Salary Calculation'!$A$2:$V$999,7,0),"")</f>
        <v/>
      </c>
      <c r="H790" s="100"/>
      <c r="I790" s="101"/>
      <c r="J790" s="101"/>
      <c r="K790" s="101"/>
      <c r="L790" s="101"/>
      <c r="M790" s="101"/>
      <c r="N790" s="101"/>
      <c r="O790" s="101"/>
      <c r="P790" s="101"/>
      <c r="Q790" s="101"/>
      <c r="R790" s="101"/>
      <c r="S790" s="101"/>
      <c r="T790" s="101"/>
      <c r="U790" s="101"/>
      <c r="V790" s="101"/>
      <c r="W790" s="101"/>
      <c r="X790" s="101"/>
      <c r="Y790" s="101"/>
      <c r="Z790" s="101"/>
      <c r="AA790" s="101"/>
      <c r="AB790" s="101"/>
    </row>
    <row r="791">
      <c r="A791" s="104" t="s">
        <v>928</v>
      </c>
      <c r="B791" s="105" t="str">
        <f>IFERROR(VLOOKUP(A791,'Salary Calculation'!A790:F1787,2,0),"")</f>
        <v/>
      </c>
      <c r="C791" s="105" t="str">
        <f>IFERROR(VLOOKUP(A791,'Salary Calculation'!$A$2:$V$999,3,0),"")</f>
        <v/>
      </c>
      <c r="D791" s="105" t="str">
        <f>IFERROR(VLOOKUP(A791,'Salary Calculation'!$A$2:$V$999,6,0),"")</f>
        <v/>
      </c>
      <c r="E791" s="105" t="str">
        <f>IFERROR(VLOOKUP(A791,'Salary Calculation'!$A$2:$V$999,10,0),"")</f>
        <v/>
      </c>
      <c r="F791" s="101"/>
      <c r="G791" s="106" t="str">
        <f>IFERROR(VLOOKUP(A791,'Salary Calculation'!$A$2:$V$999,7,0),"")</f>
        <v/>
      </c>
      <c r="H791" s="100"/>
      <c r="I791" s="101"/>
      <c r="J791" s="101"/>
      <c r="K791" s="101"/>
      <c r="L791" s="101"/>
      <c r="M791" s="101"/>
      <c r="N791" s="101"/>
      <c r="O791" s="101"/>
      <c r="P791" s="101"/>
      <c r="Q791" s="101"/>
      <c r="R791" s="101"/>
      <c r="S791" s="101"/>
      <c r="T791" s="101"/>
      <c r="U791" s="101"/>
      <c r="V791" s="101"/>
      <c r="W791" s="101"/>
      <c r="X791" s="101"/>
      <c r="Y791" s="101"/>
      <c r="Z791" s="101"/>
      <c r="AA791" s="101"/>
      <c r="AB791" s="101"/>
    </row>
    <row r="792">
      <c r="A792" s="104" t="s">
        <v>929</v>
      </c>
      <c r="B792" s="105" t="str">
        <f>IFERROR(VLOOKUP(A792,'Salary Calculation'!A791:F1788,2,0),"")</f>
        <v/>
      </c>
      <c r="C792" s="105" t="str">
        <f>IFERROR(VLOOKUP(A792,'Salary Calculation'!$A$2:$V$999,3,0),"")</f>
        <v/>
      </c>
      <c r="D792" s="105" t="str">
        <f>IFERROR(VLOOKUP(A792,'Salary Calculation'!$A$2:$V$999,6,0),"")</f>
        <v/>
      </c>
      <c r="E792" s="105" t="str">
        <f>IFERROR(VLOOKUP(A792,'Salary Calculation'!$A$2:$V$999,10,0),"")</f>
        <v/>
      </c>
      <c r="F792" s="101"/>
      <c r="G792" s="106" t="str">
        <f>IFERROR(VLOOKUP(A792,'Salary Calculation'!$A$2:$V$999,7,0),"")</f>
        <v/>
      </c>
      <c r="H792" s="100"/>
      <c r="I792" s="101"/>
      <c r="J792" s="101"/>
      <c r="K792" s="101"/>
      <c r="L792" s="101"/>
      <c r="M792" s="101"/>
      <c r="N792" s="101"/>
      <c r="O792" s="101"/>
      <c r="P792" s="101"/>
      <c r="Q792" s="101"/>
      <c r="R792" s="101"/>
      <c r="S792" s="101"/>
      <c r="T792" s="101"/>
      <c r="U792" s="101"/>
      <c r="V792" s="101"/>
      <c r="W792" s="101"/>
      <c r="X792" s="101"/>
      <c r="Y792" s="101"/>
      <c r="Z792" s="101"/>
      <c r="AA792" s="101"/>
      <c r="AB792" s="101"/>
    </row>
    <row r="793">
      <c r="A793" s="104" t="s">
        <v>930</v>
      </c>
      <c r="B793" s="105" t="str">
        <f>IFERROR(VLOOKUP(A793,'Salary Calculation'!A792:F1789,2,0),"")</f>
        <v/>
      </c>
      <c r="C793" s="105" t="str">
        <f>IFERROR(VLOOKUP(A793,'Salary Calculation'!$A$2:$V$999,3,0),"")</f>
        <v/>
      </c>
      <c r="D793" s="105" t="str">
        <f>IFERROR(VLOOKUP(A793,'Salary Calculation'!$A$2:$V$999,6,0),"")</f>
        <v/>
      </c>
      <c r="E793" s="105" t="str">
        <f>IFERROR(VLOOKUP(A793,'Salary Calculation'!$A$2:$V$999,10,0),"")</f>
        <v/>
      </c>
      <c r="F793" s="101"/>
      <c r="G793" s="106" t="str">
        <f>IFERROR(VLOOKUP(A793,'Salary Calculation'!$A$2:$V$999,7,0),"")</f>
        <v/>
      </c>
      <c r="H793" s="100"/>
      <c r="I793" s="101"/>
      <c r="J793" s="101"/>
      <c r="K793" s="101"/>
      <c r="L793" s="101"/>
      <c r="M793" s="101"/>
      <c r="N793" s="101"/>
      <c r="O793" s="101"/>
      <c r="P793" s="101"/>
      <c r="Q793" s="101"/>
      <c r="R793" s="101"/>
      <c r="S793" s="101"/>
      <c r="T793" s="101"/>
      <c r="U793" s="101"/>
      <c r="V793" s="101"/>
      <c r="W793" s="101"/>
      <c r="X793" s="101"/>
      <c r="Y793" s="101"/>
      <c r="Z793" s="101"/>
      <c r="AA793" s="101"/>
      <c r="AB793" s="101"/>
    </row>
    <row r="794">
      <c r="A794" s="104" t="s">
        <v>931</v>
      </c>
      <c r="B794" s="105" t="str">
        <f>IFERROR(VLOOKUP(A794,'Salary Calculation'!A793:F1790,2,0),"")</f>
        <v/>
      </c>
      <c r="C794" s="105" t="str">
        <f>IFERROR(VLOOKUP(A794,'Salary Calculation'!$A$2:$V$999,3,0),"")</f>
        <v/>
      </c>
      <c r="D794" s="105" t="str">
        <f>IFERROR(VLOOKUP(A794,'Salary Calculation'!$A$2:$V$999,6,0),"")</f>
        <v/>
      </c>
      <c r="E794" s="105" t="str">
        <f>IFERROR(VLOOKUP(A794,'Salary Calculation'!$A$2:$V$999,10,0),"")</f>
        <v/>
      </c>
      <c r="F794" s="101"/>
      <c r="G794" s="106" t="str">
        <f>IFERROR(VLOOKUP(A794,'Salary Calculation'!$A$2:$V$999,7,0),"")</f>
        <v/>
      </c>
      <c r="H794" s="100"/>
      <c r="I794" s="101"/>
      <c r="J794" s="101"/>
      <c r="K794" s="101"/>
      <c r="L794" s="101"/>
      <c r="M794" s="101"/>
      <c r="N794" s="101"/>
      <c r="O794" s="101"/>
      <c r="P794" s="101"/>
      <c r="Q794" s="101"/>
      <c r="R794" s="101"/>
      <c r="S794" s="101"/>
      <c r="T794" s="101"/>
      <c r="U794" s="101"/>
      <c r="V794" s="101"/>
      <c r="W794" s="101"/>
      <c r="X794" s="101"/>
      <c r="Y794" s="101"/>
      <c r="Z794" s="101"/>
      <c r="AA794" s="101"/>
      <c r="AB794" s="101"/>
    </row>
    <row r="795">
      <c r="A795" s="104" t="s">
        <v>932</v>
      </c>
      <c r="B795" s="105" t="str">
        <f>IFERROR(VLOOKUP(A795,'Salary Calculation'!A794:F1791,2,0),"")</f>
        <v/>
      </c>
      <c r="C795" s="105" t="str">
        <f>IFERROR(VLOOKUP(A795,'Salary Calculation'!$A$2:$V$999,3,0),"")</f>
        <v/>
      </c>
      <c r="D795" s="105" t="str">
        <f>IFERROR(VLOOKUP(A795,'Salary Calculation'!$A$2:$V$999,6,0),"")</f>
        <v/>
      </c>
      <c r="E795" s="105" t="str">
        <f>IFERROR(VLOOKUP(A795,'Salary Calculation'!$A$2:$V$999,10,0),"")</f>
        <v/>
      </c>
      <c r="F795" s="101"/>
      <c r="G795" s="106" t="str">
        <f>IFERROR(VLOOKUP(A795,'Salary Calculation'!$A$2:$V$999,7,0),"")</f>
        <v/>
      </c>
      <c r="H795" s="100"/>
      <c r="I795" s="101"/>
      <c r="J795" s="101"/>
      <c r="K795" s="101"/>
      <c r="L795" s="101"/>
      <c r="M795" s="101"/>
      <c r="N795" s="101"/>
      <c r="O795" s="101"/>
      <c r="P795" s="101"/>
      <c r="Q795" s="101"/>
      <c r="R795" s="101"/>
      <c r="S795" s="101"/>
      <c r="T795" s="101"/>
      <c r="U795" s="101"/>
      <c r="V795" s="101"/>
      <c r="W795" s="101"/>
      <c r="X795" s="101"/>
      <c r="Y795" s="101"/>
      <c r="Z795" s="101"/>
      <c r="AA795" s="101"/>
      <c r="AB795" s="101"/>
    </row>
    <row r="796">
      <c r="A796" s="104" t="s">
        <v>933</v>
      </c>
      <c r="B796" s="105" t="str">
        <f>IFERROR(VLOOKUP(A796,'Salary Calculation'!A795:F1792,2,0),"")</f>
        <v/>
      </c>
      <c r="C796" s="105" t="str">
        <f>IFERROR(VLOOKUP(A796,'Salary Calculation'!$A$2:$V$999,3,0),"")</f>
        <v/>
      </c>
      <c r="D796" s="105" t="str">
        <f>IFERROR(VLOOKUP(A796,'Salary Calculation'!$A$2:$V$999,6,0),"")</f>
        <v/>
      </c>
      <c r="E796" s="105" t="str">
        <f>IFERROR(VLOOKUP(A796,'Salary Calculation'!$A$2:$V$999,10,0),"")</f>
        <v/>
      </c>
      <c r="F796" s="101"/>
      <c r="G796" s="106" t="str">
        <f>IFERROR(VLOOKUP(A796,'Salary Calculation'!$A$2:$V$999,7,0),"")</f>
        <v/>
      </c>
      <c r="H796" s="100"/>
      <c r="I796" s="101"/>
      <c r="J796" s="101"/>
      <c r="K796" s="101"/>
      <c r="L796" s="101"/>
      <c r="M796" s="101"/>
      <c r="N796" s="101"/>
      <c r="O796" s="101"/>
      <c r="P796" s="101"/>
      <c r="Q796" s="101"/>
      <c r="R796" s="101"/>
      <c r="S796" s="101"/>
      <c r="T796" s="101"/>
      <c r="U796" s="101"/>
      <c r="V796" s="101"/>
      <c r="W796" s="101"/>
      <c r="X796" s="101"/>
      <c r="Y796" s="101"/>
      <c r="Z796" s="101"/>
      <c r="AA796" s="101"/>
      <c r="AB796" s="101"/>
    </row>
    <row r="797">
      <c r="A797" s="104" t="s">
        <v>934</v>
      </c>
      <c r="B797" s="105" t="str">
        <f>IFERROR(VLOOKUP(A797,'Salary Calculation'!A796:F1793,2,0),"")</f>
        <v/>
      </c>
      <c r="C797" s="105" t="str">
        <f>IFERROR(VLOOKUP(A797,'Salary Calculation'!$A$2:$V$999,3,0),"")</f>
        <v/>
      </c>
      <c r="D797" s="105" t="str">
        <f>IFERROR(VLOOKUP(A797,'Salary Calculation'!$A$2:$V$999,6,0),"")</f>
        <v/>
      </c>
      <c r="E797" s="105" t="str">
        <f>IFERROR(VLOOKUP(A797,'Salary Calculation'!$A$2:$V$999,10,0),"")</f>
        <v/>
      </c>
      <c r="F797" s="101"/>
      <c r="G797" s="106" t="str">
        <f>IFERROR(VLOOKUP(A797,'Salary Calculation'!$A$2:$V$999,7,0),"")</f>
        <v/>
      </c>
      <c r="H797" s="100"/>
      <c r="I797" s="101"/>
      <c r="J797" s="101"/>
      <c r="K797" s="101"/>
      <c r="L797" s="101"/>
      <c r="M797" s="101"/>
      <c r="N797" s="101"/>
      <c r="O797" s="101"/>
      <c r="P797" s="101"/>
      <c r="Q797" s="101"/>
      <c r="R797" s="101"/>
      <c r="S797" s="101"/>
      <c r="T797" s="101"/>
      <c r="U797" s="101"/>
      <c r="V797" s="101"/>
      <c r="W797" s="101"/>
      <c r="X797" s="101"/>
      <c r="Y797" s="101"/>
      <c r="Z797" s="101"/>
      <c r="AA797" s="101"/>
      <c r="AB797" s="101"/>
    </row>
    <row r="798">
      <c r="A798" s="104" t="s">
        <v>935</v>
      </c>
      <c r="B798" s="105" t="str">
        <f>IFERROR(VLOOKUP(A798,'Salary Calculation'!A797:F1794,2,0),"")</f>
        <v/>
      </c>
      <c r="C798" s="105" t="str">
        <f>IFERROR(VLOOKUP(A798,'Salary Calculation'!$A$2:$V$999,3,0),"")</f>
        <v/>
      </c>
      <c r="D798" s="105" t="str">
        <f>IFERROR(VLOOKUP(A798,'Salary Calculation'!$A$2:$V$999,6,0),"")</f>
        <v/>
      </c>
      <c r="E798" s="105" t="str">
        <f>IFERROR(VLOOKUP(A798,'Salary Calculation'!$A$2:$V$999,10,0),"")</f>
        <v/>
      </c>
      <c r="F798" s="101"/>
      <c r="G798" s="106" t="str">
        <f>IFERROR(VLOOKUP(A798,'Salary Calculation'!$A$2:$V$999,7,0),"")</f>
        <v/>
      </c>
      <c r="H798" s="100"/>
      <c r="I798" s="101"/>
      <c r="J798" s="101"/>
      <c r="K798" s="101"/>
      <c r="L798" s="101"/>
      <c r="M798" s="101"/>
      <c r="N798" s="101"/>
      <c r="O798" s="101"/>
      <c r="P798" s="101"/>
      <c r="Q798" s="101"/>
      <c r="R798" s="101"/>
      <c r="S798" s="101"/>
      <c r="T798" s="101"/>
      <c r="U798" s="101"/>
      <c r="V798" s="101"/>
      <c r="W798" s="101"/>
      <c r="X798" s="101"/>
      <c r="Y798" s="101"/>
      <c r="Z798" s="101"/>
      <c r="AA798" s="101"/>
      <c r="AB798" s="101"/>
    </row>
    <row r="799">
      <c r="A799" s="104" t="s">
        <v>936</v>
      </c>
      <c r="B799" s="105" t="str">
        <f>IFERROR(VLOOKUP(A799,'Salary Calculation'!A798:F1795,2,0),"")</f>
        <v/>
      </c>
      <c r="C799" s="105" t="str">
        <f>IFERROR(VLOOKUP(A799,'Salary Calculation'!$A$2:$V$999,3,0),"")</f>
        <v/>
      </c>
      <c r="D799" s="105" t="str">
        <f>IFERROR(VLOOKUP(A799,'Salary Calculation'!$A$2:$V$999,6,0),"")</f>
        <v/>
      </c>
      <c r="E799" s="105" t="str">
        <f>IFERROR(VLOOKUP(A799,'Salary Calculation'!$A$2:$V$999,10,0),"")</f>
        <v/>
      </c>
      <c r="F799" s="101"/>
      <c r="G799" s="106" t="str">
        <f>IFERROR(VLOOKUP(A799,'Salary Calculation'!$A$2:$V$999,7,0),"")</f>
        <v/>
      </c>
      <c r="H799" s="100"/>
      <c r="I799" s="101"/>
      <c r="J799" s="101"/>
      <c r="K799" s="101"/>
      <c r="L799" s="101"/>
      <c r="M799" s="101"/>
      <c r="N799" s="101"/>
      <c r="O799" s="101"/>
      <c r="P799" s="101"/>
      <c r="Q799" s="101"/>
      <c r="R799" s="101"/>
      <c r="S799" s="101"/>
      <c r="T799" s="101"/>
      <c r="U799" s="101"/>
      <c r="V799" s="101"/>
      <c r="W799" s="101"/>
      <c r="X799" s="101"/>
      <c r="Y799" s="101"/>
      <c r="Z799" s="101"/>
      <c r="AA799" s="101"/>
      <c r="AB799" s="101"/>
    </row>
    <row r="800">
      <c r="A800" s="104" t="s">
        <v>937</v>
      </c>
      <c r="B800" s="105" t="str">
        <f>IFERROR(VLOOKUP(A800,'Salary Calculation'!A799:F1796,2,0),"")</f>
        <v/>
      </c>
      <c r="C800" s="105" t="str">
        <f>IFERROR(VLOOKUP(A800,'Salary Calculation'!$A$2:$V$999,3,0),"")</f>
        <v/>
      </c>
      <c r="D800" s="105" t="str">
        <f>IFERROR(VLOOKUP(A800,'Salary Calculation'!$A$2:$V$999,6,0),"")</f>
        <v/>
      </c>
      <c r="E800" s="105" t="str">
        <f>IFERROR(VLOOKUP(A800,'Salary Calculation'!$A$2:$V$999,10,0),"")</f>
        <v/>
      </c>
      <c r="F800" s="101"/>
      <c r="G800" s="106" t="str">
        <f>IFERROR(VLOOKUP(A800,'Salary Calculation'!$A$2:$V$999,7,0),"")</f>
        <v/>
      </c>
      <c r="H800" s="100"/>
      <c r="I800" s="101"/>
      <c r="J800" s="101"/>
      <c r="K800" s="101"/>
      <c r="L800" s="101"/>
      <c r="M800" s="101"/>
      <c r="N800" s="101"/>
      <c r="O800" s="101"/>
      <c r="P800" s="101"/>
      <c r="Q800" s="101"/>
      <c r="R800" s="101"/>
      <c r="S800" s="101"/>
      <c r="T800" s="101"/>
      <c r="U800" s="101"/>
      <c r="V800" s="101"/>
      <c r="W800" s="101"/>
      <c r="X800" s="101"/>
      <c r="Y800" s="101"/>
      <c r="Z800" s="101"/>
      <c r="AA800" s="101"/>
      <c r="AB800" s="101"/>
    </row>
    <row r="801">
      <c r="A801" s="104" t="s">
        <v>938</v>
      </c>
      <c r="B801" s="105" t="str">
        <f>IFERROR(VLOOKUP(A801,'Salary Calculation'!A800:F1797,2,0),"")</f>
        <v/>
      </c>
      <c r="C801" s="105" t="str">
        <f>IFERROR(VLOOKUP(A801,'Salary Calculation'!$A$2:$V$999,3,0),"")</f>
        <v/>
      </c>
      <c r="D801" s="105" t="str">
        <f>IFERROR(VLOOKUP(A801,'Salary Calculation'!$A$2:$V$999,6,0),"")</f>
        <v/>
      </c>
      <c r="E801" s="105" t="str">
        <f>IFERROR(VLOOKUP(A801,'Salary Calculation'!$A$2:$V$999,10,0),"")</f>
        <v/>
      </c>
      <c r="F801" s="101"/>
      <c r="G801" s="106" t="str">
        <f>IFERROR(VLOOKUP(A801,'Salary Calculation'!$A$2:$V$999,7,0),"")</f>
        <v/>
      </c>
      <c r="H801" s="100"/>
      <c r="I801" s="101"/>
      <c r="J801" s="101"/>
      <c r="K801" s="101"/>
      <c r="L801" s="101"/>
      <c r="M801" s="101"/>
      <c r="N801" s="101"/>
      <c r="O801" s="101"/>
      <c r="P801" s="101"/>
      <c r="Q801" s="101"/>
      <c r="R801" s="101"/>
      <c r="S801" s="101"/>
      <c r="T801" s="101"/>
      <c r="U801" s="101"/>
      <c r="V801" s="101"/>
      <c r="W801" s="101"/>
      <c r="X801" s="101"/>
      <c r="Y801" s="101"/>
      <c r="Z801" s="101"/>
      <c r="AA801" s="101"/>
      <c r="AB801" s="101"/>
    </row>
    <row r="802">
      <c r="A802" s="104" t="s">
        <v>939</v>
      </c>
      <c r="B802" s="105" t="str">
        <f>IFERROR(VLOOKUP(A802,'Salary Calculation'!A801:F1798,2,0),"")</f>
        <v/>
      </c>
      <c r="C802" s="105" t="str">
        <f>IFERROR(VLOOKUP(A802,'Salary Calculation'!$A$2:$V$999,3,0),"")</f>
        <v/>
      </c>
      <c r="D802" s="105" t="str">
        <f>IFERROR(VLOOKUP(A802,'Salary Calculation'!$A$2:$V$999,6,0),"")</f>
        <v/>
      </c>
      <c r="E802" s="105" t="str">
        <f>IFERROR(VLOOKUP(A802,'Salary Calculation'!$A$2:$V$999,10,0),"")</f>
        <v/>
      </c>
      <c r="F802" s="101"/>
      <c r="G802" s="106" t="str">
        <f>IFERROR(VLOOKUP(A802,'Salary Calculation'!$A$2:$V$999,7,0),"")</f>
        <v/>
      </c>
      <c r="H802" s="100"/>
      <c r="I802" s="101"/>
      <c r="J802" s="101"/>
      <c r="K802" s="101"/>
      <c r="L802" s="101"/>
      <c r="M802" s="101"/>
      <c r="N802" s="101"/>
      <c r="O802" s="101"/>
      <c r="P802" s="101"/>
      <c r="Q802" s="101"/>
      <c r="R802" s="101"/>
      <c r="S802" s="101"/>
      <c r="T802" s="101"/>
      <c r="U802" s="101"/>
      <c r="V802" s="101"/>
      <c r="W802" s="101"/>
      <c r="X802" s="101"/>
      <c r="Y802" s="101"/>
      <c r="Z802" s="101"/>
      <c r="AA802" s="101"/>
      <c r="AB802" s="101"/>
    </row>
    <row r="803">
      <c r="A803" s="104" t="s">
        <v>940</v>
      </c>
      <c r="B803" s="105" t="str">
        <f>IFERROR(VLOOKUP(A803,'Salary Calculation'!A802:F1799,2,0),"")</f>
        <v/>
      </c>
      <c r="C803" s="105" t="str">
        <f>IFERROR(VLOOKUP(A803,'Salary Calculation'!$A$2:$V$999,3,0),"")</f>
        <v/>
      </c>
      <c r="D803" s="105" t="str">
        <f>IFERROR(VLOOKUP(A803,'Salary Calculation'!$A$2:$V$999,6,0),"")</f>
        <v/>
      </c>
      <c r="E803" s="105" t="str">
        <f>IFERROR(VLOOKUP(A803,'Salary Calculation'!$A$2:$V$999,10,0),"")</f>
        <v/>
      </c>
      <c r="F803" s="101"/>
      <c r="G803" s="106" t="str">
        <f>IFERROR(VLOOKUP(A803,'Salary Calculation'!$A$2:$V$999,7,0),"")</f>
        <v/>
      </c>
      <c r="H803" s="100"/>
      <c r="I803" s="101"/>
      <c r="J803" s="101"/>
      <c r="K803" s="101"/>
      <c r="L803" s="101"/>
      <c r="M803" s="101"/>
      <c r="N803" s="101"/>
      <c r="O803" s="101"/>
      <c r="P803" s="101"/>
      <c r="Q803" s="101"/>
      <c r="R803" s="101"/>
      <c r="S803" s="101"/>
      <c r="T803" s="101"/>
      <c r="U803" s="101"/>
      <c r="V803" s="101"/>
      <c r="W803" s="101"/>
      <c r="X803" s="101"/>
      <c r="Y803" s="101"/>
      <c r="Z803" s="101"/>
      <c r="AA803" s="101"/>
      <c r="AB803" s="101"/>
    </row>
    <row r="804">
      <c r="A804" s="104" t="s">
        <v>941</v>
      </c>
      <c r="B804" s="105" t="str">
        <f>IFERROR(VLOOKUP(A804,'Salary Calculation'!A803:F1800,2,0),"")</f>
        <v/>
      </c>
      <c r="C804" s="105" t="str">
        <f>IFERROR(VLOOKUP(A804,'Salary Calculation'!$A$2:$V$999,3,0),"")</f>
        <v/>
      </c>
      <c r="D804" s="105" t="str">
        <f>IFERROR(VLOOKUP(A804,'Salary Calculation'!$A$2:$V$999,6,0),"")</f>
        <v/>
      </c>
      <c r="E804" s="105" t="str">
        <f>IFERROR(VLOOKUP(A804,'Salary Calculation'!$A$2:$V$999,10,0),"")</f>
        <v/>
      </c>
      <c r="F804" s="101"/>
      <c r="G804" s="106" t="str">
        <f>IFERROR(VLOOKUP(A804,'Salary Calculation'!$A$2:$V$999,7,0),"")</f>
        <v/>
      </c>
      <c r="H804" s="100"/>
      <c r="I804" s="101"/>
      <c r="J804" s="101"/>
      <c r="K804" s="101"/>
      <c r="L804" s="101"/>
      <c r="M804" s="101"/>
      <c r="N804" s="101"/>
      <c r="O804" s="101"/>
      <c r="P804" s="101"/>
      <c r="Q804" s="101"/>
      <c r="R804" s="101"/>
      <c r="S804" s="101"/>
      <c r="T804" s="101"/>
      <c r="U804" s="101"/>
      <c r="V804" s="101"/>
      <c r="W804" s="101"/>
      <c r="X804" s="101"/>
      <c r="Y804" s="101"/>
      <c r="Z804" s="101"/>
      <c r="AA804" s="101"/>
      <c r="AB804" s="101"/>
    </row>
    <row r="805">
      <c r="A805" s="104" t="s">
        <v>942</v>
      </c>
      <c r="B805" s="105" t="str">
        <f>IFERROR(VLOOKUP(A805,'Salary Calculation'!A804:F1801,2,0),"")</f>
        <v/>
      </c>
      <c r="C805" s="105" t="str">
        <f>IFERROR(VLOOKUP(A805,'Salary Calculation'!$A$2:$V$999,3,0),"")</f>
        <v/>
      </c>
      <c r="D805" s="105" t="str">
        <f>IFERROR(VLOOKUP(A805,'Salary Calculation'!$A$2:$V$999,6,0),"")</f>
        <v/>
      </c>
      <c r="E805" s="105" t="str">
        <f>IFERROR(VLOOKUP(A805,'Salary Calculation'!$A$2:$V$999,10,0),"")</f>
        <v/>
      </c>
      <c r="F805" s="101"/>
      <c r="G805" s="106" t="str">
        <f>IFERROR(VLOOKUP(A805,'Salary Calculation'!$A$2:$V$999,7,0),"")</f>
        <v/>
      </c>
      <c r="H805" s="100"/>
      <c r="I805" s="101"/>
      <c r="J805" s="101"/>
      <c r="K805" s="101"/>
      <c r="L805" s="101"/>
      <c r="M805" s="101"/>
      <c r="N805" s="101"/>
      <c r="O805" s="101"/>
      <c r="P805" s="101"/>
      <c r="Q805" s="101"/>
      <c r="R805" s="101"/>
      <c r="S805" s="101"/>
      <c r="T805" s="101"/>
      <c r="U805" s="101"/>
      <c r="V805" s="101"/>
      <c r="W805" s="101"/>
      <c r="X805" s="101"/>
      <c r="Y805" s="101"/>
      <c r="Z805" s="101"/>
      <c r="AA805" s="101"/>
      <c r="AB805" s="101"/>
    </row>
    <row r="806">
      <c r="A806" s="104" t="s">
        <v>943</v>
      </c>
      <c r="B806" s="105" t="str">
        <f>IFERROR(VLOOKUP(A806,'Salary Calculation'!A805:F1802,2,0),"")</f>
        <v/>
      </c>
      <c r="C806" s="105" t="str">
        <f>IFERROR(VLOOKUP(A806,'Salary Calculation'!$A$2:$V$999,3,0),"")</f>
        <v/>
      </c>
      <c r="D806" s="105" t="str">
        <f>IFERROR(VLOOKUP(A806,'Salary Calculation'!$A$2:$V$999,6,0),"")</f>
        <v/>
      </c>
      <c r="E806" s="105" t="str">
        <f>IFERROR(VLOOKUP(A806,'Salary Calculation'!$A$2:$V$999,10,0),"")</f>
        <v/>
      </c>
      <c r="F806" s="101"/>
      <c r="G806" s="106" t="str">
        <f>IFERROR(VLOOKUP(A806,'Salary Calculation'!$A$2:$V$999,7,0),"")</f>
        <v/>
      </c>
      <c r="H806" s="100"/>
      <c r="I806" s="101"/>
      <c r="J806" s="101"/>
      <c r="K806" s="101"/>
      <c r="L806" s="101"/>
      <c r="M806" s="101"/>
      <c r="N806" s="101"/>
      <c r="O806" s="101"/>
      <c r="P806" s="101"/>
      <c r="Q806" s="101"/>
      <c r="R806" s="101"/>
      <c r="S806" s="101"/>
      <c r="T806" s="101"/>
      <c r="U806" s="101"/>
      <c r="V806" s="101"/>
      <c r="W806" s="101"/>
      <c r="X806" s="101"/>
      <c r="Y806" s="101"/>
      <c r="Z806" s="101"/>
      <c r="AA806" s="101"/>
      <c r="AB806" s="101"/>
    </row>
    <row r="807">
      <c r="A807" s="104" t="s">
        <v>944</v>
      </c>
      <c r="B807" s="105" t="str">
        <f>IFERROR(VLOOKUP(A807,'Salary Calculation'!A806:F1803,2,0),"")</f>
        <v/>
      </c>
      <c r="C807" s="105" t="str">
        <f>IFERROR(VLOOKUP(A807,'Salary Calculation'!$A$2:$V$999,3,0),"")</f>
        <v/>
      </c>
      <c r="D807" s="105" t="str">
        <f>IFERROR(VLOOKUP(A807,'Salary Calculation'!$A$2:$V$999,6,0),"")</f>
        <v/>
      </c>
      <c r="E807" s="105" t="str">
        <f>IFERROR(VLOOKUP(A807,'Salary Calculation'!$A$2:$V$999,10,0),"")</f>
        <v/>
      </c>
      <c r="F807" s="101"/>
      <c r="G807" s="106" t="str">
        <f>IFERROR(VLOOKUP(A807,'Salary Calculation'!$A$2:$V$999,7,0),"")</f>
        <v/>
      </c>
      <c r="H807" s="100"/>
      <c r="I807" s="101"/>
      <c r="J807" s="101"/>
      <c r="K807" s="101"/>
      <c r="L807" s="101"/>
      <c r="M807" s="101"/>
      <c r="N807" s="101"/>
      <c r="O807" s="101"/>
      <c r="P807" s="101"/>
      <c r="Q807" s="101"/>
      <c r="R807" s="101"/>
      <c r="S807" s="101"/>
      <c r="T807" s="101"/>
      <c r="U807" s="101"/>
      <c r="V807" s="101"/>
      <c r="W807" s="101"/>
      <c r="X807" s="101"/>
      <c r="Y807" s="101"/>
      <c r="Z807" s="101"/>
      <c r="AA807" s="101"/>
      <c r="AB807" s="101"/>
    </row>
    <row r="808">
      <c r="A808" s="104" t="s">
        <v>945</v>
      </c>
      <c r="B808" s="105" t="str">
        <f>IFERROR(VLOOKUP(A808,'Salary Calculation'!A807:F1804,2,0),"")</f>
        <v/>
      </c>
      <c r="C808" s="105" t="str">
        <f>IFERROR(VLOOKUP(A808,'Salary Calculation'!$A$2:$V$999,3,0),"")</f>
        <v/>
      </c>
      <c r="D808" s="105" t="str">
        <f>IFERROR(VLOOKUP(A808,'Salary Calculation'!$A$2:$V$999,6,0),"")</f>
        <v/>
      </c>
      <c r="E808" s="105" t="str">
        <f>IFERROR(VLOOKUP(A808,'Salary Calculation'!$A$2:$V$999,10,0),"")</f>
        <v/>
      </c>
      <c r="F808" s="101"/>
      <c r="G808" s="106" t="str">
        <f>IFERROR(VLOOKUP(A808,'Salary Calculation'!$A$2:$V$999,7,0),"")</f>
        <v/>
      </c>
      <c r="H808" s="100"/>
      <c r="I808" s="101"/>
      <c r="J808" s="101"/>
      <c r="K808" s="101"/>
      <c r="L808" s="101"/>
      <c r="M808" s="101"/>
      <c r="N808" s="101"/>
      <c r="O808" s="101"/>
      <c r="P808" s="101"/>
      <c r="Q808" s="101"/>
      <c r="R808" s="101"/>
      <c r="S808" s="101"/>
      <c r="T808" s="101"/>
      <c r="U808" s="101"/>
      <c r="V808" s="101"/>
      <c r="W808" s="101"/>
      <c r="X808" s="101"/>
      <c r="Y808" s="101"/>
      <c r="Z808" s="101"/>
      <c r="AA808" s="101"/>
      <c r="AB808" s="101"/>
    </row>
    <row r="809">
      <c r="A809" s="104" t="s">
        <v>946</v>
      </c>
      <c r="B809" s="105" t="str">
        <f>IFERROR(VLOOKUP(A809,'Salary Calculation'!A808:F1805,2,0),"")</f>
        <v/>
      </c>
      <c r="C809" s="105" t="str">
        <f>IFERROR(VLOOKUP(A809,'Salary Calculation'!$A$2:$V$999,3,0),"")</f>
        <v/>
      </c>
      <c r="D809" s="105" t="str">
        <f>IFERROR(VLOOKUP(A809,'Salary Calculation'!$A$2:$V$999,6,0),"")</f>
        <v/>
      </c>
      <c r="E809" s="105" t="str">
        <f>IFERROR(VLOOKUP(A809,'Salary Calculation'!$A$2:$V$999,10,0),"")</f>
        <v/>
      </c>
      <c r="F809" s="101"/>
      <c r="G809" s="106" t="str">
        <f>IFERROR(VLOOKUP(A809,'Salary Calculation'!$A$2:$V$999,7,0),"")</f>
        <v/>
      </c>
      <c r="H809" s="100"/>
      <c r="I809" s="101"/>
      <c r="J809" s="101"/>
      <c r="K809" s="101"/>
      <c r="L809" s="101"/>
      <c r="M809" s="101"/>
      <c r="N809" s="101"/>
      <c r="O809" s="101"/>
      <c r="P809" s="101"/>
      <c r="Q809" s="101"/>
      <c r="R809" s="101"/>
      <c r="S809" s="101"/>
      <c r="T809" s="101"/>
      <c r="U809" s="101"/>
      <c r="V809" s="101"/>
      <c r="W809" s="101"/>
      <c r="X809" s="101"/>
      <c r="Y809" s="101"/>
      <c r="Z809" s="101"/>
      <c r="AA809" s="101"/>
      <c r="AB809" s="101"/>
    </row>
    <row r="810">
      <c r="A810" s="104" t="s">
        <v>947</v>
      </c>
      <c r="B810" s="105" t="str">
        <f>IFERROR(VLOOKUP(A810,'Salary Calculation'!A809:F1806,2,0),"")</f>
        <v/>
      </c>
      <c r="C810" s="105" t="str">
        <f>IFERROR(VLOOKUP(A810,'Salary Calculation'!$A$2:$V$999,3,0),"")</f>
        <v/>
      </c>
      <c r="D810" s="105" t="str">
        <f>IFERROR(VLOOKUP(A810,'Salary Calculation'!$A$2:$V$999,6,0),"")</f>
        <v/>
      </c>
      <c r="E810" s="105" t="str">
        <f>IFERROR(VLOOKUP(A810,'Salary Calculation'!$A$2:$V$999,10,0),"")</f>
        <v/>
      </c>
      <c r="F810" s="101"/>
      <c r="G810" s="106" t="str">
        <f>IFERROR(VLOOKUP(A810,'Salary Calculation'!$A$2:$V$999,7,0),"")</f>
        <v/>
      </c>
      <c r="H810" s="100"/>
      <c r="I810" s="101"/>
      <c r="J810" s="101"/>
      <c r="K810" s="101"/>
      <c r="L810" s="101"/>
      <c r="M810" s="101"/>
      <c r="N810" s="101"/>
      <c r="O810" s="101"/>
      <c r="P810" s="101"/>
      <c r="Q810" s="101"/>
      <c r="R810" s="101"/>
      <c r="S810" s="101"/>
      <c r="T810" s="101"/>
      <c r="U810" s="101"/>
      <c r="V810" s="101"/>
      <c r="W810" s="101"/>
      <c r="X810" s="101"/>
      <c r="Y810" s="101"/>
      <c r="Z810" s="101"/>
      <c r="AA810" s="101"/>
      <c r="AB810" s="101"/>
    </row>
    <row r="811">
      <c r="A811" s="104" t="s">
        <v>948</v>
      </c>
      <c r="B811" s="105" t="str">
        <f>IFERROR(VLOOKUP(A811,'Salary Calculation'!A810:F1807,2,0),"")</f>
        <v/>
      </c>
      <c r="C811" s="105" t="str">
        <f>IFERROR(VLOOKUP(A811,'Salary Calculation'!$A$2:$V$999,3,0),"")</f>
        <v/>
      </c>
      <c r="D811" s="105" t="str">
        <f>IFERROR(VLOOKUP(A811,'Salary Calculation'!$A$2:$V$999,6,0),"")</f>
        <v/>
      </c>
      <c r="E811" s="105" t="str">
        <f>IFERROR(VLOOKUP(A811,'Salary Calculation'!$A$2:$V$999,10,0),"")</f>
        <v/>
      </c>
      <c r="F811" s="101"/>
      <c r="G811" s="106" t="str">
        <f>IFERROR(VLOOKUP(A811,'Salary Calculation'!$A$2:$V$999,7,0),"")</f>
        <v/>
      </c>
      <c r="H811" s="100"/>
      <c r="I811" s="101"/>
      <c r="J811" s="101"/>
      <c r="K811" s="101"/>
      <c r="L811" s="101"/>
      <c r="M811" s="101"/>
      <c r="N811" s="101"/>
      <c r="O811" s="101"/>
      <c r="P811" s="101"/>
      <c r="Q811" s="101"/>
      <c r="R811" s="101"/>
      <c r="S811" s="101"/>
      <c r="T811" s="101"/>
      <c r="U811" s="101"/>
      <c r="V811" s="101"/>
      <c r="W811" s="101"/>
      <c r="X811" s="101"/>
      <c r="Y811" s="101"/>
      <c r="Z811" s="101"/>
      <c r="AA811" s="101"/>
      <c r="AB811" s="101"/>
    </row>
    <row r="812">
      <c r="A812" s="104" t="s">
        <v>949</v>
      </c>
      <c r="B812" s="105" t="str">
        <f>IFERROR(VLOOKUP(A812,'Salary Calculation'!A811:F1808,2,0),"")</f>
        <v/>
      </c>
      <c r="C812" s="105" t="str">
        <f>IFERROR(VLOOKUP(A812,'Salary Calculation'!$A$2:$V$999,3,0),"")</f>
        <v/>
      </c>
      <c r="D812" s="105" t="str">
        <f>IFERROR(VLOOKUP(A812,'Salary Calculation'!$A$2:$V$999,6,0),"")</f>
        <v/>
      </c>
      <c r="E812" s="105" t="str">
        <f>IFERROR(VLOOKUP(A812,'Salary Calculation'!$A$2:$V$999,10,0),"")</f>
        <v/>
      </c>
      <c r="F812" s="101"/>
      <c r="G812" s="106" t="str">
        <f>IFERROR(VLOOKUP(A812,'Salary Calculation'!$A$2:$V$999,7,0),"")</f>
        <v/>
      </c>
      <c r="H812" s="100"/>
      <c r="I812" s="101"/>
      <c r="J812" s="101"/>
      <c r="K812" s="101"/>
      <c r="L812" s="101"/>
      <c r="M812" s="101"/>
      <c r="N812" s="101"/>
      <c r="O812" s="101"/>
      <c r="P812" s="101"/>
      <c r="Q812" s="101"/>
      <c r="R812" s="101"/>
      <c r="S812" s="101"/>
      <c r="T812" s="101"/>
      <c r="U812" s="101"/>
      <c r="V812" s="101"/>
      <c r="W812" s="101"/>
      <c r="X812" s="101"/>
      <c r="Y812" s="101"/>
      <c r="Z812" s="101"/>
      <c r="AA812" s="101"/>
      <c r="AB812" s="101"/>
    </row>
    <row r="813">
      <c r="A813" s="104" t="s">
        <v>950</v>
      </c>
      <c r="B813" s="105" t="str">
        <f>IFERROR(VLOOKUP(A813,'Salary Calculation'!A812:F1809,2,0),"")</f>
        <v/>
      </c>
      <c r="C813" s="105" t="str">
        <f>IFERROR(VLOOKUP(A813,'Salary Calculation'!$A$2:$V$999,3,0),"")</f>
        <v/>
      </c>
      <c r="D813" s="105" t="str">
        <f>IFERROR(VLOOKUP(A813,'Salary Calculation'!$A$2:$V$999,6,0),"")</f>
        <v/>
      </c>
      <c r="E813" s="105" t="str">
        <f>IFERROR(VLOOKUP(A813,'Salary Calculation'!$A$2:$V$999,10,0),"")</f>
        <v/>
      </c>
      <c r="F813" s="101"/>
      <c r="G813" s="106" t="str">
        <f>IFERROR(VLOOKUP(A813,'Salary Calculation'!$A$2:$V$999,7,0),"")</f>
        <v/>
      </c>
      <c r="H813" s="100"/>
      <c r="I813" s="101"/>
      <c r="J813" s="101"/>
      <c r="K813" s="101"/>
      <c r="L813" s="101"/>
      <c r="M813" s="101"/>
      <c r="N813" s="101"/>
      <c r="O813" s="101"/>
      <c r="P813" s="101"/>
      <c r="Q813" s="101"/>
      <c r="R813" s="101"/>
      <c r="S813" s="101"/>
      <c r="T813" s="101"/>
      <c r="U813" s="101"/>
      <c r="V813" s="101"/>
      <c r="W813" s="101"/>
      <c r="X813" s="101"/>
      <c r="Y813" s="101"/>
      <c r="Z813" s="101"/>
      <c r="AA813" s="101"/>
      <c r="AB813" s="101"/>
    </row>
    <row r="814">
      <c r="A814" s="104" t="s">
        <v>951</v>
      </c>
      <c r="B814" s="105" t="str">
        <f>IFERROR(VLOOKUP(A814,'Salary Calculation'!A813:F1810,2,0),"")</f>
        <v/>
      </c>
      <c r="C814" s="105" t="str">
        <f>IFERROR(VLOOKUP(A814,'Salary Calculation'!$A$2:$V$999,3,0),"")</f>
        <v/>
      </c>
      <c r="D814" s="105" t="str">
        <f>IFERROR(VLOOKUP(A814,'Salary Calculation'!$A$2:$V$999,6,0),"")</f>
        <v/>
      </c>
      <c r="E814" s="105" t="str">
        <f>IFERROR(VLOOKUP(A814,'Salary Calculation'!$A$2:$V$999,10,0),"")</f>
        <v/>
      </c>
      <c r="F814" s="101"/>
      <c r="G814" s="106" t="str">
        <f>IFERROR(VLOOKUP(A814,'Salary Calculation'!$A$2:$V$999,7,0),"")</f>
        <v/>
      </c>
      <c r="H814" s="100"/>
      <c r="I814" s="101"/>
      <c r="J814" s="101"/>
      <c r="K814" s="101"/>
      <c r="L814" s="101"/>
      <c r="M814" s="101"/>
      <c r="N814" s="101"/>
      <c r="O814" s="101"/>
      <c r="P814" s="101"/>
      <c r="Q814" s="101"/>
      <c r="R814" s="101"/>
      <c r="S814" s="101"/>
      <c r="T814" s="101"/>
      <c r="U814" s="101"/>
      <c r="V814" s="101"/>
      <c r="W814" s="101"/>
      <c r="X814" s="101"/>
      <c r="Y814" s="101"/>
      <c r="Z814" s="101"/>
      <c r="AA814" s="101"/>
      <c r="AB814" s="101"/>
    </row>
    <row r="815">
      <c r="A815" s="104" t="s">
        <v>952</v>
      </c>
      <c r="B815" s="105" t="str">
        <f>IFERROR(VLOOKUP(A815,'Salary Calculation'!A814:F1811,2,0),"")</f>
        <v/>
      </c>
      <c r="C815" s="105" t="str">
        <f>IFERROR(VLOOKUP(A815,'Salary Calculation'!$A$2:$V$999,3,0),"")</f>
        <v/>
      </c>
      <c r="D815" s="105" t="str">
        <f>IFERROR(VLOOKUP(A815,'Salary Calculation'!$A$2:$V$999,6,0),"")</f>
        <v/>
      </c>
      <c r="E815" s="105" t="str">
        <f>IFERROR(VLOOKUP(A815,'Salary Calculation'!$A$2:$V$999,10,0),"")</f>
        <v/>
      </c>
      <c r="F815" s="101"/>
      <c r="G815" s="106" t="str">
        <f>IFERROR(VLOOKUP(A815,'Salary Calculation'!$A$2:$V$999,7,0),"")</f>
        <v/>
      </c>
      <c r="H815" s="100"/>
      <c r="I815" s="101"/>
      <c r="J815" s="101"/>
      <c r="K815" s="101"/>
      <c r="L815" s="101"/>
      <c r="M815" s="101"/>
      <c r="N815" s="101"/>
      <c r="O815" s="101"/>
      <c r="P815" s="101"/>
      <c r="Q815" s="101"/>
      <c r="R815" s="101"/>
      <c r="S815" s="101"/>
      <c r="T815" s="101"/>
      <c r="U815" s="101"/>
      <c r="V815" s="101"/>
      <c r="W815" s="101"/>
      <c r="X815" s="101"/>
      <c r="Y815" s="101"/>
      <c r="Z815" s="101"/>
      <c r="AA815" s="101"/>
      <c r="AB815" s="101"/>
    </row>
    <row r="816">
      <c r="A816" s="104" t="s">
        <v>953</v>
      </c>
      <c r="B816" s="105" t="str">
        <f>IFERROR(VLOOKUP(A816,'Salary Calculation'!A815:F1812,2,0),"")</f>
        <v/>
      </c>
      <c r="C816" s="105" t="str">
        <f>IFERROR(VLOOKUP(A816,'Salary Calculation'!$A$2:$V$999,3,0),"")</f>
        <v/>
      </c>
      <c r="D816" s="105" t="str">
        <f>IFERROR(VLOOKUP(A816,'Salary Calculation'!$A$2:$V$999,6,0),"")</f>
        <v/>
      </c>
      <c r="E816" s="105" t="str">
        <f>IFERROR(VLOOKUP(A816,'Salary Calculation'!$A$2:$V$999,10,0),"")</f>
        <v/>
      </c>
      <c r="F816" s="101"/>
      <c r="G816" s="106" t="str">
        <f>IFERROR(VLOOKUP(A816,'Salary Calculation'!$A$2:$V$999,7,0),"")</f>
        <v/>
      </c>
      <c r="H816" s="100"/>
      <c r="I816" s="101"/>
      <c r="J816" s="101"/>
      <c r="K816" s="101"/>
      <c r="L816" s="101"/>
      <c r="M816" s="101"/>
      <c r="N816" s="101"/>
      <c r="O816" s="101"/>
      <c r="P816" s="101"/>
      <c r="Q816" s="101"/>
      <c r="R816" s="101"/>
      <c r="S816" s="101"/>
      <c r="T816" s="101"/>
      <c r="U816" s="101"/>
      <c r="V816" s="101"/>
      <c r="W816" s="101"/>
      <c r="X816" s="101"/>
      <c r="Y816" s="101"/>
      <c r="Z816" s="101"/>
      <c r="AA816" s="101"/>
      <c r="AB816" s="101"/>
    </row>
    <row r="817">
      <c r="A817" s="104" t="s">
        <v>954</v>
      </c>
      <c r="B817" s="105" t="str">
        <f>IFERROR(VLOOKUP(A817,'Salary Calculation'!A816:F1813,2,0),"")</f>
        <v/>
      </c>
      <c r="C817" s="105" t="str">
        <f>IFERROR(VLOOKUP(A817,'Salary Calculation'!$A$2:$V$999,3,0),"")</f>
        <v/>
      </c>
      <c r="D817" s="105" t="str">
        <f>IFERROR(VLOOKUP(A817,'Salary Calculation'!$A$2:$V$999,6,0),"")</f>
        <v/>
      </c>
      <c r="E817" s="105" t="str">
        <f>IFERROR(VLOOKUP(A817,'Salary Calculation'!$A$2:$V$999,10,0),"")</f>
        <v/>
      </c>
      <c r="F817" s="101"/>
      <c r="G817" s="106" t="str">
        <f>IFERROR(VLOOKUP(A817,'Salary Calculation'!$A$2:$V$999,7,0),"")</f>
        <v/>
      </c>
      <c r="H817" s="100"/>
      <c r="I817" s="101"/>
      <c r="J817" s="101"/>
      <c r="K817" s="101"/>
      <c r="L817" s="101"/>
      <c r="M817" s="101"/>
      <c r="N817" s="101"/>
      <c r="O817" s="101"/>
      <c r="P817" s="101"/>
      <c r="Q817" s="101"/>
      <c r="R817" s="101"/>
      <c r="S817" s="101"/>
      <c r="T817" s="101"/>
      <c r="U817" s="101"/>
      <c r="V817" s="101"/>
      <c r="W817" s="101"/>
      <c r="X817" s="101"/>
      <c r="Y817" s="101"/>
      <c r="Z817" s="101"/>
      <c r="AA817" s="101"/>
      <c r="AB817" s="101"/>
    </row>
    <row r="818">
      <c r="A818" s="104" t="s">
        <v>955</v>
      </c>
      <c r="B818" s="105" t="str">
        <f>IFERROR(VLOOKUP(A818,'Salary Calculation'!A817:F1814,2,0),"")</f>
        <v/>
      </c>
      <c r="C818" s="105" t="str">
        <f>IFERROR(VLOOKUP(A818,'Salary Calculation'!$A$2:$V$999,3,0),"")</f>
        <v/>
      </c>
      <c r="D818" s="105" t="str">
        <f>IFERROR(VLOOKUP(A818,'Salary Calculation'!$A$2:$V$999,6,0),"")</f>
        <v/>
      </c>
      <c r="E818" s="105" t="str">
        <f>IFERROR(VLOOKUP(A818,'Salary Calculation'!$A$2:$V$999,10,0),"")</f>
        <v/>
      </c>
      <c r="F818" s="101"/>
      <c r="G818" s="106" t="str">
        <f>IFERROR(VLOOKUP(A818,'Salary Calculation'!$A$2:$V$999,7,0),"")</f>
        <v/>
      </c>
      <c r="H818" s="100"/>
      <c r="I818" s="101"/>
      <c r="J818" s="101"/>
      <c r="K818" s="101"/>
      <c r="L818" s="101"/>
      <c r="M818" s="101"/>
      <c r="N818" s="101"/>
      <c r="O818" s="101"/>
      <c r="P818" s="101"/>
      <c r="Q818" s="101"/>
      <c r="R818" s="101"/>
      <c r="S818" s="101"/>
      <c r="T818" s="101"/>
      <c r="U818" s="101"/>
      <c r="V818" s="101"/>
      <c r="W818" s="101"/>
      <c r="X818" s="101"/>
      <c r="Y818" s="101"/>
      <c r="Z818" s="101"/>
      <c r="AA818" s="101"/>
      <c r="AB818" s="101"/>
    </row>
    <row r="819">
      <c r="A819" s="104" t="s">
        <v>956</v>
      </c>
      <c r="B819" s="105" t="str">
        <f>IFERROR(VLOOKUP(A819,'Salary Calculation'!A818:F1815,2,0),"")</f>
        <v/>
      </c>
      <c r="C819" s="105" t="str">
        <f>IFERROR(VLOOKUP(A819,'Salary Calculation'!$A$2:$V$999,3,0),"")</f>
        <v/>
      </c>
      <c r="D819" s="105" t="str">
        <f>IFERROR(VLOOKUP(A819,'Salary Calculation'!$A$2:$V$999,6,0),"")</f>
        <v/>
      </c>
      <c r="E819" s="105" t="str">
        <f>IFERROR(VLOOKUP(A819,'Salary Calculation'!$A$2:$V$999,10,0),"")</f>
        <v/>
      </c>
      <c r="F819" s="101"/>
      <c r="G819" s="106" t="str">
        <f>IFERROR(VLOOKUP(A819,'Salary Calculation'!$A$2:$V$999,7,0),"")</f>
        <v/>
      </c>
      <c r="H819" s="100"/>
      <c r="I819" s="101"/>
      <c r="J819" s="101"/>
      <c r="K819" s="101"/>
      <c r="L819" s="101"/>
      <c r="M819" s="101"/>
      <c r="N819" s="101"/>
      <c r="O819" s="101"/>
      <c r="P819" s="101"/>
      <c r="Q819" s="101"/>
      <c r="R819" s="101"/>
      <c r="S819" s="101"/>
      <c r="T819" s="101"/>
      <c r="U819" s="101"/>
      <c r="V819" s="101"/>
      <c r="W819" s="101"/>
      <c r="X819" s="101"/>
      <c r="Y819" s="101"/>
      <c r="Z819" s="101"/>
      <c r="AA819" s="101"/>
      <c r="AB819" s="101"/>
    </row>
    <row r="820">
      <c r="A820" s="104" t="s">
        <v>957</v>
      </c>
      <c r="B820" s="105" t="str">
        <f>IFERROR(VLOOKUP(A820,'Salary Calculation'!A819:F1816,2,0),"")</f>
        <v/>
      </c>
      <c r="C820" s="105" t="str">
        <f>IFERROR(VLOOKUP(A820,'Salary Calculation'!$A$2:$V$999,3,0),"")</f>
        <v/>
      </c>
      <c r="D820" s="105" t="str">
        <f>IFERROR(VLOOKUP(A820,'Salary Calculation'!$A$2:$V$999,6,0),"")</f>
        <v/>
      </c>
      <c r="E820" s="105" t="str">
        <f>IFERROR(VLOOKUP(A820,'Salary Calculation'!$A$2:$V$999,10,0),"")</f>
        <v/>
      </c>
      <c r="F820" s="101"/>
      <c r="G820" s="106" t="str">
        <f>IFERROR(VLOOKUP(A820,'Salary Calculation'!$A$2:$V$999,7,0),"")</f>
        <v/>
      </c>
      <c r="H820" s="100"/>
      <c r="I820" s="101"/>
      <c r="J820" s="101"/>
      <c r="K820" s="101"/>
      <c r="L820" s="101"/>
      <c r="M820" s="101"/>
      <c r="N820" s="101"/>
      <c r="O820" s="101"/>
      <c r="P820" s="101"/>
      <c r="Q820" s="101"/>
      <c r="R820" s="101"/>
      <c r="S820" s="101"/>
      <c r="T820" s="101"/>
      <c r="U820" s="101"/>
      <c r="V820" s="101"/>
      <c r="W820" s="101"/>
      <c r="X820" s="101"/>
      <c r="Y820" s="101"/>
      <c r="Z820" s="101"/>
      <c r="AA820" s="101"/>
      <c r="AB820" s="101"/>
    </row>
    <row r="821">
      <c r="A821" s="104" t="s">
        <v>958</v>
      </c>
      <c r="B821" s="105" t="str">
        <f>IFERROR(VLOOKUP(A821,'Salary Calculation'!A820:F1817,2,0),"")</f>
        <v/>
      </c>
      <c r="C821" s="105" t="str">
        <f>IFERROR(VLOOKUP(A821,'Salary Calculation'!$A$2:$V$999,3,0),"")</f>
        <v/>
      </c>
      <c r="D821" s="105" t="str">
        <f>IFERROR(VLOOKUP(A821,'Salary Calculation'!$A$2:$V$999,6,0),"")</f>
        <v/>
      </c>
      <c r="E821" s="105" t="str">
        <f>IFERROR(VLOOKUP(A821,'Salary Calculation'!$A$2:$V$999,10,0),"")</f>
        <v/>
      </c>
      <c r="F821" s="101"/>
      <c r="G821" s="106" t="str">
        <f>IFERROR(VLOOKUP(A821,'Salary Calculation'!$A$2:$V$999,7,0),"")</f>
        <v/>
      </c>
      <c r="H821" s="100"/>
      <c r="I821" s="101"/>
      <c r="J821" s="101"/>
      <c r="K821" s="101"/>
      <c r="L821" s="101"/>
      <c r="M821" s="101"/>
      <c r="N821" s="101"/>
      <c r="O821" s="101"/>
      <c r="P821" s="101"/>
      <c r="Q821" s="101"/>
      <c r="R821" s="101"/>
      <c r="S821" s="101"/>
      <c r="T821" s="101"/>
      <c r="U821" s="101"/>
      <c r="V821" s="101"/>
      <c r="W821" s="101"/>
      <c r="X821" s="101"/>
      <c r="Y821" s="101"/>
      <c r="Z821" s="101"/>
      <c r="AA821" s="101"/>
      <c r="AB821" s="101"/>
    </row>
    <row r="822">
      <c r="A822" s="104" t="s">
        <v>959</v>
      </c>
      <c r="B822" s="105" t="str">
        <f>IFERROR(VLOOKUP(A822,'Salary Calculation'!A821:F1818,2,0),"")</f>
        <v/>
      </c>
      <c r="C822" s="105" t="str">
        <f>IFERROR(VLOOKUP(A822,'Salary Calculation'!$A$2:$V$999,3,0),"")</f>
        <v/>
      </c>
      <c r="D822" s="105" t="str">
        <f>IFERROR(VLOOKUP(A822,'Salary Calculation'!$A$2:$V$999,6,0),"")</f>
        <v/>
      </c>
      <c r="E822" s="105" t="str">
        <f>IFERROR(VLOOKUP(A822,'Salary Calculation'!$A$2:$V$999,10,0),"")</f>
        <v/>
      </c>
      <c r="F822" s="101"/>
      <c r="G822" s="106" t="str">
        <f>IFERROR(VLOOKUP(A822,'Salary Calculation'!$A$2:$V$999,7,0),"")</f>
        <v/>
      </c>
      <c r="H822" s="100"/>
      <c r="I822" s="101"/>
      <c r="J822" s="101"/>
      <c r="K822" s="101"/>
      <c r="L822" s="101"/>
      <c r="M822" s="101"/>
      <c r="N822" s="101"/>
      <c r="O822" s="101"/>
      <c r="P822" s="101"/>
      <c r="Q822" s="101"/>
      <c r="R822" s="101"/>
      <c r="S822" s="101"/>
      <c r="T822" s="101"/>
      <c r="U822" s="101"/>
      <c r="V822" s="101"/>
      <c r="W822" s="101"/>
      <c r="X822" s="101"/>
      <c r="Y822" s="101"/>
      <c r="Z822" s="101"/>
      <c r="AA822" s="101"/>
      <c r="AB822" s="101"/>
    </row>
    <row r="823">
      <c r="A823" s="104" t="s">
        <v>960</v>
      </c>
      <c r="B823" s="105" t="str">
        <f>IFERROR(VLOOKUP(A823,'Salary Calculation'!A822:F1819,2,0),"")</f>
        <v/>
      </c>
      <c r="C823" s="105" t="str">
        <f>IFERROR(VLOOKUP(A823,'Salary Calculation'!$A$2:$V$999,3,0),"")</f>
        <v/>
      </c>
      <c r="D823" s="105" t="str">
        <f>IFERROR(VLOOKUP(A823,'Salary Calculation'!$A$2:$V$999,6,0),"")</f>
        <v/>
      </c>
      <c r="E823" s="105" t="str">
        <f>IFERROR(VLOOKUP(A823,'Salary Calculation'!$A$2:$V$999,10,0),"")</f>
        <v/>
      </c>
      <c r="F823" s="101"/>
      <c r="G823" s="106" t="str">
        <f>IFERROR(VLOOKUP(A823,'Salary Calculation'!$A$2:$V$999,7,0),"")</f>
        <v/>
      </c>
      <c r="H823" s="100"/>
      <c r="I823" s="101"/>
      <c r="J823" s="101"/>
      <c r="K823" s="101"/>
      <c r="L823" s="101"/>
      <c r="M823" s="101"/>
      <c r="N823" s="101"/>
      <c r="O823" s="101"/>
      <c r="P823" s="101"/>
      <c r="Q823" s="101"/>
      <c r="R823" s="101"/>
      <c r="S823" s="101"/>
      <c r="T823" s="101"/>
      <c r="U823" s="101"/>
      <c r="V823" s="101"/>
      <c r="W823" s="101"/>
      <c r="X823" s="101"/>
      <c r="Y823" s="101"/>
      <c r="Z823" s="101"/>
      <c r="AA823" s="101"/>
      <c r="AB823" s="101"/>
    </row>
    <row r="824">
      <c r="A824" s="104" t="s">
        <v>961</v>
      </c>
      <c r="B824" s="105" t="str">
        <f>IFERROR(VLOOKUP(A824,'Salary Calculation'!A823:F1820,2,0),"")</f>
        <v/>
      </c>
      <c r="C824" s="105" t="str">
        <f>IFERROR(VLOOKUP(A824,'Salary Calculation'!$A$2:$V$999,3,0),"")</f>
        <v/>
      </c>
      <c r="D824" s="105" t="str">
        <f>IFERROR(VLOOKUP(A824,'Salary Calculation'!$A$2:$V$999,6,0),"")</f>
        <v/>
      </c>
      <c r="E824" s="105" t="str">
        <f>IFERROR(VLOOKUP(A824,'Salary Calculation'!$A$2:$V$999,10,0),"")</f>
        <v/>
      </c>
      <c r="F824" s="101"/>
      <c r="G824" s="106" t="str">
        <f>IFERROR(VLOOKUP(A824,'Salary Calculation'!$A$2:$V$999,7,0),"")</f>
        <v/>
      </c>
      <c r="H824" s="100"/>
      <c r="I824" s="101"/>
      <c r="J824" s="101"/>
      <c r="K824" s="101"/>
      <c r="L824" s="101"/>
      <c r="M824" s="101"/>
      <c r="N824" s="101"/>
      <c r="O824" s="101"/>
      <c r="P824" s="101"/>
      <c r="Q824" s="101"/>
      <c r="R824" s="101"/>
      <c r="S824" s="101"/>
      <c r="T824" s="101"/>
      <c r="U824" s="101"/>
      <c r="V824" s="101"/>
      <c r="W824" s="101"/>
      <c r="X824" s="101"/>
      <c r="Y824" s="101"/>
      <c r="Z824" s="101"/>
      <c r="AA824" s="101"/>
      <c r="AB824" s="101"/>
    </row>
    <row r="825">
      <c r="A825" s="104" t="s">
        <v>962</v>
      </c>
      <c r="B825" s="105" t="str">
        <f>IFERROR(VLOOKUP(A825,'Salary Calculation'!A824:F1821,2,0),"")</f>
        <v/>
      </c>
      <c r="C825" s="105" t="str">
        <f>IFERROR(VLOOKUP(A825,'Salary Calculation'!$A$2:$V$999,3,0),"")</f>
        <v/>
      </c>
      <c r="D825" s="105" t="str">
        <f>IFERROR(VLOOKUP(A825,'Salary Calculation'!$A$2:$V$999,6,0),"")</f>
        <v/>
      </c>
      <c r="E825" s="105" t="str">
        <f>IFERROR(VLOOKUP(A825,'Salary Calculation'!$A$2:$V$999,10,0),"")</f>
        <v/>
      </c>
      <c r="F825" s="101"/>
      <c r="G825" s="106" t="str">
        <f>IFERROR(VLOOKUP(A825,'Salary Calculation'!$A$2:$V$999,7,0),"")</f>
        <v/>
      </c>
      <c r="H825" s="100"/>
      <c r="I825" s="101"/>
      <c r="J825" s="101"/>
      <c r="K825" s="101"/>
      <c r="L825" s="101"/>
      <c r="M825" s="101"/>
      <c r="N825" s="101"/>
      <c r="O825" s="101"/>
      <c r="P825" s="101"/>
      <c r="Q825" s="101"/>
      <c r="R825" s="101"/>
      <c r="S825" s="101"/>
      <c r="T825" s="101"/>
      <c r="U825" s="101"/>
      <c r="V825" s="101"/>
      <c r="W825" s="101"/>
      <c r="X825" s="101"/>
      <c r="Y825" s="101"/>
      <c r="Z825" s="101"/>
      <c r="AA825" s="101"/>
      <c r="AB825" s="101"/>
    </row>
    <row r="826">
      <c r="A826" s="104" t="s">
        <v>963</v>
      </c>
      <c r="B826" s="105" t="str">
        <f>IFERROR(VLOOKUP(A826,'Salary Calculation'!A825:F1822,2,0),"")</f>
        <v/>
      </c>
      <c r="C826" s="105" t="str">
        <f>IFERROR(VLOOKUP(A826,'Salary Calculation'!$A$2:$V$999,3,0),"")</f>
        <v/>
      </c>
      <c r="D826" s="105" t="str">
        <f>IFERROR(VLOOKUP(A826,'Salary Calculation'!$A$2:$V$999,6,0),"")</f>
        <v/>
      </c>
      <c r="E826" s="105" t="str">
        <f>IFERROR(VLOOKUP(A826,'Salary Calculation'!$A$2:$V$999,10,0),"")</f>
        <v/>
      </c>
      <c r="F826" s="101"/>
      <c r="G826" s="106" t="str">
        <f>IFERROR(VLOOKUP(A826,'Salary Calculation'!$A$2:$V$999,7,0),"")</f>
        <v/>
      </c>
      <c r="H826" s="100"/>
      <c r="I826" s="101"/>
      <c r="J826" s="101"/>
      <c r="K826" s="101"/>
      <c r="L826" s="101"/>
      <c r="M826" s="101"/>
      <c r="N826" s="101"/>
      <c r="O826" s="101"/>
      <c r="P826" s="101"/>
      <c r="Q826" s="101"/>
      <c r="R826" s="101"/>
      <c r="S826" s="101"/>
      <c r="T826" s="101"/>
      <c r="U826" s="101"/>
      <c r="V826" s="101"/>
      <c r="W826" s="101"/>
      <c r="X826" s="101"/>
      <c r="Y826" s="101"/>
      <c r="Z826" s="101"/>
      <c r="AA826" s="101"/>
      <c r="AB826" s="101"/>
    </row>
    <row r="827">
      <c r="A827" s="104" t="s">
        <v>964</v>
      </c>
      <c r="B827" s="105" t="str">
        <f>IFERROR(VLOOKUP(A827,'Salary Calculation'!A826:F1823,2,0),"")</f>
        <v/>
      </c>
      <c r="C827" s="105" t="str">
        <f>IFERROR(VLOOKUP(A827,'Salary Calculation'!$A$2:$V$999,3,0),"")</f>
        <v/>
      </c>
      <c r="D827" s="105" t="str">
        <f>IFERROR(VLOOKUP(A827,'Salary Calculation'!$A$2:$V$999,6,0),"")</f>
        <v/>
      </c>
      <c r="E827" s="105" t="str">
        <f>IFERROR(VLOOKUP(A827,'Salary Calculation'!$A$2:$V$999,10,0),"")</f>
        <v/>
      </c>
      <c r="F827" s="101"/>
      <c r="G827" s="106" t="str">
        <f>IFERROR(VLOOKUP(A827,'Salary Calculation'!$A$2:$V$999,7,0),"")</f>
        <v/>
      </c>
      <c r="H827" s="100"/>
      <c r="I827" s="101"/>
      <c r="J827" s="101"/>
      <c r="K827" s="101"/>
      <c r="L827" s="101"/>
      <c r="M827" s="101"/>
      <c r="N827" s="101"/>
      <c r="O827" s="101"/>
      <c r="P827" s="101"/>
      <c r="Q827" s="101"/>
      <c r="R827" s="101"/>
      <c r="S827" s="101"/>
      <c r="T827" s="101"/>
      <c r="U827" s="101"/>
      <c r="V827" s="101"/>
      <c r="W827" s="101"/>
      <c r="X827" s="101"/>
      <c r="Y827" s="101"/>
      <c r="Z827" s="101"/>
      <c r="AA827" s="101"/>
      <c r="AB827" s="101"/>
    </row>
    <row r="828">
      <c r="A828" s="104" t="s">
        <v>965</v>
      </c>
      <c r="B828" s="105" t="str">
        <f>IFERROR(VLOOKUP(A828,'Salary Calculation'!A827:F1824,2,0),"")</f>
        <v/>
      </c>
      <c r="C828" s="105" t="str">
        <f>IFERROR(VLOOKUP(A828,'Salary Calculation'!$A$2:$V$999,3,0),"")</f>
        <v/>
      </c>
      <c r="D828" s="105" t="str">
        <f>IFERROR(VLOOKUP(A828,'Salary Calculation'!$A$2:$V$999,6,0),"")</f>
        <v/>
      </c>
      <c r="E828" s="105" t="str">
        <f>IFERROR(VLOOKUP(A828,'Salary Calculation'!$A$2:$V$999,10,0),"")</f>
        <v/>
      </c>
      <c r="F828" s="101"/>
      <c r="G828" s="106" t="str">
        <f>IFERROR(VLOOKUP(A828,'Salary Calculation'!$A$2:$V$999,7,0),"")</f>
        <v/>
      </c>
      <c r="H828" s="100"/>
      <c r="I828" s="101"/>
      <c r="J828" s="101"/>
      <c r="K828" s="101"/>
      <c r="L828" s="101"/>
      <c r="M828" s="101"/>
      <c r="N828" s="101"/>
      <c r="O828" s="101"/>
      <c r="P828" s="101"/>
      <c r="Q828" s="101"/>
      <c r="R828" s="101"/>
      <c r="S828" s="101"/>
      <c r="T828" s="101"/>
      <c r="U828" s="101"/>
      <c r="V828" s="101"/>
      <c r="W828" s="101"/>
      <c r="X828" s="101"/>
      <c r="Y828" s="101"/>
      <c r="Z828" s="101"/>
      <c r="AA828" s="101"/>
      <c r="AB828" s="101"/>
    </row>
    <row r="829">
      <c r="A829" s="104" t="s">
        <v>966</v>
      </c>
      <c r="B829" s="105" t="str">
        <f>IFERROR(VLOOKUP(A829,'Salary Calculation'!A828:F1825,2,0),"")</f>
        <v/>
      </c>
      <c r="C829" s="105" t="str">
        <f>IFERROR(VLOOKUP(A829,'Salary Calculation'!$A$2:$V$999,3,0),"")</f>
        <v/>
      </c>
      <c r="D829" s="105" t="str">
        <f>IFERROR(VLOOKUP(A829,'Salary Calculation'!$A$2:$V$999,6,0),"")</f>
        <v/>
      </c>
      <c r="E829" s="105" t="str">
        <f>IFERROR(VLOOKUP(A829,'Salary Calculation'!$A$2:$V$999,10,0),"")</f>
        <v/>
      </c>
      <c r="F829" s="101"/>
      <c r="G829" s="106" t="str">
        <f>IFERROR(VLOOKUP(A829,'Salary Calculation'!$A$2:$V$999,7,0),"")</f>
        <v/>
      </c>
      <c r="H829" s="100"/>
      <c r="I829" s="101"/>
      <c r="J829" s="101"/>
      <c r="K829" s="101"/>
      <c r="L829" s="101"/>
      <c r="M829" s="101"/>
      <c r="N829" s="101"/>
      <c r="O829" s="101"/>
      <c r="P829" s="101"/>
      <c r="Q829" s="101"/>
      <c r="R829" s="101"/>
      <c r="S829" s="101"/>
      <c r="T829" s="101"/>
      <c r="U829" s="101"/>
      <c r="V829" s="101"/>
      <c r="W829" s="101"/>
      <c r="X829" s="101"/>
      <c r="Y829" s="101"/>
      <c r="Z829" s="101"/>
      <c r="AA829" s="101"/>
      <c r="AB829" s="101"/>
    </row>
    <row r="830">
      <c r="A830" s="104" t="s">
        <v>967</v>
      </c>
      <c r="B830" s="105" t="str">
        <f>IFERROR(VLOOKUP(A830,'Salary Calculation'!A829:F1826,2,0),"")</f>
        <v/>
      </c>
      <c r="C830" s="105" t="str">
        <f>IFERROR(VLOOKUP(A830,'Salary Calculation'!$A$2:$V$999,3,0),"")</f>
        <v/>
      </c>
      <c r="D830" s="105" t="str">
        <f>IFERROR(VLOOKUP(A830,'Salary Calculation'!$A$2:$V$999,6,0),"")</f>
        <v/>
      </c>
      <c r="E830" s="105" t="str">
        <f>IFERROR(VLOOKUP(A830,'Salary Calculation'!$A$2:$V$999,10,0),"")</f>
        <v/>
      </c>
      <c r="F830" s="101"/>
      <c r="G830" s="106" t="str">
        <f>IFERROR(VLOOKUP(A830,'Salary Calculation'!$A$2:$V$999,7,0),"")</f>
        <v/>
      </c>
      <c r="H830" s="100"/>
      <c r="I830" s="101"/>
      <c r="J830" s="101"/>
      <c r="K830" s="101"/>
      <c r="L830" s="101"/>
      <c r="M830" s="101"/>
      <c r="N830" s="101"/>
      <c r="O830" s="101"/>
      <c r="P830" s="101"/>
      <c r="Q830" s="101"/>
      <c r="R830" s="101"/>
      <c r="S830" s="101"/>
      <c r="T830" s="101"/>
      <c r="U830" s="101"/>
      <c r="V830" s="101"/>
      <c r="W830" s="101"/>
      <c r="X830" s="101"/>
      <c r="Y830" s="101"/>
      <c r="Z830" s="101"/>
      <c r="AA830" s="101"/>
      <c r="AB830" s="101"/>
    </row>
    <row r="831">
      <c r="A831" s="104" t="s">
        <v>968</v>
      </c>
      <c r="B831" s="105" t="str">
        <f>IFERROR(VLOOKUP(A831,'Salary Calculation'!A830:F1827,2,0),"")</f>
        <v/>
      </c>
      <c r="C831" s="105" t="str">
        <f>IFERROR(VLOOKUP(A831,'Salary Calculation'!$A$2:$V$999,3,0),"")</f>
        <v/>
      </c>
      <c r="D831" s="105" t="str">
        <f>IFERROR(VLOOKUP(A831,'Salary Calculation'!$A$2:$V$999,6,0),"")</f>
        <v/>
      </c>
      <c r="E831" s="105" t="str">
        <f>IFERROR(VLOOKUP(A831,'Salary Calculation'!$A$2:$V$999,10,0),"")</f>
        <v/>
      </c>
      <c r="F831" s="101"/>
      <c r="G831" s="106" t="str">
        <f>IFERROR(VLOOKUP(A831,'Salary Calculation'!$A$2:$V$999,7,0),"")</f>
        <v/>
      </c>
      <c r="H831" s="100"/>
      <c r="I831" s="101"/>
      <c r="J831" s="101"/>
      <c r="K831" s="101"/>
      <c r="L831" s="101"/>
      <c r="M831" s="101"/>
      <c r="N831" s="101"/>
      <c r="O831" s="101"/>
      <c r="P831" s="101"/>
      <c r="Q831" s="101"/>
      <c r="R831" s="101"/>
      <c r="S831" s="101"/>
      <c r="T831" s="101"/>
      <c r="U831" s="101"/>
      <c r="V831" s="101"/>
      <c r="W831" s="101"/>
      <c r="X831" s="101"/>
      <c r="Y831" s="101"/>
      <c r="Z831" s="101"/>
      <c r="AA831" s="101"/>
      <c r="AB831" s="101"/>
    </row>
    <row r="832">
      <c r="A832" s="104" t="s">
        <v>969</v>
      </c>
      <c r="B832" s="105" t="str">
        <f>IFERROR(VLOOKUP(A832,'Salary Calculation'!A831:F1828,2,0),"")</f>
        <v/>
      </c>
      <c r="C832" s="105" t="str">
        <f>IFERROR(VLOOKUP(A832,'Salary Calculation'!$A$2:$V$999,3,0),"")</f>
        <v/>
      </c>
      <c r="D832" s="105" t="str">
        <f>IFERROR(VLOOKUP(A832,'Salary Calculation'!$A$2:$V$999,6,0),"")</f>
        <v/>
      </c>
      <c r="E832" s="105" t="str">
        <f>IFERROR(VLOOKUP(A832,'Salary Calculation'!$A$2:$V$999,10,0),"")</f>
        <v/>
      </c>
      <c r="F832" s="101"/>
      <c r="G832" s="106" t="str">
        <f>IFERROR(VLOOKUP(A832,'Salary Calculation'!$A$2:$V$999,7,0),"")</f>
        <v/>
      </c>
      <c r="H832" s="100"/>
      <c r="I832" s="101"/>
      <c r="J832" s="101"/>
      <c r="K832" s="101"/>
      <c r="L832" s="101"/>
      <c r="M832" s="101"/>
      <c r="N832" s="101"/>
      <c r="O832" s="101"/>
      <c r="P832" s="101"/>
      <c r="Q832" s="101"/>
      <c r="R832" s="101"/>
      <c r="S832" s="101"/>
      <c r="T832" s="101"/>
      <c r="U832" s="101"/>
      <c r="V832" s="101"/>
      <c r="W832" s="101"/>
      <c r="X832" s="101"/>
      <c r="Y832" s="101"/>
      <c r="Z832" s="101"/>
      <c r="AA832" s="101"/>
      <c r="AB832" s="101"/>
    </row>
    <row r="833">
      <c r="A833" s="104" t="s">
        <v>970</v>
      </c>
      <c r="B833" s="105" t="str">
        <f>IFERROR(VLOOKUP(A833,'Salary Calculation'!A832:F1829,2,0),"")</f>
        <v/>
      </c>
      <c r="C833" s="105" t="str">
        <f>IFERROR(VLOOKUP(A833,'Salary Calculation'!$A$2:$V$999,3,0),"")</f>
        <v/>
      </c>
      <c r="D833" s="105" t="str">
        <f>IFERROR(VLOOKUP(A833,'Salary Calculation'!$A$2:$V$999,6,0),"")</f>
        <v/>
      </c>
      <c r="E833" s="105" t="str">
        <f>IFERROR(VLOOKUP(A833,'Salary Calculation'!$A$2:$V$999,10,0),"")</f>
        <v/>
      </c>
      <c r="F833" s="101"/>
      <c r="G833" s="106" t="str">
        <f>IFERROR(VLOOKUP(A833,'Salary Calculation'!$A$2:$V$999,7,0),"")</f>
        <v/>
      </c>
      <c r="H833" s="100"/>
      <c r="I833" s="101"/>
      <c r="J833" s="101"/>
      <c r="K833" s="101"/>
      <c r="L833" s="101"/>
      <c r="M833" s="101"/>
      <c r="N833" s="101"/>
      <c r="O833" s="101"/>
      <c r="P833" s="101"/>
      <c r="Q833" s="101"/>
      <c r="R833" s="101"/>
      <c r="S833" s="101"/>
      <c r="T833" s="101"/>
      <c r="U833" s="101"/>
      <c r="V833" s="101"/>
      <c r="W833" s="101"/>
      <c r="X833" s="101"/>
      <c r="Y833" s="101"/>
      <c r="Z833" s="101"/>
      <c r="AA833" s="101"/>
      <c r="AB833" s="101"/>
    </row>
    <row r="834">
      <c r="A834" s="104" t="s">
        <v>971</v>
      </c>
      <c r="B834" s="105" t="str">
        <f>IFERROR(VLOOKUP(A834,'Salary Calculation'!A833:F1830,2,0),"")</f>
        <v/>
      </c>
      <c r="C834" s="105" t="str">
        <f>IFERROR(VLOOKUP(A834,'Salary Calculation'!$A$2:$V$999,3,0),"")</f>
        <v/>
      </c>
      <c r="D834" s="105" t="str">
        <f>IFERROR(VLOOKUP(A834,'Salary Calculation'!$A$2:$V$999,6,0),"")</f>
        <v/>
      </c>
      <c r="E834" s="105" t="str">
        <f>IFERROR(VLOOKUP(A834,'Salary Calculation'!$A$2:$V$999,10,0),"")</f>
        <v/>
      </c>
      <c r="F834" s="101"/>
      <c r="G834" s="106" t="str">
        <f>IFERROR(VLOOKUP(A834,'Salary Calculation'!$A$2:$V$999,7,0),"")</f>
        <v/>
      </c>
      <c r="H834" s="100"/>
      <c r="I834" s="101"/>
      <c r="J834" s="101"/>
      <c r="K834" s="101"/>
      <c r="L834" s="101"/>
      <c r="M834" s="101"/>
      <c r="N834" s="101"/>
      <c r="O834" s="101"/>
      <c r="P834" s="101"/>
      <c r="Q834" s="101"/>
      <c r="R834" s="101"/>
      <c r="S834" s="101"/>
      <c r="T834" s="101"/>
      <c r="U834" s="101"/>
      <c r="V834" s="101"/>
      <c r="W834" s="101"/>
      <c r="X834" s="101"/>
      <c r="Y834" s="101"/>
      <c r="Z834" s="101"/>
      <c r="AA834" s="101"/>
      <c r="AB834" s="101"/>
    </row>
    <row r="835">
      <c r="A835" s="104" t="s">
        <v>972</v>
      </c>
      <c r="B835" s="105" t="str">
        <f>IFERROR(VLOOKUP(A835,'Salary Calculation'!A834:F1831,2,0),"")</f>
        <v/>
      </c>
      <c r="C835" s="105" t="str">
        <f>IFERROR(VLOOKUP(A835,'Salary Calculation'!$A$2:$V$999,3,0),"")</f>
        <v/>
      </c>
      <c r="D835" s="105" t="str">
        <f>IFERROR(VLOOKUP(A835,'Salary Calculation'!$A$2:$V$999,6,0),"")</f>
        <v/>
      </c>
      <c r="E835" s="105" t="str">
        <f>IFERROR(VLOOKUP(A835,'Salary Calculation'!$A$2:$V$999,10,0),"")</f>
        <v/>
      </c>
      <c r="F835" s="101"/>
      <c r="G835" s="106" t="str">
        <f>IFERROR(VLOOKUP(A835,'Salary Calculation'!$A$2:$V$999,7,0),"")</f>
        <v/>
      </c>
      <c r="H835" s="100"/>
      <c r="I835" s="101"/>
      <c r="J835" s="101"/>
      <c r="K835" s="101"/>
      <c r="L835" s="101"/>
      <c r="M835" s="101"/>
      <c r="N835" s="101"/>
      <c r="O835" s="101"/>
      <c r="P835" s="101"/>
      <c r="Q835" s="101"/>
      <c r="R835" s="101"/>
      <c r="S835" s="101"/>
      <c r="T835" s="101"/>
      <c r="U835" s="101"/>
      <c r="V835" s="101"/>
      <c r="W835" s="101"/>
      <c r="X835" s="101"/>
      <c r="Y835" s="101"/>
      <c r="Z835" s="101"/>
      <c r="AA835" s="101"/>
      <c r="AB835" s="101"/>
    </row>
    <row r="836">
      <c r="A836" s="104" t="s">
        <v>973</v>
      </c>
      <c r="B836" s="105" t="str">
        <f>IFERROR(VLOOKUP(A836,'Salary Calculation'!A835:F1832,2,0),"")</f>
        <v/>
      </c>
      <c r="C836" s="105" t="str">
        <f>IFERROR(VLOOKUP(A836,'Salary Calculation'!$A$2:$V$999,3,0),"")</f>
        <v/>
      </c>
      <c r="D836" s="105" t="str">
        <f>IFERROR(VLOOKUP(A836,'Salary Calculation'!$A$2:$V$999,6,0),"")</f>
        <v/>
      </c>
      <c r="E836" s="105" t="str">
        <f>IFERROR(VLOOKUP(A836,'Salary Calculation'!$A$2:$V$999,10,0),"")</f>
        <v/>
      </c>
      <c r="F836" s="101"/>
      <c r="G836" s="106" t="str">
        <f>IFERROR(VLOOKUP(A836,'Salary Calculation'!$A$2:$V$999,7,0),"")</f>
        <v/>
      </c>
      <c r="H836" s="100"/>
      <c r="I836" s="101"/>
      <c r="J836" s="101"/>
      <c r="K836" s="101"/>
      <c r="L836" s="101"/>
      <c r="M836" s="101"/>
      <c r="N836" s="101"/>
      <c r="O836" s="101"/>
      <c r="P836" s="101"/>
      <c r="Q836" s="101"/>
      <c r="R836" s="101"/>
      <c r="S836" s="101"/>
      <c r="T836" s="101"/>
      <c r="U836" s="101"/>
      <c r="V836" s="101"/>
      <c r="W836" s="101"/>
      <c r="X836" s="101"/>
      <c r="Y836" s="101"/>
      <c r="Z836" s="101"/>
      <c r="AA836" s="101"/>
      <c r="AB836" s="101"/>
    </row>
    <row r="837">
      <c r="A837" s="104" t="s">
        <v>974</v>
      </c>
      <c r="B837" s="105" t="str">
        <f>IFERROR(VLOOKUP(A837,'Salary Calculation'!A836:F1833,2,0),"")</f>
        <v/>
      </c>
      <c r="C837" s="105" t="str">
        <f>IFERROR(VLOOKUP(A837,'Salary Calculation'!$A$2:$V$999,3,0),"")</f>
        <v/>
      </c>
      <c r="D837" s="105" t="str">
        <f>IFERROR(VLOOKUP(A837,'Salary Calculation'!$A$2:$V$999,6,0),"")</f>
        <v/>
      </c>
      <c r="E837" s="105" t="str">
        <f>IFERROR(VLOOKUP(A837,'Salary Calculation'!$A$2:$V$999,10,0),"")</f>
        <v/>
      </c>
      <c r="F837" s="101"/>
      <c r="G837" s="106" t="str">
        <f>IFERROR(VLOOKUP(A837,'Salary Calculation'!$A$2:$V$999,7,0),"")</f>
        <v/>
      </c>
      <c r="H837" s="100"/>
      <c r="I837" s="101"/>
      <c r="J837" s="101"/>
      <c r="K837" s="101"/>
      <c r="L837" s="101"/>
      <c r="M837" s="101"/>
      <c r="N837" s="101"/>
      <c r="O837" s="101"/>
      <c r="P837" s="101"/>
      <c r="Q837" s="101"/>
      <c r="R837" s="101"/>
      <c r="S837" s="101"/>
      <c r="T837" s="101"/>
      <c r="U837" s="101"/>
      <c r="V837" s="101"/>
      <c r="W837" s="101"/>
      <c r="X837" s="101"/>
      <c r="Y837" s="101"/>
      <c r="Z837" s="101"/>
      <c r="AA837" s="101"/>
      <c r="AB837" s="101"/>
    </row>
    <row r="838">
      <c r="A838" s="104" t="s">
        <v>975</v>
      </c>
      <c r="B838" s="105" t="str">
        <f>IFERROR(VLOOKUP(A838,'Salary Calculation'!A837:F1834,2,0),"")</f>
        <v/>
      </c>
      <c r="C838" s="105" t="str">
        <f>IFERROR(VLOOKUP(A838,'Salary Calculation'!$A$2:$V$999,3,0),"")</f>
        <v/>
      </c>
      <c r="D838" s="105" t="str">
        <f>IFERROR(VLOOKUP(A838,'Salary Calculation'!$A$2:$V$999,6,0),"")</f>
        <v/>
      </c>
      <c r="E838" s="105" t="str">
        <f>IFERROR(VLOOKUP(A838,'Salary Calculation'!$A$2:$V$999,10,0),"")</f>
        <v/>
      </c>
      <c r="F838" s="101"/>
      <c r="G838" s="106" t="str">
        <f>IFERROR(VLOOKUP(A838,'Salary Calculation'!$A$2:$V$999,7,0),"")</f>
        <v/>
      </c>
      <c r="H838" s="100"/>
      <c r="I838" s="101"/>
      <c r="J838" s="101"/>
      <c r="K838" s="101"/>
      <c r="L838" s="101"/>
      <c r="M838" s="101"/>
      <c r="N838" s="101"/>
      <c r="O838" s="101"/>
      <c r="P838" s="101"/>
      <c r="Q838" s="101"/>
      <c r="R838" s="101"/>
      <c r="S838" s="101"/>
      <c r="T838" s="101"/>
      <c r="U838" s="101"/>
      <c r="V838" s="101"/>
      <c r="W838" s="101"/>
      <c r="X838" s="101"/>
      <c r="Y838" s="101"/>
      <c r="Z838" s="101"/>
      <c r="AA838" s="101"/>
      <c r="AB838" s="101"/>
    </row>
    <row r="839">
      <c r="A839" s="104" t="s">
        <v>976</v>
      </c>
      <c r="B839" s="105" t="str">
        <f>IFERROR(VLOOKUP(A839,'Salary Calculation'!A838:F1835,2,0),"")</f>
        <v/>
      </c>
      <c r="C839" s="105" t="str">
        <f>IFERROR(VLOOKUP(A839,'Salary Calculation'!$A$2:$V$999,3,0),"")</f>
        <v/>
      </c>
      <c r="D839" s="105" t="str">
        <f>IFERROR(VLOOKUP(A839,'Salary Calculation'!$A$2:$V$999,6,0),"")</f>
        <v/>
      </c>
      <c r="E839" s="105" t="str">
        <f>IFERROR(VLOOKUP(A839,'Salary Calculation'!$A$2:$V$999,10,0),"")</f>
        <v/>
      </c>
      <c r="F839" s="101"/>
      <c r="G839" s="106" t="str">
        <f>IFERROR(VLOOKUP(A839,'Salary Calculation'!$A$2:$V$999,7,0),"")</f>
        <v/>
      </c>
      <c r="H839" s="100"/>
      <c r="I839" s="101"/>
      <c r="J839" s="101"/>
      <c r="K839" s="101"/>
      <c r="L839" s="101"/>
      <c r="M839" s="101"/>
      <c r="N839" s="101"/>
      <c r="O839" s="101"/>
      <c r="P839" s="101"/>
      <c r="Q839" s="101"/>
      <c r="R839" s="101"/>
      <c r="S839" s="101"/>
      <c r="T839" s="101"/>
      <c r="U839" s="101"/>
      <c r="V839" s="101"/>
      <c r="W839" s="101"/>
      <c r="X839" s="101"/>
      <c r="Y839" s="101"/>
      <c r="Z839" s="101"/>
      <c r="AA839" s="101"/>
      <c r="AB839" s="101"/>
    </row>
    <row r="840">
      <c r="A840" s="104" t="s">
        <v>977</v>
      </c>
      <c r="B840" s="105" t="str">
        <f>IFERROR(VLOOKUP(A840,'Salary Calculation'!A839:F1836,2,0),"")</f>
        <v/>
      </c>
      <c r="C840" s="105" t="str">
        <f>IFERROR(VLOOKUP(A840,'Salary Calculation'!$A$2:$V$999,3,0),"")</f>
        <v/>
      </c>
      <c r="D840" s="105" t="str">
        <f>IFERROR(VLOOKUP(A840,'Salary Calculation'!$A$2:$V$999,6,0),"")</f>
        <v/>
      </c>
      <c r="E840" s="105" t="str">
        <f>IFERROR(VLOOKUP(A840,'Salary Calculation'!$A$2:$V$999,10,0),"")</f>
        <v/>
      </c>
      <c r="F840" s="101"/>
      <c r="G840" s="106" t="str">
        <f>IFERROR(VLOOKUP(A840,'Salary Calculation'!$A$2:$V$999,7,0),"")</f>
        <v/>
      </c>
      <c r="H840" s="100"/>
      <c r="I840" s="101"/>
      <c r="J840" s="101"/>
      <c r="K840" s="101"/>
      <c r="L840" s="101"/>
      <c r="M840" s="101"/>
      <c r="N840" s="101"/>
      <c r="O840" s="101"/>
      <c r="P840" s="101"/>
      <c r="Q840" s="101"/>
      <c r="R840" s="101"/>
      <c r="S840" s="101"/>
      <c r="T840" s="101"/>
      <c r="U840" s="101"/>
      <c r="V840" s="101"/>
      <c r="W840" s="101"/>
      <c r="X840" s="101"/>
      <c r="Y840" s="101"/>
      <c r="Z840" s="101"/>
      <c r="AA840" s="101"/>
      <c r="AB840" s="101"/>
    </row>
    <row r="841">
      <c r="A841" s="104" t="s">
        <v>978</v>
      </c>
      <c r="B841" s="105" t="str">
        <f>IFERROR(VLOOKUP(A841,'Salary Calculation'!A840:F1837,2,0),"")</f>
        <v/>
      </c>
      <c r="C841" s="105" t="str">
        <f>IFERROR(VLOOKUP(A841,'Salary Calculation'!$A$2:$V$999,3,0),"")</f>
        <v/>
      </c>
      <c r="D841" s="105" t="str">
        <f>IFERROR(VLOOKUP(A841,'Salary Calculation'!$A$2:$V$999,6,0),"")</f>
        <v/>
      </c>
      <c r="E841" s="105" t="str">
        <f>IFERROR(VLOOKUP(A841,'Salary Calculation'!$A$2:$V$999,10,0),"")</f>
        <v/>
      </c>
      <c r="F841" s="101"/>
      <c r="G841" s="106" t="str">
        <f>IFERROR(VLOOKUP(A841,'Salary Calculation'!$A$2:$V$999,7,0),"")</f>
        <v/>
      </c>
      <c r="H841" s="100"/>
      <c r="I841" s="101"/>
      <c r="J841" s="101"/>
      <c r="K841" s="101"/>
      <c r="L841" s="101"/>
      <c r="M841" s="101"/>
      <c r="N841" s="101"/>
      <c r="O841" s="101"/>
      <c r="P841" s="101"/>
      <c r="Q841" s="101"/>
      <c r="R841" s="101"/>
      <c r="S841" s="101"/>
      <c r="T841" s="101"/>
      <c r="U841" s="101"/>
      <c r="V841" s="101"/>
      <c r="W841" s="101"/>
      <c r="X841" s="101"/>
      <c r="Y841" s="101"/>
      <c r="Z841" s="101"/>
      <c r="AA841" s="101"/>
      <c r="AB841" s="101"/>
    </row>
    <row r="842">
      <c r="A842" s="104" t="s">
        <v>979</v>
      </c>
      <c r="B842" s="105" t="str">
        <f>IFERROR(VLOOKUP(A842,'Salary Calculation'!A841:F1838,2,0),"")</f>
        <v/>
      </c>
      <c r="C842" s="105" t="str">
        <f>IFERROR(VLOOKUP(A842,'Salary Calculation'!$A$2:$V$999,3,0),"")</f>
        <v/>
      </c>
      <c r="D842" s="105" t="str">
        <f>IFERROR(VLOOKUP(A842,'Salary Calculation'!$A$2:$V$999,6,0),"")</f>
        <v/>
      </c>
      <c r="E842" s="105" t="str">
        <f>IFERROR(VLOOKUP(A842,'Salary Calculation'!$A$2:$V$999,10,0),"")</f>
        <v/>
      </c>
      <c r="F842" s="101"/>
      <c r="G842" s="106" t="str">
        <f>IFERROR(VLOOKUP(A842,'Salary Calculation'!$A$2:$V$999,7,0),"")</f>
        <v/>
      </c>
      <c r="H842" s="100"/>
      <c r="I842" s="101"/>
      <c r="J842" s="101"/>
      <c r="K842" s="101"/>
      <c r="L842" s="101"/>
      <c r="M842" s="101"/>
      <c r="N842" s="101"/>
      <c r="O842" s="101"/>
      <c r="P842" s="101"/>
      <c r="Q842" s="101"/>
      <c r="R842" s="101"/>
      <c r="S842" s="101"/>
      <c r="T842" s="101"/>
      <c r="U842" s="101"/>
      <c r="V842" s="101"/>
      <c r="W842" s="101"/>
      <c r="X842" s="101"/>
      <c r="Y842" s="101"/>
      <c r="Z842" s="101"/>
      <c r="AA842" s="101"/>
      <c r="AB842" s="101"/>
    </row>
    <row r="843">
      <c r="A843" s="104" t="s">
        <v>980</v>
      </c>
      <c r="B843" s="105" t="str">
        <f>IFERROR(VLOOKUP(A843,'Salary Calculation'!A842:F1839,2,0),"")</f>
        <v/>
      </c>
      <c r="C843" s="105" t="str">
        <f>IFERROR(VLOOKUP(A843,'Salary Calculation'!$A$2:$V$999,3,0),"")</f>
        <v/>
      </c>
      <c r="D843" s="105" t="str">
        <f>IFERROR(VLOOKUP(A843,'Salary Calculation'!$A$2:$V$999,6,0),"")</f>
        <v/>
      </c>
      <c r="E843" s="105" t="str">
        <f>IFERROR(VLOOKUP(A843,'Salary Calculation'!$A$2:$V$999,10,0),"")</f>
        <v/>
      </c>
      <c r="F843" s="101"/>
      <c r="G843" s="106" t="str">
        <f>IFERROR(VLOOKUP(A843,'Salary Calculation'!$A$2:$V$999,7,0),"")</f>
        <v/>
      </c>
      <c r="H843" s="100"/>
      <c r="I843" s="101"/>
      <c r="J843" s="101"/>
      <c r="K843" s="101"/>
      <c r="L843" s="101"/>
      <c r="M843" s="101"/>
      <c r="N843" s="101"/>
      <c r="O843" s="101"/>
      <c r="P843" s="101"/>
      <c r="Q843" s="101"/>
      <c r="R843" s="101"/>
      <c r="S843" s="101"/>
      <c r="T843" s="101"/>
      <c r="U843" s="101"/>
      <c r="V843" s="101"/>
      <c r="W843" s="101"/>
      <c r="X843" s="101"/>
      <c r="Y843" s="101"/>
      <c r="Z843" s="101"/>
      <c r="AA843" s="101"/>
      <c r="AB843" s="101"/>
    </row>
    <row r="844">
      <c r="A844" s="104" t="s">
        <v>981</v>
      </c>
      <c r="B844" s="105" t="str">
        <f>IFERROR(VLOOKUP(A844,'Salary Calculation'!A843:F1840,2,0),"")</f>
        <v/>
      </c>
      <c r="C844" s="105" t="str">
        <f>IFERROR(VLOOKUP(A844,'Salary Calculation'!$A$2:$V$999,3,0),"")</f>
        <v/>
      </c>
      <c r="D844" s="105" t="str">
        <f>IFERROR(VLOOKUP(A844,'Salary Calculation'!$A$2:$V$999,6,0),"")</f>
        <v/>
      </c>
      <c r="E844" s="105" t="str">
        <f>IFERROR(VLOOKUP(A844,'Salary Calculation'!$A$2:$V$999,10,0),"")</f>
        <v/>
      </c>
      <c r="F844" s="101"/>
      <c r="G844" s="106" t="str">
        <f>IFERROR(VLOOKUP(A844,'Salary Calculation'!$A$2:$V$999,7,0),"")</f>
        <v/>
      </c>
      <c r="H844" s="100"/>
      <c r="I844" s="101"/>
      <c r="J844" s="101"/>
      <c r="K844" s="101"/>
      <c r="L844" s="101"/>
      <c r="M844" s="101"/>
      <c r="N844" s="101"/>
      <c r="O844" s="101"/>
      <c r="P844" s="101"/>
      <c r="Q844" s="101"/>
      <c r="R844" s="101"/>
      <c r="S844" s="101"/>
      <c r="T844" s="101"/>
      <c r="U844" s="101"/>
      <c r="V844" s="101"/>
      <c r="W844" s="101"/>
      <c r="X844" s="101"/>
      <c r="Y844" s="101"/>
      <c r="Z844" s="101"/>
      <c r="AA844" s="101"/>
      <c r="AB844" s="101"/>
    </row>
    <row r="845">
      <c r="A845" s="104" t="s">
        <v>982</v>
      </c>
      <c r="B845" s="105" t="str">
        <f>IFERROR(VLOOKUP(A845,'Salary Calculation'!A844:F1841,2,0),"")</f>
        <v/>
      </c>
      <c r="C845" s="105" t="str">
        <f>IFERROR(VLOOKUP(A845,'Salary Calculation'!$A$2:$V$999,3,0),"")</f>
        <v/>
      </c>
      <c r="D845" s="105" t="str">
        <f>IFERROR(VLOOKUP(A845,'Salary Calculation'!$A$2:$V$999,6,0),"")</f>
        <v/>
      </c>
      <c r="E845" s="105" t="str">
        <f>IFERROR(VLOOKUP(A845,'Salary Calculation'!$A$2:$V$999,10,0),"")</f>
        <v/>
      </c>
      <c r="F845" s="101"/>
      <c r="G845" s="106" t="str">
        <f>IFERROR(VLOOKUP(A845,'Salary Calculation'!$A$2:$V$999,7,0),"")</f>
        <v/>
      </c>
      <c r="H845" s="100"/>
      <c r="I845" s="101"/>
      <c r="J845" s="101"/>
      <c r="K845" s="101"/>
      <c r="L845" s="101"/>
      <c r="M845" s="101"/>
      <c r="N845" s="101"/>
      <c r="O845" s="101"/>
      <c r="P845" s="101"/>
      <c r="Q845" s="101"/>
      <c r="R845" s="101"/>
      <c r="S845" s="101"/>
      <c r="T845" s="101"/>
      <c r="U845" s="101"/>
      <c r="V845" s="101"/>
      <c r="W845" s="101"/>
      <c r="X845" s="101"/>
      <c r="Y845" s="101"/>
      <c r="Z845" s="101"/>
      <c r="AA845" s="101"/>
      <c r="AB845" s="101"/>
    </row>
    <row r="846">
      <c r="A846" s="104" t="s">
        <v>983</v>
      </c>
      <c r="B846" s="105" t="str">
        <f>IFERROR(VLOOKUP(A846,'Salary Calculation'!A845:F1842,2,0),"")</f>
        <v/>
      </c>
      <c r="C846" s="105" t="str">
        <f>IFERROR(VLOOKUP(A846,'Salary Calculation'!$A$2:$V$999,3,0),"")</f>
        <v/>
      </c>
      <c r="D846" s="105" t="str">
        <f>IFERROR(VLOOKUP(A846,'Salary Calculation'!$A$2:$V$999,6,0),"")</f>
        <v/>
      </c>
      <c r="E846" s="105" t="str">
        <f>IFERROR(VLOOKUP(A846,'Salary Calculation'!$A$2:$V$999,10,0),"")</f>
        <v/>
      </c>
      <c r="F846" s="101"/>
      <c r="G846" s="106" t="str">
        <f>IFERROR(VLOOKUP(A846,'Salary Calculation'!$A$2:$V$999,7,0),"")</f>
        <v/>
      </c>
      <c r="H846" s="100"/>
      <c r="I846" s="101"/>
      <c r="J846" s="101"/>
      <c r="K846" s="101"/>
      <c r="L846" s="101"/>
      <c r="M846" s="101"/>
      <c r="N846" s="101"/>
      <c r="O846" s="101"/>
      <c r="P846" s="101"/>
      <c r="Q846" s="101"/>
      <c r="R846" s="101"/>
      <c r="S846" s="101"/>
      <c r="T846" s="101"/>
      <c r="U846" s="101"/>
      <c r="V846" s="101"/>
      <c r="W846" s="101"/>
      <c r="X846" s="101"/>
      <c r="Y846" s="101"/>
      <c r="Z846" s="101"/>
      <c r="AA846" s="101"/>
      <c r="AB846" s="101"/>
    </row>
    <row r="847">
      <c r="A847" s="104" t="s">
        <v>984</v>
      </c>
      <c r="B847" s="105" t="str">
        <f>IFERROR(VLOOKUP(A847,'Salary Calculation'!A846:F1843,2,0),"")</f>
        <v/>
      </c>
      <c r="C847" s="105" t="str">
        <f>IFERROR(VLOOKUP(A847,'Salary Calculation'!$A$2:$V$999,3,0),"")</f>
        <v/>
      </c>
      <c r="D847" s="105" t="str">
        <f>IFERROR(VLOOKUP(A847,'Salary Calculation'!$A$2:$V$999,6,0),"")</f>
        <v/>
      </c>
      <c r="E847" s="105" t="str">
        <f>IFERROR(VLOOKUP(A847,'Salary Calculation'!$A$2:$V$999,10,0),"")</f>
        <v/>
      </c>
      <c r="F847" s="101"/>
      <c r="G847" s="106" t="str">
        <f>IFERROR(VLOOKUP(A847,'Salary Calculation'!$A$2:$V$999,7,0),"")</f>
        <v/>
      </c>
      <c r="H847" s="100"/>
      <c r="I847" s="101"/>
      <c r="J847" s="101"/>
      <c r="K847" s="101"/>
      <c r="L847" s="101"/>
      <c r="M847" s="101"/>
      <c r="N847" s="101"/>
      <c r="O847" s="101"/>
      <c r="P847" s="101"/>
      <c r="Q847" s="101"/>
      <c r="R847" s="101"/>
      <c r="S847" s="101"/>
      <c r="T847" s="101"/>
      <c r="U847" s="101"/>
      <c r="V847" s="101"/>
      <c r="W847" s="101"/>
      <c r="X847" s="101"/>
      <c r="Y847" s="101"/>
      <c r="Z847" s="101"/>
      <c r="AA847" s="101"/>
      <c r="AB847" s="101"/>
    </row>
    <row r="848">
      <c r="A848" s="104" t="s">
        <v>985</v>
      </c>
      <c r="B848" s="105" t="str">
        <f>IFERROR(VLOOKUP(A848,'Salary Calculation'!A847:F1844,2,0),"")</f>
        <v/>
      </c>
      <c r="C848" s="105" t="str">
        <f>IFERROR(VLOOKUP(A848,'Salary Calculation'!$A$2:$V$999,3,0),"")</f>
        <v/>
      </c>
      <c r="D848" s="105" t="str">
        <f>IFERROR(VLOOKUP(A848,'Salary Calculation'!$A$2:$V$999,6,0),"")</f>
        <v/>
      </c>
      <c r="E848" s="105" t="str">
        <f>IFERROR(VLOOKUP(A848,'Salary Calculation'!$A$2:$V$999,10,0),"")</f>
        <v/>
      </c>
      <c r="F848" s="101"/>
      <c r="G848" s="106" t="str">
        <f>IFERROR(VLOOKUP(A848,'Salary Calculation'!$A$2:$V$999,7,0),"")</f>
        <v/>
      </c>
      <c r="H848" s="100"/>
      <c r="I848" s="101"/>
      <c r="J848" s="101"/>
      <c r="K848" s="101"/>
      <c r="L848" s="101"/>
      <c r="M848" s="101"/>
      <c r="N848" s="101"/>
      <c r="O848" s="101"/>
      <c r="P848" s="101"/>
      <c r="Q848" s="101"/>
      <c r="R848" s="101"/>
      <c r="S848" s="101"/>
      <c r="T848" s="101"/>
      <c r="U848" s="101"/>
      <c r="V848" s="101"/>
      <c r="W848" s="101"/>
      <c r="X848" s="101"/>
      <c r="Y848" s="101"/>
      <c r="Z848" s="101"/>
      <c r="AA848" s="101"/>
      <c r="AB848" s="101"/>
    </row>
    <row r="849">
      <c r="A849" s="104" t="s">
        <v>986</v>
      </c>
      <c r="B849" s="105" t="str">
        <f>IFERROR(VLOOKUP(A849,'Salary Calculation'!A848:F1845,2,0),"")</f>
        <v/>
      </c>
      <c r="C849" s="105" t="str">
        <f>IFERROR(VLOOKUP(A849,'Salary Calculation'!$A$2:$V$999,3,0),"")</f>
        <v/>
      </c>
      <c r="D849" s="105" t="str">
        <f>IFERROR(VLOOKUP(A849,'Salary Calculation'!$A$2:$V$999,6,0),"")</f>
        <v/>
      </c>
      <c r="E849" s="105" t="str">
        <f>IFERROR(VLOOKUP(A849,'Salary Calculation'!$A$2:$V$999,10,0),"")</f>
        <v/>
      </c>
      <c r="F849" s="101"/>
      <c r="G849" s="106" t="str">
        <f>IFERROR(VLOOKUP(A849,'Salary Calculation'!$A$2:$V$999,7,0),"")</f>
        <v/>
      </c>
      <c r="H849" s="100"/>
      <c r="I849" s="101"/>
      <c r="J849" s="101"/>
      <c r="K849" s="101"/>
      <c r="L849" s="101"/>
      <c r="M849" s="101"/>
      <c r="N849" s="101"/>
      <c r="O849" s="101"/>
      <c r="P849" s="101"/>
      <c r="Q849" s="101"/>
      <c r="R849" s="101"/>
      <c r="S849" s="101"/>
      <c r="T849" s="101"/>
      <c r="U849" s="101"/>
      <c r="V849" s="101"/>
      <c r="W849" s="101"/>
      <c r="X849" s="101"/>
      <c r="Y849" s="101"/>
      <c r="Z849" s="101"/>
      <c r="AA849" s="101"/>
      <c r="AB849" s="101"/>
    </row>
    <row r="850">
      <c r="A850" s="104" t="s">
        <v>987</v>
      </c>
      <c r="B850" s="105" t="str">
        <f>IFERROR(VLOOKUP(A850,'Salary Calculation'!A849:F1846,2,0),"")</f>
        <v/>
      </c>
      <c r="C850" s="105" t="str">
        <f>IFERROR(VLOOKUP(A850,'Salary Calculation'!$A$2:$V$999,3,0),"")</f>
        <v/>
      </c>
      <c r="D850" s="105" t="str">
        <f>IFERROR(VLOOKUP(A850,'Salary Calculation'!$A$2:$V$999,6,0),"")</f>
        <v/>
      </c>
      <c r="E850" s="105" t="str">
        <f>IFERROR(VLOOKUP(A850,'Salary Calculation'!$A$2:$V$999,10,0),"")</f>
        <v/>
      </c>
      <c r="F850" s="101"/>
      <c r="G850" s="106" t="str">
        <f>IFERROR(VLOOKUP(A850,'Salary Calculation'!$A$2:$V$999,7,0),"")</f>
        <v/>
      </c>
      <c r="H850" s="100"/>
      <c r="I850" s="101"/>
      <c r="J850" s="101"/>
      <c r="K850" s="101"/>
      <c r="L850" s="101"/>
      <c r="M850" s="101"/>
      <c r="N850" s="101"/>
      <c r="O850" s="101"/>
      <c r="P850" s="101"/>
      <c r="Q850" s="101"/>
      <c r="R850" s="101"/>
      <c r="S850" s="101"/>
      <c r="T850" s="101"/>
      <c r="U850" s="101"/>
      <c r="V850" s="101"/>
      <c r="W850" s="101"/>
      <c r="X850" s="101"/>
      <c r="Y850" s="101"/>
      <c r="Z850" s="101"/>
      <c r="AA850" s="101"/>
      <c r="AB850" s="101"/>
    </row>
    <row r="851">
      <c r="A851" s="104" t="s">
        <v>988</v>
      </c>
      <c r="B851" s="105" t="str">
        <f>IFERROR(VLOOKUP(A851,'Salary Calculation'!A850:F1847,2,0),"")</f>
        <v/>
      </c>
      <c r="C851" s="105" t="str">
        <f>IFERROR(VLOOKUP(A851,'Salary Calculation'!$A$2:$V$999,3,0),"")</f>
        <v/>
      </c>
      <c r="D851" s="105" t="str">
        <f>IFERROR(VLOOKUP(A851,'Salary Calculation'!$A$2:$V$999,6,0),"")</f>
        <v/>
      </c>
      <c r="E851" s="105" t="str">
        <f>IFERROR(VLOOKUP(A851,'Salary Calculation'!$A$2:$V$999,10,0),"")</f>
        <v/>
      </c>
      <c r="F851" s="101"/>
      <c r="G851" s="106" t="str">
        <f>IFERROR(VLOOKUP(A851,'Salary Calculation'!$A$2:$V$999,7,0),"")</f>
        <v/>
      </c>
      <c r="H851" s="100"/>
      <c r="I851" s="101"/>
      <c r="J851" s="101"/>
      <c r="K851" s="101"/>
      <c r="L851" s="101"/>
      <c r="M851" s="101"/>
      <c r="N851" s="101"/>
      <c r="O851" s="101"/>
      <c r="P851" s="101"/>
      <c r="Q851" s="101"/>
      <c r="R851" s="101"/>
      <c r="S851" s="101"/>
      <c r="T851" s="101"/>
      <c r="U851" s="101"/>
      <c r="V851" s="101"/>
      <c r="W851" s="101"/>
      <c r="X851" s="101"/>
      <c r="Y851" s="101"/>
      <c r="Z851" s="101"/>
      <c r="AA851" s="101"/>
      <c r="AB851" s="101"/>
    </row>
    <row r="852">
      <c r="A852" s="104" t="s">
        <v>989</v>
      </c>
      <c r="B852" s="105" t="str">
        <f>IFERROR(VLOOKUP(A852,'Salary Calculation'!A851:F1848,2,0),"")</f>
        <v/>
      </c>
      <c r="C852" s="105" t="str">
        <f>IFERROR(VLOOKUP(A852,'Salary Calculation'!$A$2:$V$999,3,0),"")</f>
        <v/>
      </c>
      <c r="D852" s="105" t="str">
        <f>IFERROR(VLOOKUP(A852,'Salary Calculation'!$A$2:$V$999,6,0),"")</f>
        <v/>
      </c>
      <c r="E852" s="105" t="str">
        <f>IFERROR(VLOOKUP(A852,'Salary Calculation'!$A$2:$V$999,10,0),"")</f>
        <v/>
      </c>
      <c r="F852" s="101"/>
      <c r="G852" s="106" t="str">
        <f>IFERROR(VLOOKUP(A852,'Salary Calculation'!$A$2:$V$999,7,0),"")</f>
        <v/>
      </c>
      <c r="H852" s="100"/>
      <c r="I852" s="101"/>
      <c r="J852" s="101"/>
      <c r="K852" s="101"/>
      <c r="L852" s="101"/>
      <c r="M852" s="101"/>
      <c r="N852" s="101"/>
      <c r="O852" s="101"/>
      <c r="P852" s="101"/>
      <c r="Q852" s="101"/>
      <c r="R852" s="101"/>
      <c r="S852" s="101"/>
      <c r="T852" s="101"/>
      <c r="U852" s="101"/>
      <c r="V852" s="101"/>
      <c r="W852" s="101"/>
      <c r="X852" s="101"/>
      <c r="Y852" s="101"/>
      <c r="Z852" s="101"/>
      <c r="AA852" s="101"/>
      <c r="AB852" s="101"/>
    </row>
    <row r="853">
      <c r="A853" s="104" t="s">
        <v>990</v>
      </c>
      <c r="B853" s="105" t="str">
        <f>IFERROR(VLOOKUP(A853,'Salary Calculation'!A852:F1849,2,0),"")</f>
        <v/>
      </c>
      <c r="C853" s="105" t="str">
        <f>IFERROR(VLOOKUP(A853,'Salary Calculation'!$A$2:$V$999,3,0),"")</f>
        <v/>
      </c>
      <c r="D853" s="105" t="str">
        <f>IFERROR(VLOOKUP(A853,'Salary Calculation'!$A$2:$V$999,6,0),"")</f>
        <v/>
      </c>
      <c r="E853" s="105" t="str">
        <f>IFERROR(VLOOKUP(A853,'Salary Calculation'!$A$2:$V$999,10,0),"")</f>
        <v/>
      </c>
      <c r="F853" s="101"/>
      <c r="G853" s="106" t="str">
        <f>IFERROR(VLOOKUP(A853,'Salary Calculation'!$A$2:$V$999,7,0),"")</f>
        <v/>
      </c>
      <c r="H853" s="100"/>
      <c r="I853" s="101"/>
      <c r="J853" s="101"/>
      <c r="K853" s="101"/>
      <c r="L853" s="101"/>
      <c r="M853" s="101"/>
      <c r="N853" s="101"/>
      <c r="O853" s="101"/>
      <c r="P853" s="101"/>
      <c r="Q853" s="101"/>
      <c r="R853" s="101"/>
      <c r="S853" s="101"/>
      <c r="T853" s="101"/>
      <c r="U853" s="101"/>
      <c r="V853" s="101"/>
      <c r="W853" s="101"/>
      <c r="X853" s="101"/>
      <c r="Y853" s="101"/>
      <c r="Z853" s="101"/>
      <c r="AA853" s="101"/>
      <c r="AB853" s="101"/>
    </row>
    <row r="854">
      <c r="A854" s="104" t="s">
        <v>991</v>
      </c>
      <c r="B854" s="105" t="str">
        <f>IFERROR(VLOOKUP(A854,'Salary Calculation'!A853:F1850,2,0),"")</f>
        <v/>
      </c>
      <c r="C854" s="105" t="str">
        <f>IFERROR(VLOOKUP(A854,'Salary Calculation'!$A$2:$V$999,3,0),"")</f>
        <v/>
      </c>
      <c r="D854" s="105" t="str">
        <f>IFERROR(VLOOKUP(A854,'Salary Calculation'!$A$2:$V$999,6,0),"")</f>
        <v/>
      </c>
      <c r="E854" s="105" t="str">
        <f>IFERROR(VLOOKUP(A854,'Salary Calculation'!$A$2:$V$999,10,0),"")</f>
        <v/>
      </c>
      <c r="F854" s="101"/>
      <c r="G854" s="106" t="str">
        <f>IFERROR(VLOOKUP(A854,'Salary Calculation'!$A$2:$V$999,7,0),"")</f>
        <v/>
      </c>
      <c r="H854" s="100"/>
      <c r="I854" s="101"/>
      <c r="J854" s="101"/>
      <c r="K854" s="101"/>
      <c r="L854" s="101"/>
      <c r="M854" s="101"/>
      <c r="N854" s="101"/>
      <c r="O854" s="101"/>
      <c r="P854" s="101"/>
      <c r="Q854" s="101"/>
      <c r="R854" s="101"/>
      <c r="S854" s="101"/>
      <c r="T854" s="101"/>
      <c r="U854" s="101"/>
      <c r="V854" s="101"/>
      <c r="W854" s="101"/>
      <c r="X854" s="101"/>
      <c r="Y854" s="101"/>
      <c r="Z854" s="101"/>
      <c r="AA854" s="101"/>
      <c r="AB854" s="101"/>
    </row>
    <row r="855">
      <c r="A855" s="104" t="s">
        <v>992</v>
      </c>
      <c r="B855" s="105" t="str">
        <f>IFERROR(VLOOKUP(A855,'Salary Calculation'!A854:F1851,2,0),"")</f>
        <v/>
      </c>
      <c r="C855" s="105" t="str">
        <f>IFERROR(VLOOKUP(A855,'Salary Calculation'!$A$2:$V$999,3,0),"")</f>
        <v/>
      </c>
      <c r="D855" s="105" t="str">
        <f>IFERROR(VLOOKUP(A855,'Salary Calculation'!$A$2:$V$999,6,0),"")</f>
        <v/>
      </c>
      <c r="E855" s="105" t="str">
        <f>IFERROR(VLOOKUP(A855,'Salary Calculation'!$A$2:$V$999,10,0),"")</f>
        <v/>
      </c>
      <c r="F855" s="101"/>
      <c r="G855" s="106" t="str">
        <f>IFERROR(VLOOKUP(A855,'Salary Calculation'!$A$2:$V$999,7,0),"")</f>
        <v/>
      </c>
      <c r="H855" s="100"/>
      <c r="I855" s="101"/>
      <c r="J855" s="101"/>
      <c r="K855" s="101"/>
      <c r="L855" s="101"/>
      <c r="M855" s="101"/>
      <c r="N855" s="101"/>
      <c r="O855" s="101"/>
      <c r="P855" s="101"/>
      <c r="Q855" s="101"/>
      <c r="R855" s="101"/>
      <c r="S855" s="101"/>
      <c r="T855" s="101"/>
      <c r="U855" s="101"/>
      <c r="V855" s="101"/>
      <c r="W855" s="101"/>
      <c r="X855" s="101"/>
      <c r="Y855" s="101"/>
      <c r="Z855" s="101"/>
      <c r="AA855" s="101"/>
      <c r="AB855" s="101"/>
    </row>
    <row r="856">
      <c r="A856" s="104" t="s">
        <v>993</v>
      </c>
      <c r="B856" s="105" t="str">
        <f>IFERROR(VLOOKUP(A856,'Salary Calculation'!A855:F1852,2,0),"")</f>
        <v/>
      </c>
      <c r="C856" s="105" t="str">
        <f>IFERROR(VLOOKUP(A856,'Salary Calculation'!$A$2:$V$999,3,0),"")</f>
        <v/>
      </c>
      <c r="D856" s="105" t="str">
        <f>IFERROR(VLOOKUP(A856,'Salary Calculation'!$A$2:$V$999,6,0),"")</f>
        <v/>
      </c>
      <c r="E856" s="105" t="str">
        <f>IFERROR(VLOOKUP(A856,'Salary Calculation'!$A$2:$V$999,10,0),"")</f>
        <v/>
      </c>
      <c r="F856" s="101"/>
      <c r="G856" s="106" t="str">
        <f>IFERROR(VLOOKUP(A856,'Salary Calculation'!$A$2:$V$999,7,0),"")</f>
        <v/>
      </c>
      <c r="H856" s="100"/>
      <c r="I856" s="101"/>
      <c r="J856" s="101"/>
      <c r="K856" s="101"/>
      <c r="L856" s="101"/>
      <c r="M856" s="101"/>
      <c r="N856" s="101"/>
      <c r="O856" s="101"/>
      <c r="P856" s="101"/>
      <c r="Q856" s="101"/>
      <c r="R856" s="101"/>
      <c r="S856" s="101"/>
      <c r="T856" s="101"/>
      <c r="U856" s="101"/>
      <c r="V856" s="101"/>
      <c r="W856" s="101"/>
      <c r="X856" s="101"/>
      <c r="Y856" s="101"/>
      <c r="Z856" s="101"/>
      <c r="AA856" s="101"/>
      <c r="AB856" s="101"/>
    </row>
    <row r="857">
      <c r="A857" s="104" t="s">
        <v>994</v>
      </c>
      <c r="B857" s="105" t="str">
        <f>IFERROR(VLOOKUP(A857,'Salary Calculation'!A856:F1853,2,0),"")</f>
        <v/>
      </c>
      <c r="C857" s="105" t="str">
        <f>IFERROR(VLOOKUP(A857,'Salary Calculation'!$A$2:$V$999,3,0),"")</f>
        <v/>
      </c>
      <c r="D857" s="105" t="str">
        <f>IFERROR(VLOOKUP(A857,'Salary Calculation'!$A$2:$V$999,6,0),"")</f>
        <v/>
      </c>
      <c r="E857" s="105" t="str">
        <f>IFERROR(VLOOKUP(A857,'Salary Calculation'!$A$2:$V$999,10,0),"")</f>
        <v/>
      </c>
      <c r="F857" s="101"/>
      <c r="G857" s="106" t="str">
        <f>IFERROR(VLOOKUP(A857,'Salary Calculation'!$A$2:$V$999,7,0),"")</f>
        <v/>
      </c>
      <c r="H857" s="100"/>
      <c r="I857" s="101"/>
      <c r="J857" s="101"/>
      <c r="K857" s="101"/>
      <c r="L857" s="101"/>
      <c r="M857" s="101"/>
      <c r="N857" s="101"/>
      <c r="O857" s="101"/>
      <c r="P857" s="101"/>
      <c r="Q857" s="101"/>
      <c r="R857" s="101"/>
      <c r="S857" s="101"/>
      <c r="T857" s="101"/>
      <c r="U857" s="101"/>
      <c r="V857" s="101"/>
      <c r="W857" s="101"/>
      <c r="X857" s="101"/>
      <c r="Y857" s="101"/>
      <c r="Z857" s="101"/>
      <c r="AA857" s="101"/>
      <c r="AB857" s="101"/>
    </row>
    <row r="858">
      <c r="A858" s="104" t="s">
        <v>995</v>
      </c>
      <c r="B858" s="105" t="str">
        <f>IFERROR(VLOOKUP(A858,'Salary Calculation'!A857:F1854,2,0),"")</f>
        <v/>
      </c>
      <c r="C858" s="105" t="str">
        <f>IFERROR(VLOOKUP(A858,'Salary Calculation'!$A$2:$V$999,3,0),"")</f>
        <v/>
      </c>
      <c r="D858" s="105" t="str">
        <f>IFERROR(VLOOKUP(A858,'Salary Calculation'!$A$2:$V$999,6,0),"")</f>
        <v/>
      </c>
      <c r="E858" s="105" t="str">
        <f>IFERROR(VLOOKUP(A858,'Salary Calculation'!$A$2:$V$999,10,0),"")</f>
        <v/>
      </c>
      <c r="F858" s="101"/>
      <c r="G858" s="106" t="str">
        <f>IFERROR(VLOOKUP(A858,'Salary Calculation'!$A$2:$V$999,7,0),"")</f>
        <v/>
      </c>
      <c r="H858" s="100"/>
      <c r="I858" s="101"/>
      <c r="J858" s="101"/>
      <c r="K858" s="101"/>
      <c r="L858" s="101"/>
      <c r="M858" s="101"/>
      <c r="N858" s="101"/>
      <c r="O858" s="101"/>
      <c r="P858" s="101"/>
      <c r="Q858" s="101"/>
      <c r="R858" s="101"/>
      <c r="S858" s="101"/>
      <c r="T858" s="101"/>
      <c r="U858" s="101"/>
      <c r="V858" s="101"/>
      <c r="W858" s="101"/>
      <c r="X858" s="101"/>
      <c r="Y858" s="101"/>
      <c r="Z858" s="101"/>
      <c r="AA858" s="101"/>
      <c r="AB858" s="101"/>
    </row>
    <row r="859">
      <c r="A859" s="104" t="s">
        <v>996</v>
      </c>
      <c r="B859" s="105" t="str">
        <f>IFERROR(VLOOKUP(A859,'Salary Calculation'!A858:F1855,2,0),"")</f>
        <v/>
      </c>
      <c r="C859" s="105" t="str">
        <f>IFERROR(VLOOKUP(A859,'Salary Calculation'!$A$2:$V$999,3,0),"")</f>
        <v/>
      </c>
      <c r="D859" s="105" t="str">
        <f>IFERROR(VLOOKUP(A859,'Salary Calculation'!$A$2:$V$999,6,0),"")</f>
        <v/>
      </c>
      <c r="E859" s="105" t="str">
        <f>IFERROR(VLOOKUP(A859,'Salary Calculation'!$A$2:$V$999,10,0),"")</f>
        <v/>
      </c>
      <c r="F859" s="101"/>
      <c r="G859" s="106" t="str">
        <f>IFERROR(VLOOKUP(A859,'Salary Calculation'!$A$2:$V$999,7,0),"")</f>
        <v/>
      </c>
      <c r="H859" s="100"/>
      <c r="I859" s="101"/>
      <c r="J859" s="101"/>
      <c r="K859" s="101"/>
      <c r="L859" s="101"/>
      <c r="M859" s="101"/>
      <c r="N859" s="101"/>
      <c r="O859" s="101"/>
      <c r="P859" s="101"/>
      <c r="Q859" s="101"/>
      <c r="R859" s="101"/>
      <c r="S859" s="101"/>
      <c r="T859" s="101"/>
      <c r="U859" s="101"/>
      <c r="V859" s="101"/>
      <c r="W859" s="101"/>
      <c r="X859" s="101"/>
      <c r="Y859" s="101"/>
      <c r="Z859" s="101"/>
      <c r="AA859" s="101"/>
      <c r="AB859" s="101"/>
    </row>
    <row r="860">
      <c r="A860" s="104" t="s">
        <v>997</v>
      </c>
      <c r="B860" s="105" t="str">
        <f>IFERROR(VLOOKUP(A860,'Salary Calculation'!A859:F1856,2,0),"")</f>
        <v/>
      </c>
      <c r="C860" s="105" t="str">
        <f>IFERROR(VLOOKUP(A860,'Salary Calculation'!$A$2:$V$999,3,0),"")</f>
        <v/>
      </c>
      <c r="D860" s="105" t="str">
        <f>IFERROR(VLOOKUP(A860,'Salary Calculation'!$A$2:$V$999,6,0),"")</f>
        <v/>
      </c>
      <c r="E860" s="105" t="str">
        <f>IFERROR(VLOOKUP(A860,'Salary Calculation'!$A$2:$V$999,10,0),"")</f>
        <v/>
      </c>
      <c r="F860" s="101"/>
      <c r="G860" s="106" t="str">
        <f>IFERROR(VLOOKUP(A860,'Salary Calculation'!$A$2:$V$999,7,0),"")</f>
        <v/>
      </c>
      <c r="H860" s="100"/>
      <c r="I860" s="101"/>
      <c r="J860" s="101"/>
      <c r="K860" s="101"/>
      <c r="L860" s="101"/>
      <c r="M860" s="101"/>
      <c r="N860" s="101"/>
      <c r="O860" s="101"/>
      <c r="P860" s="101"/>
      <c r="Q860" s="101"/>
      <c r="R860" s="101"/>
      <c r="S860" s="101"/>
      <c r="T860" s="101"/>
      <c r="U860" s="101"/>
      <c r="V860" s="101"/>
      <c r="W860" s="101"/>
      <c r="X860" s="101"/>
      <c r="Y860" s="101"/>
      <c r="Z860" s="101"/>
      <c r="AA860" s="101"/>
      <c r="AB860" s="101"/>
    </row>
    <row r="861">
      <c r="A861" s="104" t="s">
        <v>998</v>
      </c>
      <c r="B861" s="105" t="str">
        <f>IFERROR(VLOOKUP(A861,'Salary Calculation'!A860:F1857,2,0),"")</f>
        <v/>
      </c>
      <c r="C861" s="105" t="str">
        <f>IFERROR(VLOOKUP(A861,'Salary Calculation'!$A$2:$V$999,3,0),"")</f>
        <v/>
      </c>
      <c r="D861" s="105" t="str">
        <f>IFERROR(VLOOKUP(A861,'Salary Calculation'!$A$2:$V$999,6,0),"")</f>
        <v/>
      </c>
      <c r="E861" s="105" t="str">
        <f>IFERROR(VLOOKUP(A861,'Salary Calculation'!$A$2:$V$999,10,0),"")</f>
        <v/>
      </c>
      <c r="F861" s="101"/>
      <c r="G861" s="106" t="str">
        <f>IFERROR(VLOOKUP(A861,'Salary Calculation'!$A$2:$V$999,7,0),"")</f>
        <v/>
      </c>
      <c r="H861" s="100"/>
      <c r="I861" s="101"/>
      <c r="J861" s="101"/>
      <c r="K861" s="101"/>
      <c r="L861" s="101"/>
      <c r="M861" s="101"/>
      <c r="N861" s="101"/>
      <c r="O861" s="101"/>
      <c r="P861" s="101"/>
      <c r="Q861" s="101"/>
      <c r="R861" s="101"/>
      <c r="S861" s="101"/>
      <c r="T861" s="101"/>
      <c r="U861" s="101"/>
      <c r="V861" s="101"/>
      <c r="W861" s="101"/>
      <c r="X861" s="101"/>
      <c r="Y861" s="101"/>
      <c r="Z861" s="101"/>
      <c r="AA861" s="101"/>
      <c r="AB861" s="101"/>
    </row>
    <row r="862">
      <c r="A862" s="104" t="s">
        <v>999</v>
      </c>
      <c r="B862" s="105" t="str">
        <f>IFERROR(VLOOKUP(A862,'Salary Calculation'!A861:F1858,2,0),"")</f>
        <v/>
      </c>
      <c r="C862" s="105" t="str">
        <f>IFERROR(VLOOKUP(A862,'Salary Calculation'!$A$2:$V$999,3,0),"")</f>
        <v/>
      </c>
      <c r="D862" s="105" t="str">
        <f>IFERROR(VLOOKUP(A862,'Salary Calculation'!$A$2:$V$999,6,0),"")</f>
        <v/>
      </c>
      <c r="E862" s="105" t="str">
        <f>IFERROR(VLOOKUP(A862,'Salary Calculation'!$A$2:$V$999,10,0),"")</f>
        <v/>
      </c>
      <c r="F862" s="101"/>
      <c r="G862" s="106" t="str">
        <f>IFERROR(VLOOKUP(A862,'Salary Calculation'!$A$2:$V$999,7,0),"")</f>
        <v/>
      </c>
      <c r="H862" s="100"/>
      <c r="I862" s="101"/>
      <c r="J862" s="101"/>
      <c r="K862" s="101"/>
      <c r="L862" s="101"/>
      <c r="M862" s="101"/>
      <c r="N862" s="101"/>
      <c r="O862" s="101"/>
      <c r="P862" s="101"/>
      <c r="Q862" s="101"/>
      <c r="R862" s="101"/>
      <c r="S862" s="101"/>
      <c r="T862" s="101"/>
      <c r="U862" s="101"/>
      <c r="V862" s="101"/>
      <c r="W862" s="101"/>
      <c r="X862" s="101"/>
      <c r="Y862" s="101"/>
      <c r="Z862" s="101"/>
      <c r="AA862" s="101"/>
      <c r="AB862" s="101"/>
    </row>
    <row r="863">
      <c r="A863" s="104" t="s">
        <v>1000</v>
      </c>
      <c r="B863" s="105" t="str">
        <f>IFERROR(VLOOKUP(A863,'Salary Calculation'!A862:F1859,2,0),"")</f>
        <v/>
      </c>
      <c r="C863" s="105" t="str">
        <f>IFERROR(VLOOKUP(A863,'Salary Calculation'!$A$2:$V$999,3,0),"")</f>
        <v/>
      </c>
      <c r="D863" s="105" t="str">
        <f>IFERROR(VLOOKUP(A863,'Salary Calculation'!$A$2:$V$999,6,0),"")</f>
        <v/>
      </c>
      <c r="E863" s="105" t="str">
        <f>IFERROR(VLOOKUP(A863,'Salary Calculation'!$A$2:$V$999,10,0),"")</f>
        <v/>
      </c>
      <c r="F863" s="101"/>
      <c r="G863" s="106" t="str">
        <f>IFERROR(VLOOKUP(A863,'Salary Calculation'!$A$2:$V$999,7,0),"")</f>
        <v/>
      </c>
      <c r="H863" s="100"/>
      <c r="I863" s="101"/>
      <c r="J863" s="101"/>
      <c r="K863" s="101"/>
      <c r="L863" s="101"/>
      <c r="M863" s="101"/>
      <c r="N863" s="101"/>
      <c r="O863" s="101"/>
      <c r="P863" s="101"/>
      <c r="Q863" s="101"/>
      <c r="R863" s="101"/>
      <c r="S863" s="101"/>
      <c r="T863" s="101"/>
      <c r="U863" s="101"/>
      <c r="V863" s="101"/>
      <c r="W863" s="101"/>
      <c r="X863" s="101"/>
      <c r="Y863" s="101"/>
      <c r="Z863" s="101"/>
      <c r="AA863" s="101"/>
      <c r="AB863" s="101"/>
    </row>
    <row r="864">
      <c r="A864" s="104" t="s">
        <v>1001</v>
      </c>
      <c r="B864" s="105" t="str">
        <f>IFERROR(VLOOKUP(A864,'Salary Calculation'!A863:F1860,2,0),"")</f>
        <v/>
      </c>
      <c r="C864" s="105" t="str">
        <f>IFERROR(VLOOKUP(A864,'Salary Calculation'!$A$2:$V$999,3,0),"")</f>
        <v/>
      </c>
      <c r="D864" s="105" t="str">
        <f>IFERROR(VLOOKUP(A864,'Salary Calculation'!$A$2:$V$999,6,0),"")</f>
        <v/>
      </c>
      <c r="E864" s="105" t="str">
        <f>IFERROR(VLOOKUP(A864,'Salary Calculation'!$A$2:$V$999,10,0),"")</f>
        <v/>
      </c>
      <c r="F864" s="101"/>
      <c r="G864" s="106" t="str">
        <f>IFERROR(VLOOKUP(A864,'Salary Calculation'!$A$2:$V$999,7,0),"")</f>
        <v/>
      </c>
      <c r="H864" s="100"/>
      <c r="I864" s="101"/>
      <c r="J864" s="101"/>
      <c r="K864" s="101"/>
      <c r="L864" s="101"/>
      <c r="M864" s="101"/>
      <c r="N864" s="101"/>
      <c r="O864" s="101"/>
      <c r="P864" s="101"/>
      <c r="Q864" s="101"/>
      <c r="R864" s="101"/>
      <c r="S864" s="101"/>
      <c r="T864" s="101"/>
      <c r="U864" s="101"/>
      <c r="V864" s="101"/>
      <c r="W864" s="101"/>
      <c r="X864" s="101"/>
      <c r="Y864" s="101"/>
      <c r="Z864" s="101"/>
      <c r="AA864" s="101"/>
      <c r="AB864" s="101"/>
    </row>
    <row r="865">
      <c r="A865" s="104" t="s">
        <v>1002</v>
      </c>
      <c r="B865" s="105" t="str">
        <f>IFERROR(VLOOKUP(A865,'Salary Calculation'!A864:F1861,2,0),"")</f>
        <v/>
      </c>
      <c r="C865" s="105" t="str">
        <f>IFERROR(VLOOKUP(A865,'Salary Calculation'!$A$2:$V$999,3,0),"")</f>
        <v/>
      </c>
      <c r="D865" s="105" t="str">
        <f>IFERROR(VLOOKUP(A865,'Salary Calculation'!$A$2:$V$999,6,0),"")</f>
        <v/>
      </c>
      <c r="E865" s="105" t="str">
        <f>IFERROR(VLOOKUP(A865,'Salary Calculation'!$A$2:$V$999,10,0),"")</f>
        <v/>
      </c>
      <c r="F865" s="101"/>
      <c r="G865" s="106" t="str">
        <f>IFERROR(VLOOKUP(A865,'Salary Calculation'!$A$2:$V$999,7,0),"")</f>
        <v/>
      </c>
      <c r="H865" s="100"/>
      <c r="I865" s="101"/>
      <c r="J865" s="101"/>
      <c r="K865" s="101"/>
      <c r="L865" s="101"/>
      <c r="M865" s="101"/>
      <c r="N865" s="101"/>
      <c r="O865" s="101"/>
      <c r="P865" s="101"/>
      <c r="Q865" s="101"/>
      <c r="R865" s="101"/>
      <c r="S865" s="101"/>
      <c r="T865" s="101"/>
      <c r="U865" s="101"/>
      <c r="V865" s="101"/>
      <c r="W865" s="101"/>
      <c r="X865" s="101"/>
      <c r="Y865" s="101"/>
      <c r="Z865" s="101"/>
      <c r="AA865" s="101"/>
      <c r="AB865" s="101"/>
    </row>
    <row r="866">
      <c r="A866" s="104" t="s">
        <v>1003</v>
      </c>
      <c r="B866" s="105" t="str">
        <f>IFERROR(VLOOKUP(A866,'Salary Calculation'!A865:F1862,2,0),"")</f>
        <v/>
      </c>
      <c r="C866" s="105" t="str">
        <f>IFERROR(VLOOKUP(A866,'Salary Calculation'!$A$2:$V$999,3,0),"")</f>
        <v/>
      </c>
      <c r="D866" s="105" t="str">
        <f>IFERROR(VLOOKUP(A866,'Salary Calculation'!$A$2:$V$999,6,0),"")</f>
        <v/>
      </c>
      <c r="E866" s="105" t="str">
        <f>IFERROR(VLOOKUP(A866,'Salary Calculation'!$A$2:$V$999,10,0),"")</f>
        <v/>
      </c>
      <c r="F866" s="101"/>
      <c r="G866" s="106" t="str">
        <f>IFERROR(VLOOKUP(A866,'Salary Calculation'!$A$2:$V$999,7,0),"")</f>
        <v/>
      </c>
      <c r="H866" s="100"/>
      <c r="I866" s="101"/>
      <c r="J866" s="101"/>
      <c r="K866" s="101"/>
      <c r="L866" s="101"/>
      <c r="M866" s="101"/>
      <c r="N866" s="101"/>
      <c r="O866" s="101"/>
      <c r="P866" s="101"/>
      <c r="Q866" s="101"/>
      <c r="R866" s="101"/>
      <c r="S866" s="101"/>
      <c r="T866" s="101"/>
      <c r="U866" s="101"/>
      <c r="V866" s="101"/>
      <c r="W866" s="101"/>
      <c r="X866" s="101"/>
      <c r="Y866" s="101"/>
      <c r="Z866" s="101"/>
      <c r="AA866" s="101"/>
      <c r="AB866" s="101"/>
    </row>
    <row r="867">
      <c r="A867" s="104" t="s">
        <v>1004</v>
      </c>
      <c r="B867" s="105" t="str">
        <f>IFERROR(VLOOKUP(A867,'Salary Calculation'!A866:F1863,2,0),"")</f>
        <v/>
      </c>
      <c r="C867" s="105" t="str">
        <f>IFERROR(VLOOKUP(A867,'Salary Calculation'!$A$2:$V$999,3,0),"")</f>
        <v/>
      </c>
      <c r="D867" s="105" t="str">
        <f>IFERROR(VLOOKUP(A867,'Salary Calculation'!$A$2:$V$999,6,0),"")</f>
        <v/>
      </c>
      <c r="E867" s="105" t="str">
        <f>IFERROR(VLOOKUP(A867,'Salary Calculation'!$A$2:$V$999,10,0),"")</f>
        <v/>
      </c>
      <c r="F867" s="101"/>
      <c r="G867" s="106" t="str">
        <f>IFERROR(VLOOKUP(A867,'Salary Calculation'!$A$2:$V$999,7,0),"")</f>
        <v/>
      </c>
      <c r="H867" s="100"/>
      <c r="I867" s="101"/>
      <c r="J867" s="101"/>
      <c r="K867" s="101"/>
      <c r="L867" s="101"/>
      <c r="M867" s="101"/>
      <c r="N867" s="101"/>
      <c r="O867" s="101"/>
      <c r="P867" s="101"/>
      <c r="Q867" s="101"/>
      <c r="R867" s="101"/>
      <c r="S867" s="101"/>
      <c r="T867" s="101"/>
      <c r="U867" s="101"/>
      <c r="V867" s="101"/>
      <c r="W867" s="101"/>
      <c r="X867" s="101"/>
      <c r="Y867" s="101"/>
      <c r="Z867" s="101"/>
      <c r="AA867" s="101"/>
      <c r="AB867" s="101"/>
    </row>
    <row r="868">
      <c r="A868" s="104" t="s">
        <v>1005</v>
      </c>
      <c r="B868" s="105" t="str">
        <f>IFERROR(VLOOKUP(A868,'Salary Calculation'!A867:F1864,2,0),"")</f>
        <v/>
      </c>
      <c r="C868" s="105" t="str">
        <f>IFERROR(VLOOKUP(A868,'Salary Calculation'!$A$2:$V$999,3,0),"")</f>
        <v/>
      </c>
      <c r="D868" s="105" t="str">
        <f>IFERROR(VLOOKUP(A868,'Salary Calculation'!$A$2:$V$999,6,0),"")</f>
        <v/>
      </c>
      <c r="E868" s="105" t="str">
        <f>IFERROR(VLOOKUP(A868,'Salary Calculation'!$A$2:$V$999,10,0),"")</f>
        <v/>
      </c>
      <c r="F868" s="101"/>
      <c r="G868" s="106" t="str">
        <f>IFERROR(VLOOKUP(A868,'Salary Calculation'!$A$2:$V$999,7,0),"")</f>
        <v/>
      </c>
      <c r="H868" s="100"/>
      <c r="I868" s="101"/>
      <c r="J868" s="101"/>
      <c r="K868" s="101"/>
      <c r="L868" s="101"/>
      <c r="M868" s="101"/>
      <c r="N868" s="101"/>
      <c r="O868" s="101"/>
      <c r="P868" s="101"/>
      <c r="Q868" s="101"/>
      <c r="R868" s="101"/>
      <c r="S868" s="101"/>
      <c r="T868" s="101"/>
      <c r="U868" s="101"/>
      <c r="V868" s="101"/>
      <c r="W868" s="101"/>
      <c r="X868" s="101"/>
      <c r="Y868" s="101"/>
      <c r="Z868" s="101"/>
      <c r="AA868" s="101"/>
      <c r="AB868" s="101"/>
    </row>
    <row r="869">
      <c r="A869" s="104" t="s">
        <v>1006</v>
      </c>
      <c r="B869" s="105" t="str">
        <f>IFERROR(VLOOKUP(A869,'Salary Calculation'!A868:F1865,2,0),"")</f>
        <v/>
      </c>
      <c r="C869" s="105" t="str">
        <f>IFERROR(VLOOKUP(A869,'Salary Calculation'!$A$2:$V$999,3,0),"")</f>
        <v/>
      </c>
      <c r="D869" s="105" t="str">
        <f>IFERROR(VLOOKUP(A869,'Salary Calculation'!$A$2:$V$999,6,0),"")</f>
        <v/>
      </c>
      <c r="E869" s="105" t="str">
        <f>IFERROR(VLOOKUP(A869,'Salary Calculation'!$A$2:$V$999,10,0),"")</f>
        <v/>
      </c>
      <c r="F869" s="101"/>
      <c r="G869" s="106" t="str">
        <f>IFERROR(VLOOKUP(A869,'Salary Calculation'!$A$2:$V$999,7,0),"")</f>
        <v/>
      </c>
      <c r="H869" s="100"/>
      <c r="I869" s="101"/>
      <c r="J869" s="101"/>
      <c r="K869" s="101"/>
      <c r="L869" s="101"/>
      <c r="M869" s="101"/>
      <c r="N869" s="101"/>
      <c r="O869" s="101"/>
      <c r="P869" s="101"/>
      <c r="Q869" s="101"/>
      <c r="R869" s="101"/>
      <c r="S869" s="101"/>
      <c r="T869" s="101"/>
      <c r="U869" s="101"/>
      <c r="V869" s="101"/>
      <c r="W869" s="101"/>
      <c r="X869" s="101"/>
      <c r="Y869" s="101"/>
      <c r="Z869" s="101"/>
      <c r="AA869" s="101"/>
      <c r="AB869" s="101"/>
    </row>
    <row r="870">
      <c r="A870" s="104" t="s">
        <v>1007</v>
      </c>
      <c r="B870" s="105" t="str">
        <f>IFERROR(VLOOKUP(A870,'Salary Calculation'!A869:F1866,2,0),"")</f>
        <v/>
      </c>
      <c r="C870" s="105" t="str">
        <f>IFERROR(VLOOKUP(A870,'Salary Calculation'!$A$2:$V$999,3,0),"")</f>
        <v/>
      </c>
      <c r="D870" s="105" t="str">
        <f>IFERROR(VLOOKUP(A870,'Salary Calculation'!$A$2:$V$999,6,0),"")</f>
        <v/>
      </c>
      <c r="E870" s="105" t="str">
        <f>IFERROR(VLOOKUP(A870,'Salary Calculation'!$A$2:$V$999,10,0),"")</f>
        <v/>
      </c>
      <c r="F870" s="101"/>
      <c r="G870" s="106" t="str">
        <f>IFERROR(VLOOKUP(A870,'Salary Calculation'!$A$2:$V$999,7,0),"")</f>
        <v/>
      </c>
      <c r="H870" s="100"/>
      <c r="I870" s="101"/>
      <c r="J870" s="101"/>
      <c r="K870" s="101"/>
      <c r="L870" s="101"/>
      <c r="M870" s="101"/>
      <c r="N870" s="101"/>
      <c r="O870" s="101"/>
      <c r="P870" s="101"/>
      <c r="Q870" s="101"/>
      <c r="R870" s="101"/>
      <c r="S870" s="101"/>
      <c r="T870" s="101"/>
      <c r="U870" s="101"/>
      <c r="V870" s="101"/>
      <c r="W870" s="101"/>
      <c r="X870" s="101"/>
      <c r="Y870" s="101"/>
      <c r="Z870" s="101"/>
      <c r="AA870" s="101"/>
      <c r="AB870" s="101"/>
    </row>
    <row r="871">
      <c r="A871" s="104" t="s">
        <v>1008</v>
      </c>
      <c r="B871" s="105" t="str">
        <f>IFERROR(VLOOKUP(A871,'Salary Calculation'!A870:F1867,2,0),"")</f>
        <v/>
      </c>
      <c r="C871" s="105" t="str">
        <f>IFERROR(VLOOKUP(A871,'Salary Calculation'!$A$2:$V$999,3,0),"")</f>
        <v/>
      </c>
      <c r="D871" s="105" t="str">
        <f>IFERROR(VLOOKUP(A871,'Salary Calculation'!$A$2:$V$999,6,0),"")</f>
        <v/>
      </c>
      <c r="E871" s="105" t="str">
        <f>IFERROR(VLOOKUP(A871,'Salary Calculation'!$A$2:$V$999,10,0),"")</f>
        <v/>
      </c>
      <c r="F871" s="101"/>
      <c r="G871" s="106" t="str">
        <f>IFERROR(VLOOKUP(A871,'Salary Calculation'!$A$2:$V$999,7,0),"")</f>
        <v/>
      </c>
      <c r="H871" s="100"/>
      <c r="I871" s="101"/>
      <c r="J871" s="101"/>
      <c r="K871" s="101"/>
      <c r="L871" s="101"/>
      <c r="M871" s="101"/>
      <c r="N871" s="101"/>
      <c r="O871" s="101"/>
      <c r="P871" s="101"/>
      <c r="Q871" s="101"/>
      <c r="R871" s="101"/>
      <c r="S871" s="101"/>
      <c r="T871" s="101"/>
      <c r="U871" s="101"/>
      <c r="V871" s="101"/>
      <c r="W871" s="101"/>
      <c r="X871" s="101"/>
      <c r="Y871" s="101"/>
      <c r="Z871" s="101"/>
      <c r="AA871" s="101"/>
      <c r="AB871" s="101"/>
    </row>
    <row r="872">
      <c r="A872" s="104" t="s">
        <v>1009</v>
      </c>
      <c r="B872" s="105" t="str">
        <f>IFERROR(VLOOKUP(A872,'Salary Calculation'!A871:F1868,2,0),"")</f>
        <v/>
      </c>
      <c r="C872" s="105" t="str">
        <f>IFERROR(VLOOKUP(A872,'Salary Calculation'!$A$2:$V$999,3,0),"")</f>
        <v/>
      </c>
      <c r="D872" s="105" t="str">
        <f>IFERROR(VLOOKUP(A872,'Salary Calculation'!$A$2:$V$999,6,0),"")</f>
        <v/>
      </c>
      <c r="E872" s="105" t="str">
        <f>IFERROR(VLOOKUP(A872,'Salary Calculation'!$A$2:$V$999,10,0),"")</f>
        <v/>
      </c>
      <c r="F872" s="101"/>
      <c r="G872" s="106" t="str">
        <f>IFERROR(VLOOKUP(A872,'Salary Calculation'!$A$2:$V$999,7,0),"")</f>
        <v/>
      </c>
      <c r="H872" s="100"/>
      <c r="I872" s="101"/>
      <c r="J872" s="101"/>
      <c r="K872" s="101"/>
      <c r="L872" s="101"/>
      <c r="M872" s="101"/>
      <c r="N872" s="101"/>
      <c r="O872" s="101"/>
      <c r="P872" s="101"/>
      <c r="Q872" s="101"/>
      <c r="R872" s="101"/>
      <c r="S872" s="101"/>
      <c r="T872" s="101"/>
      <c r="U872" s="101"/>
      <c r="V872" s="101"/>
      <c r="W872" s="101"/>
      <c r="X872" s="101"/>
      <c r="Y872" s="101"/>
      <c r="Z872" s="101"/>
      <c r="AA872" s="101"/>
      <c r="AB872" s="101"/>
    </row>
    <row r="873">
      <c r="A873" s="104" t="s">
        <v>1010</v>
      </c>
      <c r="B873" s="105" t="str">
        <f>IFERROR(VLOOKUP(A873,'Salary Calculation'!A872:F1869,2,0),"")</f>
        <v/>
      </c>
      <c r="C873" s="105" t="str">
        <f>IFERROR(VLOOKUP(A873,'Salary Calculation'!$A$2:$V$999,3,0),"")</f>
        <v/>
      </c>
      <c r="D873" s="105" t="str">
        <f>IFERROR(VLOOKUP(A873,'Salary Calculation'!$A$2:$V$999,6,0),"")</f>
        <v/>
      </c>
      <c r="E873" s="105" t="str">
        <f>IFERROR(VLOOKUP(A873,'Salary Calculation'!$A$2:$V$999,10,0),"")</f>
        <v/>
      </c>
      <c r="F873" s="101"/>
      <c r="G873" s="106" t="str">
        <f>IFERROR(VLOOKUP(A873,'Salary Calculation'!$A$2:$V$999,7,0),"")</f>
        <v/>
      </c>
      <c r="H873" s="100"/>
      <c r="I873" s="101"/>
      <c r="J873" s="101"/>
      <c r="K873" s="101"/>
      <c r="L873" s="101"/>
      <c r="M873" s="101"/>
      <c r="N873" s="101"/>
      <c r="O873" s="101"/>
      <c r="P873" s="101"/>
      <c r="Q873" s="101"/>
      <c r="R873" s="101"/>
      <c r="S873" s="101"/>
      <c r="T873" s="101"/>
      <c r="U873" s="101"/>
      <c r="V873" s="101"/>
      <c r="W873" s="101"/>
      <c r="X873" s="101"/>
      <c r="Y873" s="101"/>
      <c r="Z873" s="101"/>
      <c r="AA873" s="101"/>
      <c r="AB873" s="101"/>
    </row>
    <row r="874">
      <c r="A874" s="104" t="s">
        <v>1011</v>
      </c>
      <c r="B874" s="105" t="str">
        <f>IFERROR(VLOOKUP(A874,'Salary Calculation'!A873:F1870,2,0),"")</f>
        <v/>
      </c>
      <c r="C874" s="105" t="str">
        <f>IFERROR(VLOOKUP(A874,'Salary Calculation'!$A$2:$V$999,3,0),"")</f>
        <v/>
      </c>
      <c r="D874" s="105" t="str">
        <f>IFERROR(VLOOKUP(A874,'Salary Calculation'!$A$2:$V$999,6,0),"")</f>
        <v/>
      </c>
      <c r="E874" s="105" t="str">
        <f>IFERROR(VLOOKUP(A874,'Salary Calculation'!$A$2:$V$999,10,0),"")</f>
        <v/>
      </c>
      <c r="F874" s="101"/>
      <c r="G874" s="106" t="str">
        <f>IFERROR(VLOOKUP(A874,'Salary Calculation'!$A$2:$V$999,7,0),"")</f>
        <v/>
      </c>
      <c r="H874" s="100"/>
      <c r="I874" s="101"/>
      <c r="J874" s="101"/>
      <c r="K874" s="101"/>
      <c r="L874" s="101"/>
      <c r="M874" s="101"/>
      <c r="N874" s="101"/>
      <c r="O874" s="101"/>
      <c r="P874" s="101"/>
      <c r="Q874" s="101"/>
      <c r="R874" s="101"/>
      <c r="S874" s="101"/>
      <c r="T874" s="101"/>
      <c r="U874" s="101"/>
      <c r="V874" s="101"/>
      <c r="W874" s="101"/>
      <c r="X874" s="101"/>
      <c r="Y874" s="101"/>
      <c r="Z874" s="101"/>
      <c r="AA874" s="101"/>
      <c r="AB874" s="101"/>
    </row>
    <row r="875">
      <c r="A875" s="104" t="s">
        <v>1012</v>
      </c>
      <c r="B875" s="105" t="str">
        <f>IFERROR(VLOOKUP(A875,'Salary Calculation'!A874:F1871,2,0),"")</f>
        <v/>
      </c>
      <c r="C875" s="105" t="str">
        <f>IFERROR(VLOOKUP(A875,'Salary Calculation'!$A$2:$V$999,3,0),"")</f>
        <v/>
      </c>
      <c r="D875" s="105" t="str">
        <f>IFERROR(VLOOKUP(A875,'Salary Calculation'!$A$2:$V$999,6,0),"")</f>
        <v/>
      </c>
      <c r="E875" s="105" t="str">
        <f>IFERROR(VLOOKUP(A875,'Salary Calculation'!$A$2:$V$999,10,0),"")</f>
        <v/>
      </c>
      <c r="F875" s="101"/>
      <c r="G875" s="106" t="str">
        <f>IFERROR(VLOOKUP(A875,'Salary Calculation'!$A$2:$V$999,7,0),"")</f>
        <v/>
      </c>
      <c r="H875" s="100"/>
      <c r="I875" s="101"/>
      <c r="J875" s="101"/>
      <c r="K875" s="101"/>
      <c r="L875" s="101"/>
      <c r="M875" s="101"/>
      <c r="N875" s="101"/>
      <c r="O875" s="101"/>
      <c r="P875" s="101"/>
      <c r="Q875" s="101"/>
      <c r="R875" s="101"/>
      <c r="S875" s="101"/>
      <c r="T875" s="101"/>
      <c r="U875" s="101"/>
      <c r="V875" s="101"/>
      <c r="W875" s="101"/>
      <c r="X875" s="101"/>
      <c r="Y875" s="101"/>
      <c r="Z875" s="101"/>
      <c r="AA875" s="101"/>
      <c r="AB875" s="101"/>
    </row>
    <row r="876">
      <c r="A876" s="104" t="s">
        <v>1013</v>
      </c>
      <c r="B876" s="105" t="str">
        <f>IFERROR(VLOOKUP(A876,'Salary Calculation'!A875:F1872,2,0),"")</f>
        <v/>
      </c>
      <c r="C876" s="105" t="str">
        <f>IFERROR(VLOOKUP(A876,'Salary Calculation'!$A$2:$V$999,3,0),"")</f>
        <v/>
      </c>
      <c r="D876" s="105" t="str">
        <f>IFERROR(VLOOKUP(A876,'Salary Calculation'!$A$2:$V$999,6,0),"")</f>
        <v/>
      </c>
      <c r="E876" s="105" t="str">
        <f>IFERROR(VLOOKUP(A876,'Salary Calculation'!$A$2:$V$999,10,0),"")</f>
        <v/>
      </c>
      <c r="F876" s="101"/>
      <c r="G876" s="106" t="str">
        <f>IFERROR(VLOOKUP(A876,'Salary Calculation'!$A$2:$V$999,7,0),"")</f>
        <v/>
      </c>
      <c r="H876" s="100"/>
      <c r="I876" s="101"/>
      <c r="J876" s="101"/>
      <c r="K876" s="101"/>
      <c r="L876" s="101"/>
      <c r="M876" s="101"/>
      <c r="N876" s="101"/>
      <c r="O876" s="101"/>
      <c r="P876" s="101"/>
      <c r="Q876" s="101"/>
      <c r="R876" s="101"/>
      <c r="S876" s="101"/>
      <c r="T876" s="101"/>
      <c r="U876" s="101"/>
      <c r="V876" s="101"/>
      <c r="W876" s="101"/>
      <c r="X876" s="101"/>
      <c r="Y876" s="101"/>
      <c r="Z876" s="101"/>
      <c r="AA876" s="101"/>
      <c r="AB876" s="101"/>
    </row>
    <row r="877">
      <c r="A877" s="104" t="s">
        <v>1014</v>
      </c>
      <c r="B877" s="105" t="str">
        <f>IFERROR(VLOOKUP(A877,'Salary Calculation'!A876:F1873,2,0),"")</f>
        <v/>
      </c>
      <c r="C877" s="105" t="str">
        <f>IFERROR(VLOOKUP(A877,'Salary Calculation'!$A$2:$V$999,3,0),"")</f>
        <v/>
      </c>
      <c r="D877" s="105" t="str">
        <f>IFERROR(VLOOKUP(A877,'Salary Calculation'!$A$2:$V$999,6,0),"")</f>
        <v/>
      </c>
      <c r="E877" s="105" t="str">
        <f>IFERROR(VLOOKUP(A877,'Salary Calculation'!$A$2:$V$999,10,0),"")</f>
        <v/>
      </c>
      <c r="F877" s="101"/>
      <c r="G877" s="106" t="str">
        <f>IFERROR(VLOOKUP(A877,'Salary Calculation'!$A$2:$V$999,7,0),"")</f>
        <v/>
      </c>
      <c r="H877" s="100"/>
      <c r="I877" s="101"/>
      <c r="J877" s="101"/>
      <c r="K877" s="101"/>
      <c r="L877" s="101"/>
      <c r="M877" s="101"/>
      <c r="N877" s="101"/>
      <c r="O877" s="101"/>
      <c r="P877" s="101"/>
      <c r="Q877" s="101"/>
      <c r="R877" s="101"/>
      <c r="S877" s="101"/>
      <c r="T877" s="101"/>
      <c r="U877" s="101"/>
      <c r="V877" s="101"/>
      <c r="W877" s="101"/>
      <c r="X877" s="101"/>
      <c r="Y877" s="101"/>
      <c r="Z877" s="101"/>
      <c r="AA877" s="101"/>
      <c r="AB877" s="101"/>
    </row>
    <row r="878">
      <c r="A878" s="104" t="s">
        <v>1015</v>
      </c>
      <c r="B878" s="105" t="str">
        <f>IFERROR(VLOOKUP(A878,'Salary Calculation'!A877:F1874,2,0),"")</f>
        <v/>
      </c>
      <c r="C878" s="105" t="str">
        <f>IFERROR(VLOOKUP(A878,'Salary Calculation'!$A$2:$V$999,3,0),"")</f>
        <v/>
      </c>
      <c r="D878" s="105" t="str">
        <f>IFERROR(VLOOKUP(A878,'Salary Calculation'!$A$2:$V$999,6,0),"")</f>
        <v/>
      </c>
      <c r="E878" s="105" t="str">
        <f>IFERROR(VLOOKUP(A878,'Salary Calculation'!$A$2:$V$999,10,0),"")</f>
        <v/>
      </c>
      <c r="F878" s="101"/>
      <c r="G878" s="106" t="str">
        <f>IFERROR(VLOOKUP(A878,'Salary Calculation'!$A$2:$V$999,7,0),"")</f>
        <v/>
      </c>
      <c r="H878" s="100"/>
      <c r="I878" s="101"/>
      <c r="J878" s="101"/>
      <c r="K878" s="101"/>
      <c r="L878" s="101"/>
      <c r="M878" s="101"/>
      <c r="N878" s="101"/>
      <c r="O878" s="101"/>
      <c r="P878" s="101"/>
      <c r="Q878" s="101"/>
      <c r="R878" s="101"/>
      <c r="S878" s="101"/>
      <c r="T878" s="101"/>
      <c r="U878" s="101"/>
      <c r="V878" s="101"/>
      <c r="W878" s="101"/>
      <c r="X878" s="101"/>
      <c r="Y878" s="101"/>
      <c r="Z878" s="101"/>
      <c r="AA878" s="101"/>
      <c r="AB878" s="101"/>
    </row>
    <row r="879">
      <c r="A879" s="104" t="s">
        <v>1016</v>
      </c>
      <c r="B879" s="105" t="str">
        <f>IFERROR(VLOOKUP(A879,'Salary Calculation'!A878:F1875,2,0),"")</f>
        <v/>
      </c>
      <c r="C879" s="105" t="str">
        <f>IFERROR(VLOOKUP(A879,'Salary Calculation'!$A$2:$V$999,3,0),"")</f>
        <v/>
      </c>
      <c r="D879" s="105" t="str">
        <f>IFERROR(VLOOKUP(A879,'Salary Calculation'!$A$2:$V$999,6,0),"")</f>
        <v/>
      </c>
      <c r="E879" s="105" t="str">
        <f>IFERROR(VLOOKUP(A879,'Salary Calculation'!$A$2:$V$999,10,0),"")</f>
        <v/>
      </c>
      <c r="F879" s="101"/>
      <c r="G879" s="106" t="str">
        <f>IFERROR(VLOOKUP(A879,'Salary Calculation'!$A$2:$V$999,7,0),"")</f>
        <v/>
      </c>
      <c r="H879" s="100"/>
      <c r="I879" s="101"/>
      <c r="J879" s="101"/>
      <c r="K879" s="101"/>
      <c r="L879" s="101"/>
      <c r="M879" s="101"/>
      <c r="N879" s="101"/>
      <c r="O879" s="101"/>
      <c r="P879" s="101"/>
      <c r="Q879" s="101"/>
      <c r="R879" s="101"/>
      <c r="S879" s="101"/>
      <c r="T879" s="101"/>
      <c r="U879" s="101"/>
      <c r="V879" s="101"/>
      <c r="W879" s="101"/>
      <c r="X879" s="101"/>
      <c r="Y879" s="101"/>
      <c r="Z879" s="101"/>
      <c r="AA879" s="101"/>
      <c r="AB879" s="101"/>
    </row>
    <row r="880">
      <c r="A880" s="104" t="s">
        <v>1017</v>
      </c>
      <c r="B880" s="105" t="str">
        <f>IFERROR(VLOOKUP(A880,'Salary Calculation'!A879:F1876,2,0),"")</f>
        <v/>
      </c>
      <c r="C880" s="105" t="str">
        <f>IFERROR(VLOOKUP(A880,'Salary Calculation'!$A$2:$V$999,3,0),"")</f>
        <v/>
      </c>
      <c r="D880" s="105" t="str">
        <f>IFERROR(VLOOKUP(A880,'Salary Calculation'!$A$2:$V$999,6,0),"")</f>
        <v/>
      </c>
      <c r="E880" s="105" t="str">
        <f>IFERROR(VLOOKUP(A880,'Salary Calculation'!$A$2:$V$999,10,0),"")</f>
        <v/>
      </c>
      <c r="F880" s="101"/>
      <c r="G880" s="106" t="str">
        <f>IFERROR(VLOOKUP(A880,'Salary Calculation'!$A$2:$V$999,7,0),"")</f>
        <v/>
      </c>
      <c r="H880" s="100"/>
      <c r="I880" s="101"/>
      <c r="J880" s="101"/>
      <c r="K880" s="101"/>
      <c r="L880" s="101"/>
      <c r="M880" s="101"/>
      <c r="N880" s="101"/>
      <c r="O880" s="101"/>
      <c r="P880" s="101"/>
      <c r="Q880" s="101"/>
      <c r="R880" s="101"/>
      <c r="S880" s="101"/>
      <c r="T880" s="101"/>
      <c r="U880" s="101"/>
      <c r="V880" s="101"/>
      <c r="W880" s="101"/>
      <c r="X880" s="101"/>
      <c r="Y880" s="101"/>
      <c r="Z880" s="101"/>
      <c r="AA880" s="101"/>
      <c r="AB880" s="101"/>
    </row>
    <row r="881">
      <c r="A881" s="104" t="s">
        <v>1018</v>
      </c>
      <c r="B881" s="105" t="str">
        <f>IFERROR(VLOOKUP(A881,'Salary Calculation'!A880:F1877,2,0),"")</f>
        <v/>
      </c>
      <c r="C881" s="105" t="str">
        <f>IFERROR(VLOOKUP(A881,'Salary Calculation'!$A$2:$V$999,3,0),"")</f>
        <v/>
      </c>
      <c r="D881" s="105" t="str">
        <f>IFERROR(VLOOKUP(A881,'Salary Calculation'!$A$2:$V$999,6,0),"")</f>
        <v/>
      </c>
      <c r="E881" s="105" t="str">
        <f>IFERROR(VLOOKUP(A881,'Salary Calculation'!$A$2:$V$999,10,0),"")</f>
        <v/>
      </c>
      <c r="F881" s="101"/>
      <c r="G881" s="106" t="str">
        <f>IFERROR(VLOOKUP(A881,'Salary Calculation'!$A$2:$V$999,7,0),"")</f>
        <v/>
      </c>
      <c r="H881" s="100"/>
      <c r="I881" s="101"/>
      <c r="J881" s="101"/>
      <c r="K881" s="101"/>
      <c r="L881" s="101"/>
      <c r="M881" s="101"/>
      <c r="N881" s="101"/>
      <c r="O881" s="101"/>
      <c r="P881" s="101"/>
      <c r="Q881" s="101"/>
      <c r="R881" s="101"/>
      <c r="S881" s="101"/>
      <c r="T881" s="101"/>
      <c r="U881" s="101"/>
      <c r="V881" s="101"/>
      <c r="W881" s="101"/>
      <c r="X881" s="101"/>
      <c r="Y881" s="101"/>
      <c r="Z881" s="101"/>
      <c r="AA881" s="101"/>
      <c r="AB881" s="101"/>
    </row>
    <row r="882">
      <c r="A882" s="104" t="s">
        <v>1019</v>
      </c>
      <c r="B882" s="105" t="str">
        <f>IFERROR(VLOOKUP(A882,'Salary Calculation'!A881:F1878,2,0),"")</f>
        <v/>
      </c>
      <c r="C882" s="105" t="str">
        <f>IFERROR(VLOOKUP(A882,'Salary Calculation'!$A$2:$V$999,3,0),"")</f>
        <v/>
      </c>
      <c r="D882" s="105" t="str">
        <f>IFERROR(VLOOKUP(A882,'Salary Calculation'!$A$2:$V$999,6,0),"")</f>
        <v/>
      </c>
      <c r="E882" s="105" t="str">
        <f>IFERROR(VLOOKUP(A882,'Salary Calculation'!$A$2:$V$999,10,0),"")</f>
        <v/>
      </c>
      <c r="F882" s="101"/>
      <c r="G882" s="106" t="str">
        <f>IFERROR(VLOOKUP(A882,'Salary Calculation'!$A$2:$V$999,7,0),"")</f>
        <v/>
      </c>
      <c r="H882" s="100"/>
      <c r="I882" s="101"/>
      <c r="J882" s="101"/>
      <c r="K882" s="101"/>
      <c r="L882" s="101"/>
      <c r="M882" s="101"/>
      <c r="N882" s="101"/>
      <c r="O882" s="101"/>
      <c r="P882" s="101"/>
      <c r="Q882" s="101"/>
      <c r="R882" s="101"/>
      <c r="S882" s="101"/>
      <c r="T882" s="101"/>
      <c r="U882" s="101"/>
      <c r="V882" s="101"/>
      <c r="W882" s="101"/>
      <c r="X882" s="101"/>
      <c r="Y882" s="101"/>
      <c r="Z882" s="101"/>
      <c r="AA882" s="101"/>
      <c r="AB882" s="101"/>
    </row>
    <row r="883">
      <c r="A883" s="104" t="s">
        <v>1020</v>
      </c>
      <c r="B883" s="105" t="str">
        <f>IFERROR(VLOOKUP(A883,'Salary Calculation'!A882:F1879,2,0),"")</f>
        <v/>
      </c>
      <c r="C883" s="105" t="str">
        <f>IFERROR(VLOOKUP(A883,'Salary Calculation'!$A$2:$V$999,3,0),"")</f>
        <v/>
      </c>
      <c r="D883" s="105" t="str">
        <f>IFERROR(VLOOKUP(A883,'Salary Calculation'!$A$2:$V$999,6,0),"")</f>
        <v/>
      </c>
      <c r="E883" s="105" t="str">
        <f>IFERROR(VLOOKUP(A883,'Salary Calculation'!$A$2:$V$999,10,0),"")</f>
        <v/>
      </c>
      <c r="F883" s="101"/>
      <c r="G883" s="106" t="str">
        <f>IFERROR(VLOOKUP(A883,'Salary Calculation'!$A$2:$V$999,7,0),"")</f>
        <v/>
      </c>
      <c r="H883" s="100"/>
      <c r="I883" s="101"/>
      <c r="J883" s="101"/>
      <c r="K883" s="101"/>
      <c r="L883" s="101"/>
      <c r="M883" s="101"/>
      <c r="N883" s="101"/>
      <c r="O883" s="101"/>
      <c r="P883" s="101"/>
      <c r="Q883" s="101"/>
      <c r="R883" s="101"/>
      <c r="S883" s="101"/>
      <c r="T883" s="101"/>
      <c r="U883" s="101"/>
      <c r="V883" s="101"/>
      <c r="W883" s="101"/>
      <c r="X883" s="101"/>
      <c r="Y883" s="101"/>
      <c r="Z883" s="101"/>
      <c r="AA883" s="101"/>
      <c r="AB883" s="101"/>
    </row>
    <row r="884">
      <c r="A884" s="104" t="s">
        <v>1021</v>
      </c>
      <c r="B884" s="105" t="str">
        <f>IFERROR(VLOOKUP(A884,'Salary Calculation'!A883:F1880,2,0),"")</f>
        <v/>
      </c>
      <c r="C884" s="105" t="str">
        <f>IFERROR(VLOOKUP(A884,'Salary Calculation'!$A$2:$V$999,3,0),"")</f>
        <v/>
      </c>
      <c r="D884" s="105" t="str">
        <f>IFERROR(VLOOKUP(A884,'Salary Calculation'!$A$2:$V$999,6,0),"")</f>
        <v/>
      </c>
      <c r="E884" s="105" t="str">
        <f>IFERROR(VLOOKUP(A884,'Salary Calculation'!$A$2:$V$999,10,0),"")</f>
        <v/>
      </c>
      <c r="F884" s="101"/>
      <c r="G884" s="106" t="str">
        <f>IFERROR(VLOOKUP(A884,'Salary Calculation'!$A$2:$V$999,7,0),"")</f>
        <v/>
      </c>
      <c r="H884" s="100"/>
      <c r="I884" s="101"/>
      <c r="J884" s="101"/>
      <c r="K884" s="101"/>
      <c r="L884" s="101"/>
      <c r="M884" s="101"/>
      <c r="N884" s="101"/>
      <c r="O884" s="101"/>
      <c r="P884" s="101"/>
      <c r="Q884" s="101"/>
      <c r="R884" s="101"/>
      <c r="S884" s="101"/>
      <c r="T884" s="101"/>
      <c r="U884" s="101"/>
      <c r="V884" s="101"/>
      <c r="W884" s="101"/>
      <c r="X884" s="101"/>
      <c r="Y884" s="101"/>
      <c r="Z884" s="101"/>
      <c r="AA884" s="101"/>
      <c r="AB884" s="101"/>
    </row>
    <row r="885">
      <c r="A885" s="104" t="s">
        <v>1022</v>
      </c>
      <c r="B885" s="105" t="str">
        <f>IFERROR(VLOOKUP(A885,'Salary Calculation'!A884:F1881,2,0),"")</f>
        <v/>
      </c>
      <c r="C885" s="105" t="str">
        <f>IFERROR(VLOOKUP(A885,'Salary Calculation'!$A$2:$V$999,3,0),"")</f>
        <v/>
      </c>
      <c r="D885" s="105" t="str">
        <f>IFERROR(VLOOKUP(A885,'Salary Calculation'!$A$2:$V$999,6,0),"")</f>
        <v/>
      </c>
      <c r="E885" s="105" t="str">
        <f>IFERROR(VLOOKUP(A885,'Salary Calculation'!$A$2:$V$999,10,0),"")</f>
        <v/>
      </c>
      <c r="F885" s="101"/>
      <c r="G885" s="106" t="str">
        <f>IFERROR(VLOOKUP(A885,'Salary Calculation'!$A$2:$V$999,7,0),"")</f>
        <v/>
      </c>
      <c r="H885" s="100"/>
      <c r="I885" s="101"/>
      <c r="J885" s="101"/>
      <c r="K885" s="101"/>
      <c r="L885" s="101"/>
      <c r="M885" s="101"/>
      <c r="N885" s="101"/>
      <c r="O885" s="101"/>
      <c r="P885" s="101"/>
      <c r="Q885" s="101"/>
      <c r="R885" s="101"/>
      <c r="S885" s="101"/>
      <c r="T885" s="101"/>
      <c r="U885" s="101"/>
      <c r="V885" s="101"/>
      <c r="W885" s="101"/>
      <c r="X885" s="101"/>
      <c r="Y885" s="101"/>
      <c r="Z885" s="101"/>
      <c r="AA885" s="101"/>
      <c r="AB885" s="101"/>
    </row>
    <row r="886">
      <c r="A886" s="104" t="s">
        <v>1023</v>
      </c>
      <c r="B886" s="105" t="str">
        <f>IFERROR(VLOOKUP(A886,'Salary Calculation'!A885:F1882,2,0),"")</f>
        <v/>
      </c>
      <c r="C886" s="105" t="str">
        <f>IFERROR(VLOOKUP(A886,'Salary Calculation'!$A$2:$V$999,3,0),"")</f>
        <v/>
      </c>
      <c r="D886" s="105" t="str">
        <f>IFERROR(VLOOKUP(A886,'Salary Calculation'!$A$2:$V$999,6,0),"")</f>
        <v/>
      </c>
      <c r="E886" s="105" t="str">
        <f>IFERROR(VLOOKUP(A886,'Salary Calculation'!$A$2:$V$999,10,0),"")</f>
        <v/>
      </c>
      <c r="F886" s="101"/>
      <c r="G886" s="106" t="str">
        <f>IFERROR(VLOOKUP(A886,'Salary Calculation'!$A$2:$V$999,7,0),"")</f>
        <v/>
      </c>
      <c r="H886" s="100"/>
      <c r="I886" s="101"/>
      <c r="J886" s="101"/>
      <c r="K886" s="101"/>
      <c r="L886" s="101"/>
      <c r="M886" s="101"/>
      <c r="N886" s="101"/>
      <c r="O886" s="101"/>
      <c r="P886" s="101"/>
      <c r="Q886" s="101"/>
      <c r="R886" s="101"/>
      <c r="S886" s="101"/>
      <c r="T886" s="101"/>
      <c r="U886" s="101"/>
      <c r="V886" s="101"/>
      <c r="W886" s="101"/>
      <c r="X886" s="101"/>
      <c r="Y886" s="101"/>
      <c r="Z886" s="101"/>
      <c r="AA886" s="101"/>
      <c r="AB886" s="101"/>
    </row>
    <row r="887">
      <c r="A887" s="104" t="s">
        <v>1024</v>
      </c>
      <c r="B887" s="105" t="str">
        <f>IFERROR(VLOOKUP(A887,'Salary Calculation'!A886:F1883,2,0),"")</f>
        <v/>
      </c>
      <c r="C887" s="105" t="str">
        <f>IFERROR(VLOOKUP(A887,'Salary Calculation'!$A$2:$V$999,3,0),"")</f>
        <v/>
      </c>
      <c r="D887" s="105" t="str">
        <f>IFERROR(VLOOKUP(A887,'Salary Calculation'!$A$2:$V$999,6,0),"")</f>
        <v/>
      </c>
      <c r="E887" s="105" t="str">
        <f>IFERROR(VLOOKUP(A887,'Salary Calculation'!$A$2:$V$999,10,0),"")</f>
        <v/>
      </c>
      <c r="F887" s="101"/>
      <c r="G887" s="106" t="str">
        <f>IFERROR(VLOOKUP(A887,'Salary Calculation'!$A$2:$V$999,7,0),"")</f>
        <v/>
      </c>
      <c r="H887" s="100"/>
      <c r="I887" s="101"/>
      <c r="J887" s="101"/>
      <c r="K887" s="101"/>
      <c r="L887" s="101"/>
      <c r="M887" s="101"/>
      <c r="N887" s="101"/>
      <c r="O887" s="101"/>
      <c r="P887" s="101"/>
      <c r="Q887" s="101"/>
      <c r="R887" s="101"/>
      <c r="S887" s="101"/>
      <c r="T887" s="101"/>
      <c r="U887" s="101"/>
      <c r="V887" s="101"/>
      <c r="W887" s="101"/>
      <c r="X887" s="101"/>
      <c r="Y887" s="101"/>
      <c r="Z887" s="101"/>
      <c r="AA887" s="101"/>
      <c r="AB887" s="101"/>
    </row>
    <row r="888">
      <c r="A888" s="104" t="s">
        <v>1025</v>
      </c>
      <c r="B888" s="105" t="str">
        <f>IFERROR(VLOOKUP(A888,'Salary Calculation'!A887:F1884,2,0),"")</f>
        <v/>
      </c>
      <c r="C888" s="105" t="str">
        <f>IFERROR(VLOOKUP(A888,'Salary Calculation'!$A$2:$V$999,3,0),"")</f>
        <v/>
      </c>
      <c r="D888" s="105" t="str">
        <f>IFERROR(VLOOKUP(A888,'Salary Calculation'!$A$2:$V$999,6,0),"")</f>
        <v/>
      </c>
      <c r="E888" s="105" t="str">
        <f>IFERROR(VLOOKUP(A888,'Salary Calculation'!$A$2:$V$999,10,0),"")</f>
        <v/>
      </c>
      <c r="F888" s="101"/>
      <c r="G888" s="106" t="str">
        <f>IFERROR(VLOOKUP(A888,'Salary Calculation'!$A$2:$V$999,7,0),"")</f>
        <v/>
      </c>
      <c r="H888" s="100"/>
      <c r="I888" s="101"/>
      <c r="J888" s="101"/>
      <c r="K888" s="101"/>
      <c r="L888" s="101"/>
      <c r="M888" s="101"/>
      <c r="N888" s="101"/>
      <c r="O888" s="101"/>
      <c r="P888" s="101"/>
      <c r="Q888" s="101"/>
      <c r="R888" s="101"/>
      <c r="S888" s="101"/>
      <c r="T888" s="101"/>
      <c r="U888" s="101"/>
      <c r="V888" s="101"/>
      <c r="W888" s="101"/>
      <c r="X888" s="101"/>
      <c r="Y888" s="101"/>
      <c r="Z888" s="101"/>
      <c r="AA888" s="101"/>
      <c r="AB888" s="101"/>
    </row>
    <row r="889">
      <c r="A889" s="104" t="s">
        <v>1026</v>
      </c>
      <c r="B889" s="105" t="str">
        <f>IFERROR(VLOOKUP(A889,'Salary Calculation'!A888:F1885,2,0),"")</f>
        <v/>
      </c>
      <c r="C889" s="105" t="str">
        <f>IFERROR(VLOOKUP(A889,'Salary Calculation'!$A$2:$V$999,3,0),"")</f>
        <v/>
      </c>
      <c r="D889" s="105" t="str">
        <f>IFERROR(VLOOKUP(A889,'Salary Calculation'!$A$2:$V$999,6,0),"")</f>
        <v/>
      </c>
      <c r="E889" s="105" t="str">
        <f>IFERROR(VLOOKUP(A889,'Salary Calculation'!$A$2:$V$999,10,0),"")</f>
        <v/>
      </c>
      <c r="F889" s="101"/>
      <c r="G889" s="106" t="str">
        <f>IFERROR(VLOOKUP(A889,'Salary Calculation'!$A$2:$V$999,7,0),"")</f>
        <v/>
      </c>
      <c r="H889" s="100"/>
      <c r="I889" s="101"/>
      <c r="J889" s="101"/>
      <c r="K889" s="101"/>
      <c r="L889" s="101"/>
      <c r="M889" s="101"/>
      <c r="N889" s="101"/>
      <c r="O889" s="101"/>
      <c r="P889" s="101"/>
      <c r="Q889" s="101"/>
      <c r="R889" s="101"/>
      <c r="S889" s="101"/>
      <c r="T889" s="101"/>
      <c r="U889" s="101"/>
      <c r="V889" s="101"/>
      <c r="W889" s="101"/>
      <c r="X889" s="101"/>
      <c r="Y889" s="101"/>
      <c r="Z889" s="101"/>
      <c r="AA889" s="101"/>
      <c r="AB889" s="101"/>
    </row>
    <row r="890">
      <c r="A890" s="104" t="s">
        <v>1027</v>
      </c>
      <c r="B890" s="105" t="str">
        <f>IFERROR(VLOOKUP(A890,'Salary Calculation'!A889:F1886,2,0),"")</f>
        <v/>
      </c>
      <c r="C890" s="105" t="str">
        <f>IFERROR(VLOOKUP(A890,'Salary Calculation'!$A$2:$V$999,3,0),"")</f>
        <v/>
      </c>
      <c r="D890" s="105" t="str">
        <f>IFERROR(VLOOKUP(A890,'Salary Calculation'!$A$2:$V$999,6,0),"")</f>
        <v/>
      </c>
      <c r="E890" s="105" t="str">
        <f>IFERROR(VLOOKUP(A890,'Salary Calculation'!$A$2:$V$999,10,0),"")</f>
        <v/>
      </c>
      <c r="F890" s="101"/>
      <c r="G890" s="106" t="str">
        <f>IFERROR(VLOOKUP(A890,'Salary Calculation'!$A$2:$V$999,7,0),"")</f>
        <v/>
      </c>
      <c r="H890" s="100"/>
      <c r="I890" s="101"/>
      <c r="J890" s="101"/>
      <c r="K890" s="101"/>
      <c r="L890" s="101"/>
      <c r="M890" s="101"/>
      <c r="N890" s="101"/>
      <c r="O890" s="101"/>
      <c r="P890" s="101"/>
      <c r="Q890" s="101"/>
      <c r="R890" s="101"/>
      <c r="S890" s="101"/>
      <c r="T890" s="101"/>
      <c r="U890" s="101"/>
      <c r="V890" s="101"/>
      <c r="W890" s="101"/>
      <c r="X890" s="101"/>
      <c r="Y890" s="101"/>
      <c r="Z890" s="101"/>
      <c r="AA890" s="101"/>
      <c r="AB890" s="101"/>
    </row>
    <row r="891">
      <c r="A891" s="104" t="s">
        <v>1028</v>
      </c>
      <c r="B891" s="105" t="str">
        <f>IFERROR(VLOOKUP(A891,'Salary Calculation'!A890:F1887,2,0),"")</f>
        <v/>
      </c>
      <c r="C891" s="105" t="str">
        <f>IFERROR(VLOOKUP(A891,'Salary Calculation'!$A$2:$V$999,3,0),"")</f>
        <v/>
      </c>
      <c r="D891" s="105" t="str">
        <f>IFERROR(VLOOKUP(A891,'Salary Calculation'!$A$2:$V$999,6,0),"")</f>
        <v/>
      </c>
      <c r="E891" s="105" t="str">
        <f>IFERROR(VLOOKUP(A891,'Salary Calculation'!$A$2:$V$999,10,0),"")</f>
        <v/>
      </c>
      <c r="F891" s="101"/>
      <c r="G891" s="106" t="str">
        <f>IFERROR(VLOOKUP(A891,'Salary Calculation'!$A$2:$V$999,7,0),"")</f>
        <v/>
      </c>
      <c r="H891" s="100"/>
      <c r="I891" s="101"/>
      <c r="J891" s="101"/>
      <c r="K891" s="101"/>
      <c r="L891" s="101"/>
      <c r="M891" s="101"/>
      <c r="N891" s="101"/>
      <c r="O891" s="101"/>
      <c r="P891" s="101"/>
      <c r="Q891" s="101"/>
      <c r="R891" s="101"/>
      <c r="S891" s="101"/>
      <c r="T891" s="101"/>
      <c r="U891" s="101"/>
      <c r="V891" s="101"/>
      <c r="W891" s="101"/>
      <c r="X891" s="101"/>
      <c r="Y891" s="101"/>
      <c r="Z891" s="101"/>
      <c r="AA891" s="101"/>
      <c r="AB891" s="101"/>
    </row>
    <row r="892">
      <c r="A892" s="104" t="s">
        <v>1029</v>
      </c>
      <c r="B892" s="105" t="str">
        <f>IFERROR(VLOOKUP(A892,'Salary Calculation'!A891:F1888,2,0),"")</f>
        <v/>
      </c>
      <c r="C892" s="105" t="str">
        <f>IFERROR(VLOOKUP(A892,'Salary Calculation'!$A$2:$V$999,3,0),"")</f>
        <v/>
      </c>
      <c r="D892" s="105" t="str">
        <f>IFERROR(VLOOKUP(A892,'Salary Calculation'!$A$2:$V$999,6,0),"")</f>
        <v/>
      </c>
      <c r="E892" s="105" t="str">
        <f>IFERROR(VLOOKUP(A892,'Salary Calculation'!$A$2:$V$999,10,0),"")</f>
        <v/>
      </c>
      <c r="F892" s="101"/>
      <c r="G892" s="106" t="str">
        <f>IFERROR(VLOOKUP(A892,'Salary Calculation'!$A$2:$V$999,7,0),"")</f>
        <v/>
      </c>
      <c r="H892" s="100"/>
      <c r="I892" s="101"/>
      <c r="J892" s="101"/>
      <c r="K892" s="101"/>
      <c r="L892" s="101"/>
      <c r="M892" s="101"/>
      <c r="N892" s="101"/>
      <c r="O892" s="101"/>
      <c r="P892" s="101"/>
      <c r="Q892" s="101"/>
      <c r="R892" s="101"/>
      <c r="S892" s="101"/>
      <c r="T892" s="101"/>
      <c r="U892" s="101"/>
      <c r="V892" s="101"/>
      <c r="W892" s="101"/>
      <c r="X892" s="101"/>
      <c r="Y892" s="101"/>
      <c r="Z892" s="101"/>
      <c r="AA892" s="101"/>
      <c r="AB892" s="101"/>
    </row>
    <row r="893">
      <c r="A893" s="104" t="s">
        <v>1030</v>
      </c>
      <c r="B893" s="105" t="str">
        <f>IFERROR(VLOOKUP(A893,'Salary Calculation'!A892:F1889,2,0),"")</f>
        <v/>
      </c>
      <c r="C893" s="105" t="str">
        <f>IFERROR(VLOOKUP(A893,'Salary Calculation'!$A$2:$V$999,3,0),"")</f>
        <v/>
      </c>
      <c r="D893" s="105" t="str">
        <f>IFERROR(VLOOKUP(A893,'Salary Calculation'!$A$2:$V$999,6,0),"")</f>
        <v/>
      </c>
      <c r="E893" s="105" t="str">
        <f>IFERROR(VLOOKUP(A893,'Salary Calculation'!$A$2:$V$999,10,0),"")</f>
        <v/>
      </c>
      <c r="F893" s="101"/>
      <c r="G893" s="106" t="str">
        <f>IFERROR(VLOOKUP(A893,'Salary Calculation'!$A$2:$V$999,7,0),"")</f>
        <v/>
      </c>
      <c r="H893" s="100"/>
      <c r="I893" s="101"/>
      <c r="J893" s="101"/>
      <c r="K893" s="101"/>
      <c r="L893" s="101"/>
      <c r="M893" s="101"/>
      <c r="N893" s="101"/>
      <c r="O893" s="101"/>
      <c r="P893" s="101"/>
      <c r="Q893" s="101"/>
      <c r="R893" s="101"/>
      <c r="S893" s="101"/>
      <c r="T893" s="101"/>
      <c r="U893" s="101"/>
      <c r="V893" s="101"/>
      <c r="W893" s="101"/>
      <c r="X893" s="101"/>
      <c r="Y893" s="101"/>
      <c r="Z893" s="101"/>
      <c r="AA893" s="101"/>
      <c r="AB893" s="101"/>
    </row>
    <row r="894">
      <c r="A894" s="104" t="s">
        <v>1031</v>
      </c>
      <c r="B894" s="105" t="str">
        <f>IFERROR(VLOOKUP(A894,'Salary Calculation'!A893:F1890,2,0),"")</f>
        <v/>
      </c>
      <c r="C894" s="105" t="str">
        <f>IFERROR(VLOOKUP(A894,'Salary Calculation'!$A$2:$V$999,3,0),"")</f>
        <v/>
      </c>
      <c r="D894" s="105" t="str">
        <f>IFERROR(VLOOKUP(A894,'Salary Calculation'!$A$2:$V$999,6,0),"")</f>
        <v/>
      </c>
      <c r="E894" s="105" t="str">
        <f>IFERROR(VLOOKUP(A894,'Salary Calculation'!$A$2:$V$999,10,0),"")</f>
        <v/>
      </c>
      <c r="F894" s="101"/>
      <c r="G894" s="106" t="str">
        <f>IFERROR(VLOOKUP(A894,'Salary Calculation'!$A$2:$V$999,7,0),"")</f>
        <v/>
      </c>
      <c r="H894" s="100"/>
      <c r="I894" s="101"/>
      <c r="J894" s="101"/>
      <c r="K894" s="101"/>
      <c r="L894" s="101"/>
      <c r="M894" s="101"/>
      <c r="N894" s="101"/>
      <c r="O894" s="101"/>
      <c r="P894" s="101"/>
      <c r="Q894" s="101"/>
      <c r="R894" s="101"/>
      <c r="S894" s="101"/>
      <c r="T894" s="101"/>
      <c r="U894" s="101"/>
      <c r="V894" s="101"/>
      <c r="W894" s="101"/>
      <c r="X894" s="101"/>
      <c r="Y894" s="101"/>
      <c r="Z894" s="101"/>
      <c r="AA894" s="101"/>
      <c r="AB894" s="101"/>
    </row>
    <row r="895">
      <c r="A895" s="104" t="s">
        <v>1032</v>
      </c>
      <c r="B895" s="105" t="str">
        <f>IFERROR(VLOOKUP(A895,'Salary Calculation'!A894:F1891,2,0),"")</f>
        <v/>
      </c>
      <c r="C895" s="105" t="str">
        <f>IFERROR(VLOOKUP(A895,'Salary Calculation'!$A$2:$V$999,3,0),"")</f>
        <v/>
      </c>
      <c r="D895" s="105" t="str">
        <f>IFERROR(VLOOKUP(A895,'Salary Calculation'!$A$2:$V$999,6,0),"")</f>
        <v/>
      </c>
      <c r="E895" s="105" t="str">
        <f>IFERROR(VLOOKUP(A895,'Salary Calculation'!$A$2:$V$999,10,0),"")</f>
        <v/>
      </c>
      <c r="F895" s="101"/>
      <c r="G895" s="106" t="str">
        <f>IFERROR(VLOOKUP(A895,'Salary Calculation'!$A$2:$V$999,7,0),"")</f>
        <v/>
      </c>
      <c r="H895" s="100"/>
      <c r="I895" s="101"/>
      <c r="J895" s="101"/>
      <c r="K895" s="101"/>
      <c r="L895" s="101"/>
      <c r="M895" s="101"/>
      <c r="N895" s="101"/>
      <c r="O895" s="101"/>
      <c r="P895" s="101"/>
      <c r="Q895" s="101"/>
      <c r="R895" s="101"/>
      <c r="S895" s="101"/>
      <c r="T895" s="101"/>
      <c r="U895" s="101"/>
      <c r="V895" s="101"/>
      <c r="W895" s="101"/>
      <c r="X895" s="101"/>
      <c r="Y895" s="101"/>
      <c r="Z895" s="101"/>
      <c r="AA895" s="101"/>
      <c r="AB895" s="101"/>
    </row>
    <row r="896">
      <c r="A896" s="104" t="s">
        <v>1033</v>
      </c>
      <c r="B896" s="105" t="str">
        <f>IFERROR(VLOOKUP(A896,'Salary Calculation'!A895:F1892,2,0),"")</f>
        <v/>
      </c>
      <c r="C896" s="105" t="str">
        <f>IFERROR(VLOOKUP(A896,'Salary Calculation'!$A$2:$V$999,3,0),"")</f>
        <v/>
      </c>
      <c r="D896" s="105" t="str">
        <f>IFERROR(VLOOKUP(A896,'Salary Calculation'!$A$2:$V$999,6,0),"")</f>
        <v/>
      </c>
      <c r="E896" s="105" t="str">
        <f>IFERROR(VLOOKUP(A896,'Salary Calculation'!$A$2:$V$999,10,0),"")</f>
        <v/>
      </c>
      <c r="F896" s="101"/>
      <c r="G896" s="106" t="str">
        <f>IFERROR(VLOOKUP(A896,'Salary Calculation'!$A$2:$V$999,7,0),"")</f>
        <v/>
      </c>
      <c r="H896" s="100"/>
      <c r="I896" s="101"/>
      <c r="J896" s="101"/>
      <c r="K896" s="101"/>
      <c r="L896" s="101"/>
      <c r="M896" s="101"/>
      <c r="N896" s="101"/>
      <c r="O896" s="101"/>
      <c r="P896" s="101"/>
      <c r="Q896" s="101"/>
      <c r="R896" s="101"/>
      <c r="S896" s="101"/>
      <c r="T896" s="101"/>
      <c r="U896" s="101"/>
      <c r="V896" s="101"/>
      <c r="W896" s="101"/>
      <c r="X896" s="101"/>
      <c r="Y896" s="101"/>
      <c r="Z896" s="101"/>
      <c r="AA896" s="101"/>
      <c r="AB896" s="101"/>
    </row>
    <row r="897">
      <c r="A897" s="104" t="s">
        <v>1034</v>
      </c>
      <c r="B897" s="105" t="str">
        <f>IFERROR(VLOOKUP(A897,'Salary Calculation'!A896:F1893,2,0),"")</f>
        <v/>
      </c>
      <c r="C897" s="105" t="str">
        <f>IFERROR(VLOOKUP(A897,'Salary Calculation'!$A$2:$V$999,3,0),"")</f>
        <v/>
      </c>
      <c r="D897" s="105" t="str">
        <f>IFERROR(VLOOKUP(A897,'Salary Calculation'!$A$2:$V$999,6,0),"")</f>
        <v/>
      </c>
      <c r="E897" s="105" t="str">
        <f>IFERROR(VLOOKUP(A897,'Salary Calculation'!$A$2:$V$999,10,0),"")</f>
        <v/>
      </c>
      <c r="F897" s="101"/>
      <c r="G897" s="106" t="str">
        <f>IFERROR(VLOOKUP(A897,'Salary Calculation'!$A$2:$V$999,7,0),"")</f>
        <v/>
      </c>
      <c r="H897" s="100"/>
      <c r="I897" s="101"/>
      <c r="J897" s="101"/>
      <c r="K897" s="101"/>
      <c r="L897" s="101"/>
      <c r="M897" s="101"/>
      <c r="N897" s="101"/>
      <c r="O897" s="101"/>
      <c r="P897" s="101"/>
      <c r="Q897" s="101"/>
      <c r="R897" s="101"/>
      <c r="S897" s="101"/>
      <c r="T897" s="101"/>
      <c r="U897" s="101"/>
      <c r="V897" s="101"/>
      <c r="W897" s="101"/>
      <c r="X897" s="101"/>
      <c r="Y897" s="101"/>
      <c r="Z897" s="101"/>
      <c r="AA897" s="101"/>
      <c r="AB897" s="101"/>
    </row>
    <row r="898">
      <c r="A898" s="104" t="s">
        <v>1035</v>
      </c>
      <c r="B898" s="105" t="str">
        <f>IFERROR(VLOOKUP(A898,'Salary Calculation'!A897:F1894,2,0),"")</f>
        <v/>
      </c>
      <c r="C898" s="105" t="str">
        <f>IFERROR(VLOOKUP(A898,'Salary Calculation'!$A$2:$V$999,3,0),"")</f>
        <v/>
      </c>
      <c r="D898" s="105" t="str">
        <f>IFERROR(VLOOKUP(A898,'Salary Calculation'!$A$2:$V$999,6,0),"")</f>
        <v/>
      </c>
      <c r="E898" s="105" t="str">
        <f>IFERROR(VLOOKUP(A898,'Salary Calculation'!$A$2:$V$999,10,0),"")</f>
        <v/>
      </c>
      <c r="F898" s="101"/>
      <c r="G898" s="106" t="str">
        <f>IFERROR(VLOOKUP(A898,'Salary Calculation'!$A$2:$V$999,7,0),"")</f>
        <v/>
      </c>
      <c r="H898" s="100"/>
      <c r="I898" s="101"/>
      <c r="J898" s="101"/>
      <c r="K898" s="101"/>
      <c r="L898" s="101"/>
      <c r="M898" s="101"/>
      <c r="N898" s="101"/>
      <c r="O898" s="101"/>
      <c r="P898" s="101"/>
      <c r="Q898" s="101"/>
      <c r="R898" s="101"/>
      <c r="S898" s="101"/>
      <c r="T898" s="101"/>
      <c r="U898" s="101"/>
      <c r="V898" s="101"/>
      <c r="W898" s="101"/>
      <c r="X898" s="101"/>
      <c r="Y898" s="101"/>
      <c r="Z898" s="101"/>
      <c r="AA898" s="101"/>
      <c r="AB898" s="101"/>
    </row>
    <row r="899">
      <c r="A899" s="104" t="s">
        <v>1036</v>
      </c>
      <c r="B899" s="105" t="str">
        <f>IFERROR(VLOOKUP(A899,'Salary Calculation'!A898:F1895,2,0),"")</f>
        <v/>
      </c>
      <c r="C899" s="105" t="str">
        <f>IFERROR(VLOOKUP(A899,'Salary Calculation'!$A$2:$V$999,3,0),"")</f>
        <v/>
      </c>
      <c r="D899" s="105" t="str">
        <f>IFERROR(VLOOKUP(A899,'Salary Calculation'!$A$2:$V$999,6,0),"")</f>
        <v/>
      </c>
      <c r="E899" s="105" t="str">
        <f>IFERROR(VLOOKUP(A899,'Salary Calculation'!$A$2:$V$999,10,0),"")</f>
        <v/>
      </c>
      <c r="F899" s="101"/>
      <c r="G899" s="106" t="str">
        <f>IFERROR(VLOOKUP(A899,'Salary Calculation'!$A$2:$V$999,7,0),"")</f>
        <v/>
      </c>
      <c r="H899" s="100"/>
      <c r="I899" s="101"/>
      <c r="J899" s="101"/>
      <c r="K899" s="101"/>
      <c r="L899" s="101"/>
      <c r="M899" s="101"/>
      <c r="N899" s="101"/>
      <c r="O899" s="101"/>
      <c r="P899" s="101"/>
      <c r="Q899" s="101"/>
      <c r="R899" s="101"/>
      <c r="S899" s="101"/>
      <c r="T899" s="101"/>
      <c r="U899" s="101"/>
      <c r="V899" s="101"/>
      <c r="W899" s="101"/>
      <c r="X899" s="101"/>
      <c r="Y899" s="101"/>
      <c r="Z899" s="101"/>
      <c r="AA899" s="101"/>
      <c r="AB899" s="101"/>
    </row>
    <row r="900">
      <c r="A900" s="104" t="s">
        <v>1037</v>
      </c>
      <c r="B900" s="105" t="str">
        <f>IFERROR(VLOOKUP(A900,'Salary Calculation'!A899:F1896,2,0),"")</f>
        <v/>
      </c>
      <c r="C900" s="105" t="str">
        <f>IFERROR(VLOOKUP(A900,'Salary Calculation'!$A$2:$V$999,3,0),"")</f>
        <v/>
      </c>
      <c r="D900" s="105" t="str">
        <f>IFERROR(VLOOKUP(A900,'Salary Calculation'!$A$2:$V$999,6,0),"")</f>
        <v/>
      </c>
      <c r="E900" s="105" t="str">
        <f>IFERROR(VLOOKUP(A900,'Salary Calculation'!$A$2:$V$999,10,0),"")</f>
        <v/>
      </c>
      <c r="F900" s="101"/>
      <c r="G900" s="106" t="str">
        <f>IFERROR(VLOOKUP(A900,'Salary Calculation'!$A$2:$V$999,7,0),"")</f>
        <v/>
      </c>
      <c r="H900" s="100"/>
      <c r="I900" s="101"/>
      <c r="J900" s="101"/>
      <c r="K900" s="101"/>
      <c r="L900" s="101"/>
      <c r="M900" s="101"/>
      <c r="N900" s="101"/>
      <c r="O900" s="101"/>
      <c r="P900" s="101"/>
      <c r="Q900" s="101"/>
      <c r="R900" s="101"/>
      <c r="S900" s="101"/>
      <c r="T900" s="101"/>
      <c r="U900" s="101"/>
      <c r="V900" s="101"/>
      <c r="W900" s="101"/>
      <c r="X900" s="101"/>
      <c r="Y900" s="101"/>
      <c r="Z900" s="101"/>
      <c r="AA900" s="101"/>
      <c r="AB900" s="101"/>
    </row>
    <row r="901">
      <c r="A901" s="104" t="s">
        <v>1038</v>
      </c>
      <c r="B901" s="105" t="str">
        <f>IFERROR(VLOOKUP(A901,'Salary Calculation'!A900:F1897,2,0),"")</f>
        <v/>
      </c>
      <c r="C901" s="105" t="str">
        <f>IFERROR(VLOOKUP(A901,'Salary Calculation'!$A$2:$V$999,3,0),"")</f>
        <v/>
      </c>
      <c r="D901" s="105" t="str">
        <f>IFERROR(VLOOKUP(A901,'Salary Calculation'!$A$2:$V$999,6,0),"")</f>
        <v/>
      </c>
      <c r="E901" s="105" t="str">
        <f>IFERROR(VLOOKUP(A901,'Salary Calculation'!$A$2:$V$999,10,0),"")</f>
        <v/>
      </c>
      <c r="F901" s="101"/>
      <c r="G901" s="106" t="str">
        <f>IFERROR(VLOOKUP(A901,'Salary Calculation'!$A$2:$V$999,7,0),"")</f>
        <v/>
      </c>
      <c r="H901" s="100"/>
      <c r="I901" s="101"/>
      <c r="J901" s="101"/>
      <c r="K901" s="101"/>
      <c r="L901" s="101"/>
      <c r="M901" s="101"/>
      <c r="N901" s="101"/>
      <c r="O901" s="101"/>
      <c r="P901" s="101"/>
      <c r="Q901" s="101"/>
      <c r="R901" s="101"/>
      <c r="S901" s="101"/>
      <c r="T901" s="101"/>
      <c r="U901" s="101"/>
      <c r="V901" s="101"/>
      <c r="W901" s="101"/>
      <c r="X901" s="101"/>
      <c r="Y901" s="101"/>
      <c r="Z901" s="101"/>
      <c r="AA901" s="101"/>
      <c r="AB901" s="101"/>
    </row>
    <row r="902">
      <c r="A902" s="104" t="s">
        <v>1039</v>
      </c>
      <c r="B902" s="105" t="str">
        <f>IFERROR(VLOOKUP(A902,'Salary Calculation'!A901:F1898,2,0),"")</f>
        <v/>
      </c>
      <c r="C902" s="105" t="str">
        <f>IFERROR(VLOOKUP(A902,'Salary Calculation'!$A$2:$V$999,3,0),"")</f>
        <v/>
      </c>
      <c r="D902" s="105" t="str">
        <f>IFERROR(VLOOKUP(A902,'Salary Calculation'!$A$2:$V$999,6,0),"")</f>
        <v/>
      </c>
      <c r="E902" s="105" t="str">
        <f>IFERROR(VLOOKUP(A902,'Salary Calculation'!$A$2:$V$999,10,0),"")</f>
        <v/>
      </c>
      <c r="F902" s="101"/>
      <c r="G902" s="106" t="str">
        <f>IFERROR(VLOOKUP(A902,'Salary Calculation'!$A$2:$V$999,7,0),"")</f>
        <v/>
      </c>
      <c r="H902" s="100"/>
      <c r="I902" s="101"/>
      <c r="J902" s="101"/>
      <c r="K902" s="101"/>
      <c r="L902" s="101"/>
      <c r="M902" s="101"/>
      <c r="N902" s="101"/>
      <c r="O902" s="101"/>
      <c r="P902" s="101"/>
      <c r="Q902" s="101"/>
      <c r="R902" s="101"/>
      <c r="S902" s="101"/>
      <c r="T902" s="101"/>
      <c r="U902" s="101"/>
      <c r="V902" s="101"/>
      <c r="W902" s="101"/>
      <c r="X902" s="101"/>
      <c r="Y902" s="101"/>
      <c r="Z902" s="101"/>
      <c r="AA902" s="101"/>
      <c r="AB902" s="101"/>
    </row>
    <row r="903">
      <c r="A903" s="104" t="s">
        <v>1040</v>
      </c>
      <c r="B903" s="105" t="str">
        <f>IFERROR(VLOOKUP(A903,'Salary Calculation'!A902:F1899,2,0),"")</f>
        <v/>
      </c>
      <c r="C903" s="105" t="str">
        <f>IFERROR(VLOOKUP(A903,'Salary Calculation'!$A$2:$V$999,3,0),"")</f>
        <v/>
      </c>
      <c r="D903" s="105" t="str">
        <f>IFERROR(VLOOKUP(A903,'Salary Calculation'!$A$2:$V$999,6,0),"")</f>
        <v/>
      </c>
      <c r="E903" s="105" t="str">
        <f>IFERROR(VLOOKUP(A903,'Salary Calculation'!$A$2:$V$999,10,0),"")</f>
        <v/>
      </c>
      <c r="F903" s="101"/>
      <c r="G903" s="106" t="str">
        <f>IFERROR(VLOOKUP(A903,'Salary Calculation'!$A$2:$V$999,7,0),"")</f>
        <v/>
      </c>
      <c r="H903" s="100"/>
      <c r="I903" s="101"/>
      <c r="J903" s="101"/>
      <c r="K903" s="101"/>
      <c r="L903" s="101"/>
      <c r="M903" s="101"/>
      <c r="N903" s="101"/>
      <c r="O903" s="101"/>
      <c r="P903" s="101"/>
      <c r="Q903" s="101"/>
      <c r="R903" s="101"/>
      <c r="S903" s="101"/>
      <c r="T903" s="101"/>
      <c r="U903" s="101"/>
      <c r="V903" s="101"/>
      <c r="W903" s="101"/>
      <c r="X903" s="101"/>
      <c r="Y903" s="101"/>
      <c r="Z903" s="101"/>
      <c r="AA903" s="101"/>
      <c r="AB903" s="101"/>
    </row>
    <row r="904">
      <c r="A904" s="104" t="s">
        <v>1041</v>
      </c>
      <c r="B904" s="105" t="str">
        <f>IFERROR(VLOOKUP(A904,'Salary Calculation'!A903:F1900,2,0),"")</f>
        <v/>
      </c>
      <c r="C904" s="105" t="str">
        <f>IFERROR(VLOOKUP(A904,'Salary Calculation'!$A$2:$V$999,3,0),"")</f>
        <v/>
      </c>
      <c r="D904" s="105" t="str">
        <f>IFERROR(VLOOKUP(A904,'Salary Calculation'!$A$2:$V$999,6,0),"")</f>
        <v/>
      </c>
      <c r="E904" s="105" t="str">
        <f>IFERROR(VLOOKUP(A904,'Salary Calculation'!$A$2:$V$999,10,0),"")</f>
        <v/>
      </c>
      <c r="F904" s="101"/>
      <c r="G904" s="106" t="str">
        <f>IFERROR(VLOOKUP(A904,'Salary Calculation'!$A$2:$V$999,7,0),"")</f>
        <v/>
      </c>
      <c r="H904" s="100"/>
      <c r="I904" s="101"/>
      <c r="J904" s="101"/>
      <c r="K904" s="101"/>
      <c r="L904" s="101"/>
      <c r="M904" s="101"/>
      <c r="N904" s="101"/>
      <c r="O904" s="101"/>
      <c r="P904" s="101"/>
      <c r="Q904" s="101"/>
      <c r="R904" s="101"/>
      <c r="S904" s="101"/>
      <c r="T904" s="101"/>
      <c r="U904" s="101"/>
      <c r="V904" s="101"/>
      <c r="W904" s="101"/>
      <c r="X904" s="101"/>
      <c r="Y904" s="101"/>
      <c r="Z904" s="101"/>
      <c r="AA904" s="101"/>
      <c r="AB904" s="101"/>
    </row>
    <row r="905">
      <c r="A905" s="104" t="s">
        <v>1042</v>
      </c>
      <c r="B905" s="105" t="str">
        <f>IFERROR(VLOOKUP(A905,'Salary Calculation'!A904:F1901,2,0),"")</f>
        <v/>
      </c>
      <c r="C905" s="105" t="str">
        <f>IFERROR(VLOOKUP(A905,'Salary Calculation'!$A$2:$V$999,3,0),"")</f>
        <v/>
      </c>
      <c r="D905" s="105" t="str">
        <f>IFERROR(VLOOKUP(A905,'Salary Calculation'!$A$2:$V$999,6,0),"")</f>
        <v/>
      </c>
      <c r="E905" s="105" t="str">
        <f>IFERROR(VLOOKUP(A905,'Salary Calculation'!$A$2:$V$999,10,0),"")</f>
        <v/>
      </c>
      <c r="F905" s="101"/>
      <c r="G905" s="106" t="str">
        <f>IFERROR(VLOOKUP(A905,'Salary Calculation'!$A$2:$V$999,7,0),"")</f>
        <v/>
      </c>
      <c r="H905" s="100"/>
      <c r="I905" s="101"/>
      <c r="J905" s="101"/>
      <c r="K905" s="101"/>
      <c r="L905" s="101"/>
      <c r="M905" s="101"/>
      <c r="N905" s="101"/>
      <c r="O905" s="101"/>
      <c r="P905" s="101"/>
      <c r="Q905" s="101"/>
      <c r="R905" s="101"/>
      <c r="S905" s="101"/>
      <c r="T905" s="101"/>
      <c r="U905" s="101"/>
      <c r="V905" s="101"/>
      <c r="W905" s="101"/>
      <c r="X905" s="101"/>
      <c r="Y905" s="101"/>
      <c r="Z905" s="101"/>
      <c r="AA905" s="101"/>
      <c r="AB905" s="101"/>
    </row>
    <row r="906">
      <c r="A906" s="104" t="s">
        <v>1043</v>
      </c>
      <c r="B906" s="105" t="str">
        <f>IFERROR(VLOOKUP(A906,'Salary Calculation'!A905:F1902,2,0),"")</f>
        <v/>
      </c>
      <c r="C906" s="105" t="str">
        <f>IFERROR(VLOOKUP(A906,'Salary Calculation'!$A$2:$V$999,3,0),"")</f>
        <v/>
      </c>
      <c r="D906" s="105" t="str">
        <f>IFERROR(VLOOKUP(A906,'Salary Calculation'!$A$2:$V$999,6,0),"")</f>
        <v/>
      </c>
      <c r="E906" s="105" t="str">
        <f>IFERROR(VLOOKUP(A906,'Salary Calculation'!$A$2:$V$999,10,0),"")</f>
        <v/>
      </c>
      <c r="F906" s="101"/>
      <c r="G906" s="106" t="str">
        <f>IFERROR(VLOOKUP(A906,'Salary Calculation'!$A$2:$V$999,7,0),"")</f>
        <v/>
      </c>
      <c r="H906" s="100"/>
      <c r="I906" s="101"/>
      <c r="J906" s="101"/>
      <c r="K906" s="101"/>
      <c r="L906" s="101"/>
      <c r="M906" s="101"/>
      <c r="N906" s="101"/>
      <c r="O906" s="101"/>
      <c r="P906" s="101"/>
      <c r="Q906" s="101"/>
      <c r="R906" s="101"/>
      <c r="S906" s="101"/>
      <c r="T906" s="101"/>
      <c r="U906" s="101"/>
      <c r="V906" s="101"/>
      <c r="W906" s="101"/>
      <c r="X906" s="101"/>
      <c r="Y906" s="101"/>
      <c r="Z906" s="101"/>
      <c r="AA906" s="101"/>
      <c r="AB906" s="101"/>
    </row>
    <row r="907">
      <c r="A907" s="104" t="s">
        <v>1044</v>
      </c>
      <c r="B907" s="105" t="str">
        <f>IFERROR(VLOOKUP(A907,'Salary Calculation'!A906:F1903,2,0),"")</f>
        <v/>
      </c>
      <c r="C907" s="105" t="str">
        <f>IFERROR(VLOOKUP(A907,'Salary Calculation'!$A$2:$V$999,3,0),"")</f>
        <v/>
      </c>
      <c r="D907" s="105" t="str">
        <f>IFERROR(VLOOKUP(A907,'Salary Calculation'!$A$2:$V$999,6,0),"")</f>
        <v/>
      </c>
      <c r="E907" s="105" t="str">
        <f>IFERROR(VLOOKUP(A907,'Salary Calculation'!$A$2:$V$999,10,0),"")</f>
        <v/>
      </c>
      <c r="F907" s="101"/>
      <c r="G907" s="106" t="str">
        <f>IFERROR(VLOOKUP(A907,'Salary Calculation'!$A$2:$V$999,7,0),"")</f>
        <v/>
      </c>
      <c r="H907" s="100"/>
      <c r="I907" s="101"/>
      <c r="J907" s="101"/>
      <c r="K907" s="101"/>
      <c r="L907" s="101"/>
      <c r="M907" s="101"/>
      <c r="N907" s="101"/>
      <c r="O907" s="101"/>
      <c r="P907" s="101"/>
      <c r="Q907" s="101"/>
      <c r="R907" s="101"/>
      <c r="S907" s="101"/>
      <c r="T907" s="101"/>
      <c r="U907" s="101"/>
      <c r="V907" s="101"/>
      <c r="W907" s="101"/>
      <c r="X907" s="101"/>
      <c r="Y907" s="101"/>
      <c r="Z907" s="101"/>
      <c r="AA907" s="101"/>
      <c r="AB907" s="101"/>
    </row>
    <row r="908">
      <c r="A908" s="104" t="s">
        <v>1045</v>
      </c>
      <c r="B908" s="105" t="str">
        <f>IFERROR(VLOOKUP(A908,'Salary Calculation'!A907:F1904,2,0),"")</f>
        <v/>
      </c>
      <c r="C908" s="105" t="str">
        <f>IFERROR(VLOOKUP(A908,'Salary Calculation'!$A$2:$V$999,3,0),"")</f>
        <v/>
      </c>
      <c r="D908" s="105" t="str">
        <f>IFERROR(VLOOKUP(A908,'Salary Calculation'!$A$2:$V$999,6,0),"")</f>
        <v/>
      </c>
      <c r="E908" s="105" t="str">
        <f>IFERROR(VLOOKUP(A908,'Salary Calculation'!$A$2:$V$999,10,0),"")</f>
        <v/>
      </c>
      <c r="F908" s="101"/>
      <c r="G908" s="106" t="str">
        <f>IFERROR(VLOOKUP(A908,'Salary Calculation'!$A$2:$V$999,7,0),"")</f>
        <v/>
      </c>
      <c r="H908" s="100"/>
      <c r="I908" s="101"/>
      <c r="J908" s="101"/>
      <c r="K908" s="101"/>
      <c r="L908" s="101"/>
      <c r="M908" s="101"/>
      <c r="N908" s="101"/>
      <c r="O908" s="101"/>
      <c r="P908" s="101"/>
      <c r="Q908" s="101"/>
      <c r="R908" s="101"/>
      <c r="S908" s="101"/>
      <c r="T908" s="101"/>
      <c r="U908" s="101"/>
      <c r="V908" s="101"/>
      <c r="W908" s="101"/>
      <c r="X908" s="101"/>
      <c r="Y908" s="101"/>
      <c r="Z908" s="101"/>
      <c r="AA908" s="101"/>
      <c r="AB908" s="101"/>
    </row>
    <row r="909">
      <c r="A909" s="104" t="s">
        <v>1046</v>
      </c>
      <c r="B909" s="105" t="str">
        <f>IFERROR(VLOOKUP(A909,'Salary Calculation'!A908:F1905,2,0),"")</f>
        <v/>
      </c>
      <c r="C909" s="105" t="str">
        <f>IFERROR(VLOOKUP(A909,'Salary Calculation'!$A$2:$V$999,3,0),"")</f>
        <v/>
      </c>
      <c r="D909" s="105" t="str">
        <f>IFERROR(VLOOKUP(A909,'Salary Calculation'!$A$2:$V$999,6,0),"")</f>
        <v/>
      </c>
      <c r="E909" s="105" t="str">
        <f>IFERROR(VLOOKUP(A909,'Salary Calculation'!$A$2:$V$999,10,0),"")</f>
        <v/>
      </c>
      <c r="F909" s="101"/>
      <c r="G909" s="106" t="str">
        <f>IFERROR(VLOOKUP(A909,'Salary Calculation'!$A$2:$V$999,7,0),"")</f>
        <v/>
      </c>
      <c r="H909" s="100"/>
      <c r="I909" s="101"/>
      <c r="J909" s="101"/>
      <c r="K909" s="101"/>
      <c r="L909" s="101"/>
      <c r="M909" s="101"/>
      <c r="N909" s="101"/>
      <c r="O909" s="101"/>
      <c r="P909" s="101"/>
      <c r="Q909" s="101"/>
      <c r="R909" s="101"/>
      <c r="S909" s="101"/>
      <c r="T909" s="101"/>
      <c r="U909" s="101"/>
      <c r="V909" s="101"/>
      <c r="W909" s="101"/>
      <c r="X909" s="101"/>
      <c r="Y909" s="101"/>
      <c r="Z909" s="101"/>
      <c r="AA909" s="101"/>
      <c r="AB909" s="101"/>
    </row>
    <row r="910">
      <c r="A910" s="104" t="s">
        <v>1047</v>
      </c>
      <c r="B910" s="105" t="str">
        <f>IFERROR(VLOOKUP(A910,'Salary Calculation'!A909:F1906,2,0),"")</f>
        <v/>
      </c>
      <c r="C910" s="105" t="str">
        <f>IFERROR(VLOOKUP(A910,'Salary Calculation'!$A$2:$V$999,3,0),"")</f>
        <v/>
      </c>
      <c r="D910" s="105" t="str">
        <f>IFERROR(VLOOKUP(A910,'Salary Calculation'!$A$2:$V$999,6,0),"")</f>
        <v/>
      </c>
      <c r="E910" s="105" t="str">
        <f>IFERROR(VLOOKUP(A910,'Salary Calculation'!$A$2:$V$999,10,0),"")</f>
        <v/>
      </c>
      <c r="F910" s="101"/>
      <c r="G910" s="106" t="str">
        <f>IFERROR(VLOOKUP(A910,'Salary Calculation'!$A$2:$V$999,7,0),"")</f>
        <v/>
      </c>
      <c r="H910" s="100"/>
      <c r="I910" s="101"/>
      <c r="J910" s="101"/>
      <c r="K910" s="101"/>
      <c r="L910" s="101"/>
      <c r="M910" s="101"/>
      <c r="N910" s="101"/>
      <c r="O910" s="101"/>
      <c r="P910" s="101"/>
      <c r="Q910" s="101"/>
      <c r="R910" s="101"/>
      <c r="S910" s="101"/>
      <c r="T910" s="101"/>
      <c r="U910" s="101"/>
      <c r="V910" s="101"/>
      <c r="W910" s="101"/>
      <c r="X910" s="101"/>
      <c r="Y910" s="101"/>
      <c r="Z910" s="101"/>
      <c r="AA910" s="101"/>
      <c r="AB910" s="101"/>
    </row>
    <row r="911">
      <c r="A911" s="104" t="s">
        <v>1048</v>
      </c>
      <c r="B911" s="105" t="str">
        <f>IFERROR(VLOOKUP(A911,'Salary Calculation'!A910:F1907,2,0),"")</f>
        <v/>
      </c>
      <c r="C911" s="105" t="str">
        <f>IFERROR(VLOOKUP(A911,'Salary Calculation'!$A$2:$V$999,3,0),"")</f>
        <v/>
      </c>
      <c r="D911" s="105" t="str">
        <f>IFERROR(VLOOKUP(A911,'Salary Calculation'!$A$2:$V$999,6,0),"")</f>
        <v/>
      </c>
      <c r="E911" s="105" t="str">
        <f>IFERROR(VLOOKUP(A911,'Salary Calculation'!$A$2:$V$999,10,0),"")</f>
        <v/>
      </c>
      <c r="F911" s="101"/>
      <c r="G911" s="106" t="str">
        <f>IFERROR(VLOOKUP(A911,'Salary Calculation'!$A$2:$V$999,7,0),"")</f>
        <v/>
      </c>
      <c r="H911" s="100"/>
      <c r="I911" s="101"/>
      <c r="J911" s="101"/>
      <c r="K911" s="101"/>
      <c r="L911" s="101"/>
      <c r="M911" s="101"/>
      <c r="N911" s="101"/>
      <c r="O911" s="101"/>
      <c r="P911" s="101"/>
      <c r="Q911" s="101"/>
      <c r="R911" s="101"/>
      <c r="S911" s="101"/>
      <c r="T911" s="101"/>
      <c r="U911" s="101"/>
      <c r="V911" s="101"/>
      <c r="W911" s="101"/>
      <c r="X911" s="101"/>
      <c r="Y911" s="101"/>
      <c r="Z911" s="101"/>
      <c r="AA911" s="101"/>
      <c r="AB911" s="101"/>
    </row>
    <row r="912">
      <c r="A912" s="104" t="s">
        <v>1049</v>
      </c>
      <c r="B912" s="105" t="str">
        <f>IFERROR(VLOOKUP(A912,'Salary Calculation'!A911:F1908,2,0),"")</f>
        <v/>
      </c>
      <c r="C912" s="105" t="str">
        <f>IFERROR(VLOOKUP(A912,'Salary Calculation'!$A$2:$V$999,3,0),"")</f>
        <v/>
      </c>
      <c r="D912" s="105" t="str">
        <f>IFERROR(VLOOKUP(A912,'Salary Calculation'!$A$2:$V$999,6,0),"")</f>
        <v/>
      </c>
      <c r="E912" s="105" t="str">
        <f>IFERROR(VLOOKUP(A912,'Salary Calculation'!$A$2:$V$999,10,0),"")</f>
        <v/>
      </c>
      <c r="F912" s="101"/>
      <c r="G912" s="106" t="str">
        <f>IFERROR(VLOOKUP(A912,'Salary Calculation'!$A$2:$V$999,7,0),"")</f>
        <v/>
      </c>
      <c r="H912" s="100"/>
      <c r="I912" s="101"/>
      <c r="J912" s="101"/>
      <c r="K912" s="101"/>
      <c r="L912" s="101"/>
      <c r="M912" s="101"/>
      <c r="N912" s="101"/>
      <c r="O912" s="101"/>
      <c r="P912" s="101"/>
      <c r="Q912" s="101"/>
      <c r="R912" s="101"/>
      <c r="S912" s="101"/>
      <c r="T912" s="101"/>
      <c r="U912" s="101"/>
      <c r="V912" s="101"/>
      <c r="W912" s="101"/>
      <c r="X912" s="101"/>
      <c r="Y912" s="101"/>
      <c r="Z912" s="101"/>
      <c r="AA912" s="101"/>
      <c r="AB912" s="101"/>
    </row>
    <row r="913">
      <c r="A913" s="104" t="s">
        <v>1050</v>
      </c>
      <c r="B913" s="105" t="str">
        <f>IFERROR(VLOOKUP(A913,'Salary Calculation'!A912:F1909,2,0),"")</f>
        <v/>
      </c>
      <c r="C913" s="105" t="str">
        <f>IFERROR(VLOOKUP(A913,'Salary Calculation'!$A$2:$V$999,3,0),"")</f>
        <v/>
      </c>
      <c r="D913" s="105" t="str">
        <f>IFERROR(VLOOKUP(A913,'Salary Calculation'!$A$2:$V$999,6,0),"")</f>
        <v/>
      </c>
      <c r="E913" s="105" t="str">
        <f>IFERROR(VLOOKUP(A913,'Salary Calculation'!$A$2:$V$999,10,0),"")</f>
        <v/>
      </c>
      <c r="F913" s="101"/>
      <c r="G913" s="106" t="str">
        <f>IFERROR(VLOOKUP(A913,'Salary Calculation'!$A$2:$V$999,7,0),"")</f>
        <v/>
      </c>
      <c r="H913" s="100"/>
      <c r="I913" s="101"/>
      <c r="J913" s="101"/>
      <c r="K913" s="101"/>
      <c r="L913" s="101"/>
      <c r="M913" s="101"/>
      <c r="N913" s="101"/>
      <c r="O913" s="101"/>
      <c r="P913" s="101"/>
      <c r="Q913" s="101"/>
      <c r="R913" s="101"/>
      <c r="S913" s="101"/>
      <c r="T913" s="101"/>
      <c r="U913" s="101"/>
      <c r="V913" s="101"/>
      <c r="W913" s="101"/>
      <c r="X913" s="101"/>
      <c r="Y913" s="101"/>
      <c r="Z913" s="101"/>
      <c r="AA913" s="101"/>
      <c r="AB913" s="101"/>
    </row>
    <row r="914">
      <c r="A914" s="104" t="s">
        <v>1051</v>
      </c>
      <c r="B914" s="105" t="str">
        <f>IFERROR(VLOOKUP(A914,'Salary Calculation'!A913:F1910,2,0),"")</f>
        <v/>
      </c>
      <c r="C914" s="105" t="str">
        <f>IFERROR(VLOOKUP(A914,'Salary Calculation'!$A$2:$V$999,3,0),"")</f>
        <v/>
      </c>
      <c r="D914" s="105" t="str">
        <f>IFERROR(VLOOKUP(A914,'Salary Calculation'!$A$2:$V$999,6,0),"")</f>
        <v/>
      </c>
      <c r="E914" s="105" t="str">
        <f>IFERROR(VLOOKUP(A914,'Salary Calculation'!$A$2:$V$999,10,0),"")</f>
        <v/>
      </c>
      <c r="F914" s="101"/>
      <c r="G914" s="106" t="str">
        <f>IFERROR(VLOOKUP(A914,'Salary Calculation'!$A$2:$V$999,7,0),"")</f>
        <v/>
      </c>
      <c r="H914" s="100"/>
      <c r="I914" s="101"/>
      <c r="J914" s="101"/>
      <c r="K914" s="101"/>
      <c r="L914" s="101"/>
      <c r="M914" s="101"/>
      <c r="N914" s="101"/>
      <c r="O914" s="101"/>
      <c r="P914" s="101"/>
      <c r="Q914" s="101"/>
      <c r="R914" s="101"/>
      <c r="S914" s="101"/>
      <c r="T914" s="101"/>
      <c r="U914" s="101"/>
      <c r="V914" s="101"/>
      <c r="W914" s="101"/>
      <c r="X914" s="101"/>
      <c r="Y914" s="101"/>
      <c r="Z914" s="101"/>
      <c r="AA914" s="101"/>
      <c r="AB914" s="101"/>
    </row>
    <row r="915">
      <c r="A915" s="104" t="s">
        <v>1052</v>
      </c>
      <c r="B915" s="105" t="str">
        <f>IFERROR(VLOOKUP(A915,'Salary Calculation'!A914:F1911,2,0),"")</f>
        <v/>
      </c>
      <c r="C915" s="105" t="str">
        <f>IFERROR(VLOOKUP(A915,'Salary Calculation'!$A$2:$V$999,3,0),"")</f>
        <v/>
      </c>
      <c r="D915" s="105" t="str">
        <f>IFERROR(VLOOKUP(A915,'Salary Calculation'!$A$2:$V$999,6,0),"")</f>
        <v/>
      </c>
      <c r="E915" s="105" t="str">
        <f>IFERROR(VLOOKUP(A915,'Salary Calculation'!$A$2:$V$999,10,0),"")</f>
        <v/>
      </c>
      <c r="F915" s="101"/>
      <c r="G915" s="106" t="str">
        <f>IFERROR(VLOOKUP(A915,'Salary Calculation'!$A$2:$V$999,7,0),"")</f>
        <v/>
      </c>
      <c r="H915" s="100"/>
      <c r="I915" s="101"/>
      <c r="J915" s="101"/>
      <c r="K915" s="101"/>
      <c r="L915" s="101"/>
      <c r="M915" s="101"/>
      <c r="N915" s="101"/>
      <c r="O915" s="101"/>
      <c r="P915" s="101"/>
      <c r="Q915" s="101"/>
      <c r="R915" s="101"/>
      <c r="S915" s="101"/>
      <c r="T915" s="101"/>
      <c r="U915" s="101"/>
      <c r="V915" s="101"/>
      <c r="W915" s="101"/>
      <c r="X915" s="101"/>
      <c r="Y915" s="101"/>
      <c r="Z915" s="101"/>
      <c r="AA915" s="101"/>
      <c r="AB915" s="101"/>
    </row>
    <row r="916">
      <c r="A916" s="104" t="s">
        <v>1053</v>
      </c>
      <c r="B916" s="105" t="str">
        <f>IFERROR(VLOOKUP(A916,'Salary Calculation'!A915:F1912,2,0),"")</f>
        <v/>
      </c>
      <c r="C916" s="105" t="str">
        <f>IFERROR(VLOOKUP(A916,'Salary Calculation'!$A$2:$V$999,3,0),"")</f>
        <v/>
      </c>
      <c r="D916" s="105" t="str">
        <f>IFERROR(VLOOKUP(A916,'Salary Calculation'!$A$2:$V$999,6,0),"")</f>
        <v/>
      </c>
      <c r="E916" s="105" t="str">
        <f>IFERROR(VLOOKUP(A916,'Salary Calculation'!$A$2:$V$999,10,0),"")</f>
        <v/>
      </c>
      <c r="F916" s="101"/>
      <c r="G916" s="106" t="str">
        <f>IFERROR(VLOOKUP(A916,'Salary Calculation'!$A$2:$V$999,7,0),"")</f>
        <v/>
      </c>
      <c r="H916" s="100"/>
      <c r="I916" s="101"/>
      <c r="J916" s="101"/>
      <c r="K916" s="101"/>
      <c r="L916" s="101"/>
      <c r="M916" s="101"/>
      <c r="N916" s="101"/>
      <c r="O916" s="101"/>
      <c r="P916" s="101"/>
      <c r="Q916" s="101"/>
      <c r="R916" s="101"/>
      <c r="S916" s="101"/>
      <c r="T916" s="101"/>
      <c r="U916" s="101"/>
      <c r="V916" s="101"/>
      <c r="W916" s="101"/>
      <c r="X916" s="101"/>
      <c r="Y916" s="101"/>
      <c r="Z916" s="101"/>
      <c r="AA916" s="101"/>
      <c r="AB916" s="101"/>
    </row>
    <row r="917">
      <c r="A917" s="104" t="s">
        <v>1054</v>
      </c>
      <c r="B917" s="105" t="str">
        <f>IFERROR(VLOOKUP(A917,'Salary Calculation'!A916:F1913,2,0),"")</f>
        <v/>
      </c>
      <c r="C917" s="105" t="str">
        <f>IFERROR(VLOOKUP(A917,'Salary Calculation'!$A$2:$V$999,3,0),"")</f>
        <v/>
      </c>
      <c r="D917" s="105" t="str">
        <f>IFERROR(VLOOKUP(A917,'Salary Calculation'!$A$2:$V$999,6,0),"")</f>
        <v/>
      </c>
      <c r="E917" s="105" t="str">
        <f>IFERROR(VLOOKUP(A917,'Salary Calculation'!$A$2:$V$999,10,0),"")</f>
        <v/>
      </c>
      <c r="F917" s="101"/>
      <c r="G917" s="106" t="str">
        <f>IFERROR(VLOOKUP(A917,'Salary Calculation'!$A$2:$V$999,7,0),"")</f>
        <v/>
      </c>
      <c r="H917" s="100"/>
      <c r="I917" s="101"/>
      <c r="J917" s="101"/>
      <c r="K917" s="101"/>
      <c r="L917" s="101"/>
      <c r="M917" s="101"/>
      <c r="N917" s="101"/>
      <c r="O917" s="101"/>
      <c r="P917" s="101"/>
      <c r="Q917" s="101"/>
      <c r="R917" s="101"/>
      <c r="S917" s="101"/>
      <c r="T917" s="101"/>
      <c r="U917" s="101"/>
      <c r="V917" s="101"/>
      <c r="W917" s="101"/>
      <c r="X917" s="101"/>
      <c r="Y917" s="101"/>
      <c r="Z917" s="101"/>
      <c r="AA917" s="101"/>
      <c r="AB917" s="101"/>
    </row>
    <row r="918">
      <c r="A918" s="104" t="s">
        <v>1055</v>
      </c>
      <c r="B918" s="105" t="str">
        <f>IFERROR(VLOOKUP(A918,'Salary Calculation'!A917:F1914,2,0),"")</f>
        <v/>
      </c>
      <c r="C918" s="105" t="str">
        <f>IFERROR(VLOOKUP(A918,'Salary Calculation'!$A$2:$V$999,3,0),"")</f>
        <v/>
      </c>
      <c r="D918" s="105" t="str">
        <f>IFERROR(VLOOKUP(A918,'Salary Calculation'!$A$2:$V$999,6,0),"")</f>
        <v/>
      </c>
      <c r="E918" s="105" t="str">
        <f>IFERROR(VLOOKUP(A918,'Salary Calculation'!$A$2:$V$999,10,0),"")</f>
        <v/>
      </c>
      <c r="F918" s="101"/>
      <c r="G918" s="106" t="str">
        <f>IFERROR(VLOOKUP(A918,'Salary Calculation'!$A$2:$V$999,7,0),"")</f>
        <v/>
      </c>
      <c r="H918" s="100"/>
      <c r="I918" s="101"/>
      <c r="J918" s="101"/>
      <c r="K918" s="101"/>
      <c r="L918" s="101"/>
      <c r="M918" s="101"/>
      <c r="N918" s="101"/>
      <c r="O918" s="101"/>
      <c r="P918" s="101"/>
      <c r="Q918" s="101"/>
      <c r="R918" s="101"/>
      <c r="S918" s="101"/>
      <c r="T918" s="101"/>
      <c r="U918" s="101"/>
      <c r="V918" s="101"/>
      <c r="W918" s="101"/>
      <c r="X918" s="101"/>
      <c r="Y918" s="101"/>
      <c r="Z918" s="101"/>
      <c r="AA918" s="101"/>
      <c r="AB918" s="101"/>
    </row>
    <row r="919">
      <c r="A919" s="104" t="s">
        <v>1056</v>
      </c>
      <c r="B919" s="105" t="str">
        <f>IFERROR(VLOOKUP(A919,'Salary Calculation'!A918:F1915,2,0),"")</f>
        <v/>
      </c>
      <c r="C919" s="105" t="str">
        <f>IFERROR(VLOOKUP(A919,'Salary Calculation'!$A$2:$V$999,3,0),"")</f>
        <v/>
      </c>
      <c r="D919" s="105" t="str">
        <f>IFERROR(VLOOKUP(A919,'Salary Calculation'!$A$2:$V$999,6,0),"")</f>
        <v/>
      </c>
      <c r="E919" s="105" t="str">
        <f>IFERROR(VLOOKUP(A919,'Salary Calculation'!$A$2:$V$999,10,0),"")</f>
        <v/>
      </c>
      <c r="F919" s="101"/>
      <c r="G919" s="106" t="str">
        <f>IFERROR(VLOOKUP(A919,'Salary Calculation'!$A$2:$V$999,7,0),"")</f>
        <v/>
      </c>
      <c r="H919" s="100"/>
      <c r="I919" s="101"/>
      <c r="J919" s="101"/>
      <c r="K919" s="101"/>
      <c r="L919" s="101"/>
      <c r="M919" s="101"/>
      <c r="N919" s="101"/>
      <c r="O919" s="101"/>
      <c r="P919" s="101"/>
      <c r="Q919" s="101"/>
      <c r="R919" s="101"/>
      <c r="S919" s="101"/>
      <c r="T919" s="101"/>
      <c r="U919" s="101"/>
      <c r="V919" s="101"/>
      <c r="W919" s="101"/>
      <c r="X919" s="101"/>
      <c r="Y919" s="101"/>
      <c r="Z919" s="101"/>
      <c r="AA919" s="101"/>
      <c r="AB919" s="101"/>
    </row>
    <row r="920">
      <c r="A920" s="104" t="s">
        <v>1057</v>
      </c>
      <c r="B920" s="105" t="str">
        <f>IFERROR(VLOOKUP(A920,'Salary Calculation'!A919:F1916,2,0),"")</f>
        <v/>
      </c>
      <c r="C920" s="105" t="str">
        <f>IFERROR(VLOOKUP(A920,'Salary Calculation'!$A$2:$V$999,3,0),"")</f>
        <v/>
      </c>
      <c r="D920" s="105" t="str">
        <f>IFERROR(VLOOKUP(A920,'Salary Calculation'!$A$2:$V$999,6,0),"")</f>
        <v/>
      </c>
      <c r="E920" s="105" t="str">
        <f>IFERROR(VLOOKUP(A920,'Salary Calculation'!$A$2:$V$999,10,0),"")</f>
        <v/>
      </c>
      <c r="F920" s="101"/>
      <c r="G920" s="106" t="str">
        <f>IFERROR(VLOOKUP(A920,'Salary Calculation'!$A$2:$V$999,7,0),"")</f>
        <v/>
      </c>
      <c r="H920" s="100"/>
      <c r="I920" s="101"/>
      <c r="J920" s="101"/>
      <c r="K920" s="101"/>
      <c r="L920" s="101"/>
      <c r="M920" s="101"/>
      <c r="N920" s="101"/>
      <c r="O920" s="101"/>
      <c r="P920" s="101"/>
      <c r="Q920" s="101"/>
      <c r="R920" s="101"/>
      <c r="S920" s="101"/>
      <c r="T920" s="101"/>
      <c r="U920" s="101"/>
      <c r="V920" s="101"/>
      <c r="W920" s="101"/>
      <c r="X920" s="101"/>
      <c r="Y920" s="101"/>
      <c r="Z920" s="101"/>
      <c r="AA920" s="101"/>
      <c r="AB920" s="101"/>
    </row>
    <row r="921">
      <c r="A921" s="104" t="s">
        <v>1058</v>
      </c>
      <c r="B921" s="105" t="str">
        <f>IFERROR(VLOOKUP(A921,'Salary Calculation'!A920:F1917,2,0),"")</f>
        <v/>
      </c>
      <c r="C921" s="105" t="str">
        <f>IFERROR(VLOOKUP(A921,'Salary Calculation'!$A$2:$V$999,3,0),"")</f>
        <v/>
      </c>
      <c r="D921" s="105" t="str">
        <f>IFERROR(VLOOKUP(A921,'Salary Calculation'!$A$2:$V$999,6,0),"")</f>
        <v/>
      </c>
      <c r="E921" s="105" t="str">
        <f>IFERROR(VLOOKUP(A921,'Salary Calculation'!$A$2:$V$999,10,0),"")</f>
        <v/>
      </c>
      <c r="F921" s="101"/>
      <c r="G921" s="106" t="str">
        <f>IFERROR(VLOOKUP(A921,'Salary Calculation'!$A$2:$V$999,7,0),"")</f>
        <v/>
      </c>
      <c r="H921" s="100"/>
      <c r="I921" s="101"/>
      <c r="J921" s="101"/>
      <c r="K921" s="101"/>
      <c r="L921" s="101"/>
      <c r="M921" s="101"/>
      <c r="N921" s="101"/>
      <c r="O921" s="101"/>
      <c r="P921" s="101"/>
      <c r="Q921" s="101"/>
      <c r="R921" s="101"/>
      <c r="S921" s="101"/>
      <c r="T921" s="101"/>
      <c r="U921" s="101"/>
      <c r="V921" s="101"/>
      <c r="W921" s="101"/>
      <c r="X921" s="101"/>
      <c r="Y921" s="101"/>
      <c r="Z921" s="101"/>
      <c r="AA921" s="101"/>
      <c r="AB921" s="101"/>
    </row>
    <row r="922">
      <c r="A922" s="104" t="s">
        <v>1059</v>
      </c>
      <c r="B922" s="105" t="str">
        <f>IFERROR(VLOOKUP(A922,'Salary Calculation'!A921:F1918,2,0),"")</f>
        <v/>
      </c>
      <c r="C922" s="105" t="str">
        <f>IFERROR(VLOOKUP(A922,'Salary Calculation'!$A$2:$V$999,3,0),"")</f>
        <v/>
      </c>
      <c r="D922" s="105" t="str">
        <f>IFERROR(VLOOKUP(A922,'Salary Calculation'!$A$2:$V$999,6,0),"")</f>
        <v/>
      </c>
      <c r="E922" s="105" t="str">
        <f>IFERROR(VLOOKUP(A922,'Salary Calculation'!$A$2:$V$999,10,0),"")</f>
        <v/>
      </c>
      <c r="F922" s="101"/>
      <c r="G922" s="106" t="str">
        <f>IFERROR(VLOOKUP(A922,'Salary Calculation'!$A$2:$V$999,7,0),"")</f>
        <v/>
      </c>
      <c r="H922" s="100"/>
      <c r="I922" s="101"/>
      <c r="J922" s="101"/>
      <c r="K922" s="101"/>
      <c r="L922" s="101"/>
      <c r="M922" s="101"/>
      <c r="N922" s="101"/>
      <c r="O922" s="101"/>
      <c r="P922" s="101"/>
      <c r="Q922" s="101"/>
      <c r="R922" s="101"/>
      <c r="S922" s="101"/>
      <c r="T922" s="101"/>
      <c r="U922" s="101"/>
      <c r="V922" s="101"/>
      <c r="W922" s="101"/>
      <c r="X922" s="101"/>
      <c r="Y922" s="101"/>
      <c r="Z922" s="101"/>
      <c r="AA922" s="101"/>
      <c r="AB922" s="101"/>
    </row>
    <row r="923">
      <c r="A923" s="104" t="s">
        <v>1060</v>
      </c>
      <c r="B923" s="105" t="str">
        <f>IFERROR(VLOOKUP(A923,'Salary Calculation'!A922:F1919,2,0),"")</f>
        <v/>
      </c>
      <c r="C923" s="105" t="str">
        <f>IFERROR(VLOOKUP(A923,'Salary Calculation'!$A$2:$V$999,3,0),"")</f>
        <v/>
      </c>
      <c r="D923" s="105" t="str">
        <f>IFERROR(VLOOKUP(A923,'Salary Calculation'!$A$2:$V$999,6,0),"")</f>
        <v/>
      </c>
      <c r="E923" s="105" t="str">
        <f>IFERROR(VLOOKUP(A923,'Salary Calculation'!$A$2:$V$999,10,0),"")</f>
        <v/>
      </c>
      <c r="F923" s="101"/>
      <c r="G923" s="106" t="str">
        <f>IFERROR(VLOOKUP(A923,'Salary Calculation'!$A$2:$V$999,7,0),"")</f>
        <v/>
      </c>
      <c r="H923" s="100"/>
      <c r="I923" s="101"/>
      <c r="J923" s="101"/>
      <c r="K923" s="101"/>
      <c r="L923" s="101"/>
      <c r="M923" s="101"/>
      <c r="N923" s="101"/>
      <c r="O923" s="101"/>
      <c r="P923" s="101"/>
      <c r="Q923" s="101"/>
      <c r="R923" s="101"/>
      <c r="S923" s="101"/>
      <c r="T923" s="101"/>
      <c r="U923" s="101"/>
      <c r="V923" s="101"/>
      <c r="W923" s="101"/>
      <c r="X923" s="101"/>
      <c r="Y923" s="101"/>
      <c r="Z923" s="101"/>
      <c r="AA923" s="101"/>
      <c r="AB923" s="101"/>
    </row>
    <row r="924">
      <c r="A924" s="104" t="s">
        <v>1061</v>
      </c>
      <c r="B924" s="105" t="str">
        <f>IFERROR(VLOOKUP(A924,'Salary Calculation'!A923:F1920,2,0),"")</f>
        <v/>
      </c>
      <c r="C924" s="105" t="str">
        <f>IFERROR(VLOOKUP(A924,'Salary Calculation'!$A$2:$V$999,3,0),"")</f>
        <v/>
      </c>
      <c r="D924" s="105" t="str">
        <f>IFERROR(VLOOKUP(A924,'Salary Calculation'!$A$2:$V$999,6,0),"")</f>
        <v/>
      </c>
      <c r="E924" s="105" t="str">
        <f>IFERROR(VLOOKUP(A924,'Salary Calculation'!$A$2:$V$999,10,0),"")</f>
        <v/>
      </c>
      <c r="F924" s="101"/>
      <c r="G924" s="106" t="str">
        <f>IFERROR(VLOOKUP(A924,'Salary Calculation'!$A$2:$V$999,7,0),"")</f>
        <v/>
      </c>
      <c r="H924" s="100"/>
      <c r="I924" s="101"/>
      <c r="J924" s="101"/>
      <c r="K924" s="101"/>
      <c r="L924" s="101"/>
      <c r="M924" s="101"/>
      <c r="N924" s="101"/>
      <c r="O924" s="101"/>
      <c r="P924" s="101"/>
      <c r="Q924" s="101"/>
      <c r="R924" s="101"/>
      <c r="S924" s="101"/>
      <c r="T924" s="101"/>
      <c r="U924" s="101"/>
      <c r="V924" s="101"/>
      <c r="W924" s="101"/>
      <c r="X924" s="101"/>
      <c r="Y924" s="101"/>
      <c r="Z924" s="101"/>
      <c r="AA924" s="101"/>
      <c r="AB924" s="101"/>
    </row>
    <row r="925">
      <c r="A925" s="104" t="s">
        <v>1062</v>
      </c>
      <c r="B925" s="105" t="str">
        <f>IFERROR(VLOOKUP(A925,'Salary Calculation'!A924:F1921,2,0),"")</f>
        <v/>
      </c>
      <c r="C925" s="105" t="str">
        <f>IFERROR(VLOOKUP(A925,'Salary Calculation'!$A$2:$V$999,3,0),"")</f>
        <v/>
      </c>
      <c r="D925" s="105" t="str">
        <f>IFERROR(VLOOKUP(A925,'Salary Calculation'!$A$2:$V$999,6,0),"")</f>
        <v/>
      </c>
      <c r="E925" s="105" t="str">
        <f>IFERROR(VLOOKUP(A925,'Salary Calculation'!$A$2:$V$999,10,0),"")</f>
        <v/>
      </c>
      <c r="F925" s="101"/>
      <c r="G925" s="106" t="str">
        <f>IFERROR(VLOOKUP(A925,'Salary Calculation'!$A$2:$V$999,7,0),"")</f>
        <v/>
      </c>
      <c r="H925" s="100"/>
      <c r="I925" s="101"/>
      <c r="J925" s="101"/>
      <c r="K925" s="101"/>
      <c r="L925" s="101"/>
      <c r="M925" s="101"/>
      <c r="N925" s="101"/>
      <c r="O925" s="101"/>
      <c r="P925" s="101"/>
      <c r="Q925" s="101"/>
      <c r="R925" s="101"/>
      <c r="S925" s="101"/>
      <c r="T925" s="101"/>
      <c r="U925" s="101"/>
      <c r="V925" s="101"/>
      <c r="W925" s="101"/>
      <c r="X925" s="101"/>
      <c r="Y925" s="101"/>
      <c r="Z925" s="101"/>
      <c r="AA925" s="101"/>
      <c r="AB925" s="101"/>
    </row>
    <row r="926">
      <c r="A926" s="104" t="s">
        <v>1063</v>
      </c>
      <c r="B926" s="105" t="str">
        <f>IFERROR(VLOOKUP(A926,'Salary Calculation'!A925:F1922,2,0),"")</f>
        <v/>
      </c>
      <c r="C926" s="105" t="str">
        <f>IFERROR(VLOOKUP(A926,'Salary Calculation'!$A$2:$V$999,3,0),"")</f>
        <v/>
      </c>
      <c r="D926" s="105" t="str">
        <f>IFERROR(VLOOKUP(A926,'Salary Calculation'!$A$2:$V$999,6,0),"")</f>
        <v/>
      </c>
      <c r="E926" s="105" t="str">
        <f>IFERROR(VLOOKUP(A926,'Salary Calculation'!$A$2:$V$999,10,0),"")</f>
        <v/>
      </c>
      <c r="F926" s="101"/>
      <c r="G926" s="106" t="str">
        <f>IFERROR(VLOOKUP(A926,'Salary Calculation'!$A$2:$V$999,7,0),"")</f>
        <v/>
      </c>
      <c r="H926" s="100"/>
      <c r="I926" s="101"/>
      <c r="J926" s="101"/>
      <c r="K926" s="101"/>
      <c r="L926" s="101"/>
      <c r="M926" s="101"/>
      <c r="N926" s="101"/>
      <c r="O926" s="101"/>
      <c r="P926" s="101"/>
      <c r="Q926" s="101"/>
      <c r="R926" s="101"/>
      <c r="S926" s="101"/>
      <c r="T926" s="101"/>
      <c r="U926" s="101"/>
      <c r="V926" s="101"/>
      <c r="W926" s="101"/>
      <c r="X926" s="101"/>
      <c r="Y926" s="101"/>
      <c r="Z926" s="101"/>
      <c r="AA926" s="101"/>
      <c r="AB926" s="101"/>
    </row>
    <row r="927">
      <c r="A927" s="104" t="s">
        <v>1064</v>
      </c>
      <c r="B927" s="105" t="str">
        <f>IFERROR(VLOOKUP(A927,'Salary Calculation'!A926:F1923,2,0),"")</f>
        <v/>
      </c>
      <c r="C927" s="105" t="str">
        <f>IFERROR(VLOOKUP(A927,'Salary Calculation'!$A$2:$V$999,3,0),"")</f>
        <v/>
      </c>
      <c r="D927" s="105" t="str">
        <f>IFERROR(VLOOKUP(A927,'Salary Calculation'!$A$2:$V$999,6,0),"")</f>
        <v/>
      </c>
      <c r="E927" s="105" t="str">
        <f>IFERROR(VLOOKUP(A927,'Salary Calculation'!$A$2:$V$999,10,0),"")</f>
        <v/>
      </c>
      <c r="F927" s="101"/>
      <c r="G927" s="106" t="str">
        <f>IFERROR(VLOOKUP(A927,'Salary Calculation'!$A$2:$V$999,7,0),"")</f>
        <v/>
      </c>
      <c r="H927" s="100"/>
      <c r="I927" s="101"/>
      <c r="J927" s="101"/>
      <c r="K927" s="101"/>
      <c r="L927" s="101"/>
      <c r="M927" s="101"/>
      <c r="N927" s="101"/>
      <c r="O927" s="101"/>
      <c r="P927" s="101"/>
      <c r="Q927" s="101"/>
      <c r="R927" s="101"/>
      <c r="S927" s="101"/>
      <c r="T927" s="101"/>
      <c r="U927" s="101"/>
      <c r="V927" s="101"/>
      <c r="W927" s="101"/>
      <c r="X927" s="101"/>
      <c r="Y927" s="101"/>
      <c r="Z927" s="101"/>
      <c r="AA927" s="101"/>
      <c r="AB927" s="101"/>
    </row>
    <row r="928">
      <c r="A928" s="104" t="s">
        <v>1065</v>
      </c>
      <c r="B928" s="105" t="str">
        <f>IFERROR(VLOOKUP(A928,'Salary Calculation'!A927:F1924,2,0),"")</f>
        <v/>
      </c>
      <c r="C928" s="105" t="str">
        <f>IFERROR(VLOOKUP(A928,'Salary Calculation'!$A$2:$V$999,3,0),"")</f>
        <v/>
      </c>
      <c r="D928" s="105" t="str">
        <f>IFERROR(VLOOKUP(A928,'Salary Calculation'!$A$2:$V$999,6,0),"")</f>
        <v/>
      </c>
      <c r="E928" s="105" t="str">
        <f>IFERROR(VLOOKUP(A928,'Salary Calculation'!$A$2:$V$999,10,0),"")</f>
        <v/>
      </c>
      <c r="F928" s="101"/>
      <c r="G928" s="106" t="str">
        <f>IFERROR(VLOOKUP(A928,'Salary Calculation'!$A$2:$V$999,7,0),"")</f>
        <v/>
      </c>
      <c r="H928" s="100"/>
      <c r="I928" s="101"/>
      <c r="J928" s="101"/>
      <c r="K928" s="101"/>
      <c r="L928" s="101"/>
      <c r="M928" s="101"/>
      <c r="N928" s="101"/>
      <c r="O928" s="101"/>
      <c r="P928" s="101"/>
      <c r="Q928" s="101"/>
      <c r="R928" s="101"/>
      <c r="S928" s="101"/>
      <c r="T928" s="101"/>
      <c r="U928" s="101"/>
      <c r="V928" s="101"/>
      <c r="W928" s="101"/>
      <c r="X928" s="101"/>
      <c r="Y928" s="101"/>
      <c r="Z928" s="101"/>
      <c r="AA928" s="101"/>
      <c r="AB928" s="101"/>
    </row>
    <row r="929">
      <c r="A929" s="104" t="s">
        <v>1066</v>
      </c>
      <c r="B929" s="105" t="str">
        <f>IFERROR(VLOOKUP(A929,'Salary Calculation'!A928:F1925,2,0),"")</f>
        <v/>
      </c>
      <c r="C929" s="105" t="str">
        <f>IFERROR(VLOOKUP(A929,'Salary Calculation'!$A$2:$V$999,3,0),"")</f>
        <v/>
      </c>
      <c r="D929" s="105" t="str">
        <f>IFERROR(VLOOKUP(A929,'Salary Calculation'!$A$2:$V$999,6,0),"")</f>
        <v/>
      </c>
      <c r="E929" s="105" t="str">
        <f>IFERROR(VLOOKUP(A929,'Salary Calculation'!$A$2:$V$999,10,0),"")</f>
        <v/>
      </c>
      <c r="F929" s="101"/>
      <c r="G929" s="106" t="str">
        <f>IFERROR(VLOOKUP(A929,'Salary Calculation'!$A$2:$V$999,7,0),"")</f>
        <v/>
      </c>
      <c r="H929" s="100"/>
      <c r="I929" s="101"/>
      <c r="J929" s="101"/>
      <c r="K929" s="101"/>
      <c r="L929" s="101"/>
      <c r="M929" s="101"/>
      <c r="N929" s="101"/>
      <c r="O929" s="101"/>
      <c r="P929" s="101"/>
      <c r="Q929" s="101"/>
      <c r="R929" s="101"/>
      <c r="S929" s="101"/>
      <c r="T929" s="101"/>
      <c r="U929" s="101"/>
      <c r="V929" s="101"/>
      <c r="W929" s="101"/>
      <c r="X929" s="101"/>
      <c r="Y929" s="101"/>
      <c r="Z929" s="101"/>
      <c r="AA929" s="101"/>
      <c r="AB929" s="101"/>
    </row>
    <row r="930">
      <c r="A930" s="104" t="s">
        <v>1067</v>
      </c>
      <c r="B930" s="105" t="str">
        <f>IFERROR(VLOOKUP(A930,'Salary Calculation'!A929:F1926,2,0),"")</f>
        <v/>
      </c>
      <c r="C930" s="105" t="str">
        <f>IFERROR(VLOOKUP(A930,'Salary Calculation'!$A$2:$V$999,3,0),"")</f>
        <v/>
      </c>
      <c r="D930" s="105" t="str">
        <f>IFERROR(VLOOKUP(A930,'Salary Calculation'!$A$2:$V$999,6,0),"")</f>
        <v/>
      </c>
      <c r="E930" s="105" t="str">
        <f>IFERROR(VLOOKUP(A930,'Salary Calculation'!$A$2:$V$999,10,0),"")</f>
        <v/>
      </c>
      <c r="F930" s="101"/>
      <c r="G930" s="106" t="str">
        <f>IFERROR(VLOOKUP(A930,'Salary Calculation'!$A$2:$V$999,7,0),"")</f>
        <v/>
      </c>
      <c r="H930" s="100"/>
      <c r="I930" s="101"/>
      <c r="J930" s="101"/>
      <c r="K930" s="101"/>
      <c r="L930" s="101"/>
      <c r="M930" s="101"/>
      <c r="N930" s="101"/>
      <c r="O930" s="101"/>
      <c r="P930" s="101"/>
      <c r="Q930" s="101"/>
      <c r="R930" s="101"/>
      <c r="S930" s="101"/>
      <c r="T930" s="101"/>
      <c r="U930" s="101"/>
      <c r="V930" s="101"/>
      <c r="W930" s="101"/>
      <c r="X930" s="101"/>
      <c r="Y930" s="101"/>
      <c r="Z930" s="101"/>
      <c r="AA930" s="101"/>
      <c r="AB930" s="101"/>
    </row>
    <row r="931">
      <c r="A931" s="104" t="s">
        <v>1068</v>
      </c>
      <c r="B931" s="105" t="str">
        <f>IFERROR(VLOOKUP(A931,'Salary Calculation'!A930:F1927,2,0),"")</f>
        <v/>
      </c>
      <c r="C931" s="105" t="str">
        <f>IFERROR(VLOOKUP(A931,'Salary Calculation'!$A$2:$V$999,3,0),"")</f>
        <v/>
      </c>
      <c r="D931" s="105" t="str">
        <f>IFERROR(VLOOKUP(A931,'Salary Calculation'!$A$2:$V$999,6,0),"")</f>
        <v/>
      </c>
      <c r="E931" s="105" t="str">
        <f>IFERROR(VLOOKUP(A931,'Salary Calculation'!$A$2:$V$999,10,0),"")</f>
        <v/>
      </c>
      <c r="F931" s="101"/>
      <c r="G931" s="106" t="str">
        <f>IFERROR(VLOOKUP(A931,'Salary Calculation'!$A$2:$V$999,7,0),"")</f>
        <v/>
      </c>
      <c r="H931" s="100"/>
      <c r="I931" s="101"/>
      <c r="J931" s="101"/>
      <c r="K931" s="101"/>
      <c r="L931" s="101"/>
      <c r="M931" s="101"/>
      <c r="N931" s="101"/>
      <c r="O931" s="101"/>
      <c r="P931" s="101"/>
      <c r="Q931" s="101"/>
      <c r="R931" s="101"/>
      <c r="S931" s="101"/>
      <c r="T931" s="101"/>
      <c r="U931" s="101"/>
      <c r="V931" s="101"/>
      <c r="W931" s="101"/>
      <c r="X931" s="101"/>
      <c r="Y931" s="101"/>
      <c r="Z931" s="101"/>
      <c r="AA931" s="101"/>
      <c r="AB931" s="101"/>
    </row>
    <row r="932">
      <c r="A932" s="104" t="s">
        <v>1069</v>
      </c>
      <c r="B932" s="105" t="str">
        <f>IFERROR(VLOOKUP(A932,'Salary Calculation'!A931:F1928,2,0),"")</f>
        <v/>
      </c>
      <c r="C932" s="105" t="str">
        <f>IFERROR(VLOOKUP(A932,'Salary Calculation'!$A$2:$V$999,3,0),"")</f>
        <v/>
      </c>
      <c r="D932" s="105" t="str">
        <f>IFERROR(VLOOKUP(A932,'Salary Calculation'!$A$2:$V$999,6,0),"")</f>
        <v/>
      </c>
      <c r="E932" s="105" t="str">
        <f>IFERROR(VLOOKUP(A932,'Salary Calculation'!$A$2:$V$999,10,0),"")</f>
        <v/>
      </c>
      <c r="F932" s="101"/>
      <c r="G932" s="106" t="str">
        <f>IFERROR(VLOOKUP(A932,'Salary Calculation'!$A$2:$V$999,7,0),"")</f>
        <v/>
      </c>
      <c r="H932" s="100"/>
      <c r="I932" s="101"/>
      <c r="J932" s="101"/>
      <c r="K932" s="101"/>
      <c r="L932" s="101"/>
      <c r="M932" s="101"/>
      <c r="N932" s="101"/>
      <c r="O932" s="101"/>
      <c r="P932" s="101"/>
      <c r="Q932" s="101"/>
      <c r="R932" s="101"/>
      <c r="S932" s="101"/>
      <c r="T932" s="101"/>
      <c r="U932" s="101"/>
      <c r="V932" s="101"/>
      <c r="W932" s="101"/>
      <c r="X932" s="101"/>
      <c r="Y932" s="101"/>
      <c r="Z932" s="101"/>
      <c r="AA932" s="101"/>
      <c r="AB932" s="101"/>
    </row>
    <row r="933">
      <c r="A933" s="104" t="s">
        <v>1070</v>
      </c>
      <c r="B933" s="105" t="str">
        <f>IFERROR(VLOOKUP(A933,'Salary Calculation'!A932:F1929,2,0),"")</f>
        <v/>
      </c>
      <c r="C933" s="105" t="str">
        <f>IFERROR(VLOOKUP(A933,'Salary Calculation'!$A$2:$V$999,3,0),"")</f>
        <v/>
      </c>
      <c r="D933" s="105" t="str">
        <f>IFERROR(VLOOKUP(A933,'Salary Calculation'!$A$2:$V$999,6,0),"")</f>
        <v/>
      </c>
      <c r="E933" s="105" t="str">
        <f>IFERROR(VLOOKUP(A933,'Salary Calculation'!$A$2:$V$999,10,0),"")</f>
        <v/>
      </c>
      <c r="F933" s="101"/>
      <c r="G933" s="106" t="str">
        <f>IFERROR(VLOOKUP(A933,'Salary Calculation'!$A$2:$V$999,7,0),"")</f>
        <v/>
      </c>
      <c r="H933" s="100"/>
      <c r="I933" s="101"/>
      <c r="J933" s="101"/>
      <c r="K933" s="101"/>
      <c r="L933" s="101"/>
      <c r="M933" s="101"/>
      <c r="N933" s="101"/>
      <c r="O933" s="101"/>
      <c r="P933" s="101"/>
      <c r="Q933" s="101"/>
      <c r="R933" s="101"/>
      <c r="S933" s="101"/>
      <c r="T933" s="101"/>
      <c r="U933" s="101"/>
      <c r="V933" s="101"/>
      <c r="W933" s="101"/>
      <c r="X933" s="101"/>
      <c r="Y933" s="101"/>
      <c r="Z933" s="101"/>
      <c r="AA933" s="101"/>
      <c r="AB933" s="101"/>
    </row>
    <row r="934">
      <c r="A934" s="104" t="s">
        <v>1071</v>
      </c>
      <c r="B934" s="105" t="str">
        <f>IFERROR(VLOOKUP(A934,'Salary Calculation'!A933:F1930,2,0),"")</f>
        <v/>
      </c>
      <c r="C934" s="105" t="str">
        <f>IFERROR(VLOOKUP(A934,'Salary Calculation'!$A$2:$V$999,3,0),"")</f>
        <v/>
      </c>
      <c r="D934" s="105" t="str">
        <f>IFERROR(VLOOKUP(A934,'Salary Calculation'!$A$2:$V$999,6,0),"")</f>
        <v/>
      </c>
      <c r="E934" s="105" t="str">
        <f>IFERROR(VLOOKUP(A934,'Salary Calculation'!$A$2:$V$999,10,0),"")</f>
        <v/>
      </c>
      <c r="F934" s="101"/>
      <c r="G934" s="106" t="str">
        <f>IFERROR(VLOOKUP(A934,'Salary Calculation'!$A$2:$V$999,7,0),"")</f>
        <v/>
      </c>
      <c r="H934" s="100"/>
      <c r="I934" s="101"/>
      <c r="J934" s="101"/>
      <c r="K934" s="101"/>
      <c r="L934" s="101"/>
      <c r="M934" s="101"/>
      <c r="N934" s="101"/>
      <c r="O934" s="101"/>
      <c r="P934" s="101"/>
      <c r="Q934" s="101"/>
      <c r="R934" s="101"/>
      <c r="S934" s="101"/>
      <c r="T934" s="101"/>
      <c r="U934" s="101"/>
      <c r="V934" s="101"/>
      <c r="W934" s="101"/>
      <c r="X934" s="101"/>
      <c r="Y934" s="101"/>
      <c r="Z934" s="101"/>
      <c r="AA934" s="101"/>
      <c r="AB934" s="101"/>
    </row>
    <row r="935">
      <c r="A935" s="104" t="s">
        <v>1072</v>
      </c>
      <c r="B935" s="105" t="str">
        <f>IFERROR(VLOOKUP(A935,'Salary Calculation'!A934:F1931,2,0),"")</f>
        <v/>
      </c>
      <c r="C935" s="105" t="str">
        <f>IFERROR(VLOOKUP(A935,'Salary Calculation'!$A$2:$V$999,3,0),"")</f>
        <v/>
      </c>
      <c r="D935" s="105" t="str">
        <f>IFERROR(VLOOKUP(A935,'Salary Calculation'!$A$2:$V$999,6,0),"")</f>
        <v/>
      </c>
      <c r="E935" s="105" t="str">
        <f>IFERROR(VLOOKUP(A935,'Salary Calculation'!$A$2:$V$999,10,0),"")</f>
        <v/>
      </c>
      <c r="F935" s="101"/>
      <c r="G935" s="106" t="str">
        <f>IFERROR(VLOOKUP(A935,'Salary Calculation'!$A$2:$V$999,7,0),"")</f>
        <v/>
      </c>
      <c r="H935" s="100"/>
      <c r="I935" s="101"/>
      <c r="J935" s="101"/>
      <c r="K935" s="101"/>
      <c r="L935" s="101"/>
      <c r="M935" s="101"/>
      <c r="N935" s="101"/>
      <c r="O935" s="101"/>
      <c r="P935" s="101"/>
      <c r="Q935" s="101"/>
      <c r="R935" s="101"/>
      <c r="S935" s="101"/>
      <c r="T935" s="101"/>
      <c r="U935" s="101"/>
      <c r="V935" s="101"/>
      <c r="W935" s="101"/>
      <c r="X935" s="101"/>
      <c r="Y935" s="101"/>
      <c r="Z935" s="101"/>
      <c r="AA935" s="101"/>
      <c r="AB935" s="101"/>
    </row>
    <row r="936">
      <c r="A936" s="104" t="s">
        <v>1073</v>
      </c>
      <c r="B936" s="105" t="str">
        <f>IFERROR(VLOOKUP(A936,'Salary Calculation'!A935:F1932,2,0),"")</f>
        <v/>
      </c>
      <c r="C936" s="105" t="str">
        <f>IFERROR(VLOOKUP(A936,'Salary Calculation'!$A$2:$V$999,3,0),"")</f>
        <v/>
      </c>
      <c r="D936" s="105" t="str">
        <f>IFERROR(VLOOKUP(A936,'Salary Calculation'!$A$2:$V$999,6,0),"")</f>
        <v/>
      </c>
      <c r="E936" s="105" t="str">
        <f>IFERROR(VLOOKUP(A936,'Salary Calculation'!$A$2:$V$999,10,0),"")</f>
        <v/>
      </c>
      <c r="F936" s="101"/>
      <c r="G936" s="106" t="str">
        <f>IFERROR(VLOOKUP(A936,'Salary Calculation'!$A$2:$V$999,7,0),"")</f>
        <v/>
      </c>
      <c r="H936" s="100"/>
      <c r="I936" s="101"/>
      <c r="J936" s="101"/>
      <c r="K936" s="101"/>
      <c r="L936" s="101"/>
      <c r="M936" s="101"/>
      <c r="N936" s="101"/>
      <c r="O936" s="101"/>
      <c r="P936" s="101"/>
      <c r="Q936" s="101"/>
      <c r="R936" s="101"/>
      <c r="S936" s="101"/>
      <c r="T936" s="101"/>
      <c r="U936" s="101"/>
      <c r="V936" s="101"/>
      <c r="W936" s="101"/>
      <c r="X936" s="101"/>
      <c r="Y936" s="101"/>
      <c r="Z936" s="101"/>
      <c r="AA936" s="101"/>
      <c r="AB936" s="101"/>
    </row>
    <row r="937">
      <c r="A937" s="104" t="s">
        <v>1074</v>
      </c>
      <c r="B937" s="105" t="str">
        <f>IFERROR(VLOOKUP(A937,'Salary Calculation'!A936:F1933,2,0),"")</f>
        <v/>
      </c>
      <c r="C937" s="105" t="str">
        <f>IFERROR(VLOOKUP(A937,'Salary Calculation'!$A$2:$V$999,3,0),"")</f>
        <v/>
      </c>
      <c r="D937" s="105" t="str">
        <f>IFERROR(VLOOKUP(A937,'Salary Calculation'!$A$2:$V$999,6,0),"")</f>
        <v/>
      </c>
      <c r="E937" s="105" t="str">
        <f>IFERROR(VLOOKUP(A937,'Salary Calculation'!$A$2:$V$999,10,0),"")</f>
        <v/>
      </c>
      <c r="F937" s="101"/>
      <c r="G937" s="106" t="str">
        <f>IFERROR(VLOOKUP(A937,'Salary Calculation'!$A$2:$V$999,7,0),"")</f>
        <v/>
      </c>
      <c r="H937" s="100"/>
      <c r="I937" s="101"/>
      <c r="J937" s="101"/>
      <c r="K937" s="101"/>
      <c r="L937" s="101"/>
      <c r="M937" s="101"/>
      <c r="N937" s="101"/>
      <c r="O937" s="101"/>
      <c r="P937" s="101"/>
      <c r="Q937" s="101"/>
      <c r="R937" s="101"/>
      <c r="S937" s="101"/>
      <c r="T937" s="101"/>
      <c r="U937" s="101"/>
      <c r="V937" s="101"/>
      <c r="W937" s="101"/>
      <c r="X937" s="101"/>
      <c r="Y937" s="101"/>
      <c r="Z937" s="101"/>
      <c r="AA937" s="101"/>
      <c r="AB937" s="101"/>
    </row>
    <row r="938">
      <c r="A938" s="104" t="s">
        <v>1075</v>
      </c>
      <c r="B938" s="105" t="str">
        <f>IFERROR(VLOOKUP(A938,'Salary Calculation'!A937:F1934,2,0),"")</f>
        <v/>
      </c>
      <c r="C938" s="105" t="str">
        <f>IFERROR(VLOOKUP(A938,'Salary Calculation'!$A$2:$V$999,3,0),"")</f>
        <v/>
      </c>
      <c r="D938" s="105" t="str">
        <f>IFERROR(VLOOKUP(A938,'Salary Calculation'!$A$2:$V$999,6,0),"")</f>
        <v/>
      </c>
      <c r="E938" s="105" t="str">
        <f>IFERROR(VLOOKUP(A938,'Salary Calculation'!$A$2:$V$999,10,0),"")</f>
        <v/>
      </c>
      <c r="F938" s="101"/>
      <c r="G938" s="106" t="str">
        <f>IFERROR(VLOOKUP(A938,'Salary Calculation'!$A$2:$V$999,7,0),"")</f>
        <v/>
      </c>
      <c r="H938" s="100"/>
      <c r="I938" s="101"/>
      <c r="J938" s="101"/>
      <c r="K938" s="101"/>
      <c r="L938" s="101"/>
      <c r="M938" s="101"/>
      <c r="N938" s="101"/>
      <c r="O938" s="101"/>
      <c r="P938" s="101"/>
      <c r="Q938" s="101"/>
      <c r="R938" s="101"/>
      <c r="S938" s="101"/>
      <c r="T938" s="101"/>
      <c r="U938" s="101"/>
      <c r="V938" s="101"/>
      <c r="W938" s="101"/>
      <c r="X938" s="101"/>
      <c r="Y938" s="101"/>
      <c r="Z938" s="101"/>
      <c r="AA938" s="101"/>
      <c r="AB938" s="101"/>
    </row>
    <row r="939">
      <c r="A939" s="104" t="s">
        <v>1076</v>
      </c>
      <c r="B939" s="105" t="str">
        <f>IFERROR(VLOOKUP(A939,'Salary Calculation'!A938:F1935,2,0),"")</f>
        <v/>
      </c>
      <c r="C939" s="105" t="str">
        <f>IFERROR(VLOOKUP(A939,'Salary Calculation'!$A$2:$V$999,3,0),"")</f>
        <v/>
      </c>
      <c r="D939" s="105" t="str">
        <f>IFERROR(VLOOKUP(A939,'Salary Calculation'!$A$2:$V$999,6,0),"")</f>
        <v/>
      </c>
      <c r="E939" s="105" t="str">
        <f>IFERROR(VLOOKUP(A939,'Salary Calculation'!$A$2:$V$999,10,0),"")</f>
        <v/>
      </c>
      <c r="F939" s="101"/>
      <c r="G939" s="106" t="str">
        <f>IFERROR(VLOOKUP(A939,'Salary Calculation'!$A$2:$V$999,7,0),"")</f>
        <v/>
      </c>
      <c r="H939" s="100"/>
      <c r="I939" s="101"/>
      <c r="J939" s="101"/>
      <c r="K939" s="101"/>
      <c r="L939" s="101"/>
      <c r="M939" s="101"/>
      <c r="N939" s="101"/>
      <c r="O939" s="101"/>
      <c r="P939" s="101"/>
      <c r="Q939" s="101"/>
      <c r="R939" s="101"/>
      <c r="S939" s="101"/>
      <c r="T939" s="101"/>
      <c r="U939" s="101"/>
      <c r="V939" s="101"/>
      <c r="W939" s="101"/>
      <c r="X939" s="101"/>
      <c r="Y939" s="101"/>
      <c r="Z939" s="101"/>
      <c r="AA939" s="101"/>
      <c r="AB939" s="101"/>
    </row>
    <row r="940">
      <c r="A940" s="104" t="s">
        <v>1077</v>
      </c>
      <c r="B940" s="105" t="str">
        <f>IFERROR(VLOOKUP(A940,'Salary Calculation'!A939:F1936,2,0),"")</f>
        <v/>
      </c>
      <c r="C940" s="105" t="str">
        <f>IFERROR(VLOOKUP(A940,'Salary Calculation'!$A$2:$V$999,3,0),"")</f>
        <v/>
      </c>
      <c r="D940" s="105" t="str">
        <f>IFERROR(VLOOKUP(A940,'Salary Calculation'!$A$2:$V$999,6,0),"")</f>
        <v/>
      </c>
      <c r="E940" s="105" t="str">
        <f>IFERROR(VLOOKUP(A940,'Salary Calculation'!$A$2:$V$999,10,0),"")</f>
        <v/>
      </c>
      <c r="F940" s="101"/>
      <c r="G940" s="106" t="str">
        <f>IFERROR(VLOOKUP(A940,'Salary Calculation'!$A$2:$V$999,7,0),"")</f>
        <v/>
      </c>
      <c r="H940" s="100"/>
      <c r="I940" s="101"/>
      <c r="J940" s="101"/>
      <c r="K940" s="101"/>
      <c r="L940" s="101"/>
      <c r="M940" s="101"/>
      <c r="N940" s="101"/>
      <c r="O940" s="101"/>
      <c r="P940" s="101"/>
      <c r="Q940" s="101"/>
      <c r="R940" s="101"/>
      <c r="S940" s="101"/>
      <c r="T940" s="101"/>
      <c r="U940" s="101"/>
      <c r="V940" s="101"/>
      <c r="W940" s="101"/>
      <c r="X940" s="101"/>
      <c r="Y940" s="101"/>
      <c r="Z940" s="101"/>
      <c r="AA940" s="101"/>
      <c r="AB940" s="101"/>
    </row>
    <row r="941">
      <c r="A941" s="104" t="s">
        <v>1078</v>
      </c>
      <c r="B941" s="105" t="str">
        <f>IFERROR(VLOOKUP(A941,'Salary Calculation'!A940:F1937,2,0),"")</f>
        <v/>
      </c>
      <c r="C941" s="105" t="str">
        <f>IFERROR(VLOOKUP(A941,'Salary Calculation'!$A$2:$V$999,3,0),"")</f>
        <v/>
      </c>
      <c r="D941" s="105" t="str">
        <f>IFERROR(VLOOKUP(A941,'Salary Calculation'!$A$2:$V$999,6,0),"")</f>
        <v/>
      </c>
      <c r="E941" s="105" t="str">
        <f>IFERROR(VLOOKUP(A941,'Salary Calculation'!$A$2:$V$999,10,0),"")</f>
        <v/>
      </c>
      <c r="F941" s="101"/>
      <c r="G941" s="106" t="str">
        <f>IFERROR(VLOOKUP(A941,'Salary Calculation'!$A$2:$V$999,7,0),"")</f>
        <v/>
      </c>
      <c r="H941" s="100"/>
      <c r="I941" s="101"/>
      <c r="J941" s="101"/>
      <c r="K941" s="101"/>
      <c r="L941" s="101"/>
      <c r="M941" s="101"/>
      <c r="N941" s="101"/>
      <c r="O941" s="101"/>
      <c r="P941" s="101"/>
      <c r="Q941" s="101"/>
      <c r="R941" s="101"/>
      <c r="S941" s="101"/>
      <c r="T941" s="101"/>
      <c r="U941" s="101"/>
      <c r="V941" s="101"/>
      <c r="W941" s="101"/>
      <c r="X941" s="101"/>
      <c r="Y941" s="101"/>
      <c r="Z941" s="101"/>
      <c r="AA941" s="101"/>
      <c r="AB941" s="101"/>
    </row>
    <row r="942">
      <c r="A942" s="104" t="s">
        <v>1079</v>
      </c>
      <c r="B942" s="105" t="str">
        <f>IFERROR(VLOOKUP(A942,'Salary Calculation'!A941:F1938,2,0),"")</f>
        <v/>
      </c>
      <c r="C942" s="105" t="str">
        <f>IFERROR(VLOOKUP(A942,'Salary Calculation'!$A$2:$V$999,3,0),"")</f>
        <v/>
      </c>
      <c r="D942" s="105" t="str">
        <f>IFERROR(VLOOKUP(A942,'Salary Calculation'!$A$2:$V$999,6,0),"")</f>
        <v/>
      </c>
      <c r="E942" s="105" t="str">
        <f>IFERROR(VLOOKUP(A942,'Salary Calculation'!$A$2:$V$999,10,0),"")</f>
        <v/>
      </c>
      <c r="F942" s="101"/>
      <c r="G942" s="106" t="str">
        <f>IFERROR(VLOOKUP(A942,'Salary Calculation'!$A$2:$V$999,7,0),"")</f>
        <v/>
      </c>
      <c r="H942" s="100"/>
      <c r="I942" s="101"/>
      <c r="J942" s="101"/>
      <c r="K942" s="101"/>
      <c r="L942" s="101"/>
      <c r="M942" s="101"/>
      <c r="N942" s="101"/>
      <c r="O942" s="101"/>
      <c r="P942" s="101"/>
      <c r="Q942" s="101"/>
      <c r="R942" s="101"/>
      <c r="S942" s="101"/>
      <c r="T942" s="101"/>
      <c r="U942" s="101"/>
      <c r="V942" s="101"/>
      <c r="W942" s="101"/>
      <c r="X942" s="101"/>
      <c r="Y942" s="101"/>
      <c r="Z942" s="101"/>
      <c r="AA942" s="101"/>
      <c r="AB942" s="101"/>
    </row>
    <row r="943">
      <c r="A943" s="104" t="s">
        <v>1080</v>
      </c>
      <c r="B943" s="105" t="str">
        <f>IFERROR(VLOOKUP(A943,'Salary Calculation'!A942:F1939,2,0),"")</f>
        <v/>
      </c>
      <c r="C943" s="105" t="str">
        <f>IFERROR(VLOOKUP(A943,'Salary Calculation'!$A$2:$V$999,3,0),"")</f>
        <v/>
      </c>
      <c r="D943" s="105" t="str">
        <f>IFERROR(VLOOKUP(A943,'Salary Calculation'!$A$2:$V$999,6,0),"")</f>
        <v/>
      </c>
      <c r="E943" s="105" t="str">
        <f>IFERROR(VLOOKUP(A943,'Salary Calculation'!$A$2:$V$999,10,0),"")</f>
        <v/>
      </c>
      <c r="F943" s="101"/>
      <c r="G943" s="106" t="str">
        <f>IFERROR(VLOOKUP(A943,'Salary Calculation'!$A$2:$V$999,7,0),"")</f>
        <v/>
      </c>
      <c r="H943" s="100"/>
      <c r="I943" s="101"/>
      <c r="J943" s="101"/>
      <c r="K943" s="101"/>
      <c r="L943" s="101"/>
      <c r="M943" s="101"/>
      <c r="N943" s="101"/>
      <c r="O943" s="101"/>
      <c r="P943" s="101"/>
      <c r="Q943" s="101"/>
      <c r="R943" s="101"/>
      <c r="S943" s="101"/>
      <c r="T943" s="101"/>
      <c r="U943" s="101"/>
      <c r="V943" s="101"/>
      <c r="W943" s="101"/>
      <c r="X943" s="101"/>
      <c r="Y943" s="101"/>
      <c r="Z943" s="101"/>
      <c r="AA943" s="101"/>
      <c r="AB943" s="101"/>
    </row>
    <row r="944">
      <c r="A944" s="104" t="s">
        <v>1081</v>
      </c>
      <c r="B944" s="105" t="str">
        <f>IFERROR(VLOOKUP(A944,'Salary Calculation'!A943:F1940,2,0),"")</f>
        <v/>
      </c>
      <c r="C944" s="105" t="str">
        <f>IFERROR(VLOOKUP(A944,'Salary Calculation'!$A$2:$V$999,3,0),"")</f>
        <v/>
      </c>
      <c r="D944" s="105" t="str">
        <f>IFERROR(VLOOKUP(A944,'Salary Calculation'!$A$2:$V$999,6,0),"")</f>
        <v/>
      </c>
      <c r="E944" s="105" t="str">
        <f>IFERROR(VLOOKUP(A944,'Salary Calculation'!$A$2:$V$999,10,0),"")</f>
        <v/>
      </c>
      <c r="F944" s="101"/>
      <c r="G944" s="106" t="str">
        <f>IFERROR(VLOOKUP(A944,'Salary Calculation'!$A$2:$V$999,7,0),"")</f>
        <v/>
      </c>
      <c r="H944" s="100"/>
      <c r="I944" s="101"/>
      <c r="J944" s="101"/>
      <c r="K944" s="101"/>
      <c r="L944" s="101"/>
      <c r="M944" s="101"/>
      <c r="N944" s="101"/>
      <c r="O944" s="101"/>
      <c r="P944" s="101"/>
      <c r="Q944" s="101"/>
      <c r="R944" s="101"/>
      <c r="S944" s="101"/>
      <c r="T944" s="101"/>
      <c r="U944" s="101"/>
      <c r="V944" s="101"/>
      <c r="W944" s="101"/>
      <c r="X944" s="101"/>
      <c r="Y944" s="101"/>
      <c r="Z944" s="101"/>
      <c r="AA944" s="101"/>
      <c r="AB944" s="101"/>
    </row>
    <row r="945">
      <c r="A945" s="104" t="s">
        <v>1082</v>
      </c>
      <c r="B945" s="105" t="str">
        <f>IFERROR(VLOOKUP(A945,'Salary Calculation'!A944:F1941,2,0),"")</f>
        <v/>
      </c>
      <c r="C945" s="105" t="str">
        <f>IFERROR(VLOOKUP(A945,'Salary Calculation'!$A$2:$V$999,3,0),"")</f>
        <v/>
      </c>
      <c r="D945" s="105" t="str">
        <f>IFERROR(VLOOKUP(A945,'Salary Calculation'!$A$2:$V$999,6,0),"")</f>
        <v/>
      </c>
      <c r="E945" s="105" t="str">
        <f>IFERROR(VLOOKUP(A945,'Salary Calculation'!$A$2:$V$999,10,0),"")</f>
        <v/>
      </c>
      <c r="F945" s="101"/>
      <c r="G945" s="106" t="str">
        <f>IFERROR(VLOOKUP(A945,'Salary Calculation'!$A$2:$V$999,7,0),"")</f>
        <v/>
      </c>
      <c r="H945" s="100"/>
      <c r="I945" s="101"/>
      <c r="J945" s="101"/>
      <c r="K945" s="101"/>
      <c r="L945" s="101"/>
      <c r="M945" s="101"/>
      <c r="N945" s="101"/>
      <c r="O945" s="101"/>
      <c r="P945" s="101"/>
      <c r="Q945" s="101"/>
      <c r="R945" s="101"/>
      <c r="S945" s="101"/>
      <c r="T945" s="101"/>
      <c r="U945" s="101"/>
      <c r="V945" s="101"/>
      <c r="W945" s="101"/>
      <c r="X945" s="101"/>
      <c r="Y945" s="101"/>
      <c r="Z945" s="101"/>
      <c r="AA945" s="101"/>
      <c r="AB945" s="101"/>
    </row>
    <row r="946">
      <c r="A946" s="104" t="s">
        <v>1083</v>
      </c>
      <c r="B946" s="105" t="str">
        <f>IFERROR(VLOOKUP(A946,'Salary Calculation'!A945:F1942,2,0),"")</f>
        <v/>
      </c>
      <c r="C946" s="105" t="str">
        <f>IFERROR(VLOOKUP(A946,'Salary Calculation'!$A$2:$V$999,3,0),"")</f>
        <v/>
      </c>
      <c r="D946" s="105" t="str">
        <f>IFERROR(VLOOKUP(A946,'Salary Calculation'!$A$2:$V$999,6,0),"")</f>
        <v/>
      </c>
      <c r="E946" s="105" t="str">
        <f>IFERROR(VLOOKUP(A946,'Salary Calculation'!$A$2:$V$999,10,0),"")</f>
        <v/>
      </c>
      <c r="F946" s="101"/>
      <c r="G946" s="106" t="str">
        <f>IFERROR(VLOOKUP(A946,'Salary Calculation'!$A$2:$V$999,7,0),"")</f>
        <v/>
      </c>
      <c r="H946" s="100"/>
      <c r="I946" s="101"/>
      <c r="J946" s="101"/>
      <c r="K946" s="101"/>
      <c r="L946" s="101"/>
      <c r="M946" s="101"/>
      <c r="N946" s="101"/>
      <c r="O946" s="101"/>
      <c r="P946" s="101"/>
      <c r="Q946" s="101"/>
      <c r="R946" s="101"/>
      <c r="S946" s="101"/>
      <c r="T946" s="101"/>
      <c r="U946" s="101"/>
      <c r="V946" s="101"/>
      <c r="W946" s="101"/>
      <c r="X946" s="101"/>
      <c r="Y946" s="101"/>
      <c r="Z946" s="101"/>
      <c r="AA946" s="101"/>
      <c r="AB946" s="101"/>
    </row>
    <row r="947">
      <c r="A947" s="104" t="s">
        <v>1084</v>
      </c>
      <c r="B947" s="105" t="str">
        <f>IFERROR(VLOOKUP(A947,'Salary Calculation'!A946:F1943,2,0),"")</f>
        <v/>
      </c>
      <c r="C947" s="105" t="str">
        <f>IFERROR(VLOOKUP(A947,'Salary Calculation'!$A$2:$V$999,3,0),"")</f>
        <v/>
      </c>
      <c r="D947" s="105" t="str">
        <f>IFERROR(VLOOKUP(A947,'Salary Calculation'!$A$2:$V$999,6,0),"")</f>
        <v/>
      </c>
      <c r="E947" s="105" t="str">
        <f>IFERROR(VLOOKUP(A947,'Salary Calculation'!$A$2:$V$999,10,0),"")</f>
        <v/>
      </c>
      <c r="F947" s="101"/>
      <c r="G947" s="106" t="str">
        <f>IFERROR(VLOOKUP(A947,'Salary Calculation'!$A$2:$V$999,7,0),"")</f>
        <v/>
      </c>
      <c r="H947" s="100"/>
      <c r="I947" s="101"/>
      <c r="J947" s="101"/>
      <c r="K947" s="101"/>
      <c r="L947" s="101"/>
      <c r="M947" s="101"/>
      <c r="N947" s="101"/>
      <c r="O947" s="101"/>
      <c r="P947" s="101"/>
      <c r="Q947" s="101"/>
      <c r="R947" s="101"/>
      <c r="S947" s="101"/>
      <c r="T947" s="101"/>
      <c r="U947" s="101"/>
      <c r="V947" s="101"/>
      <c r="W947" s="101"/>
      <c r="X947" s="101"/>
      <c r="Y947" s="101"/>
      <c r="Z947" s="101"/>
      <c r="AA947" s="101"/>
      <c r="AB947" s="101"/>
    </row>
    <row r="948">
      <c r="A948" s="104" t="s">
        <v>1085</v>
      </c>
      <c r="B948" s="105" t="str">
        <f>IFERROR(VLOOKUP(A948,'Salary Calculation'!A947:F1944,2,0),"")</f>
        <v/>
      </c>
      <c r="C948" s="105" t="str">
        <f>IFERROR(VLOOKUP(A948,'Salary Calculation'!$A$2:$V$999,3,0),"")</f>
        <v/>
      </c>
      <c r="D948" s="105" t="str">
        <f>IFERROR(VLOOKUP(A948,'Salary Calculation'!$A$2:$V$999,6,0),"")</f>
        <v/>
      </c>
      <c r="E948" s="105" t="str">
        <f>IFERROR(VLOOKUP(A948,'Salary Calculation'!$A$2:$V$999,10,0),"")</f>
        <v/>
      </c>
      <c r="F948" s="101"/>
      <c r="G948" s="106" t="str">
        <f>IFERROR(VLOOKUP(A948,'Salary Calculation'!$A$2:$V$999,7,0),"")</f>
        <v/>
      </c>
      <c r="H948" s="100"/>
      <c r="I948" s="101"/>
      <c r="J948" s="101"/>
      <c r="K948" s="101"/>
      <c r="L948" s="101"/>
      <c r="M948" s="101"/>
      <c r="N948" s="101"/>
      <c r="O948" s="101"/>
      <c r="P948" s="101"/>
      <c r="Q948" s="101"/>
      <c r="R948" s="101"/>
      <c r="S948" s="101"/>
      <c r="T948" s="101"/>
      <c r="U948" s="101"/>
      <c r="V948" s="101"/>
      <c r="W948" s="101"/>
      <c r="X948" s="101"/>
      <c r="Y948" s="101"/>
      <c r="Z948" s="101"/>
      <c r="AA948" s="101"/>
      <c r="AB948" s="101"/>
    </row>
    <row r="949">
      <c r="A949" s="104" t="s">
        <v>1086</v>
      </c>
      <c r="B949" s="105" t="str">
        <f>IFERROR(VLOOKUP(A949,'Salary Calculation'!A948:F1945,2,0),"")</f>
        <v/>
      </c>
      <c r="C949" s="105" t="str">
        <f>IFERROR(VLOOKUP(A949,'Salary Calculation'!$A$2:$V$999,3,0),"")</f>
        <v/>
      </c>
      <c r="D949" s="105" t="str">
        <f>IFERROR(VLOOKUP(A949,'Salary Calculation'!$A$2:$V$999,6,0),"")</f>
        <v/>
      </c>
      <c r="E949" s="105" t="str">
        <f>IFERROR(VLOOKUP(A949,'Salary Calculation'!$A$2:$V$999,10,0),"")</f>
        <v/>
      </c>
      <c r="F949" s="101"/>
      <c r="G949" s="106" t="str">
        <f>IFERROR(VLOOKUP(A949,'Salary Calculation'!$A$2:$V$999,7,0),"")</f>
        <v/>
      </c>
      <c r="H949" s="100"/>
      <c r="I949" s="101"/>
      <c r="J949" s="101"/>
      <c r="K949" s="101"/>
      <c r="L949" s="101"/>
      <c r="M949" s="101"/>
      <c r="N949" s="101"/>
      <c r="O949" s="101"/>
      <c r="P949" s="101"/>
      <c r="Q949" s="101"/>
      <c r="R949" s="101"/>
      <c r="S949" s="101"/>
      <c r="T949" s="101"/>
      <c r="U949" s="101"/>
      <c r="V949" s="101"/>
      <c r="W949" s="101"/>
      <c r="X949" s="101"/>
      <c r="Y949" s="101"/>
      <c r="Z949" s="101"/>
      <c r="AA949" s="101"/>
      <c r="AB949" s="101"/>
    </row>
    <row r="950">
      <c r="A950" s="104" t="s">
        <v>1087</v>
      </c>
      <c r="B950" s="105" t="str">
        <f>IFERROR(VLOOKUP(A950,'Salary Calculation'!A949:F1946,2,0),"")</f>
        <v/>
      </c>
      <c r="C950" s="105" t="str">
        <f>IFERROR(VLOOKUP(A950,'Salary Calculation'!$A$2:$V$999,3,0),"")</f>
        <v/>
      </c>
      <c r="D950" s="105" t="str">
        <f>IFERROR(VLOOKUP(A950,'Salary Calculation'!$A$2:$V$999,6,0),"")</f>
        <v/>
      </c>
      <c r="E950" s="105" t="str">
        <f>IFERROR(VLOOKUP(A950,'Salary Calculation'!$A$2:$V$999,10,0),"")</f>
        <v/>
      </c>
      <c r="F950" s="101"/>
      <c r="G950" s="106" t="str">
        <f>IFERROR(VLOOKUP(A950,'Salary Calculation'!$A$2:$V$999,7,0),"")</f>
        <v/>
      </c>
      <c r="H950" s="100"/>
      <c r="I950" s="101"/>
      <c r="J950" s="101"/>
      <c r="K950" s="101"/>
      <c r="L950" s="101"/>
      <c r="M950" s="101"/>
      <c r="N950" s="101"/>
      <c r="O950" s="101"/>
      <c r="P950" s="101"/>
      <c r="Q950" s="101"/>
      <c r="R950" s="101"/>
      <c r="S950" s="101"/>
      <c r="T950" s="101"/>
      <c r="U950" s="101"/>
      <c r="V950" s="101"/>
      <c r="W950" s="101"/>
      <c r="X950" s="101"/>
      <c r="Y950" s="101"/>
      <c r="Z950" s="101"/>
      <c r="AA950" s="101"/>
      <c r="AB950" s="101"/>
    </row>
    <row r="951">
      <c r="A951" s="104" t="s">
        <v>1088</v>
      </c>
      <c r="B951" s="105" t="str">
        <f>IFERROR(VLOOKUP(A951,'Salary Calculation'!A950:F1947,2,0),"")</f>
        <v/>
      </c>
      <c r="C951" s="105" t="str">
        <f>IFERROR(VLOOKUP(A951,'Salary Calculation'!$A$2:$V$999,3,0),"")</f>
        <v/>
      </c>
      <c r="D951" s="105" t="str">
        <f>IFERROR(VLOOKUP(A951,'Salary Calculation'!$A$2:$V$999,6,0),"")</f>
        <v/>
      </c>
      <c r="E951" s="105" t="str">
        <f>IFERROR(VLOOKUP(A951,'Salary Calculation'!$A$2:$V$999,10,0),"")</f>
        <v/>
      </c>
      <c r="F951" s="101"/>
      <c r="G951" s="106" t="str">
        <f>IFERROR(VLOOKUP(A951,'Salary Calculation'!$A$2:$V$999,7,0),"")</f>
        <v/>
      </c>
      <c r="H951" s="100"/>
      <c r="I951" s="101"/>
      <c r="J951" s="101"/>
      <c r="K951" s="101"/>
      <c r="L951" s="101"/>
      <c r="M951" s="101"/>
      <c r="N951" s="101"/>
      <c r="O951" s="101"/>
      <c r="P951" s="101"/>
      <c r="Q951" s="101"/>
      <c r="R951" s="101"/>
      <c r="S951" s="101"/>
      <c r="T951" s="101"/>
      <c r="U951" s="101"/>
      <c r="V951" s="101"/>
      <c r="W951" s="101"/>
      <c r="X951" s="101"/>
      <c r="Y951" s="101"/>
      <c r="Z951" s="101"/>
      <c r="AA951" s="101"/>
      <c r="AB951" s="101"/>
    </row>
    <row r="952">
      <c r="A952" s="104" t="s">
        <v>1089</v>
      </c>
      <c r="B952" s="105" t="str">
        <f>IFERROR(VLOOKUP(A952,'Salary Calculation'!A951:F1948,2,0),"")</f>
        <v/>
      </c>
      <c r="C952" s="105" t="str">
        <f>IFERROR(VLOOKUP(A952,'Salary Calculation'!$A$2:$V$999,3,0),"")</f>
        <v/>
      </c>
      <c r="D952" s="105" t="str">
        <f>IFERROR(VLOOKUP(A952,'Salary Calculation'!$A$2:$V$999,6,0),"")</f>
        <v/>
      </c>
      <c r="E952" s="105" t="str">
        <f>IFERROR(VLOOKUP(A952,'Salary Calculation'!$A$2:$V$999,10,0),"")</f>
        <v/>
      </c>
      <c r="F952" s="101"/>
      <c r="G952" s="106" t="str">
        <f>IFERROR(VLOOKUP(A952,'Salary Calculation'!$A$2:$V$999,7,0),"")</f>
        <v/>
      </c>
      <c r="H952" s="100"/>
      <c r="I952" s="101"/>
      <c r="J952" s="101"/>
      <c r="K952" s="101"/>
      <c r="L952" s="101"/>
      <c r="M952" s="101"/>
      <c r="N952" s="101"/>
      <c r="O952" s="101"/>
      <c r="P952" s="101"/>
      <c r="Q952" s="101"/>
      <c r="R952" s="101"/>
      <c r="S952" s="101"/>
      <c r="T952" s="101"/>
      <c r="U952" s="101"/>
      <c r="V952" s="101"/>
      <c r="W952" s="101"/>
      <c r="X952" s="101"/>
      <c r="Y952" s="101"/>
      <c r="Z952" s="101"/>
      <c r="AA952" s="101"/>
      <c r="AB952" s="101"/>
    </row>
    <row r="953">
      <c r="A953" s="104" t="s">
        <v>1090</v>
      </c>
      <c r="B953" s="105" t="str">
        <f>IFERROR(VLOOKUP(A953,'Salary Calculation'!A952:F1949,2,0),"")</f>
        <v/>
      </c>
      <c r="C953" s="105" t="str">
        <f>IFERROR(VLOOKUP(A953,'Salary Calculation'!$A$2:$V$999,3,0),"")</f>
        <v/>
      </c>
      <c r="D953" s="105" t="str">
        <f>IFERROR(VLOOKUP(A953,'Salary Calculation'!$A$2:$V$999,6,0),"")</f>
        <v/>
      </c>
      <c r="E953" s="105" t="str">
        <f>IFERROR(VLOOKUP(A953,'Salary Calculation'!$A$2:$V$999,10,0),"")</f>
        <v/>
      </c>
      <c r="F953" s="101"/>
      <c r="G953" s="106" t="str">
        <f>IFERROR(VLOOKUP(A953,'Salary Calculation'!$A$2:$V$999,7,0),"")</f>
        <v/>
      </c>
      <c r="H953" s="100"/>
      <c r="I953" s="101"/>
      <c r="J953" s="101"/>
      <c r="K953" s="101"/>
      <c r="L953" s="101"/>
      <c r="M953" s="101"/>
      <c r="N953" s="101"/>
      <c r="O953" s="101"/>
      <c r="P953" s="101"/>
      <c r="Q953" s="101"/>
      <c r="R953" s="101"/>
      <c r="S953" s="101"/>
      <c r="T953" s="101"/>
      <c r="U953" s="101"/>
      <c r="V953" s="101"/>
      <c r="W953" s="101"/>
      <c r="X953" s="101"/>
      <c r="Y953" s="101"/>
      <c r="Z953" s="101"/>
      <c r="AA953" s="101"/>
      <c r="AB953" s="101"/>
    </row>
    <row r="954">
      <c r="A954" s="104" t="s">
        <v>1091</v>
      </c>
      <c r="B954" s="105" t="str">
        <f>IFERROR(VLOOKUP(A954,'Salary Calculation'!A953:F1950,2,0),"")</f>
        <v/>
      </c>
      <c r="C954" s="105" t="str">
        <f>IFERROR(VLOOKUP(A954,'Salary Calculation'!$A$2:$V$999,3,0),"")</f>
        <v/>
      </c>
      <c r="D954" s="105" t="str">
        <f>IFERROR(VLOOKUP(A954,'Salary Calculation'!$A$2:$V$999,6,0),"")</f>
        <v/>
      </c>
      <c r="E954" s="105" t="str">
        <f>IFERROR(VLOOKUP(A954,'Salary Calculation'!$A$2:$V$999,10,0),"")</f>
        <v/>
      </c>
      <c r="F954" s="101"/>
      <c r="G954" s="106" t="str">
        <f>IFERROR(VLOOKUP(A954,'Salary Calculation'!$A$2:$V$999,7,0),"")</f>
        <v/>
      </c>
      <c r="H954" s="100"/>
      <c r="I954" s="101"/>
      <c r="J954" s="101"/>
      <c r="K954" s="101"/>
      <c r="L954" s="101"/>
      <c r="M954" s="101"/>
      <c r="N954" s="101"/>
      <c r="O954" s="101"/>
      <c r="P954" s="101"/>
      <c r="Q954" s="101"/>
      <c r="R954" s="101"/>
      <c r="S954" s="101"/>
      <c r="T954" s="101"/>
      <c r="U954" s="101"/>
      <c r="V954" s="101"/>
      <c r="W954" s="101"/>
      <c r="X954" s="101"/>
      <c r="Y954" s="101"/>
      <c r="Z954" s="101"/>
      <c r="AA954" s="101"/>
      <c r="AB954" s="101"/>
    </row>
    <row r="955">
      <c r="A955" s="104" t="s">
        <v>1092</v>
      </c>
      <c r="B955" s="105" t="str">
        <f>IFERROR(VLOOKUP(A955,'Salary Calculation'!A954:F1951,2,0),"")</f>
        <v/>
      </c>
      <c r="C955" s="105" t="str">
        <f>IFERROR(VLOOKUP(A955,'Salary Calculation'!$A$2:$V$999,3,0),"")</f>
        <v/>
      </c>
      <c r="D955" s="105" t="str">
        <f>IFERROR(VLOOKUP(A955,'Salary Calculation'!$A$2:$V$999,6,0),"")</f>
        <v/>
      </c>
      <c r="E955" s="105" t="str">
        <f>IFERROR(VLOOKUP(A955,'Salary Calculation'!$A$2:$V$999,10,0),"")</f>
        <v/>
      </c>
      <c r="F955" s="101"/>
      <c r="G955" s="106" t="str">
        <f>IFERROR(VLOOKUP(A955,'Salary Calculation'!$A$2:$V$999,7,0),"")</f>
        <v/>
      </c>
      <c r="H955" s="100"/>
      <c r="I955" s="101"/>
      <c r="J955" s="101"/>
      <c r="K955" s="101"/>
      <c r="L955" s="101"/>
      <c r="M955" s="101"/>
      <c r="N955" s="101"/>
      <c r="O955" s="101"/>
      <c r="P955" s="101"/>
      <c r="Q955" s="101"/>
      <c r="R955" s="101"/>
      <c r="S955" s="101"/>
      <c r="T955" s="101"/>
      <c r="U955" s="101"/>
      <c r="V955" s="101"/>
      <c r="W955" s="101"/>
      <c r="X955" s="101"/>
      <c r="Y955" s="101"/>
      <c r="Z955" s="101"/>
      <c r="AA955" s="101"/>
      <c r="AB955" s="101"/>
    </row>
    <row r="956">
      <c r="A956" s="104" t="s">
        <v>1093</v>
      </c>
      <c r="B956" s="105" t="str">
        <f>IFERROR(VLOOKUP(A956,'Salary Calculation'!A955:F1952,2,0),"")</f>
        <v/>
      </c>
      <c r="C956" s="105" t="str">
        <f>IFERROR(VLOOKUP(A956,'Salary Calculation'!$A$2:$V$999,3,0),"")</f>
        <v/>
      </c>
      <c r="D956" s="105" t="str">
        <f>IFERROR(VLOOKUP(A956,'Salary Calculation'!$A$2:$V$999,6,0),"")</f>
        <v/>
      </c>
      <c r="E956" s="105" t="str">
        <f>IFERROR(VLOOKUP(A956,'Salary Calculation'!$A$2:$V$999,10,0),"")</f>
        <v/>
      </c>
      <c r="F956" s="101"/>
      <c r="G956" s="106" t="str">
        <f>IFERROR(VLOOKUP(A956,'Salary Calculation'!$A$2:$V$999,7,0),"")</f>
        <v/>
      </c>
      <c r="H956" s="100"/>
      <c r="I956" s="101"/>
      <c r="J956" s="101"/>
      <c r="K956" s="101"/>
      <c r="L956" s="101"/>
      <c r="M956" s="101"/>
      <c r="N956" s="101"/>
      <c r="O956" s="101"/>
      <c r="P956" s="101"/>
      <c r="Q956" s="101"/>
      <c r="R956" s="101"/>
      <c r="S956" s="101"/>
      <c r="T956" s="101"/>
      <c r="U956" s="101"/>
      <c r="V956" s="101"/>
      <c r="W956" s="101"/>
      <c r="X956" s="101"/>
      <c r="Y956" s="101"/>
      <c r="Z956" s="101"/>
      <c r="AA956" s="101"/>
      <c r="AB956" s="101"/>
    </row>
    <row r="957">
      <c r="A957" s="104" t="s">
        <v>1094</v>
      </c>
      <c r="B957" s="105" t="str">
        <f>IFERROR(VLOOKUP(A957,'Salary Calculation'!A956:F1953,2,0),"")</f>
        <v/>
      </c>
      <c r="C957" s="105" t="str">
        <f>IFERROR(VLOOKUP(A957,'Salary Calculation'!$A$2:$V$999,3,0),"")</f>
        <v/>
      </c>
      <c r="D957" s="105" t="str">
        <f>IFERROR(VLOOKUP(A957,'Salary Calculation'!$A$2:$V$999,6,0),"")</f>
        <v/>
      </c>
      <c r="E957" s="105" t="str">
        <f>IFERROR(VLOOKUP(A957,'Salary Calculation'!$A$2:$V$999,10,0),"")</f>
        <v/>
      </c>
      <c r="F957" s="101"/>
      <c r="G957" s="106" t="str">
        <f>IFERROR(VLOOKUP(A957,'Salary Calculation'!$A$2:$V$999,7,0),"")</f>
        <v/>
      </c>
      <c r="H957" s="100"/>
      <c r="I957" s="101"/>
      <c r="J957" s="101"/>
      <c r="K957" s="101"/>
      <c r="L957" s="101"/>
      <c r="M957" s="101"/>
      <c r="N957" s="101"/>
      <c r="O957" s="101"/>
      <c r="P957" s="101"/>
      <c r="Q957" s="101"/>
      <c r="R957" s="101"/>
      <c r="S957" s="101"/>
      <c r="T957" s="101"/>
      <c r="U957" s="101"/>
      <c r="V957" s="101"/>
      <c r="W957" s="101"/>
      <c r="X957" s="101"/>
      <c r="Y957" s="101"/>
      <c r="Z957" s="101"/>
      <c r="AA957" s="101"/>
      <c r="AB957" s="101"/>
    </row>
    <row r="958">
      <c r="A958" s="104" t="s">
        <v>1095</v>
      </c>
      <c r="B958" s="105" t="str">
        <f>IFERROR(VLOOKUP(A958,'Salary Calculation'!A957:F1954,2,0),"")</f>
        <v/>
      </c>
      <c r="C958" s="105" t="str">
        <f>IFERROR(VLOOKUP(A958,'Salary Calculation'!$A$2:$V$999,3,0),"")</f>
        <v/>
      </c>
      <c r="D958" s="105" t="str">
        <f>IFERROR(VLOOKUP(A958,'Salary Calculation'!$A$2:$V$999,6,0),"")</f>
        <v/>
      </c>
      <c r="E958" s="105" t="str">
        <f>IFERROR(VLOOKUP(A958,'Salary Calculation'!$A$2:$V$999,10,0),"")</f>
        <v/>
      </c>
      <c r="F958" s="101"/>
      <c r="G958" s="106" t="str">
        <f>IFERROR(VLOOKUP(A958,'Salary Calculation'!$A$2:$V$999,7,0),"")</f>
        <v/>
      </c>
      <c r="H958" s="100"/>
      <c r="I958" s="101"/>
      <c r="J958" s="101"/>
      <c r="K958" s="101"/>
      <c r="L958" s="101"/>
      <c r="M958" s="101"/>
      <c r="N958" s="101"/>
      <c r="O958" s="101"/>
      <c r="P958" s="101"/>
      <c r="Q958" s="101"/>
      <c r="R958" s="101"/>
      <c r="S958" s="101"/>
      <c r="T958" s="101"/>
      <c r="U958" s="101"/>
      <c r="V958" s="101"/>
      <c r="W958" s="101"/>
      <c r="X958" s="101"/>
      <c r="Y958" s="101"/>
      <c r="Z958" s="101"/>
      <c r="AA958" s="101"/>
      <c r="AB958" s="101"/>
    </row>
    <row r="959">
      <c r="A959" s="104" t="s">
        <v>1096</v>
      </c>
      <c r="B959" s="105" t="str">
        <f>IFERROR(VLOOKUP(A959,'Salary Calculation'!A958:F1955,2,0),"")</f>
        <v/>
      </c>
      <c r="C959" s="105" t="str">
        <f>IFERROR(VLOOKUP(A959,'Salary Calculation'!$A$2:$V$999,3,0),"")</f>
        <v/>
      </c>
      <c r="D959" s="105" t="str">
        <f>IFERROR(VLOOKUP(A959,'Salary Calculation'!$A$2:$V$999,6,0),"")</f>
        <v/>
      </c>
      <c r="E959" s="105" t="str">
        <f>IFERROR(VLOOKUP(A959,'Salary Calculation'!$A$2:$V$999,10,0),"")</f>
        <v/>
      </c>
      <c r="F959" s="101"/>
      <c r="G959" s="106" t="str">
        <f>IFERROR(VLOOKUP(A959,'Salary Calculation'!$A$2:$V$999,7,0),"")</f>
        <v/>
      </c>
      <c r="H959" s="100"/>
      <c r="I959" s="101"/>
      <c r="J959" s="101"/>
      <c r="K959" s="101"/>
      <c r="L959" s="101"/>
      <c r="M959" s="101"/>
      <c r="N959" s="101"/>
      <c r="O959" s="101"/>
      <c r="P959" s="101"/>
      <c r="Q959" s="101"/>
      <c r="R959" s="101"/>
      <c r="S959" s="101"/>
      <c r="T959" s="101"/>
      <c r="U959" s="101"/>
      <c r="V959" s="101"/>
      <c r="W959" s="101"/>
      <c r="X959" s="101"/>
      <c r="Y959" s="101"/>
      <c r="Z959" s="101"/>
      <c r="AA959" s="101"/>
      <c r="AB959" s="101"/>
    </row>
    <row r="960">
      <c r="A960" s="104" t="s">
        <v>1097</v>
      </c>
      <c r="B960" s="105" t="str">
        <f>IFERROR(VLOOKUP(A960,'Salary Calculation'!A959:F1956,2,0),"")</f>
        <v/>
      </c>
      <c r="C960" s="105" t="str">
        <f>IFERROR(VLOOKUP(A960,'Salary Calculation'!$A$2:$V$999,3,0),"")</f>
        <v/>
      </c>
      <c r="D960" s="105" t="str">
        <f>IFERROR(VLOOKUP(A960,'Salary Calculation'!$A$2:$V$999,6,0),"")</f>
        <v/>
      </c>
      <c r="E960" s="105" t="str">
        <f>IFERROR(VLOOKUP(A960,'Salary Calculation'!$A$2:$V$999,10,0),"")</f>
        <v/>
      </c>
      <c r="F960" s="101"/>
      <c r="G960" s="106" t="str">
        <f>IFERROR(VLOOKUP(A960,'Salary Calculation'!$A$2:$V$999,7,0),"")</f>
        <v/>
      </c>
      <c r="H960" s="100"/>
      <c r="I960" s="101"/>
      <c r="J960" s="101"/>
      <c r="K960" s="101"/>
      <c r="L960" s="101"/>
      <c r="M960" s="101"/>
      <c r="N960" s="101"/>
      <c r="O960" s="101"/>
      <c r="P960" s="101"/>
      <c r="Q960" s="101"/>
      <c r="R960" s="101"/>
      <c r="S960" s="101"/>
      <c r="T960" s="101"/>
      <c r="U960" s="101"/>
      <c r="V960" s="101"/>
      <c r="W960" s="101"/>
      <c r="X960" s="101"/>
      <c r="Y960" s="101"/>
      <c r="Z960" s="101"/>
      <c r="AA960" s="101"/>
      <c r="AB960" s="101"/>
    </row>
    <row r="961">
      <c r="A961" s="104" t="s">
        <v>1098</v>
      </c>
      <c r="B961" s="105" t="str">
        <f>IFERROR(VLOOKUP(A961,'Salary Calculation'!A960:F1957,2,0),"")</f>
        <v/>
      </c>
      <c r="C961" s="105" t="str">
        <f>IFERROR(VLOOKUP(A961,'Salary Calculation'!$A$2:$V$999,3,0),"")</f>
        <v/>
      </c>
      <c r="D961" s="105" t="str">
        <f>IFERROR(VLOOKUP(A961,'Salary Calculation'!$A$2:$V$999,6,0),"")</f>
        <v/>
      </c>
      <c r="E961" s="105" t="str">
        <f>IFERROR(VLOOKUP(A961,'Salary Calculation'!$A$2:$V$999,10,0),"")</f>
        <v/>
      </c>
      <c r="F961" s="101"/>
      <c r="G961" s="106" t="str">
        <f>IFERROR(VLOOKUP(A961,'Salary Calculation'!$A$2:$V$999,7,0),"")</f>
        <v/>
      </c>
      <c r="H961" s="100"/>
      <c r="I961" s="101"/>
      <c r="J961" s="101"/>
      <c r="K961" s="101"/>
      <c r="L961" s="101"/>
      <c r="M961" s="101"/>
      <c r="N961" s="101"/>
      <c r="O961" s="101"/>
      <c r="P961" s="101"/>
      <c r="Q961" s="101"/>
      <c r="R961" s="101"/>
      <c r="S961" s="101"/>
      <c r="T961" s="101"/>
      <c r="U961" s="101"/>
      <c r="V961" s="101"/>
      <c r="W961" s="101"/>
      <c r="X961" s="101"/>
      <c r="Y961" s="101"/>
      <c r="Z961" s="101"/>
      <c r="AA961" s="101"/>
      <c r="AB961" s="101"/>
    </row>
    <row r="962">
      <c r="A962" s="104" t="s">
        <v>1099</v>
      </c>
      <c r="B962" s="105" t="str">
        <f>IFERROR(VLOOKUP(A962,'Salary Calculation'!A961:F1958,2,0),"")</f>
        <v/>
      </c>
      <c r="C962" s="105" t="str">
        <f>IFERROR(VLOOKUP(A962,'Salary Calculation'!$A$2:$V$999,3,0),"")</f>
        <v/>
      </c>
      <c r="D962" s="105" t="str">
        <f>IFERROR(VLOOKUP(A962,'Salary Calculation'!$A$2:$V$999,6,0),"")</f>
        <v/>
      </c>
      <c r="E962" s="105" t="str">
        <f>IFERROR(VLOOKUP(A962,'Salary Calculation'!$A$2:$V$999,10,0),"")</f>
        <v/>
      </c>
      <c r="F962" s="101"/>
      <c r="G962" s="106" t="str">
        <f>IFERROR(VLOOKUP(A962,'Salary Calculation'!$A$2:$V$999,7,0),"")</f>
        <v/>
      </c>
      <c r="H962" s="100"/>
      <c r="I962" s="101"/>
      <c r="J962" s="101"/>
      <c r="K962" s="101"/>
      <c r="L962" s="101"/>
      <c r="M962" s="101"/>
      <c r="N962" s="101"/>
      <c r="O962" s="101"/>
      <c r="P962" s="101"/>
      <c r="Q962" s="101"/>
      <c r="R962" s="101"/>
      <c r="S962" s="101"/>
      <c r="T962" s="101"/>
      <c r="U962" s="101"/>
      <c r="V962" s="101"/>
      <c r="W962" s="101"/>
      <c r="X962" s="101"/>
      <c r="Y962" s="101"/>
      <c r="Z962" s="101"/>
      <c r="AA962" s="101"/>
      <c r="AB962" s="101"/>
    </row>
    <row r="963">
      <c r="A963" s="104" t="s">
        <v>1100</v>
      </c>
      <c r="B963" s="105" t="str">
        <f>IFERROR(VLOOKUP(A963,'Salary Calculation'!A962:F1959,2,0),"")</f>
        <v/>
      </c>
      <c r="C963" s="105" t="str">
        <f>IFERROR(VLOOKUP(A963,'Salary Calculation'!$A$2:$V$999,3,0),"")</f>
        <v/>
      </c>
      <c r="D963" s="105" t="str">
        <f>IFERROR(VLOOKUP(A963,'Salary Calculation'!$A$2:$V$999,6,0),"")</f>
        <v/>
      </c>
      <c r="E963" s="105" t="str">
        <f>IFERROR(VLOOKUP(A963,'Salary Calculation'!$A$2:$V$999,10,0),"")</f>
        <v/>
      </c>
      <c r="F963" s="101"/>
      <c r="G963" s="106" t="str">
        <f>IFERROR(VLOOKUP(A963,'Salary Calculation'!$A$2:$V$999,7,0),"")</f>
        <v/>
      </c>
      <c r="H963" s="100"/>
      <c r="I963" s="101"/>
      <c r="J963" s="101"/>
      <c r="K963" s="101"/>
      <c r="L963" s="101"/>
      <c r="M963" s="101"/>
      <c r="N963" s="101"/>
      <c r="O963" s="101"/>
      <c r="P963" s="101"/>
      <c r="Q963" s="101"/>
      <c r="R963" s="101"/>
      <c r="S963" s="101"/>
      <c r="T963" s="101"/>
      <c r="U963" s="101"/>
      <c r="V963" s="101"/>
      <c r="W963" s="101"/>
      <c r="X963" s="101"/>
      <c r="Y963" s="101"/>
      <c r="Z963" s="101"/>
      <c r="AA963" s="101"/>
      <c r="AB963" s="101"/>
    </row>
    <row r="964">
      <c r="A964" s="104" t="s">
        <v>1101</v>
      </c>
      <c r="B964" s="105" t="str">
        <f>IFERROR(VLOOKUP(A964,'Salary Calculation'!A963:F1960,2,0),"")</f>
        <v/>
      </c>
      <c r="C964" s="105" t="str">
        <f>IFERROR(VLOOKUP(A964,'Salary Calculation'!$A$2:$V$999,3,0),"")</f>
        <v/>
      </c>
      <c r="D964" s="105" t="str">
        <f>IFERROR(VLOOKUP(A964,'Salary Calculation'!$A$2:$V$999,6,0),"")</f>
        <v/>
      </c>
      <c r="E964" s="105" t="str">
        <f>IFERROR(VLOOKUP(A964,'Salary Calculation'!$A$2:$V$999,10,0),"")</f>
        <v/>
      </c>
      <c r="F964" s="101"/>
      <c r="G964" s="106" t="str">
        <f>IFERROR(VLOOKUP(A964,'Salary Calculation'!$A$2:$V$999,7,0),"")</f>
        <v/>
      </c>
      <c r="H964" s="100"/>
      <c r="I964" s="101"/>
      <c r="J964" s="101"/>
      <c r="K964" s="101"/>
      <c r="L964" s="101"/>
      <c r="M964" s="101"/>
      <c r="N964" s="101"/>
      <c r="O964" s="101"/>
      <c r="P964" s="101"/>
      <c r="Q964" s="101"/>
      <c r="R964" s="101"/>
      <c r="S964" s="101"/>
      <c r="T964" s="101"/>
      <c r="U964" s="101"/>
      <c r="V964" s="101"/>
      <c r="W964" s="101"/>
      <c r="X964" s="101"/>
      <c r="Y964" s="101"/>
      <c r="Z964" s="101"/>
      <c r="AA964" s="101"/>
      <c r="AB964" s="101"/>
    </row>
    <row r="965">
      <c r="A965" s="104" t="s">
        <v>1102</v>
      </c>
      <c r="B965" s="105" t="str">
        <f>IFERROR(VLOOKUP(A965,'Salary Calculation'!A964:F1961,2,0),"")</f>
        <v/>
      </c>
      <c r="C965" s="105" t="str">
        <f>IFERROR(VLOOKUP(A965,'Salary Calculation'!$A$2:$V$999,3,0),"")</f>
        <v/>
      </c>
      <c r="D965" s="105" t="str">
        <f>IFERROR(VLOOKUP(A965,'Salary Calculation'!$A$2:$V$999,6,0),"")</f>
        <v/>
      </c>
      <c r="E965" s="105" t="str">
        <f>IFERROR(VLOOKUP(A965,'Salary Calculation'!$A$2:$V$999,10,0),"")</f>
        <v/>
      </c>
      <c r="F965" s="101"/>
      <c r="G965" s="106" t="str">
        <f>IFERROR(VLOOKUP(A965,'Salary Calculation'!$A$2:$V$999,7,0),"")</f>
        <v/>
      </c>
      <c r="H965" s="100"/>
      <c r="I965" s="101"/>
      <c r="J965" s="101"/>
      <c r="K965" s="101"/>
      <c r="L965" s="101"/>
      <c r="M965" s="101"/>
      <c r="N965" s="101"/>
      <c r="O965" s="101"/>
      <c r="P965" s="101"/>
      <c r="Q965" s="101"/>
      <c r="R965" s="101"/>
      <c r="S965" s="101"/>
      <c r="T965" s="101"/>
      <c r="U965" s="101"/>
      <c r="V965" s="101"/>
      <c r="W965" s="101"/>
      <c r="X965" s="101"/>
      <c r="Y965" s="101"/>
      <c r="Z965" s="101"/>
      <c r="AA965" s="101"/>
      <c r="AB965" s="101"/>
    </row>
    <row r="966">
      <c r="A966" s="104" t="s">
        <v>1103</v>
      </c>
      <c r="B966" s="105" t="str">
        <f>IFERROR(VLOOKUP(A966,'Salary Calculation'!A965:F1962,2,0),"")</f>
        <v/>
      </c>
      <c r="C966" s="105" t="str">
        <f>IFERROR(VLOOKUP(A966,'Salary Calculation'!$A$2:$V$999,3,0),"")</f>
        <v/>
      </c>
      <c r="D966" s="105" t="str">
        <f>IFERROR(VLOOKUP(A966,'Salary Calculation'!$A$2:$V$999,6,0),"")</f>
        <v/>
      </c>
      <c r="E966" s="105" t="str">
        <f>IFERROR(VLOOKUP(A966,'Salary Calculation'!$A$2:$V$999,10,0),"")</f>
        <v/>
      </c>
      <c r="F966" s="101"/>
      <c r="G966" s="106" t="str">
        <f>IFERROR(VLOOKUP(A966,'Salary Calculation'!$A$2:$V$999,7,0),"")</f>
        <v/>
      </c>
      <c r="H966" s="100"/>
      <c r="I966" s="101"/>
      <c r="J966" s="101"/>
      <c r="K966" s="101"/>
      <c r="L966" s="101"/>
      <c r="M966" s="101"/>
      <c r="N966" s="101"/>
      <c r="O966" s="101"/>
      <c r="P966" s="101"/>
      <c r="Q966" s="101"/>
      <c r="R966" s="101"/>
      <c r="S966" s="101"/>
      <c r="T966" s="101"/>
      <c r="U966" s="101"/>
      <c r="V966" s="101"/>
      <c r="W966" s="101"/>
      <c r="X966" s="101"/>
      <c r="Y966" s="101"/>
      <c r="Z966" s="101"/>
      <c r="AA966" s="101"/>
      <c r="AB966" s="101"/>
    </row>
    <row r="967">
      <c r="A967" s="104" t="s">
        <v>1104</v>
      </c>
      <c r="B967" s="105" t="str">
        <f>IFERROR(VLOOKUP(A967,'Salary Calculation'!A966:F1963,2,0),"")</f>
        <v/>
      </c>
      <c r="C967" s="105" t="str">
        <f>IFERROR(VLOOKUP(A967,'Salary Calculation'!$A$2:$V$999,3,0),"")</f>
        <v/>
      </c>
      <c r="D967" s="105" t="str">
        <f>IFERROR(VLOOKUP(A967,'Salary Calculation'!$A$2:$V$999,6,0),"")</f>
        <v/>
      </c>
      <c r="E967" s="105" t="str">
        <f>IFERROR(VLOOKUP(A967,'Salary Calculation'!$A$2:$V$999,10,0),"")</f>
        <v/>
      </c>
      <c r="F967" s="101"/>
      <c r="G967" s="106" t="str">
        <f>IFERROR(VLOOKUP(A967,'Salary Calculation'!$A$2:$V$999,7,0),"")</f>
        <v/>
      </c>
      <c r="H967" s="100"/>
      <c r="I967" s="101"/>
      <c r="J967" s="101"/>
      <c r="K967" s="101"/>
      <c r="L967" s="101"/>
      <c r="M967" s="101"/>
      <c r="N967" s="101"/>
      <c r="O967" s="101"/>
      <c r="P967" s="101"/>
      <c r="Q967" s="101"/>
      <c r="R967" s="101"/>
      <c r="S967" s="101"/>
      <c r="T967" s="101"/>
      <c r="U967" s="101"/>
      <c r="V967" s="101"/>
      <c r="W967" s="101"/>
      <c r="X967" s="101"/>
      <c r="Y967" s="101"/>
      <c r="Z967" s="101"/>
      <c r="AA967" s="101"/>
      <c r="AB967" s="101"/>
    </row>
    <row r="968">
      <c r="A968" s="104" t="s">
        <v>1105</v>
      </c>
      <c r="B968" s="105" t="str">
        <f>IFERROR(VLOOKUP(A968,'Salary Calculation'!A967:F1964,2,0),"")</f>
        <v/>
      </c>
      <c r="C968" s="105" t="str">
        <f>IFERROR(VLOOKUP(A968,'Salary Calculation'!$A$2:$V$999,3,0),"")</f>
        <v/>
      </c>
      <c r="D968" s="105" t="str">
        <f>IFERROR(VLOOKUP(A968,'Salary Calculation'!$A$2:$V$999,6,0),"")</f>
        <v/>
      </c>
      <c r="E968" s="105" t="str">
        <f>IFERROR(VLOOKUP(A968,'Salary Calculation'!$A$2:$V$999,10,0),"")</f>
        <v/>
      </c>
      <c r="F968" s="101"/>
      <c r="G968" s="106" t="str">
        <f>IFERROR(VLOOKUP(A968,'Salary Calculation'!$A$2:$V$999,7,0),"")</f>
        <v/>
      </c>
      <c r="H968" s="100"/>
      <c r="I968" s="101"/>
      <c r="J968" s="101"/>
      <c r="K968" s="101"/>
      <c r="L968" s="101"/>
      <c r="M968" s="101"/>
      <c r="N968" s="101"/>
      <c r="O968" s="101"/>
      <c r="P968" s="101"/>
      <c r="Q968" s="101"/>
      <c r="R968" s="101"/>
      <c r="S968" s="101"/>
      <c r="T968" s="101"/>
      <c r="U968" s="101"/>
      <c r="V968" s="101"/>
      <c r="W968" s="101"/>
      <c r="X968" s="101"/>
      <c r="Y968" s="101"/>
      <c r="Z968" s="101"/>
      <c r="AA968" s="101"/>
      <c r="AB968" s="101"/>
    </row>
    <row r="969">
      <c r="A969" s="104" t="s">
        <v>1106</v>
      </c>
      <c r="B969" s="105" t="str">
        <f>IFERROR(VLOOKUP(A969,'Salary Calculation'!A968:F1965,2,0),"")</f>
        <v/>
      </c>
      <c r="C969" s="105" t="str">
        <f>IFERROR(VLOOKUP(A969,'Salary Calculation'!$A$2:$V$999,3,0),"")</f>
        <v/>
      </c>
      <c r="D969" s="105" t="str">
        <f>IFERROR(VLOOKUP(A969,'Salary Calculation'!$A$2:$V$999,6,0),"")</f>
        <v/>
      </c>
      <c r="E969" s="105" t="str">
        <f>IFERROR(VLOOKUP(A969,'Salary Calculation'!$A$2:$V$999,10,0),"")</f>
        <v/>
      </c>
      <c r="F969" s="101"/>
      <c r="G969" s="106" t="str">
        <f>IFERROR(VLOOKUP(A969,'Salary Calculation'!$A$2:$V$999,7,0),"")</f>
        <v/>
      </c>
      <c r="H969" s="100"/>
      <c r="I969" s="101"/>
      <c r="J969" s="101"/>
      <c r="K969" s="101"/>
      <c r="L969" s="101"/>
      <c r="M969" s="101"/>
      <c r="N969" s="101"/>
      <c r="O969" s="101"/>
      <c r="P969" s="101"/>
      <c r="Q969" s="101"/>
      <c r="R969" s="101"/>
      <c r="S969" s="101"/>
      <c r="T969" s="101"/>
      <c r="U969" s="101"/>
      <c r="V969" s="101"/>
      <c r="W969" s="101"/>
      <c r="X969" s="101"/>
      <c r="Y969" s="101"/>
      <c r="Z969" s="101"/>
      <c r="AA969" s="101"/>
      <c r="AB969" s="101"/>
    </row>
    <row r="970">
      <c r="A970" s="104" t="s">
        <v>1107</v>
      </c>
      <c r="B970" s="105" t="str">
        <f>IFERROR(VLOOKUP(A970,'Salary Calculation'!A969:F1966,2,0),"")</f>
        <v/>
      </c>
      <c r="C970" s="105" t="str">
        <f>IFERROR(VLOOKUP(A970,'Salary Calculation'!$A$2:$V$999,3,0),"")</f>
        <v/>
      </c>
      <c r="D970" s="105" t="str">
        <f>IFERROR(VLOOKUP(A970,'Salary Calculation'!$A$2:$V$999,6,0),"")</f>
        <v/>
      </c>
      <c r="E970" s="105" t="str">
        <f>IFERROR(VLOOKUP(A970,'Salary Calculation'!$A$2:$V$999,10,0),"")</f>
        <v/>
      </c>
      <c r="F970" s="101"/>
      <c r="G970" s="106" t="str">
        <f>IFERROR(VLOOKUP(A970,'Salary Calculation'!$A$2:$V$999,7,0),"")</f>
        <v/>
      </c>
      <c r="H970" s="100"/>
      <c r="I970" s="101"/>
      <c r="J970" s="101"/>
      <c r="K970" s="101"/>
      <c r="L970" s="101"/>
      <c r="M970" s="101"/>
      <c r="N970" s="101"/>
      <c r="O970" s="101"/>
      <c r="P970" s="101"/>
      <c r="Q970" s="101"/>
      <c r="R970" s="101"/>
      <c r="S970" s="101"/>
      <c r="T970" s="101"/>
      <c r="U970" s="101"/>
      <c r="V970" s="101"/>
      <c r="W970" s="101"/>
      <c r="X970" s="101"/>
      <c r="Y970" s="101"/>
      <c r="Z970" s="101"/>
      <c r="AA970" s="101"/>
      <c r="AB970" s="101"/>
    </row>
    <row r="971">
      <c r="A971" s="104" t="s">
        <v>1108</v>
      </c>
      <c r="B971" s="105" t="str">
        <f>IFERROR(VLOOKUP(A971,'Salary Calculation'!A970:F1967,2,0),"")</f>
        <v/>
      </c>
      <c r="C971" s="105" t="str">
        <f>IFERROR(VLOOKUP(A971,'Salary Calculation'!$A$2:$V$999,3,0),"")</f>
        <v/>
      </c>
      <c r="D971" s="105" t="str">
        <f>IFERROR(VLOOKUP(A971,'Salary Calculation'!$A$2:$V$999,6,0),"")</f>
        <v/>
      </c>
      <c r="E971" s="105" t="str">
        <f>IFERROR(VLOOKUP(A971,'Salary Calculation'!$A$2:$V$999,10,0),"")</f>
        <v/>
      </c>
      <c r="F971" s="101"/>
      <c r="G971" s="106" t="str">
        <f>IFERROR(VLOOKUP(A971,'Salary Calculation'!$A$2:$V$999,7,0),"")</f>
        <v/>
      </c>
      <c r="H971" s="100"/>
      <c r="I971" s="101"/>
      <c r="J971" s="101"/>
      <c r="K971" s="101"/>
      <c r="L971" s="101"/>
      <c r="M971" s="101"/>
      <c r="N971" s="101"/>
      <c r="O971" s="101"/>
      <c r="P971" s="101"/>
      <c r="Q971" s="101"/>
      <c r="R971" s="101"/>
      <c r="S971" s="101"/>
      <c r="T971" s="101"/>
      <c r="U971" s="101"/>
      <c r="V971" s="101"/>
      <c r="W971" s="101"/>
      <c r="X971" s="101"/>
      <c r="Y971" s="101"/>
      <c r="Z971" s="101"/>
      <c r="AA971" s="101"/>
      <c r="AB971" s="101"/>
    </row>
    <row r="972">
      <c r="A972" s="104" t="s">
        <v>1109</v>
      </c>
      <c r="B972" s="105" t="str">
        <f>IFERROR(VLOOKUP(A972,'Salary Calculation'!A971:F1968,2,0),"")</f>
        <v/>
      </c>
      <c r="C972" s="105" t="str">
        <f>IFERROR(VLOOKUP(A972,'Salary Calculation'!$A$2:$V$999,3,0),"")</f>
        <v/>
      </c>
      <c r="D972" s="105" t="str">
        <f>IFERROR(VLOOKUP(A972,'Salary Calculation'!$A$2:$V$999,6,0),"")</f>
        <v/>
      </c>
      <c r="E972" s="105" t="str">
        <f>IFERROR(VLOOKUP(A972,'Salary Calculation'!$A$2:$V$999,10,0),"")</f>
        <v/>
      </c>
      <c r="F972" s="101"/>
      <c r="G972" s="106" t="str">
        <f>IFERROR(VLOOKUP(A972,'Salary Calculation'!$A$2:$V$999,7,0),"")</f>
        <v/>
      </c>
      <c r="H972" s="100"/>
      <c r="I972" s="101"/>
      <c r="J972" s="101"/>
      <c r="K972" s="101"/>
      <c r="L972" s="101"/>
      <c r="M972" s="101"/>
      <c r="N972" s="101"/>
      <c r="O972" s="101"/>
      <c r="P972" s="101"/>
      <c r="Q972" s="101"/>
      <c r="R972" s="101"/>
      <c r="S972" s="101"/>
      <c r="T972" s="101"/>
      <c r="U972" s="101"/>
      <c r="V972" s="101"/>
      <c r="W972" s="101"/>
      <c r="X972" s="101"/>
      <c r="Y972" s="101"/>
      <c r="Z972" s="101"/>
      <c r="AA972" s="101"/>
      <c r="AB972" s="101"/>
    </row>
    <row r="973">
      <c r="A973" s="104" t="s">
        <v>1110</v>
      </c>
      <c r="B973" s="105" t="str">
        <f>IFERROR(VLOOKUP(A973,'Salary Calculation'!A972:F1969,2,0),"")</f>
        <v/>
      </c>
      <c r="C973" s="105" t="str">
        <f>IFERROR(VLOOKUP(A973,'Salary Calculation'!$A$2:$V$999,3,0),"")</f>
        <v/>
      </c>
      <c r="D973" s="105" t="str">
        <f>IFERROR(VLOOKUP(A973,'Salary Calculation'!$A$2:$V$999,6,0),"")</f>
        <v/>
      </c>
      <c r="E973" s="105" t="str">
        <f>IFERROR(VLOOKUP(A973,'Salary Calculation'!$A$2:$V$999,10,0),"")</f>
        <v/>
      </c>
      <c r="F973" s="101"/>
      <c r="G973" s="106" t="str">
        <f>IFERROR(VLOOKUP(A973,'Salary Calculation'!$A$2:$V$999,7,0),"")</f>
        <v/>
      </c>
      <c r="H973" s="100"/>
      <c r="I973" s="101"/>
      <c r="J973" s="101"/>
      <c r="K973" s="101"/>
      <c r="L973" s="101"/>
      <c r="M973" s="101"/>
      <c r="N973" s="101"/>
      <c r="O973" s="101"/>
      <c r="P973" s="101"/>
      <c r="Q973" s="101"/>
      <c r="R973" s="101"/>
      <c r="S973" s="101"/>
      <c r="T973" s="101"/>
      <c r="U973" s="101"/>
      <c r="V973" s="101"/>
      <c r="W973" s="101"/>
      <c r="X973" s="101"/>
      <c r="Y973" s="101"/>
      <c r="Z973" s="101"/>
      <c r="AA973" s="101"/>
      <c r="AB973" s="101"/>
    </row>
    <row r="974">
      <c r="A974" s="104" t="s">
        <v>1111</v>
      </c>
      <c r="B974" s="105" t="str">
        <f>IFERROR(VLOOKUP(A974,'Salary Calculation'!A973:F1970,2,0),"")</f>
        <v/>
      </c>
      <c r="C974" s="105" t="str">
        <f>IFERROR(VLOOKUP(A974,'Salary Calculation'!$A$2:$V$999,3,0),"")</f>
        <v/>
      </c>
      <c r="D974" s="105" t="str">
        <f>IFERROR(VLOOKUP(A974,'Salary Calculation'!$A$2:$V$999,6,0),"")</f>
        <v/>
      </c>
      <c r="E974" s="105" t="str">
        <f>IFERROR(VLOOKUP(A974,'Salary Calculation'!$A$2:$V$999,10,0),"")</f>
        <v/>
      </c>
      <c r="F974" s="101"/>
      <c r="G974" s="106" t="str">
        <f>IFERROR(VLOOKUP(A974,'Salary Calculation'!$A$2:$V$999,7,0),"")</f>
        <v/>
      </c>
      <c r="H974" s="100"/>
      <c r="I974" s="101"/>
      <c r="J974" s="101"/>
      <c r="K974" s="101"/>
      <c r="L974" s="101"/>
      <c r="M974" s="101"/>
      <c r="N974" s="101"/>
      <c r="O974" s="101"/>
      <c r="P974" s="101"/>
      <c r="Q974" s="101"/>
      <c r="R974" s="101"/>
      <c r="S974" s="101"/>
      <c r="T974" s="101"/>
      <c r="U974" s="101"/>
      <c r="V974" s="101"/>
      <c r="W974" s="101"/>
      <c r="X974" s="101"/>
      <c r="Y974" s="101"/>
      <c r="Z974" s="101"/>
      <c r="AA974" s="101"/>
      <c r="AB974" s="101"/>
    </row>
    <row r="975">
      <c r="A975" s="104" t="s">
        <v>1112</v>
      </c>
      <c r="B975" s="105" t="str">
        <f>IFERROR(VLOOKUP(A975,'Salary Calculation'!A974:F1971,2,0),"")</f>
        <v/>
      </c>
      <c r="C975" s="105" t="str">
        <f>IFERROR(VLOOKUP(A975,'Salary Calculation'!$A$2:$V$999,3,0),"")</f>
        <v/>
      </c>
      <c r="D975" s="105" t="str">
        <f>IFERROR(VLOOKUP(A975,'Salary Calculation'!$A$2:$V$999,6,0),"")</f>
        <v/>
      </c>
      <c r="E975" s="105" t="str">
        <f>IFERROR(VLOOKUP(A975,'Salary Calculation'!$A$2:$V$999,10,0),"")</f>
        <v/>
      </c>
      <c r="F975" s="101"/>
      <c r="G975" s="106" t="str">
        <f>IFERROR(VLOOKUP(A975,'Salary Calculation'!$A$2:$V$999,7,0),"")</f>
        <v/>
      </c>
      <c r="H975" s="100"/>
      <c r="I975" s="101"/>
      <c r="J975" s="101"/>
      <c r="K975" s="101"/>
      <c r="L975" s="101"/>
      <c r="M975" s="101"/>
      <c r="N975" s="101"/>
      <c r="O975" s="101"/>
      <c r="P975" s="101"/>
      <c r="Q975" s="101"/>
      <c r="R975" s="101"/>
      <c r="S975" s="101"/>
      <c r="T975" s="101"/>
      <c r="U975" s="101"/>
      <c r="V975" s="101"/>
      <c r="W975" s="101"/>
      <c r="X975" s="101"/>
      <c r="Y975" s="101"/>
      <c r="Z975" s="101"/>
      <c r="AA975" s="101"/>
      <c r="AB975" s="101"/>
    </row>
    <row r="976">
      <c r="A976" s="104" t="s">
        <v>1113</v>
      </c>
      <c r="B976" s="105" t="str">
        <f>IFERROR(VLOOKUP(A976,'Salary Calculation'!A975:F1972,2,0),"")</f>
        <v/>
      </c>
      <c r="C976" s="105" t="str">
        <f>IFERROR(VLOOKUP(A976,'Salary Calculation'!$A$2:$V$999,3,0),"")</f>
        <v/>
      </c>
      <c r="D976" s="105" t="str">
        <f>IFERROR(VLOOKUP(A976,'Salary Calculation'!$A$2:$V$999,6,0),"")</f>
        <v/>
      </c>
      <c r="E976" s="105" t="str">
        <f>IFERROR(VLOOKUP(A976,'Salary Calculation'!$A$2:$V$999,10,0),"")</f>
        <v/>
      </c>
      <c r="F976" s="101"/>
      <c r="G976" s="106" t="str">
        <f>IFERROR(VLOOKUP(A976,'Salary Calculation'!$A$2:$V$999,7,0),"")</f>
        <v/>
      </c>
      <c r="H976" s="100"/>
      <c r="I976" s="101"/>
      <c r="J976" s="101"/>
      <c r="K976" s="101"/>
      <c r="L976" s="101"/>
      <c r="M976" s="101"/>
      <c r="N976" s="101"/>
      <c r="O976" s="101"/>
      <c r="P976" s="101"/>
      <c r="Q976" s="101"/>
      <c r="R976" s="101"/>
      <c r="S976" s="101"/>
      <c r="T976" s="101"/>
      <c r="U976" s="101"/>
      <c r="V976" s="101"/>
      <c r="W976" s="101"/>
      <c r="X976" s="101"/>
      <c r="Y976" s="101"/>
      <c r="Z976" s="101"/>
      <c r="AA976" s="101"/>
      <c r="AB976" s="101"/>
    </row>
    <row r="977">
      <c r="A977" s="104" t="s">
        <v>1114</v>
      </c>
      <c r="B977" s="105" t="str">
        <f>IFERROR(VLOOKUP(A977,'Salary Calculation'!A976:F1973,2,0),"")</f>
        <v/>
      </c>
      <c r="C977" s="105" t="str">
        <f>IFERROR(VLOOKUP(A977,'Salary Calculation'!$A$2:$V$999,3,0),"")</f>
        <v/>
      </c>
      <c r="D977" s="105" t="str">
        <f>IFERROR(VLOOKUP(A977,'Salary Calculation'!$A$2:$V$999,6,0),"")</f>
        <v/>
      </c>
      <c r="E977" s="105" t="str">
        <f>IFERROR(VLOOKUP(A977,'Salary Calculation'!$A$2:$V$999,10,0),"")</f>
        <v/>
      </c>
      <c r="F977" s="101"/>
      <c r="G977" s="106" t="str">
        <f>IFERROR(VLOOKUP(A977,'Salary Calculation'!$A$2:$V$999,7,0),"")</f>
        <v/>
      </c>
      <c r="H977" s="100"/>
      <c r="I977" s="101"/>
      <c r="J977" s="101"/>
      <c r="K977" s="101"/>
      <c r="L977" s="101"/>
      <c r="M977" s="101"/>
      <c r="N977" s="101"/>
      <c r="O977" s="101"/>
      <c r="P977" s="101"/>
      <c r="Q977" s="101"/>
      <c r="R977" s="101"/>
      <c r="S977" s="101"/>
      <c r="T977" s="101"/>
      <c r="U977" s="101"/>
      <c r="V977" s="101"/>
      <c r="W977" s="101"/>
      <c r="X977" s="101"/>
      <c r="Y977" s="101"/>
      <c r="Z977" s="101"/>
      <c r="AA977" s="101"/>
      <c r="AB977" s="101"/>
    </row>
    <row r="978">
      <c r="A978" s="104" t="s">
        <v>1115</v>
      </c>
      <c r="B978" s="105" t="str">
        <f>IFERROR(VLOOKUP(A978,'Salary Calculation'!A977:F1974,2,0),"")</f>
        <v/>
      </c>
      <c r="C978" s="105" t="str">
        <f>IFERROR(VLOOKUP(A978,'Salary Calculation'!$A$2:$V$999,3,0),"")</f>
        <v/>
      </c>
      <c r="D978" s="105" t="str">
        <f>IFERROR(VLOOKUP(A978,'Salary Calculation'!$A$2:$V$999,6,0),"")</f>
        <v/>
      </c>
      <c r="E978" s="105" t="str">
        <f>IFERROR(VLOOKUP(A978,'Salary Calculation'!$A$2:$V$999,10,0),"")</f>
        <v/>
      </c>
      <c r="F978" s="101"/>
      <c r="G978" s="106" t="str">
        <f>IFERROR(VLOOKUP(A978,'Salary Calculation'!$A$2:$V$999,7,0),"")</f>
        <v/>
      </c>
      <c r="H978" s="100"/>
      <c r="I978" s="101"/>
      <c r="J978" s="101"/>
      <c r="K978" s="101"/>
      <c r="L978" s="101"/>
      <c r="M978" s="101"/>
      <c r="N978" s="101"/>
      <c r="O978" s="101"/>
      <c r="P978" s="101"/>
      <c r="Q978" s="101"/>
      <c r="R978" s="101"/>
      <c r="S978" s="101"/>
      <c r="T978" s="101"/>
      <c r="U978" s="101"/>
      <c r="V978" s="101"/>
      <c r="W978" s="101"/>
      <c r="X978" s="101"/>
      <c r="Y978" s="101"/>
      <c r="Z978" s="101"/>
      <c r="AA978" s="101"/>
      <c r="AB978" s="101"/>
    </row>
    <row r="979">
      <c r="A979" s="104" t="s">
        <v>1116</v>
      </c>
      <c r="B979" s="105" t="str">
        <f>IFERROR(VLOOKUP(A979,'Salary Calculation'!A978:F1975,2,0),"")</f>
        <v/>
      </c>
      <c r="C979" s="105" t="str">
        <f>IFERROR(VLOOKUP(A979,'Salary Calculation'!$A$2:$V$999,3,0),"")</f>
        <v/>
      </c>
      <c r="D979" s="105" t="str">
        <f>IFERROR(VLOOKUP(A979,'Salary Calculation'!$A$2:$V$999,6,0),"")</f>
        <v/>
      </c>
      <c r="E979" s="105" t="str">
        <f>IFERROR(VLOOKUP(A979,'Salary Calculation'!$A$2:$V$999,10,0),"")</f>
        <v/>
      </c>
      <c r="F979" s="101"/>
      <c r="G979" s="106" t="str">
        <f>IFERROR(VLOOKUP(A979,'Salary Calculation'!$A$2:$V$999,7,0),"")</f>
        <v/>
      </c>
      <c r="H979" s="100"/>
      <c r="I979" s="101"/>
      <c r="J979" s="101"/>
      <c r="K979" s="101"/>
      <c r="L979" s="101"/>
      <c r="M979" s="101"/>
      <c r="N979" s="101"/>
      <c r="O979" s="101"/>
      <c r="P979" s="101"/>
      <c r="Q979" s="101"/>
      <c r="R979" s="101"/>
      <c r="S979" s="101"/>
      <c r="T979" s="101"/>
      <c r="U979" s="101"/>
      <c r="V979" s="101"/>
      <c r="W979" s="101"/>
      <c r="X979" s="101"/>
      <c r="Y979" s="101"/>
      <c r="Z979" s="101"/>
      <c r="AA979" s="101"/>
      <c r="AB979" s="101"/>
    </row>
    <row r="980">
      <c r="A980" s="104" t="s">
        <v>1117</v>
      </c>
      <c r="B980" s="105" t="str">
        <f>IFERROR(VLOOKUP(A980,'Salary Calculation'!A979:F1976,2,0),"")</f>
        <v/>
      </c>
      <c r="C980" s="105" t="str">
        <f>IFERROR(VLOOKUP(A980,'Salary Calculation'!$A$2:$V$999,3,0),"")</f>
        <v/>
      </c>
      <c r="D980" s="105" t="str">
        <f>IFERROR(VLOOKUP(A980,'Salary Calculation'!$A$2:$V$999,6,0),"")</f>
        <v/>
      </c>
      <c r="E980" s="105" t="str">
        <f>IFERROR(VLOOKUP(A980,'Salary Calculation'!$A$2:$V$999,10,0),"")</f>
        <v/>
      </c>
      <c r="F980" s="101"/>
      <c r="G980" s="106" t="str">
        <f>IFERROR(VLOOKUP(A980,'Salary Calculation'!$A$2:$V$999,7,0),"")</f>
        <v/>
      </c>
      <c r="H980" s="100"/>
      <c r="I980" s="101"/>
      <c r="J980" s="101"/>
      <c r="K980" s="101"/>
      <c r="L980" s="101"/>
      <c r="M980" s="101"/>
      <c r="N980" s="101"/>
      <c r="O980" s="101"/>
      <c r="P980" s="101"/>
      <c r="Q980" s="101"/>
      <c r="R980" s="101"/>
      <c r="S980" s="101"/>
      <c r="T980" s="101"/>
      <c r="U980" s="101"/>
      <c r="V980" s="101"/>
      <c r="W980" s="101"/>
      <c r="X980" s="101"/>
      <c r="Y980" s="101"/>
      <c r="Z980" s="101"/>
      <c r="AA980" s="101"/>
      <c r="AB980" s="101"/>
    </row>
    <row r="981">
      <c r="A981" s="104" t="s">
        <v>1118</v>
      </c>
      <c r="B981" s="105" t="str">
        <f>IFERROR(VLOOKUP(A981,'Salary Calculation'!A980:F1977,2,0),"")</f>
        <v/>
      </c>
      <c r="C981" s="105" t="str">
        <f>IFERROR(VLOOKUP(A981,'Salary Calculation'!$A$2:$V$999,3,0),"")</f>
        <v/>
      </c>
      <c r="D981" s="105" t="str">
        <f>IFERROR(VLOOKUP(A981,'Salary Calculation'!$A$2:$V$999,6,0),"")</f>
        <v/>
      </c>
      <c r="E981" s="105" t="str">
        <f>IFERROR(VLOOKUP(A981,'Salary Calculation'!$A$2:$V$999,10,0),"")</f>
        <v/>
      </c>
      <c r="F981" s="101"/>
      <c r="G981" s="106" t="str">
        <f>IFERROR(VLOOKUP(A981,'Salary Calculation'!$A$2:$V$999,7,0),"")</f>
        <v/>
      </c>
      <c r="H981" s="100"/>
      <c r="I981" s="101"/>
      <c r="J981" s="101"/>
      <c r="K981" s="101"/>
      <c r="L981" s="101"/>
      <c r="M981" s="101"/>
      <c r="N981" s="101"/>
      <c r="O981" s="101"/>
      <c r="P981" s="101"/>
      <c r="Q981" s="101"/>
      <c r="R981" s="101"/>
      <c r="S981" s="101"/>
      <c r="T981" s="101"/>
      <c r="U981" s="101"/>
      <c r="V981" s="101"/>
      <c r="W981" s="101"/>
      <c r="X981" s="101"/>
      <c r="Y981" s="101"/>
      <c r="Z981" s="101"/>
      <c r="AA981" s="101"/>
      <c r="AB981" s="101"/>
    </row>
    <row r="982">
      <c r="A982" s="104" t="s">
        <v>1119</v>
      </c>
      <c r="B982" s="105" t="str">
        <f>IFERROR(VLOOKUP(A982,'Salary Calculation'!A981:F1978,2,0),"")</f>
        <v/>
      </c>
      <c r="C982" s="105" t="str">
        <f>IFERROR(VLOOKUP(A982,'Salary Calculation'!$A$2:$V$999,3,0),"")</f>
        <v/>
      </c>
      <c r="D982" s="105" t="str">
        <f>IFERROR(VLOOKUP(A982,'Salary Calculation'!$A$2:$V$999,6,0),"")</f>
        <v/>
      </c>
      <c r="E982" s="105" t="str">
        <f>IFERROR(VLOOKUP(A982,'Salary Calculation'!$A$2:$V$999,10,0),"")</f>
        <v/>
      </c>
      <c r="F982" s="101"/>
      <c r="G982" s="106" t="str">
        <f>IFERROR(VLOOKUP(A982,'Salary Calculation'!$A$2:$V$999,7,0),"")</f>
        <v/>
      </c>
      <c r="H982" s="100"/>
      <c r="I982" s="101"/>
      <c r="J982" s="101"/>
      <c r="K982" s="101"/>
      <c r="L982" s="101"/>
      <c r="M982" s="101"/>
      <c r="N982" s="101"/>
      <c r="O982" s="101"/>
      <c r="P982" s="101"/>
      <c r="Q982" s="101"/>
      <c r="R982" s="101"/>
      <c r="S982" s="101"/>
      <c r="T982" s="101"/>
      <c r="U982" s="101"/>
      <c r="V982" s="101"/>
      <c r="W982" s="101"/>
      <c r="X982" s="101"/>
      <c r="Y982" s="101"/>
      <c r="Z982" s="101"/>
      <c r="AA982" s="101"/>
      <c r="AB982" s="101"/>
    </row>
    <row r="983">
      <c r="A983" s="104" t="s">
        <v>1120</v>
      </c>
      <c r="B983" s="105" t="str">
        <f>IFERROR(VLOOKUP(A983,'Salary Calculation'!A982:F1979,2,0),"")</f>
        <v/>
      </c>
      <c r="C983" s="105" t="str">
        <f>IFERROR(VLOOKUP(A983,'Salary Calculation'!$A$2:$V$999,3,0),"")</f>
        <v/>
      </c>
      <c r="D983" s="105" t="str">
        <f>IFERROR(VLOOKUP(A983,'Salary Calculation'!$A$2:$V$999,6,0),"")</f>
        <v/>
      </c>
      <c r="E983" s="105" t="str">
        <f>IFERROR(VLOOKUP(A983,'Salary Calculation'!$A$2:$V$999,10,0),"")</f>
        <v/>
      </c>
      <c r="F983" s="101"/>
      <c r="G983" s="106" t="str">
        <f>IFERROR(VLOOKUP(A983,'Salary Calculation'!$A$2:$V$999,7,0),"")</f>
        <v/>
      </c>
      <c r="H983" s="100"/>
      <c r="I983" s="101"/>
      <c r="J983" s="101"/>
      <c r="K983" s="101"/>
      <c r="L983" s="101"/>
      <c r="M983" s="101"/>
      <c r="N983" s="101"/>
      <c r="O983" s="101"/>
      <c r="P983" s="101"/>
      <c r="Q983" s="101"/>
      <c r="R983" s="101"/>
      <c r="S983" s="101"/>
      <c r="T983" s="101"/>
      <c r="U983" s="101"/>
      <c r="V983" s="101"/>
      <c r="W983" s="101"/>
      <c r="X983" s="101"/>
      <c r="Y983" s="101"/>
      <c r="Z983" s="101"/>
      <c r="AA983" s="101"/>
      <c r="AB983" s="101"/>
    </row>
    <row r="984">
      <c r="A984" s="104" t="s">
        <v>1121</v>
      </c>
      <c r="B984" s="105" t="str">
        <f>IFERROR(VLOOKUP(A984,'Salary Calculation'!A983:F1980,2,0),"")</f>
        <v/>
      </c>
      <c r="C984" s="105" t="str">
        <f>IFERROR(VLOOKUP(A984,'Salary Calculation'!$A$2:$V$999,3,0),"")</f>
        <v/>
      </c>
      <c r="D984" s="105" t="str">
        <f>IFERROR(VLOOKUP(A984,'Salary Calculation'!$A$2:$V$999,6,0),"")</f>
        <v/>
      </c>
      <c r="E984" s="105" t="str">
        <f>IFERROR(VLOOKUP(A984,'Salary Calculation'!$A$2:$V$999,10,0),"")</f>
        <v/>
      </c>
      <c r="F984" s="101"/>
      <c r="G984" s="106" t="str">
        <f>IFERROR(VLOOKUP(A984,'Salary Calculation'!$A$2:$V$999,7,0),"")</f>
        <v/>
      </c>
      <c r="H984" s="100"/>
      <c r="I984" s="101"/>
      <c r="J984" s="101"/>
      <c r="K984" s="101"/>
      <c r="L984" s="101"/>
      <c r="M984" s="101"/>
      <c r="N984" s="101"/>
      <c r="O984" s="101"/>
      <c r="P984" s="101"/>
      <c r="Q984" s="101"/>
      <c r="R984" s="101"/>
      <c r="S984" s="101"/>
      <c r="T984" s="101"/>
      <c r="U984" s="101"/>
      <c r="V984" s="101"/>
      <c r="W984" s="101"/>
      <c r="X984" s="101"/>
      <c r="Y984" s="101"/>
      <c r="Z984" s="101"/>
      <c r="AA984" s="101"/>
      <c r="AB984" s="101"/>
    </row>
    <row r="985">
      <c r="A985" s="104" t="s">
        <v>1122</v>
      </c>
      <c r="B985" s="105" t="str">
        <f>IFERROR(VLOOKUP(A985,'Salary Calculation'!A984:F1981,2,0),"")</f>
        <v/>
      </c>
      <c r="C985" s="105" t="str">
        <f>IFERROR(VLOOKUP(A985,'Salary Calculation'!$A$2:$V$999,3,0),"")</f>
        <v/>
      </c>
      <c r="D985" s="105" t="str">
        <f>IFERROR(VLOOKUP(A985,'Salary Calculation'!$A$2:$V$999,6,0),"")</f>
        <v/>
      </c>
      <c r="E985" s="105" t="str">
        <f>IFERROR(VLOOKUP(A985,'Salary Calculation'!$A$2:$V$999,10,0),"")</f>
        <v/>
      </c>
      <c r="F985" s="101"/>
      <c r="G985" s="106" t="str">
        <f>IFERROR(VLOOKUP(A985,'Salary Calculation'!$A$2:$V$999,7,0),"")</f>
        <v/>
      </c>
      <c r="H985" s="100"/>
      <c r="I985" s="101"/>
      <c r="J985" s="101"/>
      <c r="K985" s="101"/>
      <c r="L985" s="101"/>
      <c r="M985" s="101"/>
      <c r="N985" s="101"/>
      <c r="O985" s="101"/>
      <c r="P985" s="101"/>
      <c r="Q985" s="101"/>
      <c r="R985" s="101"/>
      <c r="S985" s="101"/>
      <c r="T985" s="101"/>
      <c r="U985" s="101"/>
      <c r="V985" s="101"/>
      <c r="W985" s="101"/>
      <c r="X985" s="101"/>
      <c r="Y985" s="101"/>
      <c r="Z985" s="101"/>
      <c r="AA985" s="101"/>
      <c r="AB985" s="101"/>
    </row>
    <row r="986">
      <c r="A986" s="104" t="s">
        <v>1123</v>
      </c>
      <c r="B986" s="105" t="str">
        <f>IFERROR(VLOOKUP(A986,'Salary Calculation'!A985:F1982,2,0),"")</f>
        <v/>
      </c>
      <c r="C986" s="105" t="str">
        <f>IFERROR(VLOOKUP(A986,'Salary Calculation'!$A$2:$V$999,3,0),"")</f>
        <v/>
      </c>
      <c r="D986" s="105" t="str">
        <f>IFERROR(VLOOKUP(A986,'Salary Calculation'!$A$2:$V$999,6,0),"")</f>
        <v/>
      </c>
      <c r="E986" s="105" t="str">
        <f>IFERROR(VLOOKUP(A986,'Salary Calculation'!$A$2:$V$999,10,0),"")</f>
        <v/>
      </c>
      <c r="F986" s="101"/>
      <c r="G986" s="106" t="str">
        <f>IFERROR(VLOOKUP(A986,'Salary Calculation'!$A$2:$V$999,7,0),"")</f>
        <v/>
      </c>
      <c r="H986" s="100"/>
      <c r="I986" s="101"/>
      <c r="J986" s="101"/>
      <c r="K986" s="101"/>
      <c r="L986" s="101"/>
      <c r="M986" s="101"/>
      <c r="N986" s="101"/>
      <c r="O986" s="101"/>
      <c r="P986" s="101"/>
      <c r="Q986" s="101"/>
      <c r="R986" s="101"/>
      <c r="S986" s="101"/>
      <c r="T986" s="101"/>
      <c r="U986" s="101"/>
      <c r="V986" s="101"/>
      <c r="W986" s="101"/>
      <c r="X986" s="101"/>
      <c r="Y986" s="101"/>
      <c r="Z986" s="101"/>
      <c r="AA986" s="101"/>
      <c r="AB986" s="101"/>
    </row>
    <row r="987">
      <c r="A987" s="104" t="s">
        <v>1124</v>
      </c>
      <c r="B987" s="105" t="str">
        <f>IFERROR(VLOOKUP(A987,'Salary Calculation'!A986:F1983,2,0),"")</f>
        <v/>
      </c>
      <c r="C987" s="105" t="str">
        <f>IFERROR(VLOOKUP(A987,'Salary Calculation'!$A$2:$V$999,3,0),"")</f>
        <v/>
      </c>
      <c r="D987" s="105" t="str">
        <f>IFERROR(VLOOKUP(A987,'Salary Calculation'!$A$2:$V$999,6,0),"")</f>
        <v/>
      </c>
      <c r="E987" s="105" t="str">
        <f>IFERROR(VLOOKUP(A987,'Salary Calculation'!$A$2:$V$999,10,0),"")</f>
        <v/>
      </c>
      <c r="F987" s="101"/>
      <c r="G987" s="106" t="str">
        <f>IFERROR(VLOOKUP(A987,'Salary Calculation'!$A$2:$V$999,7,0),"")</f>
        <v/>
      </c>
      <c r="H987" s="100"/>
      <c r="I987" s="101"/>
      <c r="J987" s="101"/>
      <c r="K987" s="101"/>
      <c r="L987" s="101"/>
      <c r="M987" s="101"/>
      <c r="N987" s="101"/>
      <c r="O987" s="101"/>
      <c r="P987" s="101"/>
      <c r="Q987" s="101"/>
      <c r="R987" s="101"/>
      <c r="S987" s="101"/>
      <c r="T987" s="101"/>
      <c r="U987" s="101"/>
      <c r="V987" s="101"/>
      <c r="W987" s="101"/>
      <c r="X987" s="101"/>
      <c r="Y987" s="101"/>
      <c r="Z987" s="101"/>
      <c r="AA987" s="101"/>
      <c r="AB987" s="101"/>
    </row>
    <row r="988">
      <c r="A988" s="104" t="s">
        <v>1125</v>
      </c>
      <c r="B988" s="105" t="str">
        <f>IFERROR(VLOOKUP(A988,'Salary Calculation'!A987:F1984,2,0),"")</f>
        <v/>
      </c>
      <c r="C988" s="105" t="str">
        <f>IFERROR(VLOOKUP(A988,'Salary Calculation'!$A$2:$V$999,3,0),"")</f>
        <v/>
      </c>
      <c r="D988" s="105" t="str">
        <f>IFERROR(VLOOKUP(A988,'Salary Calculation'!$A$2:$V$999,6,0),"")</f>
        <v/>
      </c>
      <c r="E988" s="105" t="str">
        <f>IFERROR(VLOOKUP(A988,'Salary Calculation'!$A$2:$V$999,10,0),"")</f>
        <v/>
      </c>
      <c r="F988" s="101"/>
      <c r="G988" s="106" t="str">
        <f>IFERROR(VLOOKUP(A988,'Salary Calculation'!$A$2:$V$999,7,0),"")</f>
        <v/>
      </c>
      <c r="H988" s="100"/>
      <c r="I988" s="101"/>
      <c r="J988" s="101"/>
      <c r="K988" s="101"/>
      <c r="L988" s="101"/>
      <c r="M988" s="101"/>
      <c r="N988" s="101"/>
      <c r="O988" s="101"/>
      <c r="P988" s="101"/>
      <c r="Q988" s="101"/>
      <c r="R988" s="101"/>
      <c r="S988" s="101"/>
      <c r="T988" s="101"/>
      <c r="U988" s="101"/>
      <c r="V988" s="101"/>
      <c r="W988" s="101"/>
      <c r="X988" s="101"/>
      <c r="Y988" s="101"/>
      <c r="Z988" s="101"/>
      <c r="AA988" s="101"/>
      <c r="AB988" s="101"/>
    </row>
    <row r="989">
      <c r="A989" s="104" t="s">
        <v>1126</v>
      </c>
      <c r="B989" s="105" t="str">
        <f>IFERROR(VLOOKUP(A989,'Salary Calculation'!A988:F1985,2,0),"")</f>
        <v/>
      </c>
      <c r="C989" s="105" t="str">
        <f>IFERROR(VLOOKUP(A989,'Salary Calculation'!$A$2:$V$999,3,0),"")</f>
        <v/>
      </c>
      <c r="D989" s="105" t="str">
        <f>IFERROR(VLOOKUP(A989,'Salary Calculation'!$A$2:$V$999,6,0),"")</f>
        <v/>
      </c>
      <c r="E989" s="105" t="str">
        <f>IFERROR(VLOOKUP(A989,'Salary Calculation'!$A$2:$V$999,10,0),"")</f>
        <v/>
      </c>
      <c r="F989" s="101"/>
      <c r="G989" s="106" t="str">
        <f>IFERROR(VLOOKUP(A989,'Salary Calculation'!$A$2:$V$999,7,0),"")</f>
        <v/>
      </c>
      <c r="H989" s="100"/>
      <c r="I989" s="101"/>
      <c r="J989" s="101"/>
      <c r="K989" s="101"/>
      <c r="L989" s="101"/>
      <c r="M989" s="101"/>
      <c r="N989" s="101"/>
      <c r="O989" s="101"/>
      <c r="P989" s="101"/>
      <c r="Q989" s="101"/>
      <c r="R989" s="101"/>
      <c r="S989" s="101"/>
      <c r="T989" s="101"/>
      <c r="U989" s="101"/>
      <c r="V989" s="101"/>
      <c r="W989" s="101"/>
      <c r="X989" s="101"/>
      <c r="Y989" s="101"/>
      <c r="Z989" s="101"/>
      <c r="AA989" s="101"/>
      <c r="AB989" s="101"/>
    </row>
    <row r="990">
      <c r="A990" s="104" t="s">
        <v>1127</v>
      </c>
      <c r="B990" s="105" t="str">
        <f>IFERROR(VLOOKUP(A990,'Salary Calculation'!A989:F1986,2,0),"")</f>
        <v/>
      </c>
      <c r="C990" s="105" t="str">
        <f>IFERROR(VLOOKUP(A990,'Salary Calculation'!$A$2:$V$999,3,0),"")</f>
        <v/>
      </c>
      <c r="D990" s="105" t="str">
        <f>IFERROR(VLOOKUP(A990,'Salary Calculation'!$A$2:$V$999,6,0),"")</f>
        <v/>
      </c>
      <c r="E990" s="105" t="str">
        <f>IFERROR(VLOOKUP(A990,'Salary Calculation'!$A$2:$V$999,10,0),"")</f>
        <v/>
      </c>
      <c r="F990" s="101"/>
      <c r="G990" s="106" t="str">
        <f>IFERROR(VLOOKUP(A990,'Salary Calculation'!$A$2:$V$999,7,0),"")</f>
        <v/>
      </c>
      <c r="H990" s="100"/>
      <c r="I990" s="101"/>
      <c r="J990" s="101"/>
      <c r="K990" s="101"/>
      <c r="L990" s="101"/>
      <c r="M990" s="101"/>
      <c r="N990" s="101"/>
      <c r="O990" s="101"/>
      <c r="P990" s="101"/>
      <c r="Q990" s="101"/>
      <c r="R990" s="101"/>
      <c r="S990" s="101"/>
      <c r="T990" s="101"/>
      <c r="U990" s="101"/>
      <c r="V990" s="101"/>
      <c r="W990" s="101"/>
      <c r="X990" s="101"/>
      <c r="Y990" s="101"/>
      <c r="Z990" s="101"/>
      <c r="AA990" s="101"/>
      <c r="AB990" s="101"/>
    </row>
    <row r="991">
      <c r="A991" s="104" t="s">
        <v>1128</v>
      </c>
      <c r="B991" s="105" t="str">
        <f>IFERROR(VLOOKUP(A991,'Salary Calculation'!A990:F1987,2,0),"")</f>
        <v/>
      </c>
      <c r="C991" s="105" t="str">
        <f>IFERROR(VLOOKUP(A991,'Salary Calculation'!$A$2:$V$999,3,0),"")</f>
        <v/>
      </c>
      <c r="D991" s="105" t="str">
        <f>IFERROR(VLOOKUP(A991,'Salary Calculation'!$A$2:$V$999,6,0),"")</f>
        <v/>
      </c>
      <c r="E991" s="105" t="str">
        <f>IFERROR(VLOOKUP(A991,'Salary Calculation'!$A$2:$V$999,10,0),"")</f>
        <v/>
      </c>
      <c r="F991" s="101"/>
      <c r="G991" s="106" t="str">
        <f>IFERROR(VLOOKUP(A991,'Salary Calculation'!$A$2:$V$999,7,0),"")</f>
        <v/>
      </c>
      <c r="H991" s="100"/>
      <c r="I991" s="101"/>
      <c r="J991" s="101"/>
      <c r="K991" s="101"/>
      <c r="L991" s="101"/>
      <c r="M991" s="101"/>
      <c r="N991" s="101"/>
      <c r="O991" s="101"/>
      <c r="P991" s="101"/>
      <c r="Q991" s="101"/>
      <c r="R991" s="101"/>
      <c r="S991" s="101"/>
      <c r="T991" s="101"/>
      <c r="U991" s="101"/>
      <c r="V991" s="101"/>
      <c r="W991" s="101"/>
      <c r="X991" s="101"/>
      <c r="Y991" s="101"/>
      <c r="Z991" s="101"/>
      <c r="AA991" s="101"/>
      <c r="AB991" s="101"/>
    </row>
    <row r="992">
      <c r="A992" s="104" t="s">
        <v>1129</v>
      </c>
      <c r="B992" s="105" t="str">
        <f>IFERROR(VLOOKUP(A992,'Salary Calculation'!A991:F1988,2,0),"")</f>
        <v/>
      </c>
      <c r="C992" s="105" t="str">
        <f>IFERROR(VLOOKUP(A992,'Salary Calculation'!$A$2:$V$999,3,0),"")</f>
        <v/>
      </c>
      <c r="D992" s="105" t="str">
        <f>IFERROR(VLOOKUP(A992,'Salary Calculation'!$A$2:$V$999,6,0),"")</f>
        <v/>
      </c>
      <c r="E992" s="105" t="str">
        <f>IFERROR(VLOOKUP(A992,'Salary Calculation'!$A$2:$V$999,10,0),"")</f>
        <v/>
      </c>
      <c r="F992" s="101"/>
      <c r="G992" s="106" t="str">
        <f>IFERROR(VLOOKUP(A992,'Salary Calculation'!$A$2:$V$999,7,0),"")</f>
        <v/>
      </c>
      <c r="H992" s="100"/>
      <c r="I992" s="101"/>
      <c r="J992" s="101"/>
      <c r="K992" s="101"/>
      <c r="L992" s="101"/>
      <c r="M992" s="101"/>
      <c r="N992" s="101"/>
      <c r="O992" s="101"/>
      <c r="P992" s="101"/>
      <c r="Q992" s="101"/>
      <c r="R992" s="101"/>
      <c r="S992" s="101"/>
      <c r="T992" s="101"/>
      <c r="U992" s="101"/>
      <c r="V992" s="101"/>
      <c r="W992" s="101"/>
      <c r="X992" s="101"/>
      <c r="Y992" s="101"/>
      <c r="Z992" s="101"/>
      <c r="AA992" s="101"/>
      <c r="AB992" s="101"/>
    </row>
    <row r="993">
      <c r="A993" s="104" t="s">
        <v>1130</v>
      </c>
      <c r="B993" s="105" t="str">
        <f>IFERROR(VLOOKUP(A993,'Salary Calculation'!A992:F1989,2,0),"")</f>
        <v/>
      </c>
      <c r="C993" s="105" t="str">
        <f>IFERROR(VLOOKUP(A993,'Salary Calculation'!$A$2:$V$999,3,0),"")</f>
        <v/>
      </c>
      <c r="D993" s="105" t="str">
        <f>IFERROR(VLOOKUP(A993,'Salary Calculation'!$A$2:$V$999,6,0),"")</f>
        <v/>
      </c>
      <c r="E993" s="105" t="str">
        <f>IFERROR(VLOOKUP(A993,'Salary Calculation'!$A$2:$V$999,10,0),"")</f>
        <v/>
      </c>
      <c r="F993" s="101"/>
      <c r="G993" s="106" t="str">
        <f>IFERROR(VLOOKUP(A993,'Salary Calculation'!$A$2:$V$999,7,0),"")</f>
        <v/>
      </c>
      <c r="H993" s="100"/>
      <c r="I993" s="101"/>
      <c r="J993" s="101"/>
      <c r="K993" s="101"/>
      <c r="L993" s="101"/>
      <c r="M993" s="101"/>
      <c r="N993" s="101"/>
      <c r="O993" s="101"/>
      <c r="P993" s="101"/>
      <c r="Q993" s="101"/>
      <c r="R993" s="101"/>
      <c r="S993" s="101"/>
      <c r="T993" s="101"/>
      <c r="U993" s="101"/>
      <c r="V993" s="101"/>
      <c r="W993" s="101"/>
      <c r="X993" s="101"/>
      <c r="Y993" s="101"/>
      <c r="Z993" s="101"/>
      <c r="AA993" s="101"/>
      <c r="AB993" s="101"/>
    </row>
    <row r="994">
      <c r="A994" s="104" t="s">
        <v>1131</v>
      </c>
      <c r="B994" s="105" t="str">
        <f>IFERROR(VLOOKUP(A994,'Salary Calculation'!A993:F1990,2,0),"")</f>
        <v/>
      </c>
      <c r="C994" s="105" t="str">
        <f>IFERROR(VLOOKUP(A994,'Salary Calculation'!$A$2:$V$999,3,0),"")</f>
        <v/>
      </c>
      <c r="D994" s="105" t="str">
        <f>IFERROR(VLOOKUP(A994,'Salary Calculation'!$A$2:$V$999,6,0),"")</f>
        <v/>
      </c>
      <c r="E994" s="105" t="str">
        <f>IFERROR(VLOOKUP(A994,'Salary Calculation'!$A$2:$V$999,10,0),"")</f>
        <v/>
      </c>
      <c r="F994" s="101"/>
      <c r="G994" s="106" t="str">
        <f>IFERROR(VLOOKUP(A994,'Salary Calculation'!$A$2:$V$999,7,0),"")</f>
        <v/>
      </c>
      <c r="H994" s="100"/>
      <c r="I994" s="101"/>
      <c r="J994" s="101"/>
      <c r="K994" s="101"/>
      <c r="L994" s="101"/>
      <c r="M994" s="101"/>
      <c r="N994" s="101"/>
      <c r="O994" s="101"/>
      <c r="P994" s="101"/>
      <c r="Q994" s="101"/>
      <c r="R994" s="101"/>
      <c r="S994" s="101"/>
      <c r="T994" s="101"/>
      <c r="U994" s="101"/>
      <c r="V994" s="101"/>
      <c r="W994" s="101"/>
      <c r="X994" s="101"/>
      <c r="Y994" s="101"/>
      <c r="Z994" s="101"/>
      <c r="AA994" s="101"/>
      <c r="AB994" s="101"/>
    </row>
    <row r="995">
      <c r="A995" s="104" t="s">
        <v>1132</v>
      </c>
      <c r="B995" s="105" t="str">
        <f>IFERROR(VLOOKUP(A995,'Salary Calculation'!A994:F1991,2,0),"")</f>
        <v/>
      </c>
      <c r="C995" s="105" t="str">
        <f>IFERROR(VLOOKUP(A995,'Salary Calculation'!$A$2:$V$999,3,0),"")</f>
        <v/>
      </c>
      <c r="D995" s="105" t="str">
        <f>IFERROR(VLOOKUP(A995,'Salary Calculation'!$A$2:$V$999,6,0),"")</f>
        <v/>
      </c>
      <c r="E995" s="105" t="str">
        <f>IFERROR(VLOOKUP(A995,'Salary Calculation'!$A$2:$V$999,10,0),"")</f>
        <v/>
      </c>
      <c r="F995" s="101"/>
      <c r="G995" s="106" t="str">
        <f>IFERROR(VLOOKUP(A995,'Salary Calculation'!$A$2:$V$999,7,0),"")</f>
        <v/>
      </c>
      <c r="H995" s="100"/>
      <c r="I995" s="101"/>
      <c r="J995" s="101"/>
      <c r="K995" s="101"/>
      <c r="L995" s="101"/>
      <c r="M995" s="101"/>
      <c r="N995" s="101"/>
      <c r="O995" s="101"/>
      <c r="P995" s="101"/>
      <c r="Q995" s="101"/>
      <c r="R995" s="101"/>
      <c r="S995" s="101"/>
      <c r="T995" s="101"/>
      <c r="U995" s="101"/>
      <c r="V995" s="101"/>
      <c r="W995" s="101"/>
      <c r="X995" s="101"/>
      <c r="Y995" s="101"/>
      <c r="Z995" s="101"/>
      <c r="AA995" s="101"/>
      <c r="AB995" s="101"/>
    </row>
    <row r="996">
      <c r="A996" s="104" t="s">
        <v>1133</v>
      </c>
      <c r="B996" s="105" t="str">
        <f>IFERROR(VLOOKUP(A996,'Salary Calculation'!A995:F1992,2,0),"")</f>
        <v/>
      </c>
      <c r="C996" s="105" t="str">
        <f>IFERROR(VLOOKUP(A996,'Salary Calculation'!$A$2:$V$999,3,0),"")</f>
        <v/>
      </c>
      <c r="D996" s="105" t="str">
        <f>IFERROR(VLOOKUP(A996,'Salary Calculation'!$A$2:$V$999,6,0),"")</f>
        <v/>
      </c>
      <c r="E996" s="105" t="str">
        <f>IFERROR(VLOOKUP(A996,'Salary Calculation'!$A$2:$V$999,10,0),"")</f>
        <v/>
      </c>
      <c r="F996" s="101"/>
      <c r="G996" s="106" t="str">
        <f>IFERROR(VLOOKUP(A996,'Salary Calculation'!$A$2:$V$999,7,0),"")</f>
        <v/>
      </c>
      <c r="H996" s="100"/>
      <c r="I996" s="101"/>
      <c r="J996" s="101"/>
      <c r="K996" s="101"/>
      <c r="L996" s="101"/>
      <c r="M996" s="101"/>
      <c r="N996" s="101"/>
      <c r="O996" s="101"/>
      <c r="P996" s="101"/>
      <c r="Q996" s="101"/>
      <c r="R996" s="101"/>
      <c r="S996" s="101"/>
      <c r="T996" s="101"/>
      <c r="U996" s="101"/>
      <c r="V996" s="101"/>
      <c r="W996" s="101"/>
      <c r="X996" s="101"/>
      <c r="Y996" s="101"/>
      <c r="Z996" s="101"/>
      <c r="AA996" s="101"/>
      <c r="AB996" s="101"/>
    </row>
    <row r="997">
      <c r="A997" s="104" t="s">
        <v>1134</v>
      </c>
      <c r="B997" s="105" t="str">
        <f>IFERROR(VLOOKUP(A997,'Salary Calculation'!A996:F1993,2,0),"")</f>
        <v/>
      </c>
      <c r="C997" s="105" t="str">
        <f>IFERROR(VLOOKUP(A997,'Salary Calculation'!$A$2:$V$999,3,0),"")</f>
        <v/>
      </c>
      <c r="D997" s="105" t="str">
        <f>IFERROR(VLOOKUP(A997,'Salary Calculation'!$A$2:$V$999,6,0),"")</f>
        <v/>
      </c>
      <c r="E997" s="105" t="str">
        <f>IFERROR(VLOOKUP(A997,'Salary Calculation'!$A$2:$V$999,10,0),"")</f>
        <v/>
      </c>
      <c r="F997" s="101"/>
      <c r="G997" s="106" t="str">
        <f>IFERROR(VLOOKUP(A997,'Salary Calculation'!$A$2:$V$999,7,0),"")</f>
        <v/>
      </c>
      <c r="H997" s="100"/>
      <c r="I997" s="101"/>
      <c r="J997" s="101"/>
      <c r="K997" s="101"/>
      <c r="L997" s="101"/>
      <c r="M997" s="101"/>
      <c r="N997" s="101"/>
      <c r="O997" s="101"/>
      <c r="P997" s="101"/>
      <c r="Q997" s="101"/>
      <c r="R997" s="101"/>
      <c r="S997" s="101"/>
      <c r="T997" s="101"/>
      <c r="U997" s="101"/>
      <c r="V997" s="101"/>
      <c r="W997" s="101"/>
      <c r="X997" s="101"/>
      <c r="Y997" s="101"/>
      <c r="Z997" s="101"/>
      <c r="AA997" s="101"/>
      <c r="AB997" s="101"/>
    </row>
    <row r="998">
      <c r="A998" s="104" t="s">
        <v>1135</v>
      </c>
      <c r="B998" s="105" t="str">
        <f>IFERROR(VLOOKUP(A998,'Salary Calculation'!A997:F1994,2,0),"")</f>
        <v/>
      </c>
      <c r="C998" s="105" t="str">
        <f>IFERROR(VLOOKUP(A998,'Salary Calculation'!$A$2:$V$999,3,0),"")</f>
        <v/>
      </c>
      <c r="D998" s="105" t="str">
        <f>IFERROR(VLOOKUP(A998,'Salary Calculation'!$A$2:$V$999,6,0),"")</f>
        <v/>
      </c>
      <c r="E998" s="105" t="str">
        <f>IFERROR(VLOOKUP(A998,'Salary Calculation'!$A$2:$V$999,10,0),"")</f>
        <v/>
      </c>
      <c r="F998" s="101"/>
      <c r="G998" s="106" t="str">
        <f>IFERROR(VLOOKUP(A998,'Salary Calculation'!$A$2:$V$999,7,0),"")</f>
        <v/>
      </c>
      <c r="H998" s="100"/>
      <c r="I998" s="101"/>
      <c r="J998" s="101"/>
      <c r="K998" s="101"/>
      <c r="L998" s="101"/>
      <c r="M998" s="101"/>
      <c r="N998" s="101"/>
      <c r="O998" s="101"/>
      <c r="P998" s="101"/>
      <c r="Q998" s="101"/>
      <c r="R998" s="101"/>
      <c r="S998" s="101"/>
      <c r="T998" s="101"/>
      <c r="U998" s="101"/>
      <c r="V998" s="101"/>
      <c r="W998" s="101"/>
      <c r="X998" s="101"/>
      <c r="Y998" s="101"/>
      <c r="Z998" s="101"/>
      <c r="AA998" s="101"/>
      <c r="AB998" s="101"/>
    </row>
    <row r="999">
      <c r="A999" s="104" t="s">
        <v>1136</v>
      </c>
      <c r="B999" s="105" t="str">
        <f>IFERROR(VLOOKUP(A999,'Salary Calculation'!A998:F1995,2,0),"")</f>
        <v/>
      </c>
      <c r="C999" s="105" t="str">
        <f>IFERROR(VLOOKUP(A999,'Salary Calculation'!$A$2:$V$999,3,0),"")</f>
        <v/>
      </c>
      <c r="D999" s="105" t="str">
        <f>IFERROR(VLOOKUP(A999,'Salary Calculation'!$A$2:$V$999,6,0),"")</f>
        <v/>
      </c>
      <c r="E999" s="105" t="str">
        <f>IFERROR(VLOOKUP(A999,'Salary Calculation'!$A$2:$V$999,10,0),"")</f>
        <v/>
      </c>
      <c r="F999" s="101"/>
      <c r="G999" s="106" t="str">
        <f>IFERROR(VLOOKUP(A999,'Salary Calculation'!$A$2:$V$999,7,0),"")</f>
        <v/>
      </c>
      <c r="H999" s="100"/>
      <c r="I999" s="101"/>
      <c r="J999" s="101"/>
      <c r="K999" s="101"/>
      <c r="L999" s="101"/>
      <c r="M999" s="101"/>
      <c r="N999" s="101"/>
      <c r="O999" s="101"/>
      <c r="P999" s="101"/>
      <c r="Q999" s="101"/>
      <c r="R999" s="101"/>
      <c r="S999" s="101"/>
      <c r="T999" s="101"/>
      <c r="U999" s="101"/>
      <c r="V999" s="101"/>
      <c r="W999" s="101"/>
      <c r="X999" s="101"/>
      <c r="Y999" s="101"/>
      <c r="Z999" s="101"/>
      <c r="AA999" s="101"/>
      <c r="AB999" s="101"/>
    </row>
    <row r="1000">
      <c r="A1000" s="104" t="s">
        <v>1137</v>
      </c>
      <c r="B1000" s="105" t="str">
        <f>IFERROR(VLOOKUP(A1000,'Salary Calculation'!A999:F1996,2,0),"")</f>
        <v/>
      </c>
      <c r="C1000" s="105" t="str">
        <f>IFERROR(VLOOKUP(A1000,'Salary Calculation'!$A$2:$V$999,3,0),"")</f>
        <v/>
      </c>
      <c r="D1000" s="105" t="str">
        <f>IFERROR(VLOOKUP(A1000,'Salary Calculation'!$A$2:$V$999,6,0),"")</f>
        <v/>
      </c>
      <c r="E1000" s="105" t="str">
        <f>IFERROR(VLOOKUP(A1000,'Salary Calculation'!$A$2:$V$999,10,0),"")</f>
        <v/>
      </c>
      <c r="F1000" s="101"/>
      <c r="G1000" s="106" t="str">
        <f>IFERROR(VLOOKUP(A1000,'Salary Calculation'!$A$2:$V$999,7,0),"")</f>
        <v/>
      </c>
      <c r="H1000" s="100"/>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row>
  </sheetData>
  <autoFilter ref="$A$2:$G$1000"/>
  <dataValidations>
    <dataValidation type="list" allowBlank="1" showErrorMessage="1" sqref="F3:F1000">
      <formula1>"CUB,DBS,Other Bank,IOB"</formula1>
    </dataValidation>
    <dataValidation type="list" allowBlank="1" showErrorMessage="1" sqref="H100:H1000">
      <formula1>"In Process,On Hold,Paid,Rejected"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4" max="4" width="15.75"/>
    <col customWidth="1" min="5" max="5" width="19.38"/>
    <col customWidth="1" min="6" max="6" width="18.0"/>
  </cols>
  <sheetData>
    <row r="1">
      <c r="A1" s="112"/>
      <c r="B1" s="112"/>
      <c r="C1" s="113" t="s">
        <v>272</v>
      </c>
      <c r="D1" s="114"/>
      <c r="E1" s="115"/>
      <c r="F1" s="112"/>
      <c r="G1" s="112"/>
      <c r="H1" s="112"/>
      <c r="I1" s="112"/>
      <c r="J1" s="112"/>
      <c r="K1" s="112"/>
      <c r="L1" s="112"/>
      <c r="M1" s="112"/>
      <c r="N1" s="112"/>
      <c r="O1" s="112"/>
      <c r="P1" s="112"/>
      <c r="Q1" s="112"/>
      <c r="R1" s="112"/>
      <c r="S1" s="112"/>
      <c r="T1" s="112"/>
      <c r="U1" s="112"/>
      <c r="V1" s="112"/>
      <c r="W1" s="112"/>
      <c r="X1" s="112"/>
      <c r="Y1" s="112"/>
      <c r="Z1" s="112"/>
    </row>
    <row r="2">
      <c r="A2" s="116"/>
      <c r="B2" s="116"/>
      <c r="C2" s="117"/>
      <c r="E2" s="118"/>
      <c r="F2" s="112"/>
      <c r="G2" s="112"/>
      <c r="H2" s="112"/>
      <c r="I2" s="112"/>
      <c r="J2" s="112"/>
      <c r="K2" s="112"/>
      <c r="L2" s="112"/>
      <c r="M2" s="112"/>
      <c r="N2" s="112"/>
      <c r="O2" s="112"/>
      <c r="P2" s="112"/>
      <c r="Q2" s="112"/>
      <c r="R2" s="112"/>
      <c r="S2" s="112"/>
      <c r="T2" s="112"/>
      <c r="U2" s="112"/>
      <c r="V2" s="112"/>
      <c r="W2" s="112"/>
      <c r="X2" s="112"/>
      <c r="Y2" s="112"/>
      <c r="Z2" s="112"/>
    </row>
    <row r="3">
      <c r="A3" s="119"/>
      <c r="B3" s="119"/>
      <c r="C3" s="117"/>
      <c r="E3" s="118"/>
      <c r="F3" s="112"/>
      <c r="G3" s="112"/>
      <c r="H3" s="112"/>
      <c r="I3" s="112"/>
      <c r="J3" s="112"/>
      <c r="K3" s="112"/>
      <c r="L3" s="112"/>
      <c r="M3" s="112"/>
      <c r="N3" s="112"/>
      <c r="O3" s="112"/>
      <c r="P3" s="112"/>
      <c r="Q3" s="112"/>
      <c r="R3" s="112"/>
      <c r="S3" s="112"/>
      <c r="T3" s="112"/>
      <c r="U3" s="112"/>
      <c r="V3" s="112"/>
      <c r="W3" s="112"/>
      <c r="X3" s="112"/>
      <c r="Y3" s="112"/>
      <c r="Z3" s="112"/>
    </row>
    <row r="4">
      <c r="A4" s="112"/>
      <c r="B4" s="112"/>
      <c r="C4" s="120"/>
      <c r="D4" s="121"/>
      <c r="E4" s="122"/>
      <c r="F4" s="123"/>
      <c r="G4" s="123"/>
      <c r="H4" s="123"/>
      <c r="I4" s="112"/>
      <c r="J4" s="112"/>
      <c r="K4" s="112"/>
      <c r="L4" s="112"/>
      <c r="M4" s="112"/>
      <c r="N4" s="112"/>
      <c r="O4" s="112"/>
      <c r="P4" s="112"/>
      <c r="Q4" s="112"/>
      <c r="R4" s="112"/>
      <c r="S4" s="112"/>
      <c r="T4" s="112"/>
      <c r="U4" s="112"/>
      <c r="V4" s="112"/>
      <c r="W4" s="112"/>
      <c r="X4" s="112"/>
      <c r="Y4" s="112"/>
      <c r="Z4" s="112"/>
    </row>
    <row r="5">
      <c r="A5" s="124"/>
      <c r="B5" s="115"/>
      <c r="C5" s="125" t="s">
        <v>1144</v>
      </c>
      <c r="D5" s="114"/>
      <c r="E5" s="114"/>
      <c r="F5" s="114"/>
      <c r="G5" s="114"/>
      <c r="H5" s="115"/>
      <c r="I5" s="112"/>
      <c r="J5" s="112"/>
      <c r="K5" s="112"/>
      <c r="L5" s="112"/>
      <c r="M5" s="112"/>
      <c r="N5" s="112"/>
      <c r="O5" s="112"/>
      <c r="P5" s="112"/>
      <c r="Q5" s="112"/>
      <c r="R5" s="112"/>
      <c r="S5" s="112"/>
      <c r="T5" s="112"/>
      <c r="U5" s="112"/>
      <c r="V5" s="112"/>
      <c r="W5" s="112"/>
      <c r="X5" s="112"/>
      <c r="Y5" s="112"/>
      <c r="Z5" s="112"/>
    </row>
    <row r="6">
      <c r="A6" s="117"/>
      <c r="B6" s="118"/>
      <c r="C6" s="117"/>
      <c r="H6" s="118"/>
      <c r="I6" s="112"/>
      <c r="J6" s="112"/>
      <c r="K6" s="112"/>
      <c r="L6" s="112"/>
      <c r="M6" s="112"/>
      <c r="N6" s="112"/>
      <c r="O6" s="112"/>
      <c r="P6" s="112"/>
      <c r="Q6" s="112"/>
      <c r="R6" s="112"/>
      <c r="S6" s="112"/>
      <c r="T6" s="112"/>
      <c r="U6" s="112"/>
      <c r="V6" s="112"/>
      <c r="W6" s="112"/>
      <c r="X6" s="112"/>
      <c r="Y6" s="112"/>
      <c r="Z6" s="112"/>
    </row>
    <row r="7">
      <c r="A7" s="117"/>
      <c r="B7" s="118"/>
      <c r="C7" s="117"/>
      <c r="H7" s="118"/>
      <c r="I7" s="112"/>
      <c r="J7" s="112"/>
      <c r="K7" s="112"/>
      <c r="L7" s="112"/>
      <c r="M7" s="112"/>
      <c r="N7" s="112"/>
      <c r="O7" s="112"/>
      <c r="P7" s="112"/>
      <c r="Q7" s="112"/>
      <c r="R7" s="112"/>
      <c r="S7" s="112"/>
      <c r="T7" s="112"/>
      <c r="U7" s="112"/>
      <c r="V7" s="112"/>
      <c r="W7" s="112"/>
      <c r="X7" s="112"/>
      <c r="Y7" s="112"/>
      <c r="Z7" s="112"/>
    </row>
    <row r="8">
      <c r="A8" s="120"/>
      <c r="B8" s="122"/>
      <c r="C8" s="120"/>
      <c r="D8" s="121"/>
      <c r="E8" s="121"/>
      <c r="F8" s="121"/>
      <c r="G8" s="121"/>
      <c r="H8" s="122"/>
      <c r="I8" s="112"/>
      <c r="J8" s="112"/>
      <c r="K8" s="112"/>
      <c r="L8" s="112"/>
      <c r="M8" s="112"/>
      <c r="N8" s="112"/>
      <c r="O8" s="112"/>
      <c r="P8" s="112"/>
      <c r="Q8" s="112"/>
      <c r="R8" s="112"/>
      <c r="S8" s="112"/>
      <c r="T8" s="112"/>
      <c r="U8" s="112"/>
      <c r="V8" s="112"/>
      <c r="W8" s="112"/>
      <c r="X8" s="112"/>
      <c r="Y8" s="112"/>
      <c r="Z8" s="112"/>
    </row>
    <row r="9">
      <c r="A9" s="126" t="s">
        <v>1145</v>
      </c>
      <c r="B9" s="53"/>
      <c r="C9" s="53"/>
      <c r="D9" s="33"/>
      <c r="E9" s="127" t="str">
        <f>IFERROR(VLOOKUP($C$1,'Salary Calculation'!A2:C999,2,0),"")</f>
        <v>March</v>
      </c>
      <c r="F9" s="127">
        <v>2025.0</v>
      </c>
      <c r="G9" s="128">
        <f>IFERROR(VLOOKUP(C1,'Salary Calculation'!A2:P999,14,0),"")</f>
        <v>31</v>
      </c>
      <c r="H9" s="128" t="s">
        <v>1146</v>
      </c>
      <c r="K9" s="105"/>
      <c r="L9" s="105"/>
      <c r="M9" s="105"/>
      <c r="N9" s="112"/>
      <c r="O9" s="112"/>
      <c r="P9" s="112"/>
      <c r="Q9" s="112"/>
      <c r="R9" s="112"/>
      <c r="S9" s="112"/>
      <c r="T9" s="112"/>
      <c r="U9" s="112"/>
      <c r="V9" s="112"/>
      <c r="W9" s="112"/>
      <c r="X9" s="112"/>
      <c r="Y9" s="112"/>
      <c r="Z9" s="112"/>
    </row>
    <row r="10">
      <c r="A10" s="129" t="s">
        <v>1147</v>
      </c>
      <c r="B10" s="33"/>
      <c r="C10" s="130" t="str">
        <f>IFERROR(VLOOKUP($C$1,'Salary Calculation'!A2:F999,6,0),"")</f>
        <v>AMMU</v>
      </c>
      <c r="D10" s="33"/>
      <c r="E10" s="129" t="s">
        <v>1148</v>
      </c>
      <c r="F10" s="33"/>
      <c r="G10" s="131">
        <f>IFERROR(VLOOKUP($C$1,'Salary Calculation'!A2:O999,15,0),"")</f>
        <v>31</v>
      </c>
      <c r="H10" s="33"/>
      <c r="K10" s="105"/>
      <c r="L10" s="105"/>
      <c r="M10" s="105"/>
      <c r="N10" s="112"/>
      <c r="O10" s="112"/>
      <c r="P10" s="112"/>
      <c r="Q10" s="112"/>
      <c r="R10" s="112"/>
      <c r="S10" s="112"/>
      <c r="T10" s="112"/>
      <c r="U10" s="112"/>
      <c r="V10" s="112"/>
      <c r="W10" s="112"/>
      <c r="X10" s="112"/>
      <c r="Y10" s="112"/>
      <c r="Z10" s="112"/>
    </row>
    <row r="11">
      <c r="A11" s="129" t="s">
        <v>1</v>
      </c>
      <c r="B11" s="33"/>
      <c r="C11" s="130" t="str">
        <f>IFERROR(VLOOKUP(C1,'Salary Calculation'!A2:C1001,3,0),"")</f>
        <v>PR 07</v>
      </c>
      <c r="D11" s="33"/>
      <c r="E11" s="129" t="s">
        <v>1149</v>
      </c>
      <c r="F11" s="33"/>
      <c r="G11" s="130">
        <f>G9-G10</f>
        <v>0</v>
      </c>
      <c r="H11" s="33"/>
      <c r="K11" s="105"/>
      <c r="L11" s="105"/>
      <c r="M11" s="105"/>
      <c r="N11" s="112"/>
      <c r="O11" s="112"/>
      <c r="P11" s="112"/>
      <c r="Q11" s="112"/>
      <c r="R11" s="112"/>
      <c r="S11" s="112"/>
      <c r="T11" s="112"/>
      <c r="U11" s="112"/>
      <c r="V11" s="112"/>
      <c r="W11" s="112"/>
      <c r="X11" s="112"/>
      <c r="Y11" s="112"/>
      <c r="Z11" s="112"/>
    </row>
    <row r="12">
      <c r="A12" s="132" t="s">
        <v>1150</v>
      </c>
      <c r="B12" s="115"/>
      <c r="C12" s="132" t="s">
        <v>1151</v>
      </c>
      <c r="D12" s="115"/>
      <c r="E12" s="132" t="s">
        <v>1152</v>
      </c>
      <c r="F12" s="115"/>
      <c r="G12" s="132" t="s">
        <v>1151</v>
      </c>
      <c r="H12" s="115"/>
      <c r="K12" s="105"/>
      <c r="L12" s="105"/>
      <c r="M12" s="105"/>
      <c r="N12" s="112"/>
      <c r="O12" s="112"/>
      <c r="P12" s="112"/>
      <c r="Q12" s="112"/>
      <c r="R12" s="112"/>
      <c r="S12" s="112"/>
      <c r="T12" s="112"/>
      <c r="U12" s="112"/>
      <c r="V12" s="112"/>
      <c r="W12" s="112"/>
      <c r="X12" s="112"/>
      <c r="Y12" s="112"/>
      <c r="Z12" s="112"/>
    </row>
    <row r="13">
      <c r="A13" s="120"/>
      <c r="B13" s="122"/>
      <c r="C13" s="120"/>
      <c r="D13" s="122"/>
      <c r="E13" s="120"/>
      <c r="F13" s="122"/>
      <c r="G13" s="120"/>
      <c r="H13" s="122"/>
      <c r="K13" s="112"/>
      <c r="L13" s="112"/>
      <c r="M13" s="112"/>
      <c r="N13" s="112"/>
      <c r="O13" s="112"/>
      <c r="P13" s="112"/>
      <c r="Q13" s="112"/>
      <c r="R13" s="112"/>
      <c r="S13" s="112"/>
      <c r="T13" s="112"/>
      <c r="U13" s="112"/>
      <c r="V13" s="112"/>
      <c r="W13" s="112"/>
      <c r="X13" s="112"/>
      <c r="Y13" s="112"/>
      <c r="Z13" s="112"/>
    </row>
    <row r="14">
      <c r="A14" s="130" t="s">
        <v>1153</v>
      </c>
      <c r="B14" s="53"/>
      <c r="C14" s="33"/>
      <c r="D14" s="133">
        <f>IFERROR(VLOOKUP(C1,'Salary Calculation'!$A$2:$K$999,11,0),"")</f>
        <v>9500</v>
      </c>
      <c r="E14" s="131" t="s">
        <v>1154</v>
      </c>
      <c r="F14" s="33"/>
      <c r="G14" s="131" t="str">
        <f>IFERROR(VLOOKUP($C$1,'Salary Calculation'!A6:R1003,18,0),"")</f>
        <v/>
      </c>
      <c r="H14" s="33"/>
      <c r="K14" s="112"/>
      <c r="L14" s="112"/>
      <c r="M14" s="112"/>
      <c r="N14" s="112"/>
      <c r="O14" s="112"/>
      <c r="P14" s="112"/>
      <c r="Q14" s="112"/>
      <c r="R14" s="112"/>
      <c r="S14" s="112"/>
      <c r="T14" s="112"/>
      <c r="U14" s="112"/>
      <c r="V14" s="112"/>
      <c r="W14" s="112"/>
      <c r="X14" s="112"/>
      <c r="Y14" s="112"/>
      <c r="Z14" s="112"/>
    </row>
    <row r="15">
      <c r="A15" s="130" t="s">
        <v>132</v>
      </c>
      <c r="B15" s="33"/>
      <c r="C15" s="134">
        <f>IFERROR(VLOOKUP(C1,'Salary Calculation'!$A$2:$P$999,16,0),"")</f>
        <v>12</v>
      </c>
      <c r="D15" s="135"/>
      <c r="E15" s="131" t="s">
        <v>138</v>
      </c>
      <c r="F15" s="33"/>
      <c r="G15" s="136">
        <f>-IFERROR(VLOOKUP($C$1,'Salary Calculation'!$A$2:$V$999,22,0),"")</f>
        <v>-79.79637097</v>
      </c>
      <c r="H15" s="33"/>
      <c r="K15" s="112"/>
      <c r="L15" s="112"/>
      <c r="M15" s="112"/>
      <c r="N15" s="112"/>
      <c r="O15" s="112"/>
      <c r="P15" s="112"/>
      <c r="Q15" s="112"/>
      <c r="R15" s="112"/>
      <c r="S15" s="112"/>
      <c r="T15" s="112"/>
      <c r="U15" s="112"/>
      <c r="V15" s="112"/>
      <c r="W15" s="112"/>
      <c r="X15" s="112"/>
      <c r="Y15" s="112"/>
      <c r="Z15" s="112"/>
    </row>
    <row r="16">
      <c r="A16" s="130" t="s">
        <v>1155</v>
      </c>
      <c r="B16" s="53"/>
      <c r="C16" s="137"/>
      <c r="D16" s="138">
        <f>IFERROR(VLOOKUP($C$1,'Salary Calculation'!$A$2:$T$999,20,0),"")</f>
        <v>689.516129</v>
      </c>
      <c r="E16" s="139"/>
      <c r="F16" s="53"/>
      <c r="G16" s="53"/>
      <c r="H16" s="33"/>
      <c r="K16" s="112"/>
      <c r="L16" s="112"/>
      <c r="M16" s="112"/>
      <c r="N16" s="112"/>
      <c r="O16" s="112"/>
      <c r="P16" s="112"/>
      <c r="Q16" s="112"/>
      <c r="R16" s="112"/>
      <c r="S16" s="112"/>
      <c r="T16" s="112"/>
      <c r="U16" s="112"/>
      <c r="V16" s="112"/>
      <c r="W16" s="112"/>
      <c r="X16" s="112"/>
      <c r="Y16" s="112"/>
      <c r="Z16" s="112"/>
    </row>
    <row r="17">
      <c r="A17" s="131" t="s">
        <v>133</v>
      </c>
      <c r="B17" s="53"/>
      <c r="C17" s="137"/>
      <c r="D17" s="138">
        <f>IFERROR(VLOOKUP($C$1,'Salary Calculation'!$A$2:$T$999,17,0),"")</f>
        <v>450</v>
      </c>
      <c r="E17" s="140"/>
      <c r="F17" s="140"/>
      <c r="G17" s="140"/>
      <c r="H17" s="140"/>
      <c r="K17" s="112"/>
      <c r="L17" s="112"/>
      <c r="M17" s="112"/>
      <c r="N17" s="112"/>
      <c r="O17" s="112"/>
      <c r="P17" s="112"/>
      <c r="Q17" s="112"/>
      <c r="R17" s="112"/>
      <c r="S17" s="112"/>
      <c r="T17" s="112"/>
      <c r="U17" s="112"/>
      <c r="V17" s="112"/>
      <c r="W17" s="112"/>
      <c r="X17" s="112"/>
      <c r="Y17" s="112"/>
      <c r="Z17" s="112"/>
    </row>
    <row r="18">
      <c r="A18" s="132" t="s">
        <v>1156</v>
      </c>
      <c r="B18" s="115"/>
      <c r="C18" s="141">
        <f>D14+D16</f>
        <v>10189.51613</v>
      </c>
      <c r="D18" s="115"/>
      <c r="E18" s="132" t="s">
        <v>1157</v>
      </c>
      <c r="F18" s="115"/>
      <c r="G18" s="141">
        <f>G15-G14</f>
        <v>-79.79637097</v>
      </c>
      <c r="H18" s="115"/>
      <c r="K18" s="112"/>
      <c r="L18" s="112"/>
      <c r="M18" s="112"/>
      <c r="N18" s="112"/>
      <c r="O18" s="112"/>
      <c r="P18" s="112"/>
      <c r="Q18" s="112"/>
      <c r="R18" s="112"/>
      <c r="S18" s="112"/>
      <c r="T18" s="112"/>
      <c r="U18" s="112"/>
      <c r="V18" s="112"/>
      <c r="W18" s="112"/>
      <c r="X18" s="112"/>
      <c r="Y18" s="112"/>
      <c r="Z18" s="112"/>
    </row>
    <row r="19">
      <c r="A19" s="120"/>
      <c r="B19" s="122"/>
      <c r="C19" s="120"/>
      <c r="D19" s="122"/>
      <c r="E19" s="120"/>
      <c r="F19" s="122"/>
      <c r="G19" s="120"/>
      <c r="H19" s="122"/>
      <c r="K19" s="112"/>
      <c r="L19" s="112"/>
      <c r="M19" s="112"/>
      <c r="N19" s="112"/>
      <c r="O19" s="112"/>
      <c r="P19" s="112"/>
      <c r="Q19" s="112"/>
      <c r="R19" s="112"/>
      <c r="S19" s="112"/>
      <c r="T19" s="112"/>
      <c r="U19" s="112"/>
      <c r="V19" s="112"/>
      <c r="W19" s="112"/>
      <c r="X19" s="112"/>
      <c r="Y19" s="112"/>
      <c r="Z19" s="112"/>
    </row>
    <row r="20">
      <c r="A20" s="132" t="s">
        <v>1158</v>
      </c>
      <c r="B20" s="114"/>
      <c r="C20" s="114"/>
      <c r="D20" s="115"/>
      <c r="E20" s="142">
        <f>IFERROR(VLOOKUP($C$1,'Salary Calculation'!$A$2:$U$999,7,0),"")</f>
        <v>10559.71976</v>
      </c>
      <c r="F20" s="114"/>
      <c r="G20" s="114"/>
      <c r="H20" s="115"/>
      <c r="K20" s="112"/>
      <c r="L20" s="112"/>
      <c r="M20" s="112"/>
      <c r="N20" s="112"/>
      <c r="O20" s="112"/>
      <c r="P20" s="112"/>
      <c r="Q20" s="112"/>
      <c r="R20" s="112"/>
      <c r="S20" s="112"/>
      <c r="T20" s="112"/>
      <c r="U20" s="112"/>
      <c r="V20" s="112"/>
      <c r="W20" s="112"/>
      <c r="X20" s="112"/>
      <c r="Y20" s="112"/>
      <c r="Z20" s="112"/>
    </row>
    <row r="21">
      <c r="A21" s="120"/>
      <c r="B21" s="121"/>
      <c r="C21" s="121"/>
      <c r="D21" s="122"/>
      <c r="E21" s="120"/>
      <c r="F21" s="121"/>
      <c r="G21" s="121"/>
      <c r="H21" s="122"/>
      <c r="K21" s="112"/>
      <c r="L21" s="112"/>
      <c r="M21" s="112"/>
      <c r="N21" s="112"/>
      <c r="O21" s="112"/>
      <c r="P21" s="112"/>
      <c r="Q21" s="112"/>
      <c r="R21" s="112"/>
      <c r="S21" s="112"/>
      <c r="T21" s="112"/>
      <c r="U21" s="112"/>
      <c r="V21" s="112"/>
      <c r="W21" s="112"/>
      <c r="X21" s="112"/>
      <c r="Y21" s="112"/>
      <c r="Z21" s="112"/>
    </row>
    <row r="22">
      <c r="A22" s="143" t="s">
        <v>1159</v>
      </c>
      <c r="B22" s="144" t="str">
        <f>NUMBERTEXT(E20)</f>
        <v>ten thousand five hundred fifty-nine point seven one nine seven five eight zero six four five one five</v>
      </c>
      <c r="C22" s="114"/>
      <c r="D22" s="114"/>
      <c r="E22" s="114"/>
      <c r="F22" s="114"/>
      <c r="G22" s="114"/>
      <c r="H22" s="115"/>
      <c r="K22" s="112"/>
      <c r="L22" s="112"/>
      <c r="M22" s="112"/>
      <c r="N22" s="112"/>
      <c r="O22" s="112"/>
      <c r="P22" s="112"/>
      <c r="Q22" s="112"/>
      <c r="R22" s="112"/>
      <c r="S22" s="112"/>
      <c r="T22" s="112"/>
      <c r="U22" s="112"/>
      <c r="V22" s="112"/>
      <c r="W22" s="112"/>
      <c r="X22" s="112"/>
      <c r="Y22" s="112"/>
      <c r="Z22" s="112"/>
    </row>
    <row r="23">
      <c r="A23" s="138"/>
      <c r="B23" s="120"/>
      <c r="C23" s="121"/>
      <c r="D23" s="121"/>
      <c r="E23" s="121"/>
      <c r="F23" s="121"/>
      <c r="G23" s="121"/>
      <c r="H23" s="122"/>
      <c r="K23" s="112"/>
      <c r="L23" s="112"/>
      <c r="M23" s="112"/>
      <c r="N23" s="112"/>
      <c r="O23" s="112"/>
      <c r="P23" s="112"/>
      <c r="Q23" s="112"/>
      <c r="R23" s="112"/>
      <c r="S23" s="112"/>
      <c r="T23" s="112"/>
      <c r="U23" s="112"/>
      <c r="V23" s="112"/>
      <c r="W23" s="112"/>
      <c r="X23" s="112"/>
      <c r="Y23" s="112"/>
      <c r="Z23" s="112"/>
    </row>
    <row r="24">
      <c r="A24" s="112"/>
      <c r="B24" s="112"/>
      <c r="K24" s="112"/>
      <c r="L24" s="112"/>
      <c r="M24" s="112"/>
      <c r="N24" s="112"/>
      <c r="O24" s="112"/>
      <c r="P24" s="112"/>
      <c r="Q24" s="112"/>
      <c r="R24" s="112"/>
      <c r="S24" s="112"/>
      <c r="T24" s="112"/>
      <c r="U24" s="112"/>
      <c r="V24" s="112"/>
      <c r="W24" s="112"/>
      <c r="X24" s="112"/>
      <c r="Y24" s="112"/>
      <c r="Z24" s="112"/>
    </row>
    <row r="25">
      <c r="A25" s="112"/>
      <c r="B25" s="112"/>
      <c r="K25" s="112"/>
      <c r="L25" s="112"/>
      <c r="M25" s="112"/>
      <c r="N25" s="112"/>
      <c r="O25" s="112"/>
      <c r="P25" s="112"/>
      <c r="Q25" s="112"/>
      <c r="R25" s="112"/>
      <c r="S25" s="112"/>
      <c r="T25" s="112"/>
      <c r="U25" s="112"/>
      <c r="V25" s="112"/>
      <c r="W25" s="112"/>
      <c r="X25" s="112"/>
      <c r="Y25" s="112"/>
      <c r="Z25" s="112"/>
    </row>
    <row r="26">
      <c r="A26" s="112"/>
      <c r="B26" s="112"/>
      <c r="K26" s="112"/>
      <c r="L26" s="112"/>
      <c r="M26" s="112"/>
      <c r="N26" s="112"/>
      <c r="O26" s="112"/>
      <c r="P26" s="112"/>
      <c r="Q26" s="112"/>
      <c r="R26" s="112"/>
      <c r="S26" s="112"/>
      <c r="T26" s="112"/>
      <c r="U26" s="112"/>
      <c r="V26" s="112"/>
      <c r="W26" s="112"/>
      <c r="X26" s="112"/>
      <c r="Y26" s="112"/>
      <c r="Z26" s="112"/>
    </row>
    <row r="27">
      <c r="A27" s="112"/>
      <c r="B27" s="112"/>
      <c r="K27" s="112"/>
      <c r="L27" s="112"/>
      <c r="M27" s="112"/>
      <c r="N27" s="112"/>
      <c r="O27" s="112"/>
      <c r="P27" s="112"/>
      <c r="Q27" s="112"/>
      <c r="R27" s="112"/>
      <c r="S27" s="112"/>
      <c r="T27" s="112"/>
      <c r="U27" s="112"/>
      <c r="V27" s="112"/>
      <c r="W27" s="112"/>
      <c r="X27" s="112"/>
      <c r="Y27" s="112"/>
      <c r="Z27" s="112"/>
    </row>
    <row r="28">
      <c r="A28" s="112"/>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row>
    <row r="29">
      <c r="A29" s="112"/>
      <c r="B29" s="112"/>
      <c r="C29" s="112"/>
      <c r="D29" s="112"/>
      <c r="E29" s="112"/>
      <c r="H29" s="112"/>
      <c r="I29" s="112"/>
      <c r="J29" s="112"/>
      <c r="K29" s="112"/>
      <c r="L29" s="112"/>
      <c r="M29" s="112"/>
      <c r="N29" s="112"/>
      <c r="O29" s="112"/>
      <c r="P29" s="112"/>
      <c r="Q29" s="112"/>
      <c r="R29" s="112"/>
      <c r="S29" s="112"/>
      <c r="T29" s="112"/>
      <c r="U29" s="112"/>
      <c r="V29" s="112"/>
      <c r="W29" s="112"/>
      <c r="X29" s="112"/>
      <c r="Y29" s="112"/>
      <c r="Z29" s="112"/>
    </row>
    <row r="30">
      <c r="A30" s="112"/>
      <c r="B30" s="112"/>
      <c r="C30" s="112"/>
      <c r="D30" s="112"/>
      <c r="E30" s="112"/>
      <c r="H30" s="112"/>
      <c r="I30" s="112"/>
      <c r="J30" s="112"/>
      <c r="K30" s="112"/>
      <c r="L30" s="112"/>
      <c r="M30" s="112"/>
      <c r="N30" s="112"/>
      <c r="O30" s="112"/>
      <c r="P30" s="112"/>
      <c r="Q30" s="112"/>
      <c r="R30" s="112"/>
      <c r="S30" s="112"/>
      <c r="T30" s="112"/>
      <c r="U30" s="112"/>
      <c r="V30" s="112"/>
      <c r="W30" s="112"/>
      <c r="X30" s="112"/>
      <c r="Y30" s="112"/>
      <c r="Z30" s="112"/>
    </row>
    <row r="31">
      <c r="A31" s="112"/>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row>
    <row r="32">
      <c r="A32" s="112"/>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row>
    <row r="33">
      <c r="A33" s="112"/>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row>
    <row r="34">
      <c r="A34" s="112"/>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112"/>
    </row>
    <row r="35">
      <c r="A35" s="112"/>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row>
    <row r="36">
      <c r="A36" s="112"/>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c r="A37" s="112"/>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row>
    <row r="38">
      <c r="A38" s="112"/>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row>
    <row r="39">
      <c r="A39" s="112"/>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row>
    <row r="40">
      <c r="A40" s="112"/>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row>
    <row r="41">
      <c r="A41" s="112"/>
      <c r="B41" s="112"/>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row>
    <row r="42">
      <c r="A42" s="112"/>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row>
    <row r="43">
      <c r="A43" s="112"/>
      <c r="B43" s="112"/>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row>
    <row r="44">
      <c r="A44" s="112"/>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row>
    <row r="45">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row>
    <row r="46">
      <c r="A46" s="112"/>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c r="A47" s="112"/>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c r="A48" s="112"/>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row>
    <row r="49">
      <c r="A49" s="112"/>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row>
    <row r="50">
      <c r="A50" s="112"/>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row>
    <row r="51">
      <c r="A51" s="112"/>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row>
    <row r="52">
      <c r="A52" s="112"/>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row>
    <row r="53">
      <c r="A53" s="112"/>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row>
    <row r="54">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row>
    <row r="56">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row>
    <row r="57">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row>
    <row r="61">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row>
    <row r="62">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row>
    <row r="63">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row>
    <row r="64">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row>
    <row r="65">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row>
    <row r="66">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row>
    <row r="67">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row>
    <row r="68">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row>
    <row r="69">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row>
    <row r="70">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row>
    <row r="71">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row>
    <row r="74">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row>
    <row r="75">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row>
    <row r="76">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row>
    <row r="77">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row>
    <row r="78">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row>
    <row r="79">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row>
    <row r="80">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row>
    <row r="81">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row>
    <row r="82">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row>
    <row r="83">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row>
    <row r="84">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row>
    <row r="85">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row>
    <row r="86">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row>
    <row r="87">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row>
    <row r="88">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row>
    <row r="89">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row>
    <row r="90">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row>
    <row r="91">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row>
    <row r="92">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row>
    <row r="93">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row>
    <row r="94">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row>
    <row r="95">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row>
    <row r="96">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row>
    <row r="97">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row>
    <row r="98">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row>
    <row r="99">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row>
    <row r="100">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row>
    <row r="222">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row>
    <row r="223">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row>
    <row r="224">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row>
    <row r="225">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row>
    <row r="226">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row>
    <row r="227">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row>
    <row r="228">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row>
    <row r="229">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row>
    <row r="230">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row>
    <row r="231">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row>
    <row r="232">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row>
    <row r="233">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row>
    <row r="234">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row>
    <row r="235">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row>
    <row r="236">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row>
    <row r="237">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row>
    <row r="238">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row>
    <row r="239">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row>
    <row r="240">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row>
    <row r="241">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row>
    <row r="242">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row>
    <row r="243">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row>
    <row r="244">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row>
    <row r="245">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row>
    <row r="246">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row>
    <row r="247">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row>
    <row r="248">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row>
    <row r="249">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row>
    <row r="250">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row>
    <row r="251">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row>
    <row r="252">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row>
    <row r="253">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row>
    <row r="254">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row>
    <row r="255">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row>
    <row r="256">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row>
    <row r="257">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row>
    <row r="258">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row>
    <row r="259">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row>
    <row r="260">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row>
    <row r="261">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row>
    <row r="262">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row>
    <row r="263">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row>
    <row r="264">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row>
    <row r="265">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row>
    <row r="266">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row>
    <row r="267">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row>
    <row r="268">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row>
    <row r="269">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row>
    <row r="270">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row>
    <row r="271">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row>
    <row r="272">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row>
    <row r="273">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row>
    <row r="274">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row>
    <row r="275">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row>
    <row r="276">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row>
    <row r="277">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row>
    <row r="278">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row>
    <row r="279">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row>
    <row r="280">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row>
    <row r="281">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row>
    <row r="282">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row>
    <row r="283">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row>
    <row r="284">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row>
    <row r="285">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row>
    <row r="286">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row>
    <row r="287">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row>
    <row r="288">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row>
    <row r="289">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row>
    <row r="290">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row>
    <row r="291">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row>
    <row r="292">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row>
    <row r="293">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row>
    <row r="294">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row>
    <row r="295">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row>
    <row r="296">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row>
    <row r="297">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row>
    <row r="298">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row>
    <row r="299">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row>
    <row r="300">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row>
    <row r="301">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row>
    <row r="302">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row>
    <row r="303">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row>
    <row r="304">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row>
    <row r="305">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row>
    <row r="306">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row>
    <row r="307">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row>
    <row r="308">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row>
    <row r="309">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row>
    <row r="310">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row>
    <row r="311">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row>
    <row r="312">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row>
    <row r="313">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row>
    <row r="314">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row>
    <row r="315">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row>
    <row r="316">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row>
    <row r="317">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row>
    <row r="318">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row>
    <row r="319">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row>
    <row r="320">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row>
    <row r="321">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row>
    <row r="322">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row>
    <row r="323">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row>
    <row r="324">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row>
    <row r="325">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row>
    <row r="326">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row>
    <row r="327">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row>
    <row r="328">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row>
    <row r="329">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row>
    <row r="330">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row>
    <row r="331">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row>
    <row r="332">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row>
    <row r="333">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row>
    <row r="334">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row>
    <row r="335">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row>
    <row r="336">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row>
    <row r="337">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row>
    <row r="338">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row>
    <row r="339">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row>
    <row r="340">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row>
    <row r="341">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row>
    <row r="342">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row>
    <row r="343">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row>
    <row r="344">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row>
    <row r="345">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row>
    <row r="346">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row>
    <row r="347">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row>
    <row r="348">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row>
    <row r="349">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row>
    <row r="350">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row>
    <row r="351">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row>
    <row r="352">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row>
    <row r="353">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row>
    <row r="354">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row>
    <row r="355">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row>
    <row r="356">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row>
    <row r="357">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row>
    <row r="988">
      <c r="A988" s="112"/>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row>
    <row r="989">
      <c r="A989" s="112"/>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row>
    <row r="990">
      <c r="A990" s="112"/>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row>
    <row r="991">
      <c r="A991" s="112"/>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row>
    <row r="992">
      <c r="A992" s="112"/>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row>
    <row r="993">
      <c r="A993" s="112"/>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row>
    <row r="994">
      <c r="A994" s="112"/>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row>
    <row r="995">
      <c r="A995" s="112"/>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row>
    <row r="996">
      <c r="A996" s="112"/>
      <c r="B996" s="112"/>
      <c r="C996" s="112"/>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row>
    <row r="997">
      <c r="A997" s="112"/>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row>
    <row r="998">
      <c r="A998" s="112"/>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row>
    <row r="999">
      <c r="A999" s="112"/>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row>
    <row r="1000">
      <c r="A1000" s="112"/>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row>
    <row r="1001">
      <c r="A1001" s="112"/>
      <c r="B1001" s="112"/>
      <c r="C1001" s="112"/>
      <c r="D1001" s="112"/>
      <c r="E1001" s="112"/>
      <c r="F1001" s="112"/>
      <c r="G1001" s="112"/>
      <c r="H1001" s="112"/>
      <c r="I1001" s="112"/>
      <c r="J1001" s="112"/>
      <c r="K1001" s="112"/>
      <c r="L1001" s="112"/>
      <c r="M1001" s="112"/>
      <c r="N1001" s="112"/>
      <c r="O1001" s="112"/>
      <c r="P1001" s="112"/>
      <c r="Q1001" s="112"/>
      <c r="R1001" s="112"/>
      <c r="S1001" s="112"/>
      <c r="T1001" s="112"/>
      <c r="U1001" s="112"/>
      <c r="V1001" s="112"/>
      <c r="W1001" s="112"/>
      <c r="X1001" s="112"/>
      <c r="Y1001" s="112"/>
      <c r="Z1001" s="112"/>
    </row>
  </sheetData>
  <mergeCells count="32">
    <mergeCell ref="C1:E4"/>
    <mergeCell ref="A5:B8"/>
    <mergeCell ref="C5:H8"/>
    <mergeCell ref="A9:D9"/>
    <mergeCell ref="C10:D10"/>
    <mergeCell ref="E10:F10"/>
    <mergeCell ref="G10:H10"/>
    <mergeCell ref="E12:F13"/>
    <mergeCell ref="G12:H13"/>
    <mergeCell ref="A10:B10"/>
    <mergeCell ref="A11:B11"/>
    <mergeCell ref="C11:D11"/>
    <mergeCell ref="E11:F11"/>
    <mergeCell ref="G11:H11"/>
    <mergeCell ref="A12:B13"/>
    <mergeCell ref="C12:D13"/>
    <mergeCell ref="A14:C14"/>
    <mergeCell ref="E14:F14"/>
    <mergeCell ref="G14:H14"/>
    <mergeCell ref="A15:B15"/>
    <mergeCell ref="E15:F15"/>
    <mergeCell ref="G15:H15"/>
    <mergeCell ref="E16:H16"/>
    <mergeCell ref="E20:H21"/>
    <mergeCell ref="B22:H23"/>
    <mergeCell ref="A16:B16"/>
    <mergeCell ref="A17:B17"/>
    <mergeCell ref="A18:B19"/>
    <mergeCell ref="C18:D19"/>
    <mergeCell ref="E18:F19"/>
    <mergeCell ref="G18:H19"/>
    <mergeCell ref="A20:D21"/>
  </mergeCells>
  <conditionalFormatting sqref="C1:E4">
    <cfRule type="notContainsBlanks" dxfId="9" priority="1">
      <formula>LEN(TRIM(C1))&gt;0</formula>
    </cfRule>
  </conditionalFormatting>
  <conditionalFormatting sqref="H14:H15 G15 G18">
    <cfRule type="cellIs" dxfId="10" priority="2" operator="lessThanOrEqual">
      <formula>0</formula>
    </cfRule>
  </conditionalFormatting>
  <dataValidations>
    <dataValidation type="list" allowBlank="1" showErrorMessage="1" sqref="C1">
      <formula1>'Salary Calculation'!$A$2:$A$999</formula1>
    </dataValidation>
  </dataValidations>
  <printOptions gridLines="1" horizontalCentered="1"/>
  <pageMargins bottom="0.75" footer="0.0" header="0.0" left="0.7" right="0.7" top="0.75"/>
  <pageSetup fitToHeight="0" cellComments="atEnd" orientation="portrait"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8.88"/>
    <col customWidth="1" hidden="1" min="3" max="3" width="11.0"/>
    <col customWidth="1" min="4" max="4" width="8.13"/>
    <col customWidth="1" hidden="1" min="5" max="5" width="8.13"/>
    <col customWidth="1" min="6" max="6" width="8.13"/>
    <col customWidth="1" hidden="1" min="7" max="7" width="8.13"/>
    <col customWidth="1" min="8" max="8" width="8.13"/>
    <col customWidth="1" hidden="1" min="9" max="9" width="8.13"/>
    <col customWidth="1" min="10" max="10" width="8.13"/>
    <col customWidth="1" hidden="1" min="11" max="11" width="8.13"/>
    <col customWidth="1" min="12" max="12" width="8.13"/>
    <col customWidth="1" hidden="1" min="13" max="13" width="8.13"/>
    <col customWidth="1" min="14" max="14" width="9.5"/>
    <col customWidth="1" hidden="1" min="15" max="15" width="8.13"/>
    <col customWidth="1" min="16" max="16" width="8.13"/>
    <col customWidth="1" hidden="1" min="17" max="17" width="8.13"/>
    <col customWidth="1" min="18" max="18" width="9.63"/>
    <col customWidth="1" hidden="1" min="19" max="19" width="8.13"/>
    <col customWidth="1" min="20" max="20" width="9.5"/>
    <col customWidth="1" hidden="1" min="21" max="21" width="8.13"/>
    <col customWidth="1" min="22" max="22" width="8.13"/>
    <col customWidth="1" hidden="1" min="23" max="23" width="8.13"/>
    <col customWidth="1" min="24" max="24" width="8.13"/>
    <col customWidth="1" hidden="1" min="25" max="25" width="8.13"/>
    <col customWidth="1" min="26" max="26" width="8.13"/>
    <col customWidth="1" min="28" max="28" width="11.38"/>
  </cols>
  <sheetData>
    <row r="1">
      <c r="A1" s="102" t="s">
        <v>1160</v>
      </c>
      <c r="B1" s="102" t="s">
        <v>2</v>
      </c>
      <c r="C1" s="102"/>
      <c r="D1" s="102" t="s">
        <v>8</v>
      </c>
      <c r="E1" s="102"/>
      <c r="F1" s="102" t="s">
        <v>12</v>
      </c>
      <c r="G1" s="102"/>
      <c r="H1" s="102" t="s">
        <v>17</v>
      </c>
      <c r="I1" s="102"/>
      <c r="J1" s="102" t="s">
        <v>21</v>
      </c>
      <c r="K1" s="102"/>
      <c r="L1" s="102" t="s">
        <v>25</v>
      </c>
      <c r="M1" s="102"/>
      <c r="N1" s="102" t="s">
        <v>29</v>
      </c>
      <c r="O1" s="102"/>
      <c r="P1" s="102" t="s">
        <v>33</v>
      </c>
      <c r="Q1" s="102"/>
      <c r="R1" s="102" t="s">
        <v>36</v>
      </c>
      <c r="S1" s="102"/>
      <c r="T1" s="102" t="s">
        <v>40</v>
      </c>
      <c r="U1" s="102"/>
      <c r="V1" s="102" t="s">
        <v>44</v>
      </c>
      <c r="W1" s="102"/>
      <c r="X1" s="102" t="s">
        <v>47</v>
      </c>
      <c r="Y1" s="102"/>
      <c r="Z1" s="102" t="s">
        <v>50</v>
      </c>
      <c r="AA1" s="102" t="s">
        <v>1161</v>
      </c>
      <c r="AB1" s="145"/>
      <c r="AC1" s="101"/>
      <c r="AD1" s="101"/>
      <c r="AE1" s="101"/>
      <c r="AF1" s="101"/>
      <c r="AG1" s="101"/>
      <c r="AH1" s="101"/>
      <c r="AI1" s="101"/>
      <c r="AJ1" s="101"/>
      <c r="AK1" s="101"/>
      <c r="AL1" s="101"/>
      <c r="AM1" s="101"/>
    </row>
    <row r="2">
      <c r="A2" s="8" t="s">
        <v>9</v>
      </c>
      <c r="B2" s="101" t="str">
        <f>IFERROR(VLOOKUP(A2,'Employees List'!B2:C982,2,0),"")</f>
        <v>BHUVANESWARAN</v>
      </c>
      <c r="C2" s="89" t="str">
        <f t="shared" ref="C2:C14" si="1">$D$1&amp;B2</f>
        <v>AprilBHUVANESWARAN</v>
      </c>
      <c r="D2" s="89">
        <f>IFERROR(VLOOKUP(C2,'Daily Attendance Report 24-25'!A1:BP982,5,0),"")</f>
        <v>30</v>
      </c>
      <c r="E2" s="89" t="str">
        <f t="shared" ref="E2:E14" si="2">$F$1&amp;B2</f>
        <v>MayBHUVANESWARAN</v>
      </c>
      <c r="F2" s="89">
        <f>IFERROR(VLOOKUP(E2,'Daily Attendance Report 24-25'!$A$1:BR982,5,0),"")</f>
        <v>31</v>
      </c>
      <c r="G2" s="89" t="str">
        <f t="shared" ref="G2:G14" si="3">$H$1&amp;B2</f>
        <v>JuneBHUVANESWARAN</v>
      </c>
      <c r="H2" s="89">
        <f>IFERROR(VLOOKUP(G2,'Daily Attendance Report 24-25'!$A$1:BT982,5,0),"")</f>
        <v>30</v>
      </c>
      <c r="I2" s="89" t="str">
        <f t="shared" ref="I2:I14" si="4">$J$1&amp;B2</f>
        <v>JulyBHUVANESWARAN</v>
      </c>
      <c r="J2" s="89">
        <f>IFERROR(VLOOKUP(I2,'Daily Attendance Report 24-25'!$A$1:BV982,5,0),"")</f>
        <v>31</v>
      </c>
      <c r="K2" s="146" t="str">
        <f t="shared" ref="K2:K14" si="5">$L$1&amp;B2</f>
        <v>AugustBHUVANESWARAN</v>
      </c>
      <c r="L2" s="89">
        <f>IFERROR(VLOOKUP(K2,'Daily Attendance Report 24-25'!$A$1:BX982,5,0),"")</f>
        <v>31</v>
      </c>
      <c r="M2" s="89" t="str">
        <f t="shared" ref="M2:M14" si="6">$N$1&amp;B2</f>
        <v>SeptemberBHUVANESWARAN</v>
      </c>
      <c r="N2" s="89">
        <f>IFERROR(VLOOKUP(M2,'Daily Attendance Report 24-25'!$A$1:BZ982,5,0),"")</f>
        <v>30</v>
      </c>
      <c r="O2" s="89" t="str">
        <f t="shared" ref="O2:O14" si="7">$P$1&amp;B2</f>
        <v>OctoberBHUVANESWARAN</v>
      </c>
      <c r="P2" s="89">
        <f>IFERROR(VLOOKUP(O2,'Daily Attendance Report 24-25'!$A$1:CB982,5,0),"")</f>
        <v>31</v>
      </c>
      <c r="Q2" s="89" t="str">
        <f t="shared" ref="Q2:Q14" si="8">$R$1&amp;B2</f>
        <v>NovemberBHUVANESWARAN</v>
      </c>
      <c r="R2" s="89">
        <f>IFERROR(VLOOKUP(Q2,'Daily Attendance Report 24-25'!$A$1:CD982,5,0),"")</f>
        <v>30</v>
      </c>
      <c r="S2" s="89" t="str">
        <f t="shared" ref="S2:S14" si="9">$T$1&amp;B2</f>
        <v>DecemberBHUVANESWARAN</v>
      </c>
      <c r="T2" s="89">
        <f>IFERROR(VLOOKUP(S2,'Daily Attendance Report 24-25'!$A$1:CF982,5,0),"")</f>
        <v>31</v>
      </c>
      <c r="U2" s="89" t="str">
        <f t="shared" ref="U2:U14" si="10">$V$1&amp;B2</f>
        <v>JanuaryBHUVANESWARAN</v>
      </c>
      <c r="V2" s="89">
        <f>IFERROR(VLOOKUP(U2,'Daily Attendance Report 24-25'!$A$1:CH982,5,0),"")</f>
        <v>31</v>
      </c>
      <c r="W2" s="89" t="str">
        <f t="shared" ref="W2:W14" si="11">$X$1&amp;B2</f>
        <v>FebruaryBHUVANESWARAN</v>
      </c>
      <c r="X2" s="89">
        <f>IFERROR(VLOOKUP(W2,'Daily Attendance Report 24-25'!$A$1:CJ982,5,0),"")</f>
        <v>28</v>
      </c>
      <c r="Y2" s="89" t="str">
        <f t="shared" ref="Y2:Y14" si="12">$Z$1&amp;B2</f>
        <v>MarchBHUVANESWARAN</v>
      </c>
      <c r="Z2" s="89">
        <f>IFERROR(VLOOKUP(Y2,'Daily Attendance Report 24-25'!$A$1:CL982,5,0),"")</f>
        <v>31</v>
      </c>
      <c r="AA2" s="101">
        <f t="shared" ref="AA2:AA14" si="13">SUM(D2:Z2)</f>
        <v>365</v>
      </c>
      <c r="AB2" s="101"/>
      <c r="AC2" s="101"/>
      <c r="AD2" s="101"/>
      <c r="AE2" s="101"/>
      <c r="AF2" s="101"/>
      <c r="AG2" s="101"/>
      <c r="AH2" s="101"/>
      <c r="AI2" s="101"/>
      <c r="AJ2" s="101"/>
      <c r="AK2" s="101"/>
      <c r="AL2" s="101"/>
      <c r="AM2" s="101"/>
    </row>
    <row r="3">
      <c r="A3" s="8" t="s">
        <v>13</v>
      </c>
      <c r="B3" s="101" t="str">
        <f>IFERROR(VLOOKUP(A3,'Employees List'!B3:C982,2,0),"")</f>
        <v>VASANTHA</v>
      </c>
      <c r="C3" s="89" t="str">
        <f t="shared" si="1"/>
        <v>AprilVASANTHA</v>
      </c>
      <c r="D3" s="89">
        <f>IFERROR(VLOOKUP(C3,'Daily Attendance Report 24-25'!A2:BP982,5,0),"")</f>
        <v>21</v>
      </c>
      <c r="E3" s="89" t="str">
        <f t="shared" si="2"/>
        <v>MayVASANTHA</v>
      </c>
      <c r="F3" s="89">
        <f>IFERROR(VLOOKUP(E3,'Daily Attendance Report 24-25'!$A$1:BR982,5,0),"")</f>
        <v>28.5</v>
      </c>
      <c r="G3" s="89" t="str">
        <f t="shared" si="3"/>
        <v>JuneVASANTHA</v>
      </c>
      <c r="H3" s="89">
        <f>IFERROR(VLOOKUP(G3,'Daily Attendance Report 24-25'!$A$1:BT982,5,0),"")</f>
        <v>28</v>
      </c>
      <c r="I3" s="89" t="str">
        <f t="shared" si="4"/>
        <v>JulyVASANTHA</v>
      </c>
      <c r="J3" s="89">
        <f>IFERROR(VLOOKUP(I3,'Daily Attendance Report 24-25'!$A$1:BV982,5,0),"")</f>
        <v>26.5</v>
      </c>
      <c r="K3" s="146" t="str">
        <f t="shared" si="5"/>
        <v>AugustVASANTHA</v>
      </c>
      <c r="L3" s="89">
        <f>IFERROR(VLOOKUP(K3,'Daily Attendance Report 24-25'!$A$1:BP982,5,0),"")</f>
        <v>30</v>
      </c>
      <c r="M3" s="89" t="str">
        <f t="shared" si="6"/>
        <v>SeptemberVASANTHA</v>
      </c>
      <c r="N3" s="89">
        <f>IFERROR(VLOOKUP(M3,'Daily Attendance Report 24-25'!$A$1:BZ982,5,0),"")</f>
        <v>27</v>
      </c>
      <c r="O3" s="89" t="str">
        <f t="shared" si="7"/>
        <v>OctoberVASANTHA</v>
      </c>
      <c r="P3" s="89">
        <f>IFERROR(VLOOKUP(O3,'Daily Attendance Report 24-25'!$A$1:CB982,5,0),"")</f>
        <v>23</v>
      </c>
      <c r="Q3" s="89" t="str">
        <f t="shared" si="8"/>
        <v>NovemberVASANTHA</v>
      </c>
      <c r="R3" s="89">
        <f>IFERROR(VLOOKUP(Q3,'Daily Attendance Report 24-25'!$A$1:CD982,5,0),"")</f>
        <v>13</v>
      </c>
      <c r="S3" s="89" t="str">
        <f t="shared" si="9"/>
        <v>DecemberVASANTHA</v>
      </c>
      <c r="T3" s="89" t="str">
        <f>IFERROR(VLOOKUP(S3,'Daily Attendance Report 24-25'!$A$1:CF982,5,0),"")</f>
        <v/>
      </c>
      <c r="U3" s="89" t="str">
        <f t="shared" si="10"/>
        <v>JanuaryVASANTHA</v>
      </c>
      <c r="V3" s="89" t="str">
        <f>IFERROR(VLOOKUP(U3,'Daily Attendance Report 24-25'!$A$1:CH982,5,0),"")</f>
        <v/>
      </c>
      <c r="W3" s="89" t="str">
        <f t="shared" si="11"/>
        <v>FebruaryVASANTHA</v>
      </c>
      <c r="X3" s="89" t="str">
        <f>IFERROR(VLOOKUP(W3,'Daily Attendance Report 24-25'!$A$1:CJ982,5,0),"")</f>
        <v/>
      </c>
      <c r="Y3" s="89" t="str">
        <f t="shared" si="12"/>
        <v>MarchVASANTHA</v>
      </c>
      <c r="Z3" s="89" t="str">
        <f>IFERROR(VLOOKUP(Y3,'Daily Attendance Report 24-25'!$A$1:CL982,5,0),"")</f>
        <v/>
      </c>
      <c r="AA3" s="101">
        <f t="shared" si="13"/>
        <v>197</v>
      </c>
      <c r="AB3" s="101"/>
      <c r="AC3" s="101"/>
      <c r="AD3" s="101"/>
      <c r="AE3" s="101"/>
      <c r="AF3" s="101"/>
      <c r="AG3" s="101"/>
      <c r="AH3" s="101"/>
      <c r="AI3" s="101"/>
      <c r="AJ3" s="101"/>
      <c r="AK3" s="101"/>
      <c r="AL3" s="101"/>
      <c r="AM3" s="101"/>
    </row>
    <row r="4">
      <c r="A4" s="8" t="s">
        <v>18</v>
      </c>
      <c r="B4" s="101" t="str">
        <f>IFERROR(VLOOKUP(A4,'Employees List'!B4:C982,2,0),"")</f>
        <v>GANESH</v>
      </c>
      <c r="C4" s="89" t="str">
        <f t="shared" si="1"/>
        <v>AprilGANESH</v>
      </c>
      <c r="D4" s="89">
        <f>IFERROR(VLOOKUP(C4,'Daily Attendance Report 24-25'!A3:BP982,5,0),"")</f>
        <v>24</v>
      </c>
      <c r="E4" s="89" t="str">
        <f t="shared" si="2"/>
        <v>MayGANESH</v>
      </c>
      <c r="F4" s="89">
        <f>IFERROR(VLOOKUP(E4,'Daily Attendance Report 24-25'!$A$1:BR982,5,0),"")</f>
        <v>21</v>
      </c>
      <c r="G4" s="89" t="str">
        <f t="shared" si="3"/>
        <v>JuneGANESH</v>
      </c>
      <c r="H4" s="89">
        <f>IFERROR(VLOOKUP(G4,'Daily Attendance Report 24-25'!$A$1:BT982,5,0),"")</f>
        <v>30</v>
      </c>
      <c r="I4" s="89" t="str">
        <f t="shared" si="4"/>
        <v>JulyGANESH</v>
      </c>
      <c r="J4" s="89">
        <f>IFERROR(VLOOKUP(I4,'Daily Attendance Report 24-25'!$A$1:BV982,5,0),"")</f>
        <v>25.5</v>
      </c>
      <c r="K4" s="146" t="str">
        <f t="shared" si="5"/>
        <v>AugustGANESH</v>
      </c>
      <c r="L4" s="89">
        <f>IFERROR(VLOOKUP(K4,'Daily Attendance Report 24-25'!$A$1:BP982,5,0),"")</f>
        <v>30</v>
      </c>
      <c r="M4" s="89" t="str">
        <f t="shared" si="6"/>
        <v>SeptemberGANESH</v>
      </c>
      <c r="N4" s="89">
        <f>IFERROR(VLOOKUP(M4,'Daily Attendance Report 24-25'!$A$1:BZ982,5,0),"")</f>
        <v>24.5</v>
      </c>
      <c r="O4" s="89" t="str">
        <f t="shared" si="7"/>
        <v>OctoberGANESH</v>
      </c>
      <c r="P4" s="89">
        <f>IFERROR(VLOOKUP(O4,'Daily Attendance Report 24-25'!$A$1:CB982,5,0),"")</f>
        <v>21</v>
      </c>
      <c r="Q4" s="89" t="str">
        <f t="shared" si="8"/>
        <v>NovemberGANESH</v>
      </c>
      <c r="R4" s="89">
        <f>IFERROR(VLOOKUP(Q4,'Daily Attendance Report 24-25'!$A$1:CD982,5,0),"")</f>
        <v>23</v>
      </c>
      <c r="S4" s="89" t="str">
        <f t="shared" si="9"/>
        <v>DecemberGANESH</v>
      </c>
      <c r="T4" s="89">
        <f>IFERROR(VLOOKUP(S4,'Daily Attendance Report 24-25'!$A$1:CF982,5,0),"")</f>
        <v>31</v>
      </c>
      <c r="U4" s="89" t="str">
        <f t="shared" si="10"/>
        <v>JanuaryGANESH</v>
      </c>
      <c r="V4" s="89">
        <f>IFERROR(VLOOKUP(U4,'Daily Attendance Report 24-25'!$A$1:CH982,5,0),"")</f>
        <v>31</v>
      </c>
      <c r="W4" s="89" t="str">
        <f t="shared" si="11"/>
        <v>FebruaryGANESH</v>
      </c>
      <c r="X4" s="89">
        <f>IFERROR(VLOOKUP(W4,'Daily Attendance Report 24-25'!$A$1:CJ982,5,0),"")</f>
        <v>24.5</v>
      </c>
      <c r="Y4" s="89" t="str">
        <f t="shared" si="12"/>
        <v>MarchGANESH</v>
      </c>
      <c r="Z4" s="89">
        <f>IFERROR(VLOOKUP(Y4,'Daily Attendance Report 24-25'!$A$1:CL982,5,0),"")</f>
        <v>30.5</v>
      </c>
      <c r="AA4" s="101">
        <f t="shared" si="13"/>
        <v>316</v>
      </c>
      <c r="AB4" s="101"/>
      <c r="AC4" s="101"/>
      <c r="AD4" s="101"/>
      <c r="AE4" s="101"/>
      <c r="AF4" s="101"/>
      <c r="AG4" s="101"/>
      <c r="AH4" s="101"/>
      <c r="AI4" s="101"/>
      <c r="AJ4" s="101"/>
      <c r="AK4" s="101"/>
      <c r="AL4" s="101"/>
      <c r="AM4" s="101"/>
    </row>
    <row r="5">
      <c r="A5" s="8" t="s">
        <v>22</v>
      </c>
      <c r="B5" s="101" t="str">
        <f>IFERROR(VLOOKUP(A5,'Employees List'!B5:C982,2,0),"")</f>
        <v>ADHIKARI BALIA</v>
      </c>
      <c r="C5" s="89" t="str">
        <f t="shared" si="1"/>
        <v>AprilADHIKARI BALIA</v>
      </c>
      <c r="D5" s="89">
        <f>IFERROR(VLOOKUP(C5,'Daily Attendance Report 24-25'!A4:BP982,5,0),"")</f>
        <v>11.5</v>
      </c>
      <c r="E5" s="89" t="str">
        <f t="shared" si="2"/>
        <v>MayADHIKARI BALIA</v>
      </c>
      <c r="F5" s="89">
        <f>IFERROR(VLOOKUP(E5,'Daily Attendance Report 24-25'!$A$1:BR982,5,0),"")</f>
        <v>18.5</v>
      </c>
      <c r="G5" s="89" t="str">
        <f t="shared" si="3"/>
        <v>JuneADHIKARI BALIA</v>
      </c>
      <c r="H5" s="89">
        <f>IFERROR(VLOOKUP(G5,'Daily Attendance Report 24-25'!$A$1:BT982,5,0),"")</f>
        <v>30</v>
      </c>
      <c r="I5" s="89" t="str">
        <f t="shared" si="4"/>
        <v>JulyADHIKARI BALIA</v>
      </c>
      <c r="J5" s="89">
        <f>IFERROR(VLOOKUP(I5,'Daily Attendance Report 24-25'!$A$1:BV982,5,0),"")</f>
        <v>30</v>
      </c>
      <c r="K5" s="146" t="str">
        <f t="shared" si="5"/>
        <v>AugustADHIKARI BALIA</v>
      </c>
      <c r="L5" s="89">
        <f>IFERROR(VLOOKUP(K5,'Daily Attendance Report 24-25'!$A$1:BP982,5,0),"")</f>
        <v>29</v>
      </c>
      <c r="M5" s="89" t="str">
        <f t="shared" si="6"/>
        <v>SeptemberADHIKARI BALIA</v>
      </c>
      <c r="N5" s="89">
        <f>IFERROR(VLOOKUP(M5,'Daily Attendance Report 24-25'!$A$1:BZ982,5,0),"")</f>
        <v>30</v>
      </c>
      <c r="O5" s="89" t="str">
        <f t="shared" si="7"/>
        <v>OctoberADHIKARI BALIA</v>
      </c>
      <c r="P5" s="89">
        <f>IFERROR(VLOOKUP(O5,'Daily Attendance Report 24-25'!$A$1:CB982,5,0),"")</f>
        <v>30.5</v>
      </c>
      <c r="Q5" s="89" t="str">
        <f t="shared" si="8"/>
        <v>NovemberADHIKARI BALIA</v>
      </c>
      <c r="R5" s="89">
        <f>IFERROR(VLOOKUP(Q5,'Daily Attendance Report 24-25'!$A$1:CD982,5,0),"")</f>
        <v>28</v>
      </c>
      <c r="S5" s="89" t="str">
        <f t="shared" si="9"/>
        <v>DecemberADHIKARI BALIA</v>
      </c>
      <c r="T5" s="89">
        <f>IFERROR(VLOOKUP(S5,'Daily Attendance Report 24-25'!$A$1:CF982,5,0),"")</f>
        <v>24.5</v>
      </c>
      <c r="U5" s="89" t="str">
        <f t="shared" si="10"/>
        <v>JanuaryADHIKARI BALIA</v>
      </c>
      <c r="V5" s="89" t="str">
        <f>IFERROR(VLOOKUP(U5,'Daily Attendance Report 24-25'!$A$1:CH982,5,0),"")</f>
        <v/>
      </c>
      <c r="W5" s="89" t="str">
        <f t="shared" si="11"/>
        <v>FebruaryADHIKARI BALIA</v>
      </c>
      <c r="X5" s="89" t="str">
        <f>IFERROR(VLOOKUP(W5,'Daily Attendance Report 24-25'!$A$1:CJ982,5,0),"")</f>
        <v/>
      </c>
      <c r="Y5" s="89" t="str">
        <f t="shared" si="12"/>
        <v>MarchADHIKARI BALIA</v>
      </c>
      <c r="Z5" s="89" t="str">
        <f>IFERROR(VLOOKUP(Y5,'Daily Attendance Report 24-25'!$A$1:CL982,5,0),"")</f>
        <v/>
      </c>
      <c r="AA5" s="101">
        <f t="shared" si="13"/>
        <v>232</v>
      </c>
      <c r="AB5" s="101"/>
      <c r="AC5" s="101"/>
      <c r="AD5" s="101"/>
      <c r="AE5" s="101"/>
      <c r="AF5" s="101"/>
      <c r="AG5" s="101"/>
      <c r="AH5" s="101"/>
      <c r="AI5" s="101"/>
      <c r="AJ5" s="101"/>
      <c r="AK5" s="101"/>
      <c r="AL5" s="101"/>
      <c r="AM5" s="101"/>
    </row>
    <row r="6">
      <c r="A6" s="8" t="s">
        <v>26</v>
      </c>
      <c r="B6" s="101" t="str">
        <f>IFERROR(VLOOKUP(A6,'Employees List'!B6:C982,2,0),"")</f>
        <v>RUPESH</v>
      </c>
      <c r="C6" s="89" t="str">
        <f t="shared" si="1"/>
        <v>AprilRUPESH</v>
      </c>
      <c r="D6" s="89" t="str">
        <f>IFERROR(VLOOKUP(C6,'Daily Attendance Report 24-25'!A5:BP982,5,0),"")</f>
        <v/>
      </c>
      <c r="E6" s="89" t="str">
        <f t="shared" si="2"/>
        <v>MayRUPESH</v>
      </c>
      <c r="F6" s="89">
        <f>IFERROR(VLOOKUP(E6,'Daily Attendance Report 24-25'!$A$1:BR982,5,0),"")</f>
        <v>19</v>
      </c>
      <c r="G6" s="89" t="str">
        <f t="shared" si="3"/>
        <v>JuneRUPESH</v>
      </c>
      <c r="H6" s="89">
        <f>IFERROR(VLOOKUP(G6,'Daily Attendance Report 24-25'!$A$1:BT982,5,0),"")</f>
        <v>30</v>
      </c>
      <c r="I6" s="89" t="str">
        <f t="shared" si="4"/>
        <v>JulyRUPESH</v>
      </c>
      <c r="J6" s="89">
        <f>IFERROR(VLOOKUP(I6,'Daily Attendance Report 24-25'!$A$1:BV982,5,0),"")</f>
        <v>31</v>
      </c>
      <c r="K6" s="146" t="str">
        <f t="shared" si="5"/>
        <v>AugustRUPESH</v>
      </c>
      <c r="L6" s="89">
        <f>IFERROR(VLOOKUP(K6,'Daily Attendance Report 24-25'!$A$1:BP982,5,0),"")</f>
        <v>31</v>
      </c>
      <c r="M6" s="89" t="str">
        <f t="shared" si="6"/>
        <v>SeptemberRUPESH</v>
      </c>
      <c r="N6" s="89">
        <f>IFERROR(VLOOKUP(M6,'Daily Attendance Report 24-25'!$A$1:BZ982,5,0),"")</f>
        <v>29</v>
      </c>
      <c r="O6" s="89" t="str">
        <f t="shared" si="7"/>
        <v>OctoberRUPESH</v>
      </c>
      <c r="P6" s="89">
        <f>IFERROR(VLOOKUP(O6,'Daily Attendance Report 24-25'!$A$1:CB982,5,0),"")</f>
        <v>31</v>
      </c>
      <c r="Q6" s="89" t="str">
        <f t="shared" si="8"/>
        <v>NovemberRUPESH</v>
      </c>
      <c r="R6" s="89">
        <f>IFERROR(VLOOKUP(Q6,'Daily Attendance Report 24-25'!$A$1:CD982,5,0),"")</f>
        <v>28</v>
      </c>
      <c r="S6" s="89" t="str">
        <f t="shared" si="9"/>
        <v>DecemberRUPESH</v>
      </c>
      <c r="T6" s="89">
        <f>IFERROR(VLOOKUP(S6,'Daily Attendance Report 24-25'!$A$1:CF982,5,0),"")</f>
        <v>24.5</v>
      </c>
      <c r="U6" s="89" t="str">
        <f t="shared" si="10"/>
        <v>JanuaryRUPESH</v>
      </c>
      <c r="V6" s="89" t="str">
        <f>IFERROR(VLOOKUP(U6,'Daily Attendance Report 24-25'!$A$1:CH982,5,0),"")</f>
        <v/>
      </c>
      <c r="W6" s="89" t="str">
        <f t="shared" si="11"/>
        <v>FebruaryRUPESH</v>
      </c>
      <c r="X6" s="89" t="str">
        <f>IFERROR(VLOOKUP(W6,'Daily Attendance Report 24-25'!$A$1:CJ982,5,0),"")</f>
        <v/>
      </c>
      <c r="Y6" s="89" t="str">
        <f t="shared" si="12"/>
        <v>MarchRUPESH</v>
      </c>
      <c r="Z6" s="89" t="str">
        <f>IFERROR(VLOOKUP(Y6,'Daily Attendance Report 24-25'!$A$1:CL982,5,0),"")</f>
        <v/>
      </c>
      <c r="AA6" s="101">
        <f t="shared" si="13"/>
        <v>223.5</v>
      </c>
      <c r="AB6" s="101"/>
      <c r="AC6" s="101"/>
      <c r="AD6" s="101"/>
      <c r="AE6" s="101"/>
      <c r="AF6" s="101"/>
      <c r="AG6" s="101"/>
      <c r="AH6" s="101"/>
      <c r="AI6" s="101"/>
      <c r="AJ6" s="101"/>
      <c r="AK6" s="101"/>
      <c r="AL6" s="101"/>
      <c r="AM6" s="101"/>
    </row>
    <row r="7">
      <c r="A7" s="8" t="s">
        <v>30</v>
      </c>
      <c r="B7" s="101" t="str">
        <f>IFERROR(VLOOKUP(A7,'Employees List'!B7:C982,2,0),"")</f>
        <v>SANJAI BHAGAT</v>
      </c>
      <c r="C7" s="89" t="str">
        <f t="shared" si="1"/>
        <v>AprilSANJAI BHAGAT</v>
      </c>
      <c r="D7" s="89">
        <f>IFERROR(VLOOKUP(C7,'Daily Attendance Report 24-25'!A6:BP982,5,0),"")</f>
        <v>12.5</v>
      </c>
      <c r="E7" s="89" t="str">
        <f t="shared" si="2"/>
        <v>MaySANJAI BHAGAT</v>
      </c>
      <c r="F7" s="89">
        <f>IFERROR(VLOOKUP(E7,'Daily Attendance Report 24-25'!$A$1:BR982,5,0),"")</f>
        <v>19</v>
      </c>
      <c r="G7" s="89" t="str">
        <f t="shared" si="3"/>
        <v>JuneSANJAI BHAGAT</v>
      </c>
      <c r="H7" s="89">
        <f>IFERROR(VLOOKUP(G7,'Daily Attendance Report 24-25'!$A$1:BT982,5,0),"")</f>
        <v>30</v>
      </c>
      <c r="I7" s="89" t="str">
        <f t="shared" si="4"/>
        <v>JulySANJAI BHAGAT</v>
      </c>
      <c r="J7" s="89">
        <f>IFERROR(VLOOKUP(I7,'Daily Attendance Report 24-25'!$A$1:BV982,5,0),"")</f>
        <v>31</v>
      </c>
      <c r="K7" s="146" t="str">
        <f t="shared" si="5"/>
        <v>AugustSANJAI BHAGAT</v>
      </c>
      <c r="L7" s="89">
        <f>IFERROR(VLOOKUP(K7,'Daily Attendance Report 24-25'!$A$1:BP982,5,0),"")</f>
        <v>28</v>
      </c>
      <c r="M7" s="89" t="str">
        <f t="shared" si="6"/>
        <v>SeptemberSANJAI BHAGAT</v>
      </c>
      <c r="N7" s="89">
        <f>IFERROR(VLOOKUP(M7,'Daily Attendance Report 24-25'!$A$1:BZ982,5,0),"")</f>
        <v>30</v>
      </c>
      <c r="O7" s="89" t="str">
        <f t="shared" si="7"/>
        <v>OctoberSANJAI BHAGAT</v>
      </c>
      <c r="P7" s="89">
        <f>IFERROR(VLOOKUP(O7,'Daily Attendance Report 24-25'!$A$1:CB982,5,0),"")</f>
        <v>30</v>
      </c>
      <c r="Q7" s="89" t="str">
        <f t="shared" si="8"/>
        <v>NovemberSANJAI BHAGAT</v>
      </c>
      <c r="R7" s="89">
        <f>IFERROR(VLOOKUP(Q7,'Daily Attendance Report 24-25'!$A$1:CD982,5,0),"")</f>
        <v>29</v>
      </c>
      <c r="S7" s="89" t="str">
        <f t="shared" si="9"/>
        <v>DecemberSANJAI BHAGAT</v>
      </c>
      <c r="T7" s="89">
        <f>IFERROR(VLOOKUP(S7,'Daily Attendance Report 24-25'!$A$1:CF982,5,0),"")</f>
        <v>24.5</v>
      </c>
      <c r="U7" s="89" t="str">
        <f t="shared" si="10"/>
        <v>JanuarySANJAI BHAGAT</v>
      </c>
      <c r="V7" s="89" t="str">
        <f>IFERROR(VLOOKUP(U7,'Daily Attendance Report 24-25'!$A$1:CH982,5,0),"")</f>
        <v/>
      </c>
      <c r="W7" s="89" t="str">
        <f t="shared" si="11"/>
        <v>FebruarySANJAI BHAGAT</v>
      </c>
      <c r="X7" s="89" t="str">
        <f>IFERROR(VLOOKUP(W7,'Daily Attendance Report 24-25'!$A$1:CJ982,5,0),"")</f>
        <v/>
      </c>
      <c r="Y7" s="89" t="str">
        <f t="shared" si="12"/>
        <v>MarchSANJAI BHAGAT</v>
      </c>
      <c r="Z7" s="89">
        <f>IFERROR(VLOOKUP(Y7,'Daily Attendance Report 24-25'!$A$1:CL982,5,0),"")</f>
        <v>7</v>
      </c>
      <c r="AA7" s="101">
        <f t="shared" si="13"/>
        <v>241</v>
      </c>
      <c r="AB7" s="101"/>
      <c r="AC7" s="101"/>
      <c r="AD7" s="101"/>
      <c r="AE7" s="101"/>
      <c r="AF7" s="101"/>
      <c r="AG7" s="101"/>
      <c r="AH7" s="101"/>
      <c r="AI7" s="101"/>
      <c r="AJ7" s="101"/>
      <c r="AK7" s="101"/>
      <c r="AL7" s="101"/>
      <c r="AM7" s="101"/>
    </row>
    <row r="8">
      <c r="A8" s="8" t="s">
        <v>37</v>
      </c>
      <c r="B8" s="101" t="str">
        <f>IFERROR(VLOOKUP(A8,'Employees List'!B8:C982,2,0),"")</f>
        <v>AMMU</v>
      </c>
      <c r="C8" s="89" t="str">
        <f t="shared" si="1"/>
        <v>AprilAMMU</v>
      </c>
      <c r="D8" s="89" t="str">
        <f>IFERROR(VLOOKUP(C8,'Daily Attendance Report 24-25'!A7:BP982,5,0),"")</f>
        <v/>
      </c>
      <c r="E8" s="89" t="str">
        <f t="shared" si="2"/>
        <v>MayAMMU</v>
      </c>
      <c r="F8" s="89" t="str">
        <f>IFERROR(VLOOKUP(E8,'Daily Attendance Report 24-25'!$A$1:BR982,5,0),"")</f>
        <v/>
      </c>
      <c r="G8" s="89" t="str">
        <f t="shared" si="3"/>
        <v>JuneAMMU</v>
      </c>
      <c r="H8" s="89" t="str">
        <f>IFERROR(VLOOKUP(G8,'Daily Attendance Report 24-25'!$A$1:BT982,5,0),"")</f>
        <v/>
      </c>
      <c r="I8" s="89" t="str">
        <f t="shared" si="4"/>
        <v>JulyAMMU</v>
      </c>
      <c r="J8" s="89" t="str">
        <f>IFERROR(VLOOKUP(I8,'Daily Attendance Report 24-25'!$A$1:BV982,5,0),"")</f>
        <v/>
      </c>
      <c r="K8" s="146" t="str">
        <f t="shared" si="5"/>
        <v>AugustAMMU</v>
      </c>
      <c r="L8" s="89">
        <f>IFERROR(VLOOKUP(K8,'Daily Attendance Report 24-25'!$A$1:BP982,5,0),"")</f>
        <v>30</v>
      </c>
      <c r="M8" s="89" t="str">
        <f t="shared" si="6"/>
        <v>SeptemberAMMU</v>
      </c>
      <c r="N8" s="89">
        <f>IFERROR(VLOOKUP(M8,'Daily Attendance Report 24-25'!$A$1:BZ982,5,0),"")</f>
        <v>30</v>
      </c>
      <c r="O8" s="89" t="str">
        <f t="shared" si="7"/>
        <v>OctoberAMMU</v>
      </c>
      <c r="P8" s="89">
        <f>IFERROR(VLOOKUP(O8,'Daily Attendance Report 24-25'!$A$1:CB982,5,0),"")</f>
        <v>31</v>
      </c>
      <c r="Q8" s="89" t="str">
        <f t="shared" si="8"/>
        <v>NovemberAMMU</v>
      </c>
      <c r="R8" s="89">
        <f>IFERROR(VLOOKUP(Q8,'Daily Attendance Report 24-25'!$A$1:CD982,5,0),"")</f>
        <v>25</v>
      </c>
      <c r="S8" s="89" t="str">
        <f t="shared" si="9"/>
        <v>DecemberAMMU</v>
      </c>
      <c r="T8" s="89">
        <f>IFERROR(VLOOKUP(S8,'Daily Attendance Report 24-25'!$A$1:CF982,5,0),"")</f>
        <v>31</v>
      </c>
      <c r="U8" s="89" t="str">
        <f t="shared" si="10"/>
        <v>JanuaryAMMU</v>
      </c>
      <c r="V8" s="89">
        <f>IFERROR(VLOOKUP(U8,'Daily Attendance Report 24-25'!$A$1:CH982,5,0),"")</f>
        <v>29</v>
      </c>
      <c r="W8" s="89" t="str">
        <f t="shared" si="11"/>
        <v>FebruaryAMMU</v>
      </c>
      <c r="X8" s="89">
        <f>IFERROR(VLOOKUP(W8,'Daily Attendance Report 24-25'!$A$1:CJ982,5,0),"")</f>
        <v>27</v>
      </c>
      <c r="Y8" s="89" t="str">
        <f t="shared" si="12"/>
        <v>MarchAMMU</v>
      </c>
      <c r="Z8" s="89">
        <f>IFERROR(VLOOKUP(Y8,'Daily Attendance Report 24-25'!$A$1:CL982,5,0),"")</f>
        <v>30.5</v>
      </c>
      <c r="AA8" s="101">
        <f t="shared" si="13"/>
        <v>233.5</v>
      </c>
      <c r="AB8" s="101"/>
      <c r="AC8" s="101"/>
      <c r="AD8" s="101"/>
      <c r="AE8" s="101"/>
      <c r="AF8" s="101"/>
      <c r="AG8" s="101"/>
      <c r="AH8" s="101"/>
      <c r="AI8" s="101"/>
      <c r="AJ8" s="101"/>
      <c r="AK8" s="101"/>
      <c r="AL8" s="101"/>
      <c r="AM8" s="101"/>
    </row>
    <row r="9">
      <c r="A9" s="8" t="s">
        <v>41</v>
      </c>
      <c r="B9" s="101" t="str">
        <f>IFERROR(VLOOKUP(A9,'Employees List'!B9:C982,2,0),"")</f>
        <v>REVATHI S</v>
      </c>
      <c r="C9" s="89" t="str">
        <f t="shared" si="1"/>
        <v>AprilREVATHI S</v>
      </c>
      <c r="D9" s="89" t="str">
        <f>IFERROR(VLOOKUP(C9,'Daily Attendance Report 24-25'!A8:BP982,5,0),"")</f>
        <v/>
      </c>
      <c r="E9" s="89" t="str">
        <f t="shared" si="2"/>
        <v>MayREVATHI S</v>
      </c>
      <c r="F9" s="89" t="str">
        <f>IFERROR(VLOOKUP(E9,'Daily Attendance Report 24-25'!$A$1:BR982,5,0),"")</f>
        <v/>
      </c>
      <c r="G9" s="89" t="str">
        <f t="shared" si="3"/>
        <v>JuneREVATHI S</v>
      </c>
      <c r="H9" s="89" t="str">
        <f>IFERROR(VLOOKUP(G9,'Daily Attendance Report 24-25'!$A$1:BT982,5,0),"")</f>
        <v/>
      </c>
      <c r="I9" s="89" t="str">
        <f t="shared" si="4"/>
        <v>JulyREVATHI S</v>
      </c>
      <c r="J9" s="89" t="str">
        <f>IFERROR(VLOOKUP(I9,'Daily Attendance Report 24-25'!$A$1:BV982,5,0),"")</f>
        <v/>
      </c>
      <c r="K9" s="146" t="str">
        <f t="shared" si="5"/>
        <v>AugustREVATHI S</v>
      </c>
      <c r="L9" s="89">
        <f>IFERROR(VLOOKUP(K9,'Daily Attendance Report 24-25'!$A$1:BP982,5,0),"")</f>
        <v>20.5</v>
      </c>
      <c r="M9" s="89" t="str">
        <f t="shared" si="6"/>
        <v>SeptemberREVATHI S</v>
      </c>
      <c r="N9" s="89">
        <f>IFERROR(VLOOKUP(M9,'Daily Attendance Report 24-25'!$A$1:BZ982,5,0),"")</f>
        <v>26</v>
      </c>
      <c r="O9" s="89" t="str">
        <f t="shared" si="7"/>
        <v>OctoberREVATHI S</v>
      </c>
      <c r="P9" s="89">
        <f>IFERROR(VLOOKUP(O9,'Daily Attendance Report 24-25'!$A$1:CB982,5,0),"")</f>
        <v>29</v>
      </c>
      <c r="Q9" s="89" t="str">
        <f t="shared" si="8"/>
        <v>NovemberREVATHI S</v>
      </c>
      <c r="R9" s="89">
        <f>IFERROR(VLOOKUP(Q9,'Daily Attendance Report 24-25'!$A$1:CD982,5,0),"")</f>
        <v>29</v>
      </c>
      <c r="S9" s="89" t="str">
        <f t="shared" si="9"/>
        <v>DecemberREVATHI S</v>
      </c>
      <c r="T9" s="89">
        <f>IFERROR(VLOOKUP(S9,'Daily Attendance Report 24-25'!$A$1:CF982,5,0),"")</f>
        <v>27.5</v>
      </c>
      <c r="U9" s="89" t="str">
        <f t="shared" si="10"/>
        <v>JanuaryREVATHI S</v>
      </c>
      <c r="V9" s="89">
        <f>IFERROR(VLOOKUP(U9,'Daily Attendance Report 24-25'!$A$1:CH982,5,0),"")</f>
        <v>28</v>
      </c>
      <c r="W9" s="89" t="str">
        <f t="shared" si="11"/>
        <v>FebruaryREVATHI S</v>
      </c>
      <c r="X9" s="89">
        <f>IFERROR(VLOOKUP(W9,'Daily Attendance Report 24-25'!$A$1:CJ982,5,0),"")</f>
        <v>25.5</v>
      </c>
      <c r="Y9" s="89" t="str">
        <f t="shared" si="12"/>
        <v>MarchREVATHI S</v>
      </c>
      <c r="Z9" s="89">
        <f>IFERROR(VLOOKUP(Y9,'Daily Attendance Report 24-25'!$A$1:CL982,5,0),"")</f>
        <v>29</v>
      </c>
      <c r="AA9" s="101">
        <f t="shared" si="13"/>
        <v>214.5</v>
      </c>
      <c r="AB9" s="101"/>
      <c r="AC9" s="101"/>
      <c r="AD9" s="101"/>
      <c r="AE9" s="101"/>
      <c r="AF9" s="101"/>
      <c r="AG9" s="101"/>
      <c r="AH9" s="101"/>
      <c r="AI9" s="101"/>
      <c r="AJ9" s="101"/>
      <c r="AK9" s="101"/>
      <c r="AL9" s="101"/>
      <c r="AM9" s="101"/>
    </row>
    <row r="10">
      <c r="A10" s="8" t="s">
        <v>64</v>
      </c>
      <c r="B10" s="101" t="str">
        <f>IFERROR(VLOOKUP(A10,'Employees List'!B10:C982,2,0),"")</f>
        <v>SUNDARI</v>
      </c>
      <c r="C10" s="89" t="str">
        <f t="shared" si="1"/>
        <v>AprilSUNDARI</v>
      </c>
      <c r="D10" s="89">
        <f>IFERROR(VLOOKUP(C10,'Daily Attendance Report 24-25'!A9:BP982,5,0),"")</f>
        <v>30</v>
      </c>
      <c r="E10" s="89" t="str">
        <f t="shared" si="2"/>
        <v>MaySUNDARI</v>
      </c>
      <c r="F10" s="89">
        <f>IFERROR(VLOOKUP(E10,'Daily Attendance Report 24-25'!$A$1:BR982,5,0),"")</f>
        <v>31</v>
      </c>
      <c r="G10" s="89" t="str">
        <f t="shared" si="3"/>
        <v>JuneSUNDARI</v>
      </c>
      <c r="H10" s="89">
        <f>IFERROR(VLOOKUP(G10,'Daily Attendance Report 24-25'!$A$1:BT982,5,0),"")</f>
        <v>30</v>
      </c>
      <c r="I10" s="89" t="str">
        <f t="shared" si="4"/>
        <v>JulySUNDARI</v>
      </c>
      <c r="J10" s="89">
        <f>IFERROR(VLOOKUP(I10,'Daily Attendance Report 24-25'!$A$1:BV982,5,0),"")</f>
        <v>31</v>
      </c>
      <c r="K10" s="146" t="str">
        <f t="shared" si="5"/>
        <v>AugustSUNDARI</v>
      </c>
      <c r="L10" s="89">
        <f>IFERROR(VLOOKUP(K10,'Daily Attendance Report 24-25'!$A$1:BP982,5,0),"")</f>
        <v>31</v>
      </c>
      <c r="M10" s="89" t="str">
        <f t="shared" si="6"/>
        <v>SeptemberSUNDARI</v>
      </c>
      <c r="N10" s="89">
        <f>IFERROR(VLOOKUP(M10,'Daily Attendance Report 24-25'!$A$1:BZ982,5,0),"")</f>
        <v>30</v>
      </c>
      <c r="O10" s="89" t="str">
        <f t="shared" si="7"/>
        <v>OctoberSUNDARI</v>
      </c>
      <c r="P10" s="89">
        <f>IFERROR(VLOOKUP(O10,'Daily Attendance Report 24-25'!$A$1:CB982,5,0),"")</f>
        <v>31</v>
      </c>
      <c r="Q10" s="89" t="str">
        <f t="shared" si="8"/>
        <v>NovemberSUNDARI</v>
      </c>
      <c r="R10" s="89">
        <f>IFERROR(VLOOKUP(Q10,'Daily Attendance Report 24-25'!$A$1:CD982,5,0),"")</f>
        <v>30</v>
      </c>
      <c r="S10" s="89" t="str">
        <f t="shared" si="9"/>
        <v>DecemberSUNDARI</v>
      </c>
      <c r="T10" s="89">
        <f>IFERROR(VLOOKUP(S10,'Daily Attendance Report 24-25'!$A$1:CF982,5,0),"")</f>
        <v>31</v>
      </c>
      <c r="U10" s="89" t="str">
        <f t="shared" si="10"/>
        <v>JanuarySUNDARI</v>
      </c>
      <c r="V10" s="89">
        <f>IFERROR(VLOOKUP(U10,'Daily Attendance Report 24-25'!$A$1:CH982,5,0),"")</f>
        <v>31</v>
      </c>
      <c r="W10" s="89" t="str">
        <f t="shared" si="11"/>
        <v>FebruarySUNDARI</v>
      </c>
      <c r="X10" s="89">
        <f>IFERROR(VLOOKUP(W10,'Daily Attendance Report 24-25'!$A$1:CJ982,5,0),"")</f>
        <v>28</v>
      </c>
      <c r="Y10" s="89" t="str">
        <f t="shared" si="12"/>
        <v>MarchSUNDARI</v>
      </c>
      <c r="Z10" s="89">
        <f>IFERROR(VLOOKUP(Y10,'Daily Attendance Report 24-25'!$A$1:CL982,5,0),"")</f>
        <v>31</v>
      </c>
      <c r="AA10" s="101">
        <f t="shared" si="13"/>
        <v>365</v>
      </c>
      <c r="AB10" s="101"/>
      <c r="AC10" s="101"/>
      <c r="AD10" s="101"/>
      <c r="AE10" s="101"/>
      <c r="AF10" s="101"/>
      <c r="AG10" s="101"/>
      <c r="AH10" s="101"/>
      <c r="AI10" s="101"/>
      <c r="AJ10" s="101"/>
      <c r="AK10" s="101"/>
      <c r="AL10" s="101"/>
      <c r="AM10" s="101"/>
    </row>
    <row r="11">
      <c r="A11" s="8" t="s">
        <v>67</v>
      </c>
      <c r="B11" s="101" t="str">
        <f>IFERROR(VLOOKUP(A11,'Employees List'!B11:C982,2,0),"")</f>
        <v>LEELA</v>
      </c>
      <c r="C11" s="89" t="str">
        <f t="shared" si="1"/>
        <v>AprilLEELA</v>
      </c>
      <c r="D11" s="89" t="str">
        <f>IFERROR(VLOOKUP(C11,'Daily Attendance Report 24-25'!A10:BP982,5,0),"")</f>
        <v/>
      </c>
      <c r="E11" s="89" t="str">
        <f t="shared" si="2"/>
        <v>MayLEELA</v>
      </c>
      <c r="F11" s="89" t="str">
        <f>IFERROR(VLOOKUP(E11,'Daily Attendance Report 24-25'!$A$1:BR982,5,0),"")</f>
        <v/>
      </c>
      <c r="G11" s="89" t="str">
        <f t="shared" si="3"/>
        <v>JuneLEELA</v>
      </c>
      <c r="H11" s="89" t="str">
        <f>IFERROR(VLOOKUP(G11,'Daily Attendance Report 24-25'!$A$1:BT982,5,0),"")</f>
        <v/>
      </c>
      <c r="I11" s="89" t="str">
        <f t="shared" si="4"/>
        <v>JulyLEELA</v>
      </c>
      <c r="J11" s="89" t="str">
        <f>IFERROR(VLOOKUP(I11,'Daily Attendance Report 24-25'!$A$1:BV982,5,0),"")</f>
        <v/>
      </c>
      <c r="K11" s="146" t="str">
        <f t="shared" si="5"/>
        <v>AugustLEELA</v>
      </c>
      <c r="L11" s="89">
        <f>IFERROR(VLOOKUP(K11,'Daily Attendance Report 24-25'!$A$1:BP982,5,0),"")</f>
        <v>29</v>
      </c>
      <c r="M11" s="89" t="str">
        <f t="shared" si="6"/>
        <v>SeptemberLEELA</v>
      </c>
      <c r="N11" s="89">
        <f>IFERROR(VLOOKUP(M11,'Daily Attendance Report 24-25'!$A$1:BZ982,5,0),"")</f>
        <v>30</v>
      </c>
      <c r="O11" s="89" t="str">
        <f t="shared" si="7"/>
        <v>OctoberLEELA</v>
      </c>
      <c r="P11" s="89">
        <f>IFERROR(VLOOKUP(O11,'Daily Attendance Report 24-25'!$A$1:CB982,5,0),"")</f>
        <v>30</v>
      </c>
      <c r="Q11" s="89" t="str">
        <f t="shared" si="8"/>
        <v>NovemberLEELA</v>
      </c>
      <c r="R11" s="89">
        <f>IFERROR(VLOOKUP(Q11,'Daily Attendance Report 24-25'!$A$1:CD982,5,0),"")</f>
        <v>28</v>
      </c>
      <c r="S11" s="89" t="str">
        <f t="shared" si="9"/>
        <v>DecemberLEELA</v>
      </c>
      <c r="T11" s="89">
        <f>IFERROR(VLOOKUP(S11,'Daily Attendance Report 24-25'!$A$1:CF982,5,0),"")</f>
        <v>30</v>
      </c>
      <c r="U11" s="89" t="str">
        <f t="shared" si="10"/>
        <v>JanuaryLEELA</v>
      </c>
      <c r="V11" s="89">
        <f>IFERROR(VLOOKUP(U11,'Daily Attendance Report 24-25'!$A$1:CH982,5,0),"")</f>
        <v>31</v>
      </c>
      <c r="W11" s="89" t="str">
        <f t="shared" si="11"/>
        <v>FebruaryLEELA</v>
      </c>
      <c r="X11" s="89">
        <f>IFERROR(VLOOKUP(W11,'Daily Attendance Report 24-25'!$A$1:CJ982,5,0),"")</f>
        <v>28</v>
      </c>
      <c r="Y11" s="89" t="str">
        <f t="shared" si="12"/>
        <v>MarchLEELA</v>
      </c>
      <c r="Z11" s="89">
        <f>IFERROR(VLOOKUP(Y11,'Daily Attendance Report 24-25'!$A$1:CL982,5,0),"")</f>
        <v>31</v>
      </c>
      <c r="AA11" s="101">
        <f t="shared" si="13"/>
        <v>237</v>
      </c>
      <c r="AB11" s="101"/>
      <c r="AC11" s="101"/>
      <c r="AD11" s="101"/>
      <c r="AE11" s="101"/>
      <c r="AF11" s="101"/>
      <c r="AG11" s="101"/>
      <c r="AH11" s="101"/>
      <c r="AI11" s="101"/>
      <c r="AJ11" s="101"/>
      <c r="AK11" s="101"/>
      <c r="AL11" s="101"/>
      <c r="AM11" s="101"/>
    </row>
    <row r="12">
      <c r="A12" s="8" t="s">
        <v>70</v>
      </c>
      <c r="B12" s="101" t="str">
        <f>IFERROR(VLOOKUP(A12,'Employees List'!B12:C982,2,0),"")</f>
        <v>Mathi</v>
      </c>
      <c r="C12" s="89" t="str">
        <f t="shared" si="1"/>
        <v>AprilMathi</v>
      </c>
      <c r="D12" s="89">
        <f>IFERROR(VLOOKUP(C12,'Daily Attendance Report 24-25'!A11:BP982,5,0),"")</f>
        <v>28</v>
      </c>
      <c r="E12" s="89" t="str">
        <f t="shared" si="2"/>
        <v>MayMathi</v>
      </c>
      <c r="F12" s="89">
        <f>IFERROR(VLOOKUP(E12,'Daily Attendance Report 24-25'!$A$1:BR982,5,0),"")</f>
        <v>30.5</v>
      </c>
      <c r="G12" s="89" t="str">
        <f t="shared" si="3"/>
        <v>JuneMathi</v>
      </c>
      <c r="H12" s="89">
        <f>IFERROR(VLOOKUP(G12,'Daily Attendance Report 24-25'!$A$1:BT982,5,0),"")</f>
        <v>28</v>
      </c>
      <c r="I12" s="89" t="str">
        <f t="shared" si="4"/>
        <v>JulyMathi</v>
      </c>
      <c r="J12" s="89">
        <f>IFERROR(VLOOKUP(I12,'Daily Attendance Report 24-25'!$A$1:BV982,5,0),"")</f>
        <v>26</v>
      </c>
      <c r="K12" s="146" t="str">
        <f t="shared" si="5"/>
        <v>AugustMathi</v>
      </c>
      <c r="L12" s="89">
        <f>IFERROR(VLOOKUP(K12,'Daily Attendance Report 24-25'!$A$1:BP982,5,0),"")</f>
        <v>16.5</v>
      </c>
      <c r="M12" s="89" t="str">
        <f t="shared" si="6"/>
        <v>SeptemberMathi</v>
      </c>
      <c r="N12" s="89">
        <f>IFERROR(VLOOKUP(M12,'Daily Attendance Report 24-25'!$A$1:BZ982,5,0),"")</f>
        <v>29</v>
      </c>
      <c r="O12" s="89" t="str">
        <f t="shared" si="7"/>
        <v>OctoberMathi</v>
      </c>
      <c r="P12" s="89">
        <f>IFERROR(VLOOKUP(O12,'Daily Attendance Report 24-25'!$A$1:CB982,5,0),"")</f>
        <v>29</v>
      </c>
      <c r="Q12" s="89" t="str">
        <f t="shared" si="8"/>
        <v>NovemberMathi</v>
      </c>
      <c r="R12" s="89">
        <f>IFERROR(VLOOKUP(Q12,'Daily Attendance Report 24-25'!$A$1:CD982,5,0),"")</f>
        <v>28</v>
      </c>
      <c r="S12" s="89" t="str">
        <f t="shared" si="9"/>
        <v>DecemberMathi</v>
      </c>
      <c r="T12" s="89">
        <f>IFERROR(VLOOKUP(S12,'Daily Attendance Report 24-25'!$A$1:CF982,5,0),"")</f>
        <v>29.5</v>
      </c>
      <c r="U12" s="89" t="str">
        <f t="shared" si="10"/>
        <v>JanuaryMathi</v>
      </c>
      <c r="V12" s="89">
        <f>IFERROR(VLOOKUP(U12,'Daily Attendance Report 24-25'!$A$1:CH982,5,0),"")</f>
        <v>19.5</v>
      </c>
      <c r="W12" s="89" t="str">
        <f t="shared" si="11"/>
        <v>FebruaryMathi</v>
      </c>
      <c r="X12" s="89">
        <f>IFERROR(VLOOKUP(W12,'Daily Attendance Report 24-25'!$A$1:CJ982,5,0),"")</f>
        <v>25</v>
      </c>
      <c r="Y12" s="89" t="str">
        <f t="shared" si="12"/>
        <v>MarchMathi</v>
      </c>
      <c r="Z12" s="89">
        <f>IFERROR(VLOOKUP(Y12,'Daily Attendance Report 24-25'!$A$1:CL982,5,0),"")</f>
        <v>23.5</v>
      </c>
      <c r="AA12" s="101">
        <f t="shared" si="13"/>
        <v>312.5</v>
      </c>
      <c r="AB12" s="101"/>
      <c r="AC12" s="101"/>
      <c r="AD12" s="101"/>
      <c r="AE12" s="101"/>
      <c r="AF12" s="101"/>
      <c r="AG12" s="101"/>
      <c r="AH12" s="101"/>
      <c r="AI12" s="101"/>
      <c r="AJ12" s="101"/>
      <c r="AK12" s="101"/>
      <c r="AL12" s="101"/>
      <c r="AM12" s="101"/>
    </row>
    <row r="13">
      <c r="A13" s="8" t="s">
        <v>83</v>
      </c>
      <c r="B13" s="101" t="str">
        <f>IFERROR(VLOOKUP(A13,'Employees List'!B13:C982,2,0),"")</f>
        <v>LIPAN</v>
      </c>
      <c r="C13" s="89" t="str">
        <f t="shared" si="1"/>
        <v>AprilLIPAN</v>
      </c>
      <c r="D13" s="89">
        <f>IFERROR(VLOOKUP(C13,'Daily Attendance Report 24-25'!A12:BP982,5,0),"")</f>
        <v>11.5</v>
      </c>
      <c r="E13" s="89" t="str">
        <f t="shared" si="2"/>
        <v>MayLIPAN</v>
      </c>
      <c r="F13" s="89" t="str">
        <f>IFERROR(VLOOKUP(E13,'Daily Attendance Report 24-25'!$A$1:BR982,5,0),"")</f>
        <v/>
      </c>
      <c r="G13" s="89" t="str">
        <f t="shared" si="3"/>
        <v>JuneLIPAN</v>
      </c>
      <c r="H13" s="89">
        <f>IFERROR(VLOOKUP(G13,'Daily Attendance Report 24-25'!$A$1:BT982,5,0),"")</f>
        <v>11</v>
      </c>
      <c r="I13" s="89" t="str">
        <f t="shared" si="4"/>
        <v>JulyLIPAN</v>
      </c>
      <c r="J13" s="89">
        <f>IFERROR(VLOOKUP(I13,'Daily Attendance Report 24-25'!$A$1:BV982,5,0),"")</f>
        <v>30</v>
      </c>
      <c r="K13" s="146" t="str">
        <f t="shared" si="5"/>
        <v>AugustLIPAN</v>
      </c>
      <c r="L13" s="89">
        <f>IFERROR(VLOOKUP(K13,'Daily Attendance Report 24-25'!$A$1:BP982,5,0),"")</f>
        <v>31</v>
      </c>
      <c r="M13" s="89" t="str">
        <f t="shared" si="6"/>
        <v>SeptemberLIPAN</v>
      </c>
      <c r="N13" s="89">
        <f>IFERROR(VLOOKUP(M13,'Daily Attendance Report 24-25'!$A$1:BZ982,5,0),"")</f>
        <v>28</v>
      </c>
      <c r="O13" s="89" t="str">
        <f t="shared" si="7"/>
        <v>OctoberLIPAN</v>
      </c>
      <c r="P13" s="89">
        <f>IFERROR(VLOOKUP(O13,'Daily Attendance Report 24-25'!$A$1:CB982,5,0),"")</f>
        <v>31</v>
      </c>
      <c r="Q13" s="89" t="str">
        <f t="shared" si="8"/>
        <v>NovemberLIPAN</v>
      </c>
      <c r="R13" s="89">
        <f>IFERROR(VLOOKUP(Q13,'Daily Attendance Report 24-25'!$A$1:CD982,5,0),"")</f>
        <v>28.5</v>
      </c>
      <c r="S13" s="89" t="str">
        <f t="shared" si="9"/>
        <v>DecemberLIPAN</v>
      </c>
      <c r="T13" s="89" t="str">
        <f>IFERROR(VLOOKUP(S13,'Daily Attendance Report 24-25'!$A$1:CF982,5,0),"")</f>
        <v/>
      </c>
      <c r="U13" s="89" t="str">
        <f t="shared" si="10"/>
        <v>JanuaryLIPAN</v>
      </c>
      <c r="V13" s="89" t="str">
        <f>IFERROR(VLOOKUP(U13,'Daily Attendance Report 24-25'!$A$1:CH982,5,0),"")</f>
        <v/>
      </c>
      <c r="W13" s="89" t="str">
        <f t="shared" si="11"/>
        <v>FebruaryLIPAN</v>
      </c>
      <c r="X13" s="89" t="str">
        <f>IFERROR(VLOOKUP(W13,'Daily Attendance Report 24-25'!$A$1:CJ982,5,0),"")</f>
        <v/>
      </c>
      <c r="Y13" s="89" t="str">
        <f t="shared" si="12"/>
        <v>MarchLIPAN</v>
      </c>
      <c r="Z13" s="89" t="str">
        <f>IFERROR(VLOOKUP(Y13,'Daily Attendance Report 24-25'!$A$1:CL982,5,0),"")</f>
        <v/>
      </c>
      <c r="AA13" s="101">
        <f t="shared" si="13"/>
        <v>171</v>
      </c>
      <c r="AB13" s="101"/>
      <c r="AC13" s="101"/>
      <c r="AD13" s="101"/>
      <c r="AE13" s="101"/>
      <c r="AF13" s="101"/>
      <c r="AG13" s="101"/>
      <c r="AH13" s="101"/>
      <c r="AI13" s="101"/>
      <c r="AJ13" s="101"/>
      <c r="AK13" s="101"/>
      <c r="AL13" s="101"/>
      <c r="AM13" s="101"/>
    </row>
    <row r="14">
      <c r="A14" s="8" t="s">
        <v>90</v>
      </c>
      <c r="B14" s="101" t="str">
        <f>IFERROR(VLOOKUP(A14,'Employees List'!B14:C982,2,0),"")</f>
        <v>NILAMANI</v>
      </c>
      <c r="C14" s="89" t="str">
        <f t="shared" si="1"/>
        <v>AprilNILAMANI</v>
      </c>
      <c r="D14" s="89" t="str">
        <f>IFERROR(VLOOKUP(C14,'Daily Attendance Report 24-25'!A13:BP982,5,0),"")</f>
        <v/>
      </c>
      <c r="E14" s="89" t="str">
        <f t="shared" si="2"/>
        <v>MayNILAMANI</v>
      </c>
      <c r="F14" s="89" t="str">
        <f>IFERROR(VLOOKUP(E14,'Daily Attendance Report 24-25'!$A$1:BR982,5,0),"")</f>
        <v/>
      </c>
      <c r="G14" s="89" t="str">
        <f t="shared" si="3"/>
        <v>JuneNILAMANI</v>
      </c>
      <c r="H14" s="89" t="str">
        <f>IFERROR(VLOOKUP(G14,'Daily Attendance Report 24-25'!$A$1:BT982,5,0),"")</f>
        <v/>
      </c>
      <c r="I14" s="89" t="str">
        <f t="shared" si="4"/>
        <v>JulyNILAMANI</v>
      </c>
      <c r="J14" s="89" t="str">
        <f>IFERROR(VLOOKUP(I14,'Daily Attendance Report 24-25'!$A$1:BV982,5,0),"")</f>
        <v/>
      </c>
      <c r="K14" s="146" t="str">
        <f t="shared" si="5"/>
        <v>AugustNILAMANI</v>
      </c>
      <c r="L14" s="89" t="str">
        <f>IFERROR(VLOOKUP(K14,'Daily Attendance Report 24-25'!$A$1:BP982,5,0),"")</f>
        <v/>
      </c>
      <c r="M14" s="89" t="str">
        <f t="shared" si="6"/>
        <v>SeptemberNILAMANI</v>
      </c>
      <c r="N14" s="89" t="str">
        <f>IFERROR(VLOOKUP(M14,'Daily Attendance Report 24-25'!$A$1:BZ982,5,0),"")</f>
        <v/>
      </c>
      <c r="O14" s="89" t="str">
        <f t="shared" si="7"/>
        <v>OctoberNILAMANI</v>
      </c>
      <c r="P14" s="89" t="str">
        <f>IFERROR(VLOOKUP(O14,'Daily Attendance Report 24-25'!$A$1:CB982,5,0),"")</f>
        <v/>
      </c>
      <c r="Q14" s="89" t="str">
        <f t="shared" si="8"/>
        <v>NovemberNILAMANI</v>
      </c>
      <c r="R14" s="89" t="str">
        <f>IFERROR(VLOOKUP(Q14,'Daily Attendance Report 24-25'!$A$1:CD982,5,0),"")</f>
        <v/>
      </c>
      <c r="S14" s="89" t="str">
        <f t="shared" si="9"/>
        <v>DecemberNILAMANI</v>
      </c>
      <c r="T14" s="89" t="str">
        <f>IFERROR(VLOOKUP(S14,'Daily Attendance Report 24-25'!$A$1:CF982,5,0),"")</f>
        <v/>
      </c>
      <c r="U14" s="89" t="str">
        <f t="shared" si="10"/>
        <v>JanuaryNILAMANI</v>
      </c>
      <c r="V14" s="89" t="str">
        <f>IFERROR(VLOOKUP(U14,'Daily Attendance Report 24-25'!$A$1:CH982,5,0),"")</f>
        <v/>
      </c>
      <c r="W14" s="89" t="str">
        <f t="shared" si="11"/>
        <v>FebruaryNILAMANI</v>
      </c>
      <c r="X14" s="89" t="str">
        <f>IFERROR(VLOOKUP(W14,'Daily Attendance Report 24-25'!$A$1:CJ982,5,0),"")</f>
        <v/>
      </c>
      <c r="Y14" s="89" t="str">
        <f t="shared" si="12"/>
        <v>MarchNILAMANI</v>
      </c>
      <c r="Z14" s="89" t="str">
        <f>IFERROR(VLOOKUP(Y14,'Daily Attendance Report 24-25'!$A$1:CL982,5,0),"")</f>
        <v/>
      </c>
      <c r="AA14" s="101">
        <f t="shared" si="13"/>
        <v>0</v>
      </c>
      <c r="AB14" s="101"/>
      <c r="AC14" s="101"/>
      <c r="AD14" s="101"/>
      <c r="AE14" s="101"/>
      <c r="AF14" s="101"/>
      <c r="AG14" s="101"/>
      <c r="AH14" s="101"/>
      <c r="AI14" s="101"/>
      <c r="AJ14" s="101"/>
      <c r="AK14" s="101"/>
      <c r="AL14" s="101"/>
      <c r="AM14" s="101"/>
    </row>
    <row r="15">
      <c r="A15" s="101"/>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row>
    <row r="16">
      <c r="A16" s="101"/>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row>
    <row r="17">
      <c r="A17" s="101"/>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row>
    <row r="18">
      <c r="A18" s="101"/>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row>
    <row r="19">
      <c r="A19" s="101"/>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row>
    <row r="20">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row>
    <row r="21">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row>
    <row r="22">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row>
    <row r="23">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row>
    <row r="24">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row>
    <row r="25">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row>
    <row r="26">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row>
    <row r="27">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row>
    <row r="28">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row>
    <row r="29">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row>
    <row r="30">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row>
    <row r="3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row>
    <row r="32">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row>
    <row r="33">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row>
    <row r="34">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row>
    <row r="35">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row>
    <row r="36">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row>
    <row r="37">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row>
    <row r="38">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row>
    <row r="39">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row>
    <row r="40">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row>
    <row r="4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row>
    <row r="42">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row>
    <row r="43">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row>
    <row r="44">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row>
    <row r="45">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row>
    <row r="46">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row>
    <row r="47">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row>
    <row r="48">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row>
    <row r="49">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row>
    <row r="50">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row>
    <row r="5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row>
    <row r="52">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row>
    <row r="53">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row>
    <row r="54">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row>
    <row r="55">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row>
    <row r="56">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row>
    <row r="57">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row>
    <row r="58">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row>
    <row r="59">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row>
    <row r="60">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row>
    <row r="6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row>
    <row r="62">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row>
    <row r="63">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row>
    <row r="64">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row>
    <row r="65">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row>
    <row r="66">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row>
    <row r="67">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row>
    <row r="68">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row>
    <row r="69">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row>
    <row r="70">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row>
    <row r="7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row>
    <row r="72">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row>
    <row r="73">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row>
    <row r="74">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row>
    <row r="75">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row>
    <row r="76">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row>
    <row r="77">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row>
    <row r="78">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row>
    <row r="79">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row>
    <row r="80">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row>
    <row r="8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row>
    <row r="82">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row>
    <row r="83">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row>
    <row r="84">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row>
    <row r="85">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row>
    <row r="86">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row>
    <row r="87">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row>
    <row r="88">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row>
    <row r="89">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row>
    <row r="90">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row>
    <row r="9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row>
    <row r="92">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row>
    <row r="93">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row>
    <row r="94">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row>
    <row r="95">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row>
    <row r="96">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row>
    <row r="97">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row>
    <row r="98">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row>
    <row r="99">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row>
    <row r="100">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row>
    <row r="10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row>
    <row r="102">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row>
    <row r="103">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row>
    <row r="104">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row>
    <row r="105">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row>
    <row r="106">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row>
    <row r="107">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row>
    <row r="108">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row>
    <row r="109">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row>
    <row r="110">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row>
    <row r="11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row>
    <row r="112">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row>
    <row r="113">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row>
    <row r="114">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row>
    <row r="115">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row>
    <row r="116">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row>
    <row r="117">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row>
    <row r="118">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row>
    <row r="119">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row>
    <row r="120">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row>
    <row r="12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row>
    <row r="122">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row>
    <row r="123">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row>
    <row r="124">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row>
    <row r="125">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row>
    <row r="126">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row>
    <row r="127">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row>
    <row r="128">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row>
    <row r="129">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row>
    <row r="130">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row>
    <row r="13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row>
    <row r="132">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row>
    <row r="133">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row>
    <row r="134">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row>
    <row r="135">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row>
    <row r="136">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row>
    <row r="137">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row>
    <row r="138">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row>
    <row r="139">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row>
    <row r="140">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row>
    <row r="14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row>
    <row r="142">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row>
    <row r="143">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row>
    <row r="144">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row>
    <row r="145">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row>
    <row r="146">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row>
    <row r="147">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row>
    <row r="148">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row>
    <row r="149">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row>
    <row r="150">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row>
    <row r="15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row>
    <row r="152">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row>
    <row r="153">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row>
    <row r="154">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row>
    <row r="155">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row>
    <row r="156">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row>
    <row r="157">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row>
    <row r="158">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row>
    <row r="159">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row>
    <row r="160">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row>
    <row r="16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row>
    <row r="162">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row>
    <row r="163">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row>
    <row r="164">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row>
    <row r="165">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row>
    <row r="166">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row>
    <row r="167">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row>
    <row r="168">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row>
    <row r="169">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row>
    <row r="170">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row>
    <row r="17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row>
    <row r="172">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row>
    <row r="173">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row>
    <row r="174">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row>
    <row r="175">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row>
    <row r="17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row>
    <row r="177">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row>
    <row r="178">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row>
    <row r="179">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row>
    <row r="180">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row>
    <row r="18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row>
    <row r="182">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row>
    <row r="183">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row>
    <row r="184">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row>
    <row r="18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row>
    <row r="18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row>
    <row r="187">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row>
    <row r="188">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row>
    <row r="189">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row>
    <row r="190">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row>
    <row r="19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row>
    <row r="192">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row>
    <row r="193">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row>
    <row r="194">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row>
    <row r="195">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row>
    <row r="19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row>
    <row r="197">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row>
    <row r="198">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row>
    <row r="199">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row>
    <row r="200">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row>
    <row r="20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row>
    <row r="202">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row>
    <row r="203">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row>
    <row r="204">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row>
    <row r="205">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row>
    <row r="206">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row>
    <row r="207">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row>
    <row r="208">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row>
    <row r="209">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row>
    <row r="210">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row>
    <row r="21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row>
    <row r="21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row>
    <row r="214">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row>
    <row r="215">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row>
    <row r="216">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row>
    <row r="217">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row>
    <row r="218">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row>
    <row r="219">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row>
    <row r="220">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row>
    <row r="22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row>
    <row r="222">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row>
    <row r="223">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row>
    <row r="224">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row>
    <row r="225">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row>
    <row r="226">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row>
    <row r="227">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row>
    <row r="228">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row>
    <row r="229">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row>
    <row r="230">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row>
    <row r="23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row>
    <row r="232">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row>
    <row r="233">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row>
    <row r="234">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row>
    <row r="235">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row>
    <row r="236">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row>
    <row r="237">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row>
    <row r="238">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row>
    <row r="239">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row>
    <row r="240">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row>
    <row r="24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row>
    <row r="242">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row>
    <row r="243">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row>
    <row r="244">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row>
    <row r="245">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row>
    <row r="246">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row>
    <row r="247">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row>
    <row r="248">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row>
    <row r="249">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row>
    <row r="250">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row>
    <row r="25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row>
    <row r="252">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row>
    <row r="253">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row>
    <row r="254">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row>
    <row r="255">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row>
    <row r="256">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row>
    <row r="257">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row>
    <row r="258">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row>
    <row r="259">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row>
    <row r="260">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row>
    <row r="26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row>
    <row r="262">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row>
    <row r="263">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row>
    <row r="264">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row>
    <row r="26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row>
    <row r="266">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row>
    <row r="267">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row>
    <row r="268">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row>
    <row r="269">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row>
    <row r="270">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row>
    <row r="27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row>
    <row r="272">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row>
    <row r="273">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row>
    <row r="274">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row>
    <row r="27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row>
    <row r="276">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row>
    <row r="277">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row>
    <row r="278">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row>
    <row r="279">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row>
    <row r="280">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row>
    <row r="28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row>
    <row r="282">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row>
    <row r="283">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row>
    <row r="284">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row>
    <row r="285">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row>
    <row r="286">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row>
    <row r="287">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row>
    <row r="288">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row>
    <row r="289">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row>
    <row r="290">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row>
    <row r="29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row>
    <row r="292">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row>
    <row r="293">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row>
    <row r="294">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row>
    <row r="295">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row>
    <row r="296">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row>
    <row r="297">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row>
    <row r="298">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row>
    <row r="299">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row>
    <row r="300">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row>
    <row r="30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row>
    <row r="302">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row>
    <row r="303">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row>
    <row r="304">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row>
    <row r="305">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row>
    <row r="306">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row>
    <row r="307">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row>
    <row r="308">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row>
    <row r="309">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row>
    <row r="310">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row>
    <row r="31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row>
    <row r="312">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row>
    <row r="313">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row>
    <row r="314">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row>
    <row r="315">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row>
    <row r="316">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row>
    <row r="317">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row>
    <row r="318">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row>
    <row r="319">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row>
    <row r="320">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row>
    <row r="32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row>
    <row r="322">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row>
    <row r="323">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row>
    <row r="324">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row>
    <row r="325">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row>
    <row r="326">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row>
    <row r="327">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row>
    <row r="328">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row>
    <row r="329">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row>
    <row r="330">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row>
    <row r="33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row>
    <row r="332">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row>
    <row r="333">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row>
    <row r="334">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row>
    <row r="335">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row>
    <row r="336">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row>
    <row r="337">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row>
    <row r="338">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row>
    <row r="339">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row>
    <row r="340">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row>
    <row r="34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row>
    <row r="342">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row>
    <row r="343">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row>
    <row r="344">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row>
    <row r="345">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row>
    <row r="346">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row>
    <row r="347">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row>
    <row r="348">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row>
    <row r="349">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row>
    <row r="350">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row>
    <row r="35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row>
    <row r="352">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row>
    <row r="353">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row>
    <row r="354">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row>
    <row r="355">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row>
    <row r="356">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row>
    <row r="357">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row>
    <row r="358">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row>
    <row r="359">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row>
    <row r="360">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row>
    <row r="36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row>
    <row r="362">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row>
    <row r="363">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row>
    <row r="364">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row>
    <row r="365">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row>
    <row r="366">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row>
    <row r="367">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row>
    <row r="368">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row>
    <row r="369">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row>
    <row r="370">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row>
    <row r="37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row>
    <row r="372">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row>
    <row r="373">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row>
    <row r="374">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row>
    <row r="375">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row>
    <row r="376">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row>
    <row r="377">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row>
    <row r="378">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row>
    <row r="379">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row>
    <row r="380">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row>
    <row r="38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row>
    <row r="382">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row>
    <row r="383">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row>
    <row r="384">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row>
    <row r="385">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row>
    <row r="38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row>
    <row r="387">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row>
    <row r="388">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row>
    <row r="389">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row>
    <row r="390">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row>
    <row r="39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row>
    <row r="392">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row>
    <row r="393">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row>
    <row r="394">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row>
    <row r="395">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row>
    <row r="39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row>
    <row r="397">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row>
    <row r="398">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row>
    <row r="399">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row>
    <row r="400">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row>
    <row r="40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row>
    <row r="402">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row>
    <row r="403">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row>
    <row r="404">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row>
    <row r="405">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row>
    <row r="40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row>
    <row r="407">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row>
    <row r="408">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row>
    <row r="409">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row>
    <row r="410">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row>
    <row r="41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row>
    <row r="412">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row>
    <row r="413">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row>
    <row r="414">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row>
    <row r="415">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row>
    <row r="41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row>
    <row r="417">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row>
    <row r="418">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row>
    <row r="419">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row>
    <row r="420">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row>
    <row r="42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row>
    <row r="422">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row>
    <row r="423">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row>
    <row r="424">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row>
    <row r="425">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row>
    <row r="4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row>
    <row r="427">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row>
    <row r="428">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row>
    <row r="429">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row>
    <row r="430">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row>
    <row r="43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row>
    <row r="432">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row>
    <row r="433">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row>
    <row r="434">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row>
    <row r="435">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row>
    <row r="43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row>
    <row r="437">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row>
    <row r="438">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row>
    <row r="439">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row>
    <row r="440">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row>
    <row r="44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row>
    <row r="442">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row>
    <row r="443">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row>
    <row r="444">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row>
    <row r="445">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row>
    <row r="44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row>
    <row r="447">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row>
    <row r="448">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row>
    <row r="449">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row>
    <row r="450">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row>
    <row r="45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row>
    <row r="452">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row>
    <row r="453">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row>
    <row r="454">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row>
    <row r="455">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row>
    <row r="45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row>
    <row r="457">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row>
    <row r="458">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row>
    <row r="459">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row>
    <row r="460">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row>
    <row r="46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row>
    <row r="462">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row>
    <row r="463">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row>
    <row r="464">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row>
    <row r="465">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row>
    <row r="46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row>
    <row r="467">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row>
    <row r="468">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row>
    <row r="469">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row>
    <row r="470">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row>
    <row r="47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row>
    <row r="472">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row>
    <row r="473">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row>
    <row r="474">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row>
    <row r="475">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row>
    <row r="47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row>
    <row r="477">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row>
    <row r="478">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row>
    <row r="479">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row>
    <row r="480">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row>
    <row r="48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row>
    <row r="482">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row>
    <row r="483">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row>
    <row r="484">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row>
    <row r="485">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row>
    <row r="48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row>
    <row r="487">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row>
    <row r="488">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row>
    <row r="489">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row>
    <row r="490">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row>
    <row r="49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row>
    <row r="492">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row>
    <row r="493">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row>
    <row r="494">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row>
    <row r="495">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row>
    <row r="49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row>
    <row r="497">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row>
    <row r="498">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row>
    <row r="499">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row>
    <row r="500">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row>
    <row r="50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row>
    <row r="502">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row>
    <row r="503">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row>
    <row r="504">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row>
    <row r="505">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row>
    <row r="50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row>
    <row r="507">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row>
    <row r="508">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row>
    <row r="509">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row>
    <row r="510">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row>
    <row r="51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row>
    <row r="512">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row>
    <row r="513">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row>
    <row r="514">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row>
    <row r="515">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row>
    <row r="51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row>
    <row r="517">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row>
    <row r="518">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row>
    <row r="519">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row>
    <row r="520">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row>
    <row r="52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row>
    <row r="522">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row>
    <row r="523">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row>
    <row r="524">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row>
    <row r="525">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row>
    <row r="5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row>
    <row r="527">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row>
    <row r="528">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row>
    <row r="529">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row>
    <row r="530">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row>
    <row r="53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row>
    <row r="532">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row>
    <row r="533">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row>
    <row r="534">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row>
    <row r="535">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row>
    <row r="53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row>
    <row r="537">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row>
    <row r="538">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row>
    <row r="539">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row>
    <row r="540">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row>
    <row r="54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row>
    <row r="542">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row>
    <row r="543">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row>
    <row r="544">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row>
    <row r="545">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row>
    <row r="54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row>
    <row r="547">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row>
    <row r="548">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row>
    <row r="549">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row>
    <row r="550">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row>
    <row r="55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row>
    <row r="552">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row>
    <row r="553">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row>
    <row r="554">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row>
    <row r="555">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row>
    <row r="55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row>
    <row r="557">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row>
    <row r="558">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row>
    <row r="559">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row>
    <row r="560">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row>
    <row r="56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row>
    <row r="562">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row>
    <row r="563">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row>
    <row r="564">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row>
    <row r="565">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row>
    <row r="56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row>
    <row r="567">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row>
    <row r="568">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row>
    <row r="569">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row>
    <row r="570">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row>
    <row r="57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row>
    <row r="572">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row>
    <row r="573">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row>
    <row r="574">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row>
    <row r="575">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row>
    <row r="57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row>
    <row r="577">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row>
    <row r="578">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row>
    <row r="579">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row>
    <row r="580">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row>
    <row r="58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row>
    <row r="582">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row>
    <row r="583">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row>
    <row r="584">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row>
    <row r="585">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row>
    <row r="58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row>
    <row r="587">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row>
    <row r="588">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row>
    <row r="589">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row>
    <row r="590">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row>
    <row r="59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row>
    <row r="592">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row>
    <row r="593">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row>
    <row r="594">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row>
    <row r="595">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row>
    <row r="59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row>
    <row r="597">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row>
    <row r="598">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row>
    <row r="599">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row>
    <row r="600">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row>
    <row r="60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row>
    <row r="602">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row>
    <row r="603">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row>
    <row r="604">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row>
    <row r="605">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row>
    <row r="60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row>
    <row r="607">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row>
    <row r="608">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row>
    <row r="609">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row>
    <row r="610">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row>
    <row r="61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row>
    <row r="612">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row>
    <row r="613">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row>
    <row r="614">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row>
    <row r="615">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row>
    <row r="61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row>
    <row r="617">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row>
    <row r="618">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row>
    <row r="619">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row>
    <row r="620">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row>
    <row r="62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row>
    <row r="622">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row>
    <row r="623">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row>
    <row r="624">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row>
    <row r="625">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row>
    <row r="6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row>
    <row r="627">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row>
    <row r="628">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row>
    <row r="629">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row>
    <row r="630">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row>
    <row r="63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row>
    <row r="632">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row>
    <row r="633">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row>
    <row r="634">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row>
    <row r="635">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row>
    <row r="63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row>
    <row r="637">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row>
    <row r="638">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row>
    <row r="639">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row>
    <row r="640">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row>
    <row r="64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row>
    <row r="642">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row>
    <row r="643">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row>
    <row r="644">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row>
    <row r="645">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row>
    <row r="64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row>
    <row r="647">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row>
    <row r="648">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row>
    <row r="649">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row>
    <row r="650">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row>
    <row r="65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row>
    <row r="652">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row>
    <row r="653">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row>
    <row r="654">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row>
    <row r="655">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row>
    <row r="65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row>
    <row r="657">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row>
    <row r="658">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row>
    <row r="659">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row>
    <row r="660">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row>
    <row r="66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row>
    <row r="662">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row>
    <row r="663">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row>
    <row r="664">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row>
    <row r="665">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row>
    <row r="66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row>
    <row r="667">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row>
    <row r="668">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row>
    <row r="669">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row>
    <row r="670">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row>
    <row r="67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row>
    <row r="672">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row>
    <row r="673">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row>
    <row r="674">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row>
    <row r="675">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row>
    <row r="67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row>
    <row r="677">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row>
    <row r="678">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row>
    <row r="679">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row>
    <row r="680">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row>
    <row r="68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row>
    <row r="682">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row>
    <row r="683">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row>
    <row r="684">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row>
    <row r="685">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row>
    <row r="68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row>
    <row r="687">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row>
    <row r="688">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row>
    <row r="689">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row>
    <row r="690">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row>
    <row r="69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row>
    <row r="692">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row>
    <row r="693">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row>
    <row r="694">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row>
    <row r="695">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row>
    <row r="69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row>
    <row r="697">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row>
    <row r="698">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row>
    <row r="699">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row>
    <row r="700">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row>
    <row r="70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row>
    <row r="702">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row>
    <row r="703">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row>
    <row r="704">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row>
    <row r="705">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row>
    <row r="70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row>
    <row r="707">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row>
    <row r="708">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row>
    <row r="709">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row>
    <row r="710">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row>
    <row r="71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row>
    <row r="712">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row>
    <row r="713">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row>
    <row r="714">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row>
    <row r="715">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row>
    <row r="71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row>
    <row r="717">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row>
    <row r="718">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row>
    <row r="719">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row>
    <row r="720">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row>
    <row r="72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row>
    <row r="722">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row>
    <row r="723">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row>
    <row r="724">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row>
    <row r="725">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row>
    <row r="7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row>
    <row r="727">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row>
    <row r="728">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row>
    <row r="729">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row>
    <row r="730">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row>
    <row r="73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row>
    <row r="732">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row>
    <row r="733">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row>
    <row r="734">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row>
    <row r="735">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row>
    <row r="73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row>
    <row r="737">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row>
    <row r="738">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row>
    <row r="739">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row>
    <row r="740">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row>
    <row r="74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row>
    <row r="742">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row>
    <row r="743">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row>
    <row r="744">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row>
    <row r="745">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row>
    <row r="74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row>
    <row r="747">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row>
    <row r="748">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row>
    <row r="749">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row>
    <row r="750">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row>
    <row r="75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row>
    <row r="752">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row>
    <row r="753">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row>
    <row r="754">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row>
    <row r="755">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row>
    <row r="75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row>
    <row r="757">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row>
    <row r="758">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row>
    <row r="759">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row>
    <row r="760">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row>
    <row r="76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row>
    <row r="762">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row>
    <row r="763">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row>
    <row r="764">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row>
    <row r="765">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row>
    <row r="76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row>
    <row r="767">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row>
    <row r="768">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row>
    <row r="769">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row>
    <row r="770">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row>
    <row r="77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row>
    <row r="772">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row>
    <row r="773">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row>
    <row r="774">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row>
    <row r="775">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row>
    <row r="77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row>
    <row r="777">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row>
    <row r="778">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row>
    <row r="779">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row>
    <row r="780">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row>
    <row r="78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row>
    <row r="782">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row>
    <row r="783">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row>
    <row r="784">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row>
    <row r="785">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row>
    <row r="78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row>
    <row r="787">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row>
    <row r="788">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row>
    <row r="789">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row>
    <row r="790">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row>
    <row r="79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row>
    <row r="792">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row>
    <row r="793">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row>
    <row r="794">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row>
    <row r="795">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row>
    <row r="79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row>
    <row r="797">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row>
    <row r="798">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row>
    <row r="799">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row>
    <row r="800">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row>
    <row r="80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row>
    <row r="802">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row>
    <row r="803">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row>
    <row r="804">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row>
    <row r="805">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row>
    <row r="80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row>
    <row r="807">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row>
    <row r="808">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row>
    <row r="809">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row>
    <row r="810">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row>
    <row r="81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row>
    <row r="812">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row>
    <row r="813">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row>
    <row r="814">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row>
    <row r="815">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row>
    <row r="81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row>
    <row r="817">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row>
    <row r="818">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row>
    <row r="819">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row>
    <row r="820">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row>
    <row r="82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row>
    <row r="822">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row>
    <row r="823">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row>
    <row r="824">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row>
    <row r="825">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row>
    <row r="8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row>
    <row r="827">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row>
    <row r="828">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row>
    <row r="829">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row>
    <row r="830">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row>
    <row r="83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row>
    <row r="832">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row>
    <row r="833">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row>
    <row r="834">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row>
    <row r="835">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row>
    <row r="83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row>
    <row r="837">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row>
    <row r="838">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row>
    <row r="839">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row>
    <row r="840">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row>
    <row r="84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c r="AJ841" s="101"/>
      <c r="AK841" s="101"/>
      <c r="AL841" s="101"/>
      <c r="AM841" s="101"/>
    </row>
    <row r="842">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row>
    <row r="843">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c r="AJ843" s="101"/>
      <c r="AK843" s="101"/>
      <c r="AL843" s="101"/>
      <c r="AM843" s="101"/>
    </row>
    <row r="844">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row>
    <row r="845">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D845" s="101"/>
      <c r="AE845" s="101"/>
      <c r="AF845" s="101"/>
      <c r="AG845" s="101"/>
      <c r="AH845" s="101"/>
      <c r="AI845" s="101"/>
      <c r="AJ845" s="101"/>
      <c r="AK845" s="101"/>
      <c r="AL845" s="101"/>
      <c r="AM845" s="101"/>
    </row>
    <row r="84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row>
    <row r="847">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D847" s="101"/>
      <c r="AE847" s="101"/>
      <c r="AF847" s="101"/>
      <c r="AG847" s="101"/>
      <c r="AH847" s="101"/>
      <c r="AI847" s="101"/>
      <c r="AJ847" s="101"/>
      <c r="AK847" s="101"/>
      <c r="AL847" s="101"/>
      <c r="AM847" s="101"/>
    </row>
    <row r="848">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row>
    <row r="849">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c r="AD849" s="101"/>
      <c r="AE849" s="101"/>
      <c r="AF849" s="101"/>
      <c r="AG849" s="101"/>
      <c r="AH849" s="101"/>
      <c r="AI849" s="101"/>
      <c r="AJ849" s="101"/>
      <c r="AK849" s="101"/>
      <c r="AL849" s="101"/>
      <c r="AM849" s="101"/>
    </row>
    <row r="850">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c r="AJ850" s="101"/>
      <c r="AK850" s="101"/>
      <c r="AL850" s="101"/>
      <c r="AM850" s="101"/>
    </row>
    <row r="85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c r="AD851" s="101"/>
      <c r="AE851" s="101"/>
      <c r="AF851" s="101"/>
      <c r="AG851" s="101"/>
      <c r="AH851" s="101"/>
      <c r="AI851" s="101"/>
      <c r="AJ851" s="101"/>
      <c r="AK851" s="101"/>
      <c r="AL851" s="101"/>
      <c r="AM851" s="101"/>
    </row>
    <row r="852">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c r="AJ852" s="101"/>
      <c r="AK852" s="101"/>
      <c r="AL852" s="101"/>
      <c r="AM852" s="101"/>
    </row>
    <row r="853">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c r="AD853" s="101"/>
      <c r="AE853" s="101"/>
      <c r="AF853" s="101"/>
      <c r="AG853" s="101"/>
      <c r="AH853" s="101"/>
      <c r="AI853" s="101"/>
      <c r="AJ853" s="101"/>
      <c r="AK853" s="101"/>
      <c r="AL853" s="101"/>
      <c r="AM853" s="101"/>
    </row>
    <row r="854">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c r="AJ854" s="101"/>
      <c r="AK854" s="101"/>
      <c r="AL854" s="101"/>
      <c r="AM854" s="101"/>
    </row>
    <row r="855">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c r="AD855" s="101"/>
      <c r="AE855" s="101"/>
      <c r="AF855" s="101"/>
      <c r="AG855" s="101"/>
      <c r="AH855" s="101"/>
      <c r="AI855" s="101"/>
      <c r="AJ855" s="101"/>
      <c r="AK855" s="101"/>
      <c r="AL855" s="101"/>
      <c r="AM855" s="101"/>
    </row>
    <row r="85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c r="AJ856" s="101"/>
      <c r="AK856" s="101"/>
      <c r="AL856" s="101"/>
      <c r="AM856" s="101"/>
    </row>
    <row r="857">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c r="AD857" s="101"/>
      <c r="AE857" s="101"/>
      <c r="AF857" s="101"/>
      <c r="AG857" s="101"/>
      <c r="AH857" s="101"/>
      <c r="AI857" s="101"/>
      <c r="AJ857" s="101"/>
      <c r="AK857" s="101"/>
      <c r="AL857" s="101"/>
      <c r="AM857" s="101"/>
    </row>
    <row r="858">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c r="AJ858" s="101"/>
      <c r="AK858" s="101"/>
      <c r="AL858" s="101"/>
      <c r="AM858" s="101"/>
    </row>
    <row r="859">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c r="AD859" s="101"/>
      <c r="AE859" s="101"/>
      <c r="AF859" s="101"/>
      <c r="AG859" s="101"/>
      <c r="AH859" s="101"/>
      <c r="AI859" s="101"/>
      <c r="AJ859" s="101"/>
      <c r="AK859" s="101"/>
      <c r="AL859" s="101"/>
      <c r="AM859" s="101"/>
    </row>
    <row r="860">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c r="AJ860" s="101"/>
      <c r="AK860" s="101"/>
      <c r="AL860" s="101"/>
      <c r="AM860" s="101"/>
    </row>
    <row r="86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c r="AD861" s="101"/>
      <c r="AE861" s="101"/>
      <c r="AF861" s="101"/>
      <c r="AG861" s="101"/>
      <c r="AH861" s="101"/>
      <c r="AI861" s="101"/>
      <c r="AJ861" s="101"/>
      <c r="AK861" s="101"/>
      <c r="AL861" s="101"/>
      <c r="AM861" s="101"/>
    </row>
    <row r="862">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c r="AJ862" s="101"/>
      <c r="AK862" s="101"/>
      <c r="AL862" s="101"/>
      <c r="AM862" s="101"/>
    </row>
    <row r="863">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c r="AD863" s="101"/>
      <c r="AE863" s="101"/>
      <c r="AF863" s="101"/>
      <c r="AG863" s="101"/>
      <c r="AH863" s="101"/>
      <c r="AI863" s="101"/>
      <c r="AJ863" s="101"/>
      <c r="AK863" s="101"/>
      <c r="AL863" s="101"/>
      <c r="AM863" s="101"/>
    </row>
    <row r="864">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c r="AJ864" s="101"/>
      <c r="AK864" s="101"/>
      <c r="AL864" s="101"/>
      <c r="AM864" s="101"/>
    </row>
    <row r="865">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c r="AD865" s="101"/>
      <c r="AE865" s="101"/>
      <c r="AF865" s="101"/>
      <c r="AG865" s="101"/>
      <c r="AH865" s="101"/>
      <c r="AI865" s="101"/>
      <c r="AJ865" s="101"/>
      <c r="AK865" s="101"/>
      <c r="AL865" s="101"/>
      <c r="AM865" s="101"/>
    </row>
    <row r="86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c r="AJ866" s="101"/>
      <c r="AK866" s="101"/>
      <c r="AL866" s="101"/>
      <c r="AM866" s="101"/>
    </row>
    <row r="867">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c r="AD867" s="101"/>
      <c r="AE867" s="101"/>
      <c r="AF867" s="101"/>
      <c r="AG867" s="101"/>
      <c r="AH867" s="101"/>
      <c r="AI867" s="101"/>
      <c r="AJ867" s="101"/>
      <c r="AK867" s="101"/>
      <c r="AL867" s="101"/>
      <c r="AM867" s="101"/>
    </row>
    <row r="868">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c r="AJ868" s="101"/>
      <c r="AK868" s="101"/>
      <c r="AL868" s="101"/>
      <c r="AM868" s="101"/>
    </row>
    <row r="869">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D869" s="101"/>
      <c r="AE869" s="101"/>
      <c r="AF869" s="101"/>
      <c r="AG869" s="101"/>
      <c r="AH869" s="101"/>
      <c r="AI869" s="101"/>
      <c r="AJ869" s="101"/>
      <c r="AK869" s="101"/>
      <c r="AL869" s="101"/>
      <c r="AM869" s="101"/>
    </row>
    <row r="870">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c r="AJ870" s="101"/>
      <c r="AK870" s="101"/>
      <c r="AL870" s="101"/>
      <c r="AM870" s="101"/>
    </row>
    <row r="87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D871" s="101"/>
      <c r="AE871" s="101"/>
      <c r="AF871" s="101"/>
      <c r="AG871" s="101"/>
      <c r="AH871" s="101"/>
      <c r="AI871" s="101"/>
      <c r="AJ871" s="101"/>
      <c r="AK871" s="101"/>
      <c r="AL871" s="101"/>
      <c r="AM871" s="101"/>
    </row>
    <row r="872">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c r="AJ872" s="101"/>
      <c r="AK872" s="101"/>
      <c r="AL872" s="101"/>
      <c r="AM872" s="101"/>
    </row>
    <row r="873">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c r="AD873" s="101"/>
      <c r="AE873" s="101"/>
      <c r="AF873" s="101"/>
      <c r="AG873" s="101"/>
      <c r="AH873" s="101"/>
      <c r="AI873" s="101"/>
      <c r="AJ873" s="101"/>
      <c r="AK873" s="101"/>
      <c r="AL873" s="101"/>
      <c r="AM873" s="101"/>
    </row>
    <row r="874">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c r="AJ874" s="101"/>
      <c r="AK874" s="101"/>
      <c r="AL874" s="101"/>
      <c r="AM874" s="101"/>
    </row>
    <row r="875">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c r="AD875" s="101"/>
      <c r="AE875" s="101"/>
      <c r="AF875" s="101"/>
      <c r="AG875" s="101"/>
      <c r="AH875" s="101"/>
      <c r="AI875" s="101"/>
      <c r="AJ875" s="101"/>
      <c r="AK875" s="101"/>
      <c r="AL875" s="101"/>
      <c r="AM875" s="101"/>
    </row>
    <row r="87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c r="AJ876" s="101"/>
      <c r="AK876" s="101"/>
      <c r="AL876" s="101"/>
      <c r="AM876" s="101"/>
    </row>
    <row r="877">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c r="AD877" s="101"/>
      <c r="AE877" s="101"/>
      <c r="AF877" s="101"/>
      <c r="AG877" s="101"/>
      <c r="AH877" s="101"/>
      <c r="AI877" s="101"/>
      <c r="AJ877" s="101"/>
      <c r="AK877" s="101"/>
      <c r="AL877" s="101"/>
      <c r="AM877" s="101"/>
    </row>
    <row r="878">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c r="AJ878" s="101"/>
      <c r="AK878" s="101"/>
      <c r="AL878" s="101"/>
      <c r="AM878" s="101"/>
    </row>
    <row r="879">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c r="AD879" s="101"/>
      <c r="AE879" s="101"/>
      <c r="AF879" s="101"/>
      <c r="AG879" s="101"/>
      <c r="AH879" s="101"/>
      <c r="AI879" s="101"/>
      <c r="AJ879" s="101"/>
      <c r="AK879" s="101"/>
      <c r="AL879" s="101"/>
      <c r="AM879" s="101"/>
    </row>
    <row r="880">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c r="AJ880" s="101"/>
      <c r="AK880" s="101"/>
      <c r="AL880" s="101"/>
      <c r="AM880" s="101"/>
    </row>
    <row r="88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c r="AD881" s="101"/>
      <c r="AE881" s="101"/>
      <c r="AF881" s="101"/>
      <c r="AG881" s="101"/>
      <c r="AH881" s="101"/>
      <c r="AI881" s="101"/>
      <c r="AJ881" s="101"/>
      <c r="AK881" s="101"/>
      <c r="AL881" s="101"/>
      <c r="AM881" s="101"/>
    </row>
    <row r="882">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c r="AJ882" s="101"/>
      <c r="AK882" s="101"/>
      <c r="AL882" s="101"/>
      <c r="AM882" s="101"/>
    </row>
    <row r="883">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c r="AD883" s="101"/>
      <c r="AE883" s="101"/>
      <c r="AF883" s="101"/>
      <c r="AG883" s="101"/>
      <c r="AH883" s="101"/>
      <c r="AI883" s="101"/>
      <c r="AJ883" s="101"/>
      <c r="AK883" s="101"/>
      <c r="AL883" s="101"/>
      <c r="AM883" s="101"/>
    </row>
    <row r="884">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c r="AJ884" s="101"/>
      <c r="AK884" s="101"/>
      <c r="AL884" s="101"/>
      <c r="AM884" s="101"/>
    </row>
    <row r="885">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c r="AD885" s="101"/>
      <c r="AE885" s="101"/>
      <c r="AF885" s="101"/>
      <c r="AG885" s="101"/>
      <c r="AH885" s="101"/>
      <c r="AI885" s="101"/>
      <c r="AJ885" s="101"/>
      <c r="AK885" s="101"/>
      <c r="AL885" s="101"/>
      <c r="AM885" s="101"/>
    </row>
    <row r="88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c r="AJ886" s="101"/>
      <c r="AK886" s="101"/>
      <c r="AL886" s="101"/>
      <c r="AM886" s="101"/>
    </row>
    <row r="887">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c r="AD887" s="101"/>
      <c r="AE887" s="101"/>
      <c r="AF887" s="101"/>
      <c r="AG887" s="101"/>
      <c r="AH887" s="101"/>
      <c r="AI887" s="101"/>
      <c r="AJ887" s="101"/>
      <c r="AK887" s="101"/>
      <c r="AL887" s="101"/>
      <c r="AM887" s="101"/>
    </row>
    <row r="888">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c r="AJ888" s="101"/>
      <c r="AK888" s="101"/>
      <c r="AL888" s="101"/>
      <c r="AM888" s="101"/>
    </row>
    <row r="889">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c r="AD889" s="101"/>
      <c r="AE889" s="101"/>
      <c r="AF889" s="101"/>
      <c r="AG889" s="101"/>
      <c r="AH889" s="101"/>
      <c r="AI889" s="101"/>
      <c r="AJ889" s="101"/>
      <c r="AK889" s="101"/>
      <c r="AL889" s="101"/>
      <c r="AM889" s="101"/>
    </row>
    <row r="890">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c r="AJ890" s="101"/>
      <c r="AK890" s="101"/>
      <c r="AL890" s="101"/>
      <c r="AM890" s="101"/>
    </row>
    <row r="89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c r="AD891" s="101"/>
      <c r="AE891" s="101"/>
      <c r="AF891" s="101"/>
      <c r="AG891" s="101"/>
      <c r="AH891" s="101"/>
      <c r="AI891" s="101"/>
      <c r="AJ891" s="101"/>
      <c r="AK891" s="101"/>
      <c r="AL891" s="101"/>
      <c r="AM891" s="101"/>
    </row>
    <row r="892">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c r="AJ892" s="101"/>
      <c r="AK892" s="101"/>
      <c r="AL892" s="101"/>
      <c r="AM892" s="101"/>
    </row>
    <row r="893">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c r="AD893" s="101"/>
      <c r="AE893" s="101"/>
      <c r="AF893" s="101"/>
      <c r="AG893" s="101"/>
      <c r="AH893" s="101"/>
      <c r="AI893" s="101"/>
      <c r="AJ893" s="101"/>
      <c r="AK893" s="101"/>
      <c r="AL893" s="101"/>
      <c r="AM893" s="101"/>
    </row>
    <row r="894">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c r="AJ894" s="101"/>
      <c r="AK894" s="101"/>
      <c r="AL894" s="101"/>
      <c r="AM894" s="101"/>
    </row>
    <row r="895">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c r="AD895" s="101"/>
      <c r="AE895" s="101"/>
      <c r="AF895" s="101"/>
      <c r="AG895" s="101"/>
      <c r="AH895" s="101"/>
      <c r="AI895" s="101"/>
      <c r="AJ895" s="101"/>
      <c r="AK895" s="101"/>
      <c r="AL895" s="101"/>
      <c r="AM895" s="101"/>
    </row>
    <row r="89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row>
    <row r="897">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c r="AD897" s="101"/>
      <c r="AE897" s="101"/>
      <c r="AF897" s="101"/>
      <c r="AG897" s="101"/>
      <c r="AH897" s="101"/>
      <c r="AI897" s="101"/>
      <c r="AJ897" s="101"/>
      <c r="AK897" s="101"/>
      <c r="AL897" s="101"/>
      <c r="AM897" s="101"/>
    </row>
    <row r="898">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c r="AJ898" s="101"/>
      <c r="AK898" s="101"/>
      <c r="AL898" s="101"/>
      <c r="AM898" s="101"/>
    </row>
    <row r="899">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c r="AD899" s="101"/>
      <c r="AE899" s="101"/>
      <c r="AF899" s="101"/>
      <c r="AG899" s="101"/>
      <c r="AH899" s="101"/>
      <c r="AI899" s="101"/>
      <c r="AJ899" s="101"/>
      <c r="AK899" s="101"/>
      <c r="AL899" s="101"/>
      <c r="AM899" s="101"/>
    </row>
    <row r="900">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c r="AJ900" s="101"/>
      <c r="AK900" s="101"/>
      <c r="AL900" s="101"/>
      <c r="AM900" s="101"/>
    </row>
    <row r="90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c r="AD901" s="101"/>
      <c r="AE901" s="101"/>
      <c r="AF901" s="101"/>
      <c r="AG901" s="101"/>
      <c r="AH901" s="101"/>
      <c r="AI901" s="101"/>
      <c r="AJ901" s="101"/>
      <c r="AK901" s="101"/>
      <c r="AL901" s="101"/>
      <c r="AM901" s="101"/>
    </row>
    <row r="902">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c r="AJ902" s="101"/>
      <c r="AK902" s="101"/>
      <c r="AL902" s="101"/>
      <c r="AM902" s="101"/>
    </row>
    <row r="903">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c r="AD903" s="101"/>
      <c r="AE903" s="101"/>
      <c r="AF903" s="101"/>
      <c r="AG903" s="101"/>
      <c r="AH903" s="101"/>
      <c r="AI903" s="101"/>
      <c r="AJ903" s="101"/>
      <c r="AK903" s="101"/>
      <c r="AL903" s="101"/>
      <c r="AM903" s="101"/>
    </row>
    <row r="904">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c r="AJ904" s="101"/>
      <c r="AK904" s="101"/>
      <c r="AL904" s="101"/>
      <c r="AM904" s="101"/>
    </row>
    <row r="905">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c r="AD905" s="101"/>
      <c r="AE905" s="101"/>
      <c r="AF905" s="101"/>
      <c r="AG905" s="101"/>
      <c r="AH905" s="101"/>
      <c r="AI905" s="101"/>
      <c r="AJ905" s="101"/>
      <c r="AK905" s="101"/>
      <c r="AL905" s="101"/>
      <c r="AM905" s="101"/>
    </row>
    <row r="90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c r="AJ906" s="101"/>
      <c r="AK906" s="101"/>
      <c r="AL906" s="101"/>
      <c r="AM906" s="101"/>
    </row>
    <row r="907">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c r="AD907" s="101"/>
      <c r="AE907" s="101"/>
      <c r="AF907" s="101"/>
      <c r="AG907" s="101"/>
      <c r="AH907" s="101"/>
      <c r="AI907" s="101"/>
      <c r="AJ907" s="101"/>
      <c r="AK907" s="101"/>
      <c r="AL907" s="101"/>
      <c r="AM907" s="101"/>
    </row>
    <row r="908">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c r="AJ908" s="101"/>
      <c r="AK908" s="101"/>
      <c r="AL908" s="101"/>
      <c r="AM908" s="101"/>
    </row>
    <row r="909">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c r="AD909" s="101"/>
      <c r="AE909" s="101"/>
      <c r="AF909" s="101"/>
      <c r="AG909" s="101"/>
      <c r="AH909" s="101"/>
      <c r="AI909" s="101"/>
      <c r="AJ909" s="101"/>
      <c r="AK909" s="101"/>
      <c r="AL909" s="101"/>
      <c r="AM909" s="101"/>
    </row>
    <row r="910">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c r="AJ910" s="101"/>
      <c r="AK910" s="101"/>
      <c r="AL910" s="101"/>
      <c r="AM910" s="101"/>
    </row>
    <row r="91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c r="AD911" s="101"/>
      <c r="AE911" s="101"/>
      <c r="AF911" s="101"/>
      <c r="AG911" s="101"/>
      <c r="AH911" s="101"/>
      <c r="AI911" s="101"/>
      <c r="AJ911" s="101"/>
      <c r="AK911" s="101"/>
      <c r="AL911" s="101"/>
      <c r="AM911" s="101"/>
    </row>
    <row r="912">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c r="AJ912" s="101"/>
      <c r="AK912" s="101"/>
      <c r="AL912" s="101"/>
      <c r="AM912" s="101"/>
    </row>
    <row r="913">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c r="AD913" s="101"/>
      <c r="AE913" s="101"/>
      <c r="AF913" s="101"/>
      <c r="AG913" s="101"/>
      <c r="AH913" s="101"/>
      <c r="AI913" s="101"/>
      <c r="AJ913" s="101"/>
      <c r="AK913" s="101"/>
      <c r="AL913" s="101"/>
      <c r="AM913" s="101"/>
    </row>
    <row r="914">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c r="AJ914" s="101"/>
      <c r="AK914" s="101"/>
      <c r="AL914" s="101"/>
      <c r="AM914" s="101"/>
    </row>
    <row r="915">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c r="AD915" s="101"/>
      <c r="AE915" s="101"/>
      <c r="AF915" s="101"/>
      <c r="AG915" s="101"/>
      <c r="AH915" s="101"/>
      <c r="AI915" s="101"/>
      <c r="AJ915" s="101"/>
      <c r="AK915" s="101"/>
      <c r="AL915" s="101"/>
      <c r="AM915" s="101"/>
    </row>
    <row r="91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c r="AJ916" s="101"/>
      <c r="AK916" s="101"/>
      <c r="AL916" s="101"/>
      <c r="AM916" s="101"/>
    </row>
    <row r="917">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c r="AD917" s="101"/>
      <c r="AE917" s="101"/>
      <c r="AF917" s="101"/>
      <c r="AG917" s="101"/>
      <c r="AH917" s="101"/>
      <c r="AI917" s="101"/>
      <c r="AJ917" s="101"/>
      <c r="AK917" s="101"/>
      <c r="AL917" s="101"/>
      <c r="AM917" s="101"/>
    </row>
    <row r="918">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c r="AJ918" s="101"/>
      <c r="AK918" s="101"/>
      <c r="AL918" s="101"/>
      <c r="AM918" s="101"/>
    </row>
    <row r="919">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c r="AD919" s="101"/>
      <c r="AE919" s="101"/>
      <c r="AF919" s="101"/>
      <c r="AG919" s="101"/>
      <c r="AH919" s="101"/>
      <c r="AI919" s="101"/>
      <c r="AJ919" s="101"/>
      <c r="AK919" s="101"/>
      <c r="AL919" s="101"/>
      <c r="AM919" s="101"/>
    </row>
    <row r="920">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c r="AJ920" s="101"/>
      <c r="AK920" s="101"/>
      <c r="AL920" s="101"/>
      <c r="AM920" s="101"/>
    </row>
    <row r="92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c r="AD921" s="101"/>
      <c r="AE921" s="101"/>
      <c r="AF921" s="101"/>
      <c r="AG921" s="101"/>
      <c r="AH921" s="101"/>
      <c r="AI921" s="101"/>
      <c r="AJ921" s="101"/>
      <c r="AK921" s="101"/>
      <c r="AL921" s="101"/>
      <c r="AM921" s="101"/>
    </row>
    <row r="922">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c r="AJ922" s="101"/>
      <c r="AK922" s="101"/>
      <c r="AL922" s="101"/>
      <c r="AM922" s="101"/>
    </row>
    <row r="923">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c r="AD923" s="101"/>
      <c r="AE923" s="101"/>
      <c r="AF923" s="101"/>
      <c r="AG923" s="101"/>
      <c r="AH923" s="101"/>
      <c r="AI923" s="101"/>
      <c r="AJ923" s="101"/>
      <c r="AK923" s="101"/>
      <c r="AL923" s="101"/>
      <c r="AM923" s="101"/>
    </row>
    <row r="924">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c r="AJ924" s="101"/>
      <c r="AK924" s="101"/>
      <c r="AL924" s="101"/>
      <c r="AM924" s="101"/>
    </row>
    <row r="925">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c r="AD925" s="101"/>
      <c r="AE925" s="101"/>
      <c r="AF925" s="101"/>
      <c r="AG925" s="101"/>
      <c r="AH925" s="101"/>
      <c r="AI925" s="101"/>
      <c r="AJ925" s="101"/>
      <c r="AK925" s="101"/>
      <c r="AL925" s="101"/>
      <c r="AM925" s="101"/>
    </row>
    <row r="9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c r="AJ926" s="101"/>
      <c r="AK926" s="101"/>
      <c r="AL926" s="101"/>
      <c r="AM926" s="101"/>
    </row>
    <row r="927">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c r="AD927" s="101"/>
      <c r="AE927" s="101"/>
      <c r="AF927" s="101"/>
      <c r="AG927" s="101"/>
      <c r="AH927" s="101"/>
      <c r="AI927" s="101"/>
      <c r="AJ927" s="101"/>
      <c r="AK927" s="101"/>
      <c r="AL927" s="101"/>
      <c r="AM927" s="101"/>
    </row>
    <row r="928">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D928" s="101"/>
      <c r="AE928" s="101"/>
      <c r="AF928" s="101"/>
      <c r="AG928" s="101"/>
      <c r="AH928" s="101"/>
      <c r="AI928" s="101"/>
      <c r="AJ928" s="101"/>
      <c r="AK928" s="101"/>
      <c r="AL928" s="101"/>
      <c r="AM928" s="101"/>
    </row>
    <row r="929">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c r="AD929" s="101"/>
      <c r="AE929" s="101"/>
      <c r="AF929" s="101"/>
      <c r="AG929" s="101"/>
      <c r="AH929" s="101"/>
      <c r="AI929" s="101"/>
      <c r="AJ929" s="101"/>
      <c r="AK929" s="101"/>
      <c r="AL929" s="101"/>
      <c r="AM929" s="101"/>
    </row>
    <row r="930">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D930" s="101"/>
      <c r="AE930" s="101"/>
      <c r="AF930" s="101"/>
      <c r="AG930" s="101"/>
      <c r="AH930" s="101"/>
      <c r="AI930" s="101"/>
      <c r="AJ930" s="101"/>
      <c r="AK930" s="101"/>
      <c r="AL930" s="101"/>
      <c r="AM930" s="101"/>
    </row>
    <row r="93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c r="AD931" s="101"/>
      <c r="AE931" s="101"/>
      <c r="AF931" s="101"/>
      <c r="AG931" s="101"/>
      <c r="AH931" s="101"/>
      <c r="AI931" s="101"/>
      <c r="AJ931" s="101"/>
      <c r="AK931" s="101"/>
      <c r="AL931" s="101"/>
      <c r="AM931" s="101"/>
    </row>
    <row r="932">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D932" s="101"/>
      <c r="AE932" s="101"/>
      <c r="AF932" s="101"/>
      <c r="AG932" s="101"/>
      <c r="AH932" s="101"/>
      <c r="AI932" s="101"/>
      <c r="AJ932" s="101"/>
      <c r="AK932" s="101"/>
      <c r="AL932" s="101"/>
      <c r="AM932" s="101"/>
    </row>
    <row r="933">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c r="AD933" s="101"/>
      <c r="AE933" s="101"/>
      <c r="AF933" s="101"/>
      <c r="AG933" s="101"/>
      <c r="AH933" s="101"/>
      <c r="AI933" s="101"/>
      <c r="AJ933" s="101"/>
      <c r="AK933" s="101"/>
      <c r="AL933" s="101"/>
      <c r="AM933" s="101"/>
    </row>
    <row r="934">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D934" s="101"/>
      <c r="AE934" s="101"/>
      <c r="AF934" s="101"/>
      <c r="AG934" s="101"/>
      <c r="AH934" s="101"/>
      <c r="AI934" s="101"/>
      <c r="AJ934" s="101"/>
      <c r="AK934" s="101"/>
      <c r="AL934" s="101"/>
      <c r="AM934" s="101"/>
    </row>
    <row r="935">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c r="AD935" s="101"/>
      <c r="AE935" s="101"/>
      <c r="AF935" s="101"/>
      <c r="AG935" s="101"/>
      <c r="AH935" s="101"/>
      <c r="AI935" s="101"/>
      <c r="AJ935" s="101"/>
      <c r="AK935" s="101"/>
      <c r="AL935" s="101"/>
      <c r="AM935" s="101"/>
    </row>
    <row r="93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D936" s="101"/>
      <c r="AE936" s="101"/>
      <c r="AF936" s="101"/>
      <c r="AG936" s="101"/>
      <c r="AH936" s="101"/>
      <c r="AI936" s="101"/>
      <c r="AJ936" s="101"/>
      <c r="AK936" s="101"/>
      <c r="AL936" s="101"/>
      <c r="AM936" s="101"/>
    </row>
    <row r="937">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c r="AD937" s="101"/>
      <c r="AE937" s="101"/>
      <c r="AF937" s="101"/>
      <c r="AG937" s="101"/>
      <c r="AH937" s="101"/>
      <c r="AI937" s="101"/>
      <c r="AJ937" s="101"/>
      <c r="AK937" s="101"/>
      <c r="AL937" s="101"/>
      <c r="AM937" s="101"/>
    </row>
    <row r="938">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D938" s="101"/>
      <c r="AE938" s="101"/>
      <c r="AF938" s="101"/>
      <c r="AG938" s="101"/>
      <c r="AH938" s="101"/>
      <c r="AI938" s="101"/>
      <c r="AJ938" s="101"/>
      <c r="AK938" s="101"/>
      <c r="AL938" s="101"/>
      <c r="AM938" s="101"/>
    </row>
    <row r="939">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c r="AD939" s="101"/>
      <c r="AE939" s="101"/>
      <c r="AF939" s="101"/>
      <c r="AG939" s="101"/>
      <c r="AH939" s="101"/>
      <c r="AI939" s="101"/>
      <c r="AJ939" s="101"/>
      <c r="AK939" s="101"/>
      <c r="AL939" s="101"/>
      <c r="AM939" s="101"/>
    </row>
    <row r="940">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D940" s="101"/>
      <c r="AE940" s="101"/>
      <c r="AF940" s="101"/>
      <c r="AG940" s="101"/>
      <c r="AH940" s="101"/>
      <c r="AI940" s="101"/>
      <c r="AJ940" s="101"/>
      <c r="AK940" s="101"/>
      <c r="AL940" s="101"/>
      <c r="AM940" s="101"/>
    </row>
    <row r="94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c r="AD941" s="101"/>
      <c r="AE941" s="101"/>
      <c r="AF941" s="101"/>
      <c r="AG941" s="101"/>
      <c r="AH941" s="101"/>
      <c r="AI941" s="101"/>
      <c r="AJ941" s="101"/>
      <c r="AK941" s="101"/>
      <c r="AL941" s="101"/>
      <c r="AM941" s="101"/>
    </row>
    <row r="942">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D942" s="101"/>
      <c r="AE942" s="101"/>
      <c r="AF942" s="101"/>
      <c r="AG942" s="101"/>
      <c r="AH942" s="101"/>
      <c r="AI942" s="101"/>
      <c r="AJ942" s="101"/>
      <c r="AK942" s="101"/>
      <c r="AL942" s="101"/>
      <c r="AM942" s="101"/>
    </row>
    <row r="943">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c r="AD943" s="101"/>
      <c r="AE943" s="101"/>
      <c r="AF943" s="101"/>
      <c r="AG943" s="101"/>
      <c r="AH943" s="101"/>
      <c r="AI943" s="101"/>
      <c r="AJ943" s="101"/>
      <c r="AK943" s="101"/>
      <c r="AL943" s="101"/>
      <c r="AM943" s="101"/>
    </row>
    <row r="944">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D944" s="101"/>
      <c r="AE944" s="101"/>
      <c r="AF944" s="101"/>
      <c r="AG944" s="101"/>
      <c r="AH944" s="101"/>
      <c r="AI944" s="101"/>
      <c r="AJ944" s="101"/>
      <c r="AK944" s="101"/>
      <c r="AL944" s="101"/>
      <c r="AM944" s="101"/>
    </row>
    <row r="945">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c r="AD945" s="101"/>
      <c r="AE945" s="101"/>
      <c r="AF945" s="101"/>
      <c r="AG945" s="101"/>
      <c r="AH945" s="101"/>
      <c r="AI945" s="101"/>
      <c r="AJ945" s="101"/>
      <c r="AK945" s="101"/>
      <c r="AL945" s="101"/>
      <c r="AM945" s="101"/>
    </row>
    <row r="94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D946" s="101"/>
      <c r="AE946" s="101"/>
      <c r="AF946" s="101"/>
      <c r="AG946" s="101"/>
      <c r="AH946" s="101"/>
      <c r="AI946" s="101"/>
      <c r="AJ946" s="101"/>
      <c r="AK946" s="101"/>
      <c r="AL946" s="101"/>
      <c r="AM946" s="101"/>
    </row>
    <row r="947">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c r="AD947" s="101"/>
      <c r="AE947" s="101"/>
      <c r="AF947" s="101"/>
      <c r="AG947" s="101"/>
      <c r="AH947" s="101"/>
      <c r="AI947" s="101"/>
      <c r="AJ947" s="101"/>
      <c r="AK947" s="101"/>
      <c r="AL947" s="101"/>
      <c r="AM947" s="101"/>
    </row>
    <row r="948">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D948" s="101"/>
      <c r="AE948" s="101"/>
      <c r="AF948" s="101"/>
      <c r="AG948" s="101"/>
      <c r="AH948" s="101"/>
      <c r="AI948" s="101"/>
      <c r="AJ948" s="101"/>
      <c r="AK948" s="101"/>
      <c r="AL948" s="101"/>
      <c r="AM948" s="101"/>
    </row>
    <row r="949">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c r="AD949" s="101"/>
      <c r="AE949" s="101"/>
      <c r="AF949" s="101"/>
      <c r="AG949" s="101"/>
      <c r="AH949" s="101"/>
      <c r="AI949" s="101"/>
      <c r="AJ949" s="101"/>
      <c r="AK949" s="101"/>
      <c r="AL949" s="101"/>
      <c r="AM949" s="101"/>
    </row>
    <row r="950">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D950" s="101"/>
      <c r="AE950" s="101"/>
      <c r="AF950" s="101"/>
      <c r="AG950" s="101"/>
      <c r="AH950" s="101"/>
      <c r="AI950" s="101"/>
      <c r="AJ950" s="101"/>
      <c r="AK950" s="101"/>
      <c r="AL950" s="101"/>
      <c r="AM950" s="101"/>
    </row>
    <row r="95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c r="AD951" s="101"/>
      <c r="AE951" s="101"/>
      <c r="AF951" s="101"/>
      <c r="AG951" s="101"/>
      <c r="AH951" s="101"/>
      <c r="AI951" s="101"/>
      <c r="AJ951" s="101"/>
      <c r="AK951" s="101"/>
      <c r="AL951" s="101"/>
      <c r="AM951" s="101"/>
    </row>
    <row r="952">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D952" s="101"/>
      <c r="AE952" s="101"/>
      <c r="AF952" s="101"/>
      <c r="AG952" s="101"/>
      <c r="AH952" s="101"/>
      <c r="AI952" s="101"/>
      <c r="AJ952" s="101"/>
      <c r="AK952" s="101"/>
      <c r="AL952" s="101"/>
      <c r="AM952" s="101"/>
    </row>
    <row r="953">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c r="AD953" s="101"/>
      <c r="AE953" s="101"/>
      <c r="AF953" s="101"/>
      <c r="AG953" s="101"/>
      <c r="AH953" s="101"/>
      <c r="AI953" s="101"/>
      <c r="AJ953" s="101"/>
      <c r="AK953" s="101"/>
      <c r="AL953" s="101"/>
      <c r="AM953" s="101"/>
    </row>
    <row r="954">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c r="AJ954" s="101"/>
      <c r="AK954" s="101"/>
      <c r="AL954" s="101"/>
      <c r="AM954" s="101"/>
    </row>
    <row r="955">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c r="AD955" s="101"/>
      <c r="AE955" s="101"/>
      <c r="AF955" s="101"/>
      <c r="AG955" s="101"/>
      <c r="AH955" s="101"/>
      <c r="AI955" s="101"/>
      <c r="AJ955" s="101"/>
      <c r="AK955" s="101"/>
      <c r="AL955" s="101"/>
      <c r="AM955" s="101"/>
    </row>
    <row r="95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D956" s="101"/>
      <c r="AE956" s="101"/>
      <c r="AF956" s="101"/>
      <c r="AG956" s="101"/>
      <c r="AH956" s="101"/>
      <c r="AI956" s="101"/>
      <c r="AJ956" s="101"/>
      <c r="AK956" s="101"/>
      <c r="AL956" s="101"/>
      <c r="AM956" s="101"/>
    </row>
    <row r="957">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c r="AD957" s="101"/>
      <c r="AE957" s="101"/>
      <c r="AF957" s="101"/>
      <c r="AG957" s="101"/>
      <c r="AH957" s="101"/>
      <c r="AI957" s="101"/>
      <c r="AJ957" s="101"/>
      <c r="AK957" s="101"/>
      <c r="AL957" s="101"/>
      <c r="AM957" s="101"/>
    </row>
    <row r="958">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D958" s="101"/>
      <c r="AE958" s="101"/>
      <c r="AF958" s="101"/>
      <c r="AG958" s="101"/>
      <c r="AH958" s="101"/>
      <c r="AI958" s="101"/>
      <c r="AJ958" s="101"/>
      <c r="AK958" s="101"/>
      <c r="AL958" s="101"/>
      <c r="AM958" s="101"/>
    </row>
    <row r="959">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c r="AD959" s="101"/>
      <c r="AE959" s="101"/>
      <c r="AF959" s="101"/>
      <c r="AG959" s="101"/>
      <c r="AH959" s="101"/>
      <c r="AI959" s="101"/>
      <c r="AJ959" s="101"/>
      <c r="AK959" s="101"/>
      <c r="AL959" s="101"/>
      <c r="AM959" s="101"/>
    </row>
    <row r="960">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D960" s="101"/>
      <c r="AE960" s="101"/>
      <c r="AF960" s="101"/>
      <c r="AG960" s="101"/>
      <c r="AH960" s="101"/>
      <c r="AI960" s="101"/>
      <c r="AJ960" s="101"/>
      <c r="AK960" s="101"/>
      <c r="AL960" s="101"/>
      <c r="AM960" s="101"/>
    </row>
    <row r="96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c r="AD961" s="101"/>
      <c r="AE961" s="101"/>
      <c r="AF961" s="101"/>
      <c r="AG961" s="101"/>
      <c r="AH961" s="101"/>
      <c r="AI961" s="101"/>
      <c r="AJ961" s="101"/>
      <c r="AK961" s="101"/>
      <c r="AL961" s="101"/>
      <c r="AM961" s="101"/>
    </row>
    <row r="962">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D962" s="101"/>
      <c r="AE962" s="101"/>
      <c r="AF962" s="101"/>
      <c r="AG962" s="101"/>
      <c r="AH962" s="101"/>
      <c r="AI962" s="101"/>
      <c r="AJ962" s="101"/>
      <c r="AK962" s="101"/>
      <c r="AL962" s="101"/>
      <c r="AM962" s="101"/>
    </row>
    <row r="963">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c r="AD963" s="101"/>
      <c r="AE963" s="101"/>
      <c r="AF963" s="101"/>
      <c r="AG963" s="101"/>
      <c r="AH963" s="101"/>
      <c r="AI963" s="101"/>
      <c r="AJ963" s="101"/>
      <c r="AK963" s="101"/>
      <c r="AL963" s="101"/>
      <c r="AM963" s="101"/>
    </row>
    <row r="964">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D964" s="101"/>
      <c r="AE964" s="101"/>
      <c r="AF964" s="101"/>
      <c r="AG964" s="101"/>
      <c r="AH964" s="101"/>
      <c r="AI964" s="101"/>
      <c r="AJ964" s="101"/>
      <c r="AK964" s="101"/>
      <c r="AL964" s="101"/>
      <c r="AM964" s="101"/>
    </row>
    <row r="965">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c r="AD965" s="101"/>
      <c r="AE965" s="101"/>
      <c r="AF965" s="101"/>
      <c r="AG965" s="101"/>
      <c r="AH965" s="101"/>
      <c r="AI965" s="101"/>
      <c r="AJ965" s="101"/>
      <c r="AK965" s="101"/>
      <c r="AL965" s="101"/>
      <c r="AM965" s="101"/>
    </row>
    <row r="96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D966" s="101"/>
      <c r="AE966" s="101"/>
      <c r="AF966" s="101"/>
      <c r="AG966" s="101"/>
      <c r="AH966" s="101"/>
      <c r="AI966" s="101"/>
      <c r="AJ966" s="101"/>
      <c r="AK966" s="101"/>
      <c r="AL966" s="101"/>
      <c r="AM966" s="101"/>
    </row>
    <row r="967">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c r="AD967" s="101"/>
      <c r="AE967" s="101"/>
      <c r="AF967" s="101"/>
      <c r="AG967" s="101"/>
      <c r="AH967" s="101"/>
      <c r="AI967" s="101"/>
      <c r="AJ967" s="101"/>
      <c r="AK967" s="101"/>
      <c r="AL967" s="101"/>
      <c r="AM967" s="101"/>
    </row>
    <row r="968">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D968" s="101"/>
      <c r="AE968" s="101"/>
      <c r="AF968" s="101"/>
      <c r="AG968" s="101"/>
      <c r="AH968" s="101"/>
      <c r="AI968" s="101"/>
      <c r="AJ968" s="101"/>
      <c r="AK968" s="101"/>
      <c r="AL968" s="101"/>
      <c r="AM968" s="101"/>
    </row>
    <row r="969">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c r="AD969" s="101"/>
      <c r="AE969" s="101"/>
      <c r="AF969" s="101"/>
      <c r="AG969" s="101"/>
      <c r="AH969" s="101"/>
      <c r="AI969" s="101"/>
      <c r="AJ969" s="101"/>
      <c r="AK969" s="101"/>
      <c r="AL969" s="101"/>
      <c r="AM969" s="101"/>
    </row>
    <row r="970">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D970" s="101"/>
      <c r="AE970" s="101"/>
      <c r="AF970" s="101"/>
      <c r="AG970" s="101"/>
      <c r="AH970" s="101"/>
      <c r="AI970" s="101"/>
      <c r="AJ970" s="101"/>
      <c r="AK970" s="101"/>
      <c r="AL970" s="101"/>
      <c r="AM970" s="101"/>
    </row>
    <row r="97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c r="AD971" s="101"/>
      <c r="AE971" s="101"/>
      <c r="AF971" s="101"/>
      <c r="AG971" s="101"/>
      <c r="AH971" s="101"/>
      <c r="AI971" s="101"/>
      <c r="AJ971" s="101"/>
      <c r="AK971" s="101"/>
      <c r="AL971" s="101"/>
      <c r="AM971" s="101"/>
    </row>
    <row r="972">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D972" s="101"/>
      <c r="AE972" s="101"/>
      <c r="AF972" s="101"/>
      <c r="AG972" s="101"/>
      <c r="AH972" s="101"/>
      <c r="AI972" s="101"/>
      <c r="AJ972" s="101"/>
      <c r="AK972" s="101"/>
      <c r="AL972" s="101"/>
      <c r="AM972" s="101"/>
    </row>
    <row r="973">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c r="AD973" s="101"/>
      <c r="AE973" s="101"/>
      <c r="AF973" s="101"/>
      <c r="AG973" s="101"/>
      <c r="AH973" s="101"/>
      <c r="AI973" s="101"/>
      <c r="AJ973" s="101"/>
      <c r="AK973" s="101"/>
      <c r="AL973" s="101"/>
      <c r="AM973" s="101"/>
    </row>
    <row r="974">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D974" s="101"/>
      <c r="AE974" s="101"/>
      <c r="AF974" s="101"/>
      <c r="AG974" s="101"/>
      <c r="AH974" s="101"/>
      <c r="AI974" s="101"/>
      <c r="AJ974" s="101"/>
      <c r="AK974" s="101"/>
      <c r="AL974" s="101"/>
      <c r="AM974" s="101"/>
    </row>
    <row r="975">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c r="AD975" s="101"/>
      <c r="AE975" s="101"/>
      <c r="AF975" s="101"/>
      <c r="AG975" s="101"/>
      <c r="AH975" s="101"/>
      <c r="AI975" s="101"/>
      <c r="AJ975" s="101"/>
      <c r="AK975" s="101"/>
      <c r="AL975" s="101"/>
      <c r="AM975" s="101"/>
    </row>
    <row r="97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D976" s="101"/>
      <c r="AE976" s="101"/>
      <c r="AF976" s="101"/>
      <c r="AG976" s="101"/>
      <c r="AH976" s="101"/>
      <c r="AI976" s="101"/>
      <c r="AJ976" s="101"/>
      <c r="AK976" s="101"/>
      <c r="AL976" s="101"/>
      <c r="AM976" s="101"/>
    </row>
    <row r="977">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c r="AD977" s="101"/>
      <c r="AE977" s="101"/>
      <c r="AF977" s="101"/>
      <c r="AG977" s="101"/>
      <c r="AH977" s="101"/>
      <c r="AI977" s="101"/>
      <c r="AJ977" s="101"/>
      <c r="AK977" s="101"/>
      <c r="AL977" s="101"/>
      <c r="AM977" s="101"/>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D978" s="101"/>
      <c r="AE978" s="101"/>
      <c r="AF978" s="101"/>
      <c r="AG978" s="101"/>
      <c r="AH978" s="101"/>
      <c r="AI978" s="101"/>
      <c r="AJ978" s="101"/>
      <c r="AK978" s="101"/>
      <c r="AL978" s="101"/>
      <c r="AM978" s="101"/>
    </row>
    <row r="979">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c r="AD979" s="101"/>
      <c r="AE979" s="101"/>
      <c r="AF979" s="101"/>
      <c r="AG979" s="101"/>
      <c r="AH979" s="101"/>
      <c r="AI979" s="101"/>
      <c r="AJ979" s="101"/>
      <c r="AK979" s="101"/>
      <c r="AL979" s="101"/>
      <c r="AM979" s="101"/>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D980" s="101"/>
      <c r="AE980" s="101"/>
      <c r="AF980" s="101"/>
      <c r="AG980" s="101"/>
      <c r="AH980" s="101"/>
      <c r="AI980" s="101"/>
      <c r="AJ980" s="101"/>
      <c r="AK980" s="101"/>
      <c r="AL980" s="101"/>
      <c r="AM980" s="101"/>
    </row>
    <row r="98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c r="AD981" s="101"/>
      <c r="AE981" s="101"/>
      <c r="AF981" s="101"/>
      <c r="AG981" s="101"/>
      <c r="AH981" s="101"/>
      <c r="AI981" s="101"/>
      <c r="AJ981" s="101"/>
      <c r="AK981" s="101"/>
      <c r="AL981" s="101"/>
      <c r="AM981" s="101"/>
    </row>
    <row r="982">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D982" s="101"/>
      <c r="AE982" s="101"/>
      <c r="AF982" s="101"/>
      <c r="AG982" s="101"/>
      <c r="AH982" s="101"/>
      <c r="AI982" s="101"/>
      <c r="AJ982" s="101"/>
      <c r="AK982" s="101"/>
      <c r="AL982" s="101"/>
      <c r="AM982" s="101"/>
    </row>
  </sheetData>
  <conditionalFormatting sqref="A2:A14 C2:Z14">
    <cfRule type="expression" dxfId="4" priority="1">
      <formula>"#DIV/"</formula>
    </cfRule>
  </conditionalFormatting>
  <conditionalFormatting sqref="AA2:AA982">
    <cfRule type="cellIs" dxfId="3" priority="2" operator="lessThan">
      <formula>182.5</formula>
    </cfRule>
  </conditionalFormatting>
  <conditionalFormatting sqref="D2:Z13">
    <cfRule type="cellIs" dxfId="3" priority="3" operator="lessThanOrEqual">
      <formula>24</formula>
    </cfRule>
  </conditionalFormatting>
  <conditionalFormatting sqref="D2:Z13">
    <cfRule type="cellIs" dxfId="0" priority="4" operator="greaterThanOrEqual">
      <formula>30</formula>
    </cfRule>
  </conditionalFormatting>
  <dataValidations>
    <dataValidation type="list" allowBlank="1" showErrorMessage="1" sqref="A2:A14">
      <formula1>'Employees List'!$B$2:$B$991</formula1>
    </dataValidation>
  </dataValidations>
  <drawing r:id="rId1"/>
</worksheet>
</file>